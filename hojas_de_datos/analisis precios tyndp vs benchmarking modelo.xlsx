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93270476-D0D1-493F-A1A3-F66B8293B11E}" xr6:coauthVersionLast="47" xr6:coauthVersionMax="47" xr10:uidLastSave="{00000000-0000-0000-0000-000000000000}"/>
  <bookViews>
    <workbookView xWindow="28680" yWindow="-120" windowWidth="29040" windowHeight="15720" xr2:uid="{DE81B7DD-69C3-439A-8225-AA8FD2A0735C}"/>
  </bookViews>
  <sheets>
    <sheet name="Comparación Generacion" sheetId="6" r:id="rId1"/>
    <sheet name="Comparación Interconexiones" sheetId="7" r:id="rId2"/>
    <sheet name="Comparación Precios" sheetId="8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6" l="1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5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5" i="8"/>
  <c r="BB6" i="6"/>
  <c r="BB7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80" i="6"/>
  <c r="BB81" i="6"/>
  <c r="BB82" i="6"/>
  <c r="BB83" i="6"/>
  <c r="BB84" i="6"/>
  <c r="BB85" i="6"/>
  <c r="BB86" i="6"/>
  <c r="BB87" i="6"/>
  <c r="BB88" i="6"/>
  <c r="BB89" i="6"/>
  <c r="BB90" i="6"/>
  <c r="BB91" i="6"/>
  <c r="BB92" i="6"/>
  <c r="BB93" i="6"/>
  <c r="BB94" i="6"/>
  <c r="BB95" i="6"/>
  <c r="BB96" i="6"/>
  <c r="BB97" i="6"/>
  <c r="BB98" i="6"/>
  <c r="BB99" i="6"/>
  <c r="BB100" i="6"/>
  <c r="BB101" i="6"/>
  <c r="BB102" i="6"/>
  <c r="BB103" i="6"/>
  <c r="BB104" i="6"/>
  <c r="BB105" i="6"/>
  <c r="BB106" i="6"/>
  <c r="BB107" i="6"/>
  <c r="BB108" i="6"/>
  <c r="BB109" i="6"/>
  <c r="BB110" i="6"/>
  <c r="BB111" i="6"/>
  <c r="BB112" i="6"/>
  <c r="BB113" i="6"/>
  <c r="BB114" i="6"/>
  <c r="BB115" i="6"/>
  <c r="BB116" i="6"/>
  <c r="BB117" i="6"/>
  <c r="BB118" i="6"/>
  <c r="BB119" i="6"/>
  <c r="BB120" i="6"/>
  <c r="BB121" i="6"/>
  <c r="BB122" i="6"/>
  <c r="BB123" i="6"/>
  <c r="BB124" i="6"/>
  <c r="BB125" i="6"/>
  <c r="BB126" i="6"/>
  <c r="BB127" i="6"/>
  <c r="BB128" i="6"/>
  <c r="BB129" i="6"/>
  <c r="BB130" i="6"/>
  <c r="BB131" i="6"/>
  <c r="BB132" i="6"/>
  <c r="BB133" i="6"/>
  <c r="BB134" i="6"/>
  <c r="BB135" i="6"/>
  <c r="BB136" i="6"/>
  <c r="BB137" i="6"/>
  <c r="BB138" i="6"/>
  <c r="BB139" i="6"/>
  <c r="BB140" i="6"/>
  <c r="BB141" i="6"/>
  <c r="BB142" i="6"/>
  <c r="BB143" i="6"/>
  <c r="BB144" i="6"/>
  <c r="BB145" i="6"/>
  <c r="BB146" i="6"/>
  <c r="BB147" i="6"/>
  <c r="BB148" i="6"/>
  <c r="BB149" i="6"/>
  <c r="BB150" i="6"/>
  <c r="BB151" i="6"/>
  <c r="BB152" i="6"/>
  <c r="BB153" i="6"/>
  <c r="BB154" i="6"/>
  <c r="BB155" i="6"/>
  <c r="BB156" i="6"/>
  <c r="BB157" i="6"/>
  <c r="BB158" i="6"/>
  <c r="BB159" i="6"/>
  <c r="BB160" i="6"/>
  <c r="BB161" i="6"/>
  <c r="BB162" i="6"/>
  <c r="BB163" i="6"/>
  <c r="BB164" i="6"/>
  <c r="BB165" i="6"/>
  <c r="BB166" i="6"/>
  <c r="BB167" i="6"/>
  <c r="BB168" i="6"/>
  <c r="BB169" i="6"/>
  <c r="BB170" i="6"/>
  <c r="BB171" i="6"/>
  <c r="BB172" i="6"/>
  <c r="BB173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BA138" i="6"/>
  <c r="BA139" i="6"/>
  <c r="BA140" i="6"/>
  <c r="BA141" i="6"/>
  <c r="BA142" i="6"/>
  <c r="BA143" i="6"/>
  <c r="BA144" i="6"/>
  <c r="BA145" i="6"/>
  <c r="BA146" i="6"/>
  <c r="BA147" i="6"/>
  <c r="BA148" i="6"/>
  <c r="BA149" i="6"/>
  <c r="BA150" i="6"/>
  <c r="BA151" i="6"/>
  <c r="BA152" i="6"/>
  <c r="BA153" i="6"/>
  <c r="BA154" i="6"/>
  <c r="BA155" i="6"/>
  <c r="BA156" i="6"/>
  <c r="BA157" i="6"/>
  <c r="BA158" i="6"/>
  <c r="BA159" i="6"/>
  <c r="BA160" i="6"/>
  <c r="BA161" i="6"/>
  <c r="BA162" i="6"/>
  <c r="BA163" i="6"/>
  <c r="BA164" i="6"/>
  <c r="BA165" i="6"/>
  <c r="BA166" i="6"/>
  <c r="BA167" i="6"/>
  <c r="BA168" i="6"/>
  <c r="BA169" i="6"/>
  <c r="BA170" i="6"/>
  <c r="BA171" i="6"/>
  <c r="BA172" i="6"/>
  <c r="BA173" i="6"/>
  <c r="BA6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V142" i="6"/>
  <c r="AV143" i="6"/>
  <c r="AV144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V158" i="6"/>
  <c r="AV159" i="6"/>
  <c r="AV160" i="6"/>
  <c r="AV161" i="6"/>
  <c r="AV162" i="6"/>
  <c r="AV163" i="6"/>
  <c r="AV164" i="6"/>
  <c r="AV165" i="6"/>
  <c r="AV166" i="6"/>
  <c r="AV167" i="6"/>
  <c r="AV168" i="6"/>
  <c r="AV169" i="6"/>
  <c r="AV170" i="6"/>
  <c r="AV171" i="6"/>
  <c r="AV172" i="6"/>
  <c r="AV173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AR66" i="6"/>
  <c r="AR67" i="6"/>
  <c r="AR68" i="6"/>
  <c r="AR69" i="6"/>
  <c r="AR70" i="6"/>
  <c r="AR71" i="6"/>
  <c r="AR72" i="6"/>
  <c r="AR73" i="6"/>
  <c r="AR74" i="6"/>
  <c r="AR75" i="6"/>
  <c r="AR76" i="6"/>
  <c r="AR77" i="6"/>
  <c r="AR78" i="6"/>
  <c r="AR79" i="6"/>
  <c r="AR80" i="6"/>
  <c r="AR81" i="6"/>
  <c r="AR82" i="6"/>
  <c r="AR83" i="6"/>
  <c r="AR84" i="6"/>
  <c r="AR85" i="6"/>
  <c r="AR86" i="6"/>
  <c r="AR87" i="6"/>
  <c r="AR88" i="6"/>
  <c r="AR89" i="6"/>
  <c r="AR90" i="6"/>
  <c r="AR91" i="6"/>
  <c r="AR92" i="6"/>
  <c r="AR93" i="6"/>
  <c r="AR94" i="6"/>
  <c r="AR95" i="6"/>
  <c r="AR96" i="6"/>
  <c r="AR97" i="6"/>
  <c r="AR98" i="6"/>
  <c r="AR99" i="6"/>
  <c r="AR100" i="6"/>
  <c r="AR101" i="6"/>
  <c r="AR102" i="6"/>
  <c r="AR103" i="6"/>
  <c r="AR104" i="6"/>
  <c r="AR105" i="6"/>
  <c r="AR106" i="6"/>
  <c r="AR107" i="6"/>
  <c r="AR108" i="6"/>
  <c r="AR109" i="6"/>
  <c r="AR110" i="6"/>
  <c r="AR111" i="6"/>
  <c r="AR112" i="6"/>
  <c r="AR113" i="6"/>
  <c r="AR114" i="6"/>
  <c r="AR115" i="6"/>
  <c r="AR116" i="6"/>
  <c r="AR117" i="6"/>
  <c r="AR118" i="6"/>
  <c r="AR119" i="6"/>
  <c r="AR120" i="6"/>
  <c r="AR121" i="6"/>
  <c r="AR122" i="6"/>
  <c r="AR123" i="6"/>
  <c r="AR124" i="6"/>
  <c r="AR125" i="6"/>
  <c r="AR126" i="6"/>
  <c r="AR127" i="6"/>
  <c r="AR128" i="6"/>
  <c r="AR129" i="6"/>
  <c r="AR130" i="6"/>
  <c r="AR131" i="6"/>
  <c r="AR132" i="6"/>
  <c r="AR133" i="6"/>
  <c r="AR134" i="6"/>
  <c r="AR135" i="6"/>
  <c r="AR136" i="6"/>
  <c r="AR137" i="6"/>
  <c r="AR138" i="6"/>
  <c r="AR139" i="6"/>
  <c r="AR140" i="6"/>
  <c r="AR141" i="6"/>
  <c r="AR142" i="6"/>
  <c r="AR143" i="6"/>
  <c r="AR144" i="6"/>
  <c r="AR145" i="6"/>
  <c r="AR146" i="6"/>
  <c r="AR147" i="6"/>
  <c r="AR148" i="6"/>
  <c r="AR149" i="6"/>
  <c r="AR150" i="6"/>
  <c r="AR151" i="6"/>
  <c r="AR152" i="6"/>
  <c r="AR153" i="6"/>
  <c r="AR154" i="6"/>
  <c r="AR155" i="6"/>
  <c r="AR156" i="6"/>
  <c r="AR157" i="6"/>
  <c r="AR158" i="6"/>
  <c r="AR159" i="6"/>
  <c r="AR160" i="6"/>
  <c r="AR161" i="6"/>
  <c r="AR162" i="6"/>
  <c r="AR163" i="6"/>
  <c r="AR164" i="6"/>
  <c r="AR165" i="6"/>
  <c r="AR166" i="6"/>
  <c r="AR167" i="6"/>
  <c r="AR168" i="6"/>
  <c r="AR169" i="6"/>
  <c r="AR170" i="6"/>
  <c r="AR171" i="6"/>
  <c r="AR172" i="6"/>
  <c r="AR173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0" i="6"/>
  <c r="AQ161" i="6"/>
  <c r="AQ162" i="6"/>
  <c r="AQ163" i="6"/>
  <c r="AQ164" i="6"/>
  <c r="AQ165" i="6"/>
  <c r="AQ166" i="6"/>
  <c r="AQ167" i="6"/>
  <c r="AQ168" i="6"/>
  <c r="AQ169" i="6"/>
  <c r="AQ170" i="6"/>
  <c r="AQ171" i="6"/>
  <c r="AQ172" i="6"/>
  <c r="AQ173" i="6"/>
  <c r="AQ6" i="6"/>
  <c r="E2" i="7" l="1"/>
  <c r="F2" i="7"/>
  <c r="E3" i="7"/>
  <c r="G3" i="7" s="1"/>
  <c r="F3" i="7"/>
  <c r="E4" i="7"/>
  <c r="F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G14" i="7" s="1"/>
  <c r="F14" i="7"/>
  <c r="E15" i="7"/>
  <c r="G15" i="7" s="1"/>
  <c r="F15" i="7"/>
  <c r="E16" i="7"/>
  <c r="F16" i="7"/>
  <c r="E17" i="7"/>
  <c r="F17" i="7"/>
  <c r="E18" i="7"/>
  <c r="G18" i="7" s="1"/>
  <c r="F18" i="7"/>
  <c r="E19" i="7"/>
  <c r="F19" i="7"/>
  <c r="E20" i="7"/>
  <c r="F20" i="7"/>
  <c r="E21" i="7"/>
  <c r="F21" i="7"/>
  <c r="E22" i="7"/>
  <c r="G22" i="7" s="1"/>
  <c r="F22" i="7"/>
  <c r="E23" i="7"/>
  <c r="G23" i="7" s="1"/>
  <c r="F23" i="7"/>
  <c r="E24" i="7"/>
  <c r="F24" i="7"/>
  <c r="E25" i="7"/>
  <c r="F25" i="7"/>
  <c r="E26" i="7"/>
  <c r="G26" i="7" s="1"/>
  <c r="F26" i="7"/>
  <c r="E27" i="7"/>
  <c r="G27" i="7" s="1"/>
  <c r="F27" i="7"/>
  <c r="E28" i="7"/>
  <c r="F28" i="7"/>
  <c r="E29" i="7"/>
  <c r="F29" i="7"/>
  <c r="E30" i="7"/>
  <c r="G30" i="7" s="1"/>
  <c r="F30" i="7"/>
  <c r="E31" i="7"/>
  <c r="F31" i="7"/>
  <c r="E32" i="7"/>
  <c r="F32" i="7"/>
  <c r="E33" i="7"/>
  <c r="F33" i="7"/>
  <c r="G33" i="7" s="1"/>
  <c r="E34" i="7"/>
  <c r="F34" i="7"/>
  <c r="E35" i="7"/>
  <c r="G35" i="7" s="1"/>
  <c r="F35" i="7"/>
  <c r="E36" i="7"/>
  <c r="F36" i="7"/>
  <c r="E37" i="7"/>
  <c r="F37" i="7"/>
  <c r="E38" i="7"/>
  <c r="G38" i="7" s="1"/>
  <c r="F38" i="7"/>
  <c r="E39" i="7"/>
  <c r="G39" i="7" s="1"/>
  <c r="F39" i="7"/>
  <c r="E40" i="7"/>
  <c r="F40" i="7"/>
  <c r="E41" i="7"/>
  <c r="F41" i="7"/>
  <c r="E42" i="7"/>
  <c r="F42" i="7"/>
  <c r="E43" i="7"/>
  <c r="G43" i="7" s="1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G50" i="7" s="1"/>
  <c r="F50" i="7"/>
  <c r="E51" i="7"/>
  <c r="F51" i="7"/>
  <c r="E52" i="7"/>
  <c r="F52" i="7"/>
  <c r="E53" i="7"/>
  <c r="F53" i="7"/>
  <c r="E54" i="7"/>
  <c r="G54" i="7" s="1"/>
  <c r="F54" i="7"/>
  <c r="E55" i="7"/>
  <c r="F55" i="7"/>
  <c r="E56" i="7"/>
  <c r="F56" i="7"/>
  <c r="E57" i="7"/>
  <c r="F57" i="7"/>
  <c r="G57" i="7" s="1"/>
  <c r="E58" i="7"/>
  <c r="G58" i="7" s="1"/>
  <c r="F58" i="7"/>
  <c r="E59" i="7"/>
  <c r="G59" i="7" s="1"/>
  <c r="F59" i="7"/>
  <c r="E60" i="7"/>
  <c r="F60" i="7"/>
  <c r="E61" i="7"/>
  <c r="F61" i="7"/>
  <c r="E62" i="7"/>
  <c r="G62" i="7" s="1"/>
  <c r="F62" i="7"/>
  <c r="E63" i="7"/>
  <c r="F63" i="7"/>
  <c r="E64" i="7"/>
  <c r="F64" i="7"/>
  <c r="E65" i="7"/>
  <c r="F65" i="7"/>
  <c r="E66" i="7"/>
  <c r="G66" i="7" s="1"/>
  <c r="F66" i="7"/>
  <c r="E67" i="7"/>
  <c r="G67" i="7" s="1"/>
  <c r="F67" i="7"/>
  <c r="E68" i="7"/>
  <c r="F68" i="7"/>
  <c r="E69" i="7"/>
  <c r="F69" i="7"/>
  <c r="E70" i="7"/>
  <c r="G70" i="7" s="1"/>
  <c r="F70" i="7"/>
  <c r="E71" i="7"/>
  <c r="G71" i="7" s="1"/>
  <c r="F71" i="7"/>
  <c r="E72" i="7"/>
  <c r="F72" i="7"/>
  <c r="E73" i="7"/>
  <c r="F73" i="7"/>
  <c r="E74" i="7"/>
  <c r="G74" i="7" s="1"/>
  <c r="F74" i="7"/>
  <c r="E75" i="7"/>
  <c r="G75" i="7" s="1"/>
  <c r="F75" i="7"/>
  <c r="E76" i="7"/>
  <c r="F76" i="7"/>
  <c r="E77" i="7"/>
  <c r="F77" i="7"/>
  <c r="E78" i="7"/>
  <c r="G78" i="7" s="1"/>
  <c r="F78" i="7"/>
  <c r="E79" i="7"/>
  <c r="F79" i="7"/>
  <c r="E80" i="7"/>
  <c r="F80" i="7"/>
  <c r="E81" i="7"/>
  <c r="F81" i="7"/>
  <c r="E82" i="7"/>
  <c r="G82" i="7" s="1"/>
  <c r="F82" i="7"/>
  <c r="E83" i="7"/>
  <c r="F83" i="7"/>
  <c r="E84" i="7"/>
  <c r="F84" i="7"/>
  <c r="E85" i="7"/>
  <c r="F85" i="7"/>
  <c r="E86" i="7"/>
  <c r="G86" i="7" s="1"/>
  <c r="F86" i="7"/>
  <c r="E87" i="7"/>
  <c r="F87" i="7"/>
  <c r="E88" i="7"/>
  <c r="F88" i="7"/>
  <c r="E89" i="7"/>
  <c r="F89" i="7"/>
  <c r="E90" i="7"/>
  <c r="G90" i="7" s="1"/>
  <c r="F90" i="7"/>
  <c r="E91" i="7"/>
  <c r="G91" i="7" s="1"/>
  <c r="F91" i="7"/>
  <c r="E92" i="7"/>
  <c r="F92" i="7"/>
  <c r="E93" i="7"/>
  <c r="F93" i="7"/>
  <c r="G93" i="7" s="1"/>
  <c r="E94" i="7"/>
  <c r="G94" i="7" s="1"/>
  <c r="F94" i="7"/>
  <c r="E95" i="7"/>
  <c r="F95" i="7"/>
  <c r="E96" i="7"/>
  <c r="F96" i="7"/>
  <c r="E97" i="7"/>
  <c r="G97" i="7" s="1"/>
  <c r="F97" i="7"/>
  <c r="E98" i="7"/>
  <c r="F98" i="7"/>
  <c r="E99" i="7"/>
  <c r="F99" i="7"/>
  <c r="E100" i="7"/>
  <c r="F100" i="7"/>
  <c r="E101" i="7"/>
  <c r="G101" i="7" s="1"/>
  <c r="F101" i="7"/>
  <c r="E102" i="7"/>
  <c r="G102" i="7" s="1"/>
  <c r="F102" i="7"/>
  <c r="E103" i="7"/>
  <c r="G103" i="7" s="1"/>
  <c r="F103" i="7"/>
  <c r="E104" i="7"/>
  <c r="F104" i="7"/>
  <c r="E105" i="7"/>
  <c r="G105" i="7" s="1"/>
  <c r="F105" i="7"/>
  <c r="E106" i="7"/>
  <c r="G106" i="7" s="1"/>
  <c r="F106" i="7"/>
  <c r="E107" i="7"/>
  <c r="G107" i="7" s="1"/>
  <c r="F107" i="7"/>
  <c r="E108" i="7"/>
  <c r="F108" i="7"/>
  <c r="E109" i="7"/>
  <c r="F109" i="7"/>
  <c r="E110" i="7"/>
  <c r="F110" i="7"/>
  <c r="E111" i="7"/>
  <c r="G111" i="7" s="1"/>
  <c r="F111" i="7"/>
  <c r="E112" i="7"/>
  <c r="F112" i="7"/>
  <c r="E113" i="7"/>
  <c r="F113" i="7"/>
  <c r="E114" i="7"/>
  <c r="G114" i="7" s="1"/>
  <c r="F114" i="7"/>
  <c r="E115" i="7"/>
  <c r="F115" i="7"/>
  <c r="E116" i="7"/>
  <c r="F116" i="7"/>
  <c r="E117" i="7"/>
  <c r="F117" i="7"/>
  <c r="E118" i="7"/>
  <c r="G118" i="7" s="1"/>
  <c r="F118" i="7"/>
  <c r="E119" i="7"/>
  <c r="F119" i="7"/>
  <c r="E120" i="7"/>
  <c r="F120" i="7"/>
  <c r="E121" i="7"/>
  <c r="F121" i="7"/>
  <c r="E122" i="7"/>
  <c r="G122" i="7" s="1"/>
  <c r="F122" i="7"/>
  <c r="E123" i="7"/>
  <c r="F123" i="7"/>
  <c r="E124" i="7"/>
  <c r="F124" i="7"/>
  <c r="E125" i="7"/>
  <c r="F125" i="7"/>
  <c r="E126" i="7"/>
  <c r="G126" i="7" s="1"/>
  <c r="F126" i="7"/>
  <c r="E127" i="7"/>
  <c r="F127" i="7"/>
  <c r="E128" i="7"/>
  <c r="F128" i="7"/>
  <c r="E129" i="7"/>
  <c r="F129" i="7"/>
  <c r="E130" i="7"/>
  <c r="F130" i="7"/>
  <c r="E131" i="7"/>
  <c r="G131" i="7" s="1"/>
  <c r="F131" i="7"/>
  <c r="E132" i="7"/>
  <c r="F132" i="7"/>
  <c r="E133" i="7"/>
  <c r="F133" i="7"/>
  <c r="E134" i="7"/>
  <c r="G134" i="7" s="1"/>
  <c r="F134" i="7"/>
  <c r="E135" i="7"/>
  <c r="G135" i="7" s="1"/>
  <c r="F135" i="7"/>
  <c r="E136" i="7"/>
  <c r="F136" i="7"/>
  <c r="E137" i="7"/>
  <c r="G137" i="7" s="1"/>
  <c r="F137" i="7"/>
  <c r="E138" i="7"/>
  <c r="G138" i="7" s="1"/>
  <c r="F138" i="7"/>
  <c r="E139" i="7"/>
  <c r="G139" i="7" s="1"/>
  <c r="F139" i="7"/>
  <c r="E140" i="7"/>
  <c r="F140" i="7"/>
  <c r="E141" i="7"/>
  <c r="F141" i="7"/>
  <c r="E142" i="7"/>
  <c r="G142" i="7" s="1"/>
  <c r="F142" i="7"/>
  <c r="E143" i="7"/>
  <c r="F143" i="7"/>
  <c r="E144" i="7"/>
  <c r="F144" i="7"/>
  <c r="E145" i="7"/>
  <c r="G145" i="7" s="1"/>
  <c r="F145" i="7"/>
  <c r="E146" i="7"/>
  <c r="G146" i="7" s="1"/>
  <c r="F146" i="7"/>
  <c r="E147" i="7"/>
  <c r="F147" i="7"/>
  <c r="E148" i="7"/>
  <c r="F148" i="7"/>
  <c r="E149" i="7"/>
  <c r="F149" i="7"/>
  <c r="E150" i="7"/>
  <c r="G150" i="7" s="1"/>
  <c r="F150" i="7"/>
  <c r="E151" i="7"/>
  <c r="F151" i="7"/>
  <c r="E152" i="7"/>
  <c r="F152" i="7"/>
  <c r="E153" i="7"/>
  <c r="F153" i="7"/>
  <c r="E154" i="7"/>
  <c r="G154" i="7" s="1"/>
  <c r="F154" i="7"/>
  <c r="E155" i="7"/>
  <c r="G155" i="7" s="1"/>
  <c r="F155" i="7"/>
  <c r="E156" i="7"/>
  <c r="F156" i="7"/>
  <c r="E157" i="7"/>
  <c r="F157" i="7"/>
  <c r="E158" i="7"/>
  <c r="G158" i="7" s="1"/>
  <c r="F158" i="7"/>
  <c r="E159" i="7"/>
  <c r="G159" i="7" s="1"/>
  <c r="F159" i="7"/>
  <c r="E160" i="7"/>
  <c r="F160" i="7"/>
  <c r="E161" i="7"/>
  <c r="F161" i="7"/>
  <c r="E162" i="7"/>
  <c r="G162" i="7" s="1"/>
  <c r="F162" i="7"/>
  <c r="E163" i="7"/>
  <c r="G163" i="7" s="1"/>
  <c r="F163" i="7"/>
  <c r="E164" i="7"/>
  <c r="F164" i="7"/>
  <c r="E165" i="7"/>
  <c r="F165" i="7"/>
  <c r="E166" i="7"/>
  <c r="F166" i="7"/>
  <c r="E167" i="7"/>
  <c r="G167" i="7" s="1"/>
  <c r="F167" i="7"/>
  <c r="E168" i="7"/>
  <c r="F168" i="7"/>
  <c r="E169" i="7"/>
  <c r="F169" i="7"/>
  <c r="E170" i="7"/>
  <c r="G170" i="7" s="1"/>
  <c r="F170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N34" i="7" s="1"/>
  <c r="M35" i="7"/>
  <c r="M36" i="7"/>
  <c r="M37" i="7"/>
  <c r="M38" i="7"/>
  <c r="M39" i="7"/>
  <c r="M40" i="7"/>
  <c r="N40" i="7" s="1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N58" i="7" s="1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N82" i="7" s="1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N106" i="7" s="1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N30" i="7" s="1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N110" i="7" s="1"/>
  <c r="L111" i="7"/>
  <c r="L112" i="7"/>
  <c r="N112" i="7" s="1"/>
  <c r="L113" i="7"/>
  <c r="N113" i="7" s="1"/>
  <c r="L114" i="7"/>
  <c r="L115" i="7"/>
  <c r="L116" i="7"/>
  <c r="L117" i="7"/>
  <c r="L118" i="7"/>
  <c r="N118" i="7" s="1"/>
  <c r="L119" i="7"/>
  <c r="L120" i="7"/>
  <c r="N120" i="7" s="1"/>
  <c r="L121" i="7"/>
  <c r="L122" i="7"/>
  <c r="L123" i="7"/>
  <c r="L124" i="7"/>
  <c r="L125" i="7"/>
  <c r="L126" i="7"/>
  <c r="N126" i="7" s="1"/>
  <c r="L127" i="7"/>
  <c r="L128" i="7"/>
  <c r="L129" i="7"/>
  <c r="N129" i="7" s="1"/>
  <c r="L130" i="7"/>
  <c r="L131" i="7"/>
  <c r="L132" i="7"/>
  <c r="L133" i="7"/>
  <c r="L134" i="7"/>
  <c r="N134" i="7" s="1"/>
  <c r="L135" i="7"/>
  <c r="L136" i="7"/>
  <c r="L137" i="7"/>
  <c r="N137" i="7" s="1"/>
  <c r="L138" i="7"/>
  <c r="L139" i="7"/>
  <c r="L140" i="7"/>
  <c r="L141" i="7"/>
  <c r="L142" i="7"/>
  <c r="N142" i="7" s="1"/>
  <c r="L143" i="7"/>
  <c r="L144" i="7"/>
  <c r="N144" i="7" s="1"/>
  <c r="L145" i="7"/>
  <c r="N145" i="7" s="1"/>
  <c r="L146" i="7"/>
  <c r="L147" i="7"/>
  <c r="L148" i="7"/>
  <c r="L149" i="7"/>
  <c r="L150" i="7"/>
  <c r="N150" i="7" s="1"/>
  <c r="L151" i="7"/>
  <c r="L152" i="7"/>
  <c r="N152" i="7" s="1"/>
  <c r="L153" i="7"/>
  <c r="N153" i="7" s="1"/>
  <c r="L154" i="7"/>
  <c r="L155" i="7"/>
  <c r="L156" i="7"/>
  <c r="L157" i="7"/>
  <c r="L158" i="7"/>
  <c r="L159" i="7"/>
  <c r="L160" i="7"/>
  <c r="L161" i="7"/>
  <c r="N161" i="7" s="1"/>
  <c r="L162" i="7"/>
  <c r="L163" i="7"/>
  <c r="L164" i="7"/>
  <c r="L165" i="7"/>
  <c r="L166" i="7"/>
  <c r="N166" i="7" s="1"/>
  <c r="L167" i="7"/>
  <c r="L168" i="7"/>
  <c r="L169" i="7"/>
  <c r="N169" i="7" s="1"/>
  <c r="L170" i="7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U110" i="7" s="1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U133" i="7" s="1"/>
  <c r="T134" i="7"/>
  <c r="U134" i="7" s="1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U51" i="7" s="1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U67" i="7" s="1"/>
  <c r="S68" i="7"/>
  <c r="S69" i="7"/>
  <c r="S70" i="7"/>
  <c r="S71" i="7"/>
  <c r="S72" i="7"/>
  <c r="S73" i="7"/>
  <c r="S74" i="7"/>
  <c r="S75" i="7"/>
  <c r="U75" i="7" s="1"/>
  <c r="S76" i="7"/>
  <c r="S77" i="7"/>
  <c r="S78" i="7"/>
  <c r="S79" i="7"/>
  <c r="S80" i="7"/>
  <c r="S81" i="7"/>
  <c r="S82" i="7"/>
  <c r="S83" i="7"/>
  <c r="U83" i="7" s="1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U107" i="7" s="1"/>
  <c r="S108" i="7"/>
  <c r="S109" i="7"/>
  <c r="S110" i="7"/>
  <c r="S111" i="7"/>
  <c r="S112" i="7"/>
  <c r="S113" i="7"/>
  <c r="S114" i="7"/>
  <c r="S115" i="7"/>
  <c r="U115" i="7" s="1"/>
  <c r="S116" i="7"/>
  <c r="S117" i="7"/>
  <c r="U117" i="7" s="1"/>
  <c r="S118" i="7"/>
  <c r="S119" i="7"/>
  <c r="U119" i="7" s="1"/>
  <c r="S120" i="7"/>
  <c r="U120" i="7" s="1"/>
  <c r="S121" i="7"/>
  <c r="S122" i="7"/>
  <c r="S123" i="7"/>
  <c r="S124" i="7"/>
  <c r="S125" i="7"/>
  <c r="U125" i="7" s="1"/>
  <c r="S126" i="7"/>
  <c r="U126" i="7" s="1"/>
  <c r="S127" i="7"/>
  <c r="U127" i="7" s="1"/>
  <c r="S128" i="7"/>
  <c r="U128" i="7" s="1"/>
  <c r="S129" i="7"/>
  <c r="S130" i="7"/>
  <c r="S131" i="7"/>
  <c r="U131" i="7" s="1"/>
  <c r="S132" i="7"/>
  <c r="U132" i="7" s="1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U147" i="7" s="1"/>
  <c r="S148" i="7"/>
  <c r="S149" i="7"/>
  <c r="S150" i="7"/>
  <c r="S151" i="7"/>
  <c r="U151" i="7" s="1"/>
  <c r="S152" i="7"/>
  <c r="S153" i="7"/>
  <c r="S154" i="7"/>
  <c r="S155" i="7"/>
  <c r="U155" i="7" s="1"/>
  <c r="S156" i="7"/>
  <c r="S157" i="7"/>
  <c r="S158" i="7"/>
  <c r="S159" i="7"/>
  <c r="U159" i="7" s="1"/>
  <c r="S160" i="7"/>
  <c r="S161" i="7"/>
  <c r="S162" i="7"/>
  <c r="S163" i="7"/>
  <c r="U163" i="7" s="1"/>
  <c r="S164" i="7"/>
  <c r="U164" i="7" s="1"/>
  <c r="S165" i="7"/>
  <c r="U165" i="7" s="1"/>
  <c r="S166" i="7"/>
  <c r="U166" i="7" s="1"/>
  <c r="S167" i="7"/>
  <c r="U167" i="7" s="1"/>
  <c r="S168" i="7"/>
  <c r="U168" i="7" s="1"/>
  <c r="S169" i="7"/>
  <c r="S170" i="7"/>
  <c r="Z2" i="7"/>
  <c r="Z3" i="7"/>
  <c r="AA3" i="7" s="1"/>
  <c r="Z4" i="7"/>
  <c r="AA4" i="7" s="1"/>
  <c r="Z5" i="7"/>
  <c r="AA5" i="7" s="1"/>
  <c r="Z6" i="7"/>
  <c r="AA6" i="7" s="1"/>
  <c r="Z7" i="7"/>
  <c r="AA7" i="7" s="1"/>
  <c r="Z8" i="7"/>
  <c r="Z9" i="7"/>
  <c r="AA9" i="7" s="1"/>
  <c r="Z10" i="7"/>
  <c r="AA10" i="7" s="1"/>
  <c r="Z11" i="7"/>
  <c r="AA11" i="7" s="1"/>
  <c r="Z12" i="7"/>
  <c r="Z13" i="7"/>
  <c r="AA13" i="7" s="1"/>
  <c r="Z14" i="7"/>
  <c r="AA14" i="7" s="1"/>
  <c r="Z15" i="7"/>
  <c r="AA15" i="7" s="1"/>
  <c r="Z16" i="7"/>
  <c r="Z17" i="7"/>
  <c r="AA17" i="7" s="1"/>
  <c r="Z18" i="7"/>
  <c r="AA18" i="7" s="1"/>
  <c r="Z19" i="7"/>
  <c r="AA19" i="7" s="1"/>
  <c r="Z20" i="7"/>
  <c r="Z21" i="7"/>
  <c r="AA21" i="7" s="1"/>
  <c r="Z22" i="7"/>
  <c r="AA22" i="7" s="1"/>
  <c r="Z23" i="7"/>
  <c r="AA23" i="7" s="1"/>
  <c r="Z24" i="7"/>
  <c r="Z25" i="7"/>
  <c r="AA25" i="7" s="1"/>
  <c r="Z26" i="7"/>
  <c r="Z27" i="7"/>
  <c r="AA27" i="7" s="1"/>
  <c r="Z28" i="7"/>
  <c r="AA28" i="7" s="1"/>
  <c r="Z29" i="7"/>
  <c r="AA29" i="7" s="1"/>
  <c r="Z30" i="7"/>
  <c r="Z31" i="7"/>
  <c r="AA31" i="7" s="1"/>
  <c r="Z32" i="7"/>
  <c r="Z33" i="7"/>
  <c r="AA33" i="7" s="1"/>
  <c r="Z34" i="7"/>
  <c r="AA34" i="7" s="1"/>
  <c r="Z35" i="7"/>
  <c r="AA35" i="7" s="1"/>
  <c r="Z36" i="7"/>
  <c r="Z37" i="7"/>
  <c r="AA37" i="7" s="1"/>
  <c r="Z38" i="7"/>
  <c r="Z39" i="7"/>
  <c r="AA39" i="7" s="1"/>
  <c r="Z40" i="7"/>
  <c r="Z41" i="7"/>
  <c r="AA41" i="7" s="1"/>
  <c r="Z42" i="7"/>
  <c r="AA42" i="7" s="1"/>
  <c r="Z43" i="7"/>
  <c r="AA43" i="7" s="1"/>
  <c r="Z44" i="7"/>
  <c r="AA44" i="7" s="1"/>
  <c r="Z45" i="7"/>
  <c r="AA45" i="7" s="1"/>
  <c r="Z46" i="7"/>
  <c r="AA46" i="7" s="1"/>
  <c r="Z47" i="7"/>
  <c r="AA47" i="7" s="1"/>
  <c r="Z48" i="7"/>
  <c r="Z49" i="7"/>
  <c r="AA49" i="7" s="1"/>
  <c r="Z50" i="7"/>
  <c r="Z51" i="7"/>
  <c r="AA51" i="7" s="1"/>
  <c r="Z52" i="7"/>
  <c r="Z53" i="7"/>
  <c r="AA53" i="7" s="1"/>
  <c r="Z54" i="7"/>
  <c r="AA54" i="7" s="1"/>
  <c r="Z55" i="7"/>
  <c r="AA55" i="7" s="1"/>
  <c r="Z56" i="7"/>
  <c r="Z57" i="7"/>
  <c r="AA57" i="7" s="1"/>
  <c r="Z58" i="7"/>
  <c r="AA58" i="7" s="1"/>
  <c r="Z59" i="7"/>
  <c r="AA59" i="7" s="1"/>
  <c r="Z60" i="7"/>
  <c r="AA60" i="7" s="1"/>
  <c r="Z61" i="7"/>
  <c r="AA61" i="7" s="1"/>
  <c r="Z62" i="7"/>
  <c r="AA62" i="7" s="1"/>
  <c r="Z63" i="7"/>
  <c r="AA63" i="7" s="1"/>
  <c r="Z64" i="7"/>
  <c r="Z65" i="7"/>
  <c r="AA65" i="7" s="1"/>
  <c r="Z66" i="7"/>
  <c r="AA66" i="7" s="1"/>
  <c r="Z67" i="7"/>
  <c r="AA67" i="7" s="1"/>
  <c r="Z68" i="7"/>
  <c r="Z69" i="7"/>
  <c r="AA69" i="7" s="1"/>
  <c r="Z70" i="7"/>
  <c r="Z71" i="7"/>
  <c r="AA71" i="7" s="1"/>
  <c r="Z72" i="7"/>
  <c r="Z73" i="7"/>
  <c r="AA73" i="7" s="1"/>
  <c r="Z74" i="7"/>
  <c r="AA74" i="7" s="1"/>
  <c r="Z75" i="7"/>
  <c r="AA75" i="7" s="1"/>
  <c r="Z76" i="7"/>
  <c r="AA76" i="7" s="1"/>
  <c r="Z77" i="7"/>
  <c r="AA77" i="7" s="1"/>
  <c r="Z78" i="7"/>
  <c r="AA78" i="7" s="1"/>
  <c r="Z79" i="7"/>
  <c r="AA79" i="7" s="1"/>
  <c r="Z80" i="7"/>
  <c r="Z81" i="7"/>
  <c r="AA81" i="7" s="1"/>
  <c r="Z82" i="7"/>
  <c r="AA82" i="7" s="1"/>
  <c r="Z83" i="7"/>
  <c r="AA83" i="7" s="1"/>
  <c r="Z84" i="7"/>
  <c r="Z85" i="7"/>
  <c r="AA85" i="7" s="1"/>
  <c r="Z86" i="7"/>
  <c r="AA86" i="7" s="1"/>
  <c r="Z87" i="7"/>
  <c r="AA87" i="7" s="1"/>
  <c r="Z88" i="7"/>
  <c r="Z89" i="7"/>
  <c r="AA89" i="7" s="1"/>
  <c r="Z90" i="7"/>
  <c r="AA90" i="7" s="1"/>
  <c r="Z91" i="7"/>
  <c r="AA91" i="7" s="1"/>
  <c r="Z92" i="7"/>
  <c r="Z93" i="7"/>
  <c r="AA93" i="7" s="1"/>
  <c r="Z94" i="7"/>
  <c r="Z95" i="7"/>
  <c r="AA95" i="7" s="1"/>
  <c r="Z96" i="7"/>
  <c r="Z97" i="7"/>
  <c r="AA97" i="7" s="1"/>
  <c r="Z98" i="7"/>
  <c r="Z99" i="7"/>
  <c r="AA99" i="7" s="1"/>
  <c r="Z100" i="7"/>
  <c r="Z101" i="7"/>
  <c r="AA101" i="7" s="1"/>
  <c r="Z102" i="7"/>
  <c r="Z103" i="7"/>
  <c r="Z104" i="7"/>
  <c r="Z105" i="7"/>
  <c r="AA105" i="7" s="1"/>
  <c r="Z106" i="7"/>
  <c r="Z107" i="7"/>
  <c r="AA107" i="7" s="1"/>
  <c r="Z108" i="7"/>
  <c r="AA108" i="7" s="1"/>
  <c r="Z109" i="7"/>
  <c r="AA109" i="7" s="1"/>
  <c r="Z110" i="7"/>
  <c r="AA110" i="7" s="1"/>
  <c r="Z111" i="7"/>
  <c r="AA111" i="7" s="1"/>
  <c r="Z112" i="7"/>
  <c r="Z113" i="7"/>
  <c r="AA113" i="7" s="1"/>
  <c r="Z114" i="7"/>
  <c r="AA114" i="7" s="1"/>
  <c r="Z115" i="7"/>
  <c r="AA115" i="7" s="1"/>
  <c r="Z116" i="7"/>
  <c r="Z117" i="7"/>
  <c r="AA117" i="7" s="1"/>
  <c r="Z118" i="7"/>
  <c r="AA118" i="7" s="1"/>
  <c r="Z119" i="7"/>
  <c r="Z120" i="7"/>
  <c r="Z121" i="7"/>
  <c r="AA121" i="7" s="1"/>
  <c r="Z122" i="7"/>
  <c r="AA122" i="7" s="1"/>
  <c r="Z123" i="7"/>
  <c r="AA123" i="7" s="1"/>
  <c r="Z124" i="7"/>
  <c r="AA124" i="7" s="1"/>
  <c r="Z125" i="7"/>
  <c r="AA125" i="7" s="1"/>
  <c r="Z126" i="7"/>
  <c r="AA126" i="7" s="1"/>
  <c r="Z127" i="7"/>
  <c r="AA127" i="7" s="1"/>
  <c r="Z128" i="7"/>
  <c r="Z129" i="7"/>
  <c r="AA129" i="7" s="1"/>
  <c r="Z130" i="7"/>
  <c r="Z131" i="7"/>
  <c r="AA131" i="7" s="1"/>
  <c r="Z132" i="7"/>
  <c r="Z133" i="7"/>
  <c r="AA133" i="7" s="1"/>
  <c r="Z134" i="7"/>
  <c r="Z135" i="7"/>
  <c r="AA135" i="7" s="1"/>
  <c r="Z136" i="7"/>
  <c r="Z137" i="7"/>
  <c r="AA137" i="7" s="1"/>
  <c r="Z138" i="7"/>
  <c r="AA138" i="7" s="1"/>
  <c r="Z139" i="7"/>
  <c r="AA139" i="7" s="1"/>
  <c r="Z140" i="7"/>
  <c r="Z141" i="7"/>
  <c r="AA141" i="7" s="1"/>
  <c r="Z142" i="7"/>
  <c r="AA142" i="7" s="1"/>
  <c r="Z143" i="7"/>
  <c r="AA143" i="7" s="1"/>
  <c r="Z144" i="7"/>
  <c r="Z145" i="7"/>
  <c r="AA145" i="7" s="1"/>
  <c r="Z146" i="7"/>
  <c r="AA146" i="7" s="1"/>
  <c r="Z147" i="7"/>
  <c r="AA147" i="7" s="1"/>
  <c r="Z148" i="7"/>
  <c r="Z149" i="7"/>
  <c r="AA149" i="7" s="1"/>
  <c r="Z150" i="7"/>
  <c r="AA150" i="7" s="1"/>
  <c r="Z151" i="7"/>
  <c r="AA151" i="7" s="1"/>
  <c r="Z152" i="7"/>
  <c r="Z153" i="7"/>
  <c r="AA153" i="7" s="1"/>
  <c r="Z154" i="7"/>
  <c r="AA154" i="7" s="1"/>
  <c r="Z155" i="7"/>
  <c r="AA155" i="7" s="1"/>
  <c r="Z156" i="7"/>
  <c r="Z157" i="7"/>
  <c r="AA157" i="7" s="1"/>
  <c r="Z158" i="7"/>
  <c r="AA158" i="7" s="1"/>
  <c r="Z159" i="7"/>
  <c r="AA159" i="7" s="1"/>
  <c r="Z160" i="7"/>
  <c r="Z161" i="7"/>
  <c r="AA161" i="7" s="1"/>
  <c r="Z162" i="7"/>
  <c r="AA162" i="7" s="1"/>
  <c r="Z163" i="7"/>
  <c r="AA163" i="7" s="1"/>
  <c r="Z164" i="7"/>
  <c r="AA164" i="7" s="1"/>
  <c r="Z165" i="7"/>
  <c r="AA165" i="7" s="1"/>
  <c r="Z166" i="7"/>
  <c r="AA166" i="7" s="1"/>
  <c r="Z167" i="7"/>
  <c r="AA167" i="7" s="1"/>
  <c r="Z168" i="7"/>
  <c r="Z169" i="7"/>
  <c r="AA169" i="7" s="1"/>
  <c r="Z170" i="7"/>
  <c r="AA170" i="7" s="1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6" i="6"/>
  <c r="G10" i="7"/>
  <c r="G34" i="7"/>
  <c r="G42" i="7"/>
  <c r="G48" i="7"/>
  <c r="G68" i="7"/>
  <c r="G92" i="7"/>
  <c r="G95" i="7"/>
  <c r="G98" i="7"/>
  <c r="G100" i="7"/>
  <c r="G108" i="7"/>
  <c r="G109" i="7"/>
  <c r="G110" i="7"/>
  <c r="G116" i="7"/>
  <c r="G124" i="7"/>
  <c r="G130" i="7"/>
  <c r="G132" i="7"/>
  <c r="G140" i="7"/>
  <c r="G141" i="7"/>
  <c r="G143" i="7"/>
  <c r="G147" i="7"/>
  <c r="G148" i="7"/>
  <c r="G156" i="7"/>
  <c r="G164" i="7"/>
  <c r="G166" i="7"/>
  <c r="N128" i="7"/>
  <c r="N12" i="7"/>
  <c r="N26" i="7"/>
  <c r="N36" i="7"/>
  <c r="N44" i="7"/>
  <c r="N60" i="7"/>
  <c r="N76" i="7"/>
  <c r="N83" i="7"/>
  <c r="N84" i="7"/>
  <c r="N90" i="7"/>
  <c r="N92" i="7"/>
  <c r="N100" i="7"/>
  <c r="N108" i="7"/>
  <c r="N114" i="7"/>
  <c r="N116" i="7"/>
  <c r="N121" i="7"/>
  <c r="N122" i="7"/>
  <c r="N124" i="7"/>
  <c r="N130" i="7"/>
  <c r="N132" i="7"/>
  <c r="N138" i="7"/>
  <c r="N146" i="7"/>
  <c r="N148" i="7"/>
  <c r="N154" i="7"/>
  <c r="N156" i="7"/>
  <c r="N158" i="7"/>
  <c r="N162" i="7"/>
  <c r="N164" i="7"/>
  <c r="N170" i="7"/>
  <c r="N28" i="7"/>
  <c r="N119" i="7"/>
  <c r="N140" i="7"/>
  <c r="N160" i="7"/>
  <c r="AA8" i="7"/>
  <c r="AA12" i="7"/>
  <c r="AA16" i="7"/>
  <c r="AA20" i="7"/>
  <c r="AA24" i="7"/>
  <c r="AA26" i="7"/>
  <c r="AA30" i="7"/>
  <c r="AA32" i="7"/>
  <c r="AA36" i="7"/>
  <c r="AA38" i="7"/>
  <c r="AA40" i="7"/>
  <c r="AA48" i="7"/>
  <c r="AA50" i="7"/>
  <c r="AA52" i="7"/>
  <c r="AA56" i="7"/>
  <c r="AA64" i="7"/>
  <c r="AA68" i="7"/>
  <c r="AA70" i="7"/>
  <c r="AA72" i="7"/>
  <c r="AA80" i="7"/>
  <c r="AA84" i="7"/>
  <c r="AA88" i="7"/>
  <c r="AA92" i="7"/>
  <c r="AA94" i="7"/>
  <c r="AA96" i="7"/>
  <c r="AA98" i="7"/>
  <c r="AA100" i="7"/>
  <c r="AA102" i="7"/>
  <c r="AA103" i="7"/>
  <c r="AA104" i="7"/>
  <c r="AA106" i="7"/>
  <c r="AA112" i="7"/>
  <c r="AA116" i="7"/>
  <c r="AA119" i="7"/>
  <c r="AA120" i="7"/>
  <c r="AA128" i="7"/>
  <c r="AA130" i="7"/>
  <c r="AA132" i="7"/>
  <c r="AA134" i="7"/>
  <c r="AA136" i="7"/>
  <c r="AA140" i="7"/>
  <c r="AA144" i="7"/>
  <c r="AA148" i="7"/>
  <c r="AA152" i="7"/>
  <c r="AA156" i="7"/>
  <c r="AA160" i="7"/>
  <c r="AA168" i="7"/>
  <c r="U6" i="7"/>
  <c r="U36" i="7"/>
  <c r="U59" i="7"/>
  <c r="U74" i="7"/>
  <c r="U91" i="7"/>
  <c r="U99" i="7"/>
  <c r="U114" i="7"/>
  <c r="U118" i="7"/>
  <c r="U121" i="7"/>
  <c r="U122" i="7"/>
  <c r="U123" i="7"/>
  <c r="U124" i="7"/>
  <c r="U129" i="7"/>
  <c r="U130" i="7"/>
  <c r="U138" i="7"/>
  <c r="U139" i="7"/>
  <c r="U146" i="7"/>
  <c r="U153" i="7"/>
  <c r="U154" i="7"/>
  <c r="U162" i="7"/>
  <c r="U169" i="7"/>
  <c r="U170" i="7"/>
  <c r="G7" i="7"/>
  <c r="G16" i="7"/>
  <c r="G46" i="7"/>
  <c r="G55" i="7"/>
  <c r="G87" i="7"/>
  <c r="G99" i="7"/>
  <c r="G104" i="7"/>
  <c r="G112" i="7"/>
  <c r="G115" i="7"/>
  <c r="G127" i="7"/>
  <c r="G128" i="7"/>
  <c r="G136" i="7"/>
  <c r="G144" i="7"/>
  <c r="G152" i="7"/>
  <c r="G160" i="7"/>
  <c r="G168" i="7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I2" i="6"/>
  <c r="F6" i="6"/>
  <c r="F2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C3" i="6"/>
  <c r="U5" i="6"/>
  <c r="U6" i="6"/>
  <c r="V6" i="6" s="1"/>
  <c r="U7" i="6"/>
  <c r="V7" i="6" s="1"/>
  <c r="U8" i="6"/>
  <c r="V8" i="6" s="1"/>
  <c r="U9" i="6"/>
  <c r="V9" i="6" s="1"/>
  <c r="U10" i="6"/>
  <c r="V10" i="6" s="1"/>
  <c r="U11" i="6"/>
  <c r="V11" i="6" s="1"/>
  <c r="U12" i="6"/>
  <c r="V12" i="6" s="1"/>
  <c r="U13" i="6"/>
  <c r="V13" i="6" s="1"/>
  <c r="U14" i="6"/>
  <c r="V14" i="6" s="1"/>
  <c r="U15" i="6"/>
  <c r="V15" i="6" s="1"/>
  <c r="U16" i="6"/>
  <c r="V16" i="6" s="1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E3" i="6"/>
  <c r="O6" i="6"/>
  <c r="O7" i="6" s="1"/>
  <c r="O8" i="6" s="1"/>
  <c r="O9" i="6" s="1"/>
  <c r="O10" i="6" s="1"/>
  <c r="O11" i="6" s="1"/>
  <c r="O12" i="6" s="1"/>
  <c r="O13" i="6" s="1"/>
  <c r="O14" i="6" s="1"/>
  <c r="O15" i="6" s="1"/>
  <c r="O16" i="6" s="1"/>
  <c r="S6" i="6"/>
  <c r="S7" i="6"/>
  <c r="S8" i="6"/>
  <c r="S9" i="6"/>
  <c r="S10" i="6"/>
  <c r="S11" i="6"/>
  <c r="S12" i="6"/>
  <c r="S13" i="6"/>
  <c r="S14" i="6"/>
  <c r="S15" i="6"/>
  <c r="S16" i="6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H15" i="6"/>
  <c r="I15" i="6"/>
  <c r="J15" i="6"/>
  <c r="H16" i="6"/>
  <c r="I16" i="6"/>
  <c r="J16" i="6"/>
  <c r="H17" i="6"/>
  <c r="I17" i="6"/>
  <c r="J17" i="6"/>
  <c r="H18" i="6"/>
  <c r="I18" i="6"/>
  <c r="J18" i="6"/>
  <c r="H19" i="6"/>
  <c r="I19" i="6"/>
  <c r="J19" i="6"/>
  <c r="H20" i="6"/>
  <c r="I20" i="6"/>
  <c r="J20" i="6"/>
  <c r="H21" i="6"/>
  <c r="I21" i="6"/>
  <c r="J21" i="6"/>
  <c r="H22" i="6"/>
  <c r="I22" i="6"/>
  <c r="J22" i="6"/>
  <c r="H23" i="6"/>
  <c r="I23" i="6"/>
  <c r="J23" i="6"/>
  <c r="H24" i="6"/>
  <c r="I24" i="6"/>
  <c r="J24" i="6"/>
  <c r="H25" i="6"/>
  <c r="I25" i="6"/>
  <c r="J25" i="6"/>
  <c r="H26" i="6"/>
  <c r="I26" i="6"/>
  <c r="J26" i="6"/>
  <c r="H27" i="6"/>
  <c r="I27" i="6"/>
  <c r="J27" i="6"/>
  <c r="H28" i="6"/>
  <c r="I28" i="6"/>
  <c r="J28" i="6"/>
  <c r="H29" i="6"/>
  <c r="I29" i="6"/>
  <c r="J29" i="6"/>
  <c r="H30" i="6"/>
  <c r="I30" i="6"/>
  <c r="J30" i="6"/>
  <c r="H31" i="6"/>
  <c r="I31" i="6"/>
  <c r="J31" i="6"/>
  <c r="H32" i="6"/>
  <c r="I32" i="6"/>
  <c r="J32" i="6"/>
  <c r="H33" i="6"/>
  <c r="I33" i="6"/>
  <c r="J33" i="6"/>
  <c r="H34" i="6"/>
  <c r="I34" i="6"/>
  <c r="J34" i="6"/>
  <c r="H35" i="6"/>
  <c r="I35" i="6"/>
  <c r="J35" i="6"/>
  <c r="H36" i="6"/>
  <c r="I36" i="6"/>
  <c r="J36" i="6"/>
  <c r="H37" i="6"/>
  <c r="I37" i="6"/>
  <c r="J37" i="6"/>
  <c r="H38" i="6"/>
  <c r="I38" i="6"/>
  <c r="J38" i="6"/>
  <c r="H39" i="6"/>
  <c r="I39" i="6"/>
  <c r="J39" i="6"/>
  <c r="H40" i="6"/>
  <c r="I40" i="6"/>
  <c r="J40" i="6"/>
  <c r="H41" i="6"/>
  <c r="I41" i="6"/>
  <c r="J41" i="6"/>
  <c r="H42" i="6"/>
  <c r="I42" i="6"/>
  <c r="J42" i="6"/>
  <c r="H43" i="6"/>
  <c r="I43" i="6"/>
  <c r="J43" i="6"/>
  <c r="H44" i="6"/>
  <c r="I44" i="6"/>
  <c r="J44" i="6"/>
  <c r="H45" i="6"/>
  <c r="I45" i="6"/>
  <c r="J45" i="6"/>
  <c r="H46" i="6"/>
  <c r="I46" i="6"/>
  <c r="J46" i="6"/>
  <c r="H47" i="6"/>
  <c r="I47" i="6"/>
  <c r="J47" i="6"/>
  <c r="H48" i="6"/>
  <c r="I48" i="6"/>
  <c r="J48" i="6"/>
  <c r="H49" i="6"/>
  <c r="I49" i="6"/>
  <c r="J49" i="6"/>
  <c r="H50" i="6"/>
  <c r="I50" i="6"/>
  <c r="J50" i="6"/>
  <c r="H51" i="6"/>
  <c r="I51" i="6"/>
  <c r="J51" i="6"/>
  <c r="H52" i="6"/>
  <c r="I52" i="6"/>
  <c r="J52" i="6"/>
  <c r="H53" i="6"/>
  <c r="I53" i="6"/>
  <c r="J53" i="6"/>
  <c r="H54" i="6"/>
  <c r="I54" i="6"/>
  <c r="J54" i="6"/>
  <c r="H55" i="6"/>
  <c r="I55" i="6"/>
  <c r="J55" i="6"/>
  <c r="H56" i="6"/>
  <c r="I56" i="6"/>
  <c r="J56" i="6"/>
  <c r="H57" i="6"/>
  <c r="I57" i="6"/>
  <c r="J57" i="6"/>
  <c r="H58" i="6"/>
  <c r="I58" i="6"/>
  <c r="J58" i="6"/>
  <c r="H59" i="6"/>
  <c r="I59" i="6"/>
  <c r="J59" i="6"/>
  <c r="H60" i="6"/>
  <c r="I60" i="6"/>
  <c r="J60" i="6"/>
  <c r="H61" i="6"/>
  <c r="I61" i="6"/>
  <c r="J61" i="6"/>
  <c r="H62" i="6"/>
  <c r="I62" i="6"/>
  <c r="J62" i="6"/>
  <c r="H63" i="6"/>
  <c r="I63" i="6"/>
  <c r="J63" i="6"/>
  <c r="H64" i="6"/>
  <c r="I64" i="6"/>
  <c r="J64" i="6"/>
  <c r="H65" i="6"/>
  <c r="I65" i="6"/>
  <c r="J65" i="6"/>
  <c r="H66" i="6"/>
  <c r="I66" i="6"/>
  <c r="J66" i="6"/>
  <c r="H67" i="6"/>
  <c r="I67" i="6"/>
  <c r="J67" i="6"/>
  <c r="H68" i="6"/>
  <c r="I68" i="6"/>
  <c r="J68" i="6"/>
  <c r="H69" i="6"/>
  <c r="I69" i="6"/>
  <c r="J69" i="6"/>
  <c r="H70" i="6"/>
  <c r="I70" i="6"/>
  <c r="J70" i="6"/>
  <c r="H71" i="6"/>
  <c r="I71" i="6"/>
  <c r="J71" i="6"/>
  <c r="H72" i="6"/>
  <c r="I72" i="6"/>
  <c r="J72" i="6"/>
  <c r="H73" i="6"/>
  <c r="I73" i="6"/>
  <c r="J73" i="6"/>
  <c r="H74" i="6"/>
  <c r="I74" i="6"/>
  <c r="J74" i="6"/>
  <c r="H75" i="6"/>
  <c r="I75" i="6"/>
  <c r="J75" i="6"/>
  <c r="H76" i="6"/>
  <c r="I76" i="6"/>
  <c r="J76" i="6"/>
  <c r="H77" i="6"/>
  <c r="I77" i="6"/>
  <c r="J77" i="6"/>
  <c r="H78" i="6"/>
  <c r="I78" i="6"/>
  <c r="J78" i="6"/>
  <c r="H79" i="6"/>
  <c r="I79" i="6"/>
  <c r="J79" i="6"/>
  <c r="H80" i="6"/>
  <c r="I80" i="6"/>
  <c r="J80" i="6"/>
  <c r="H81" i="6"/>
  <c r="I81" i="6"/>
  <c r="J81" i="6"/>
  <c r="H82" i="6"/>
  <c r="I82" i="6"/>
  <c r="J82" i="6"/>
  <c r="H83" i="6"/>
  <c r="I83" i="6"/>
  <c r="J83" i="6"/>
  <c r="H84" i="6"/>
  <c r="I84" i="6"/>
  <c r="J84" i="6"/>
  <c r="H85" i="6"/>
  <c r="I85" i="6"/>
  <c r="J85" i="6"/>
  <c r="H86" i="6"/>
  <c r="I86" i="6"/>
  <c r="J86" i="6"/>
  <c r="H87" i="6"/>
  <c r="I87" i="6"/>
  <c r="J87" i="6"/>
  <c r="H88" i="6"/>
  <c r="I88" i="6"/>
  <c r="J88" i="6"/>
  <c r="H89" i="6"/>
  <c r="I89" i="6"/>
  <c r="J89" i="6"/>
  <c r="H90" i="6"/>
  <c r="I90" i="6"/>
  <c r="J90" i="6"/>
  <c r="H91" i="6"/>
  <c r="I91" i="6"/>
  <c r="J91" i="6"/>
  <c r="H92" i="6"/>
  <c r="I92" i="6"/>
  <c r="J92" i="6"/>
  <c r="H93" i="6"/>
  <c r="I93" i="6"/>
  <c r="J93" i="6"/>
  <c r="H94" i="6"/>
  <c r="I94" i="6"/>
  <c r="J94" i="6"/>
  <c r="H95" i="6"/>
  <c r="I95" i="6"/>
  <c r="J95" i="6"/>
  <c r="H96" i="6"/>
  <c r="I96" i="6"/>
  <c r="J96" i="6"/>
  <c r="H97" i="6"/>
  <c r="I97" i="6"/>
  <c r="J97" i="6"/>
  <c r="H98" i="6"/>
  <c r="I98" i="6"/>
  <c r="J98" i="6"/>
  <c r="H99" i="6"/>
  <c r="I99" i="6"/>
  <c r="J99" i="6"/>
  <c r="H100" i="6"/>
  <c r="I100" i="6"/>
  <c r="J100" i="6"/>
  <c r="H101" i="6"/>
  <c r="I101" i="6"/>
  <c r="J101" i="6"/>
  <c r="H102" i="6"/>
  <c r="I102" i="6"/>
  <c r="J102" i="6"/>
  <c r="H103" i="6"/>
  <c r="I103" i="6"/>
  <c r="J103" i="6"/>
  <c r="H104" i="6"/>
  <c r="I104" i="6"/>
  <c r="J104" i="6"/>
  <c r="H105" i="6"/>
  <c r="I105" i="6"/>
  <c r="J105" i="6"/>
  <c r="H106" i="6"/>
  <c r="I106" i="6"/>
  <c r="J106" i="6"/>
  <c r="H107" i="6"/>
  <c r="I107" i="6"/>
  <c r="J107" i="6"/>
  <c r="H108" i="6"/>
  <c r="I108" i="6"/>
  <c r="J108" i="6"/>
  <c r="H109" i="6"/>
  <c r="I109" i="6"/>
  <c r="J109" i="6"/>
  <c r="H110" i="6"/>
  <c r="I110" i="6"/>
  <c r="J110" i="6"/>
  <c r="H111" i="6"/>
  <c r="I111" i="6"/>
  <c r="J111" i="6"/>
  <c r="H112" i="6"/>
  <c r="I112" i="6"/>
  <c r="J112" i="6"/>
  <c r="H113" i="6"/>
  <c r="I113" i="6"/>
  <c r="J113" i="6"/>
  <c r="H114" i="6"/>
  <c r="I114" i="6"/>
  <c r="J114" i="6"/>
  <c r="H115" i="6"/>
  <c r="I115" i="6"/>
  <c r="J115" i="6"/>
  <c r="H116" i="6"/>
  <c r="I116" i="6"/>
  <c r="J116" i="6"/>
  <c r="H117" i="6"/>
  <c r="I117" i="6"/>
  <c r="J117" i="6"/>
  <c r="H118" i="6"/>
  <c r="I118" i="6"/>
  <c r="J118" i="6"/>
  <c r="H119" i="6"/>
  <c r="I119" i="6"/>
  <c r="J119" i="6"/>
  <c r="H120" i="6"/>
  <c r="I120" i="6"/>
  <c r="J120" i="6"/>
  <c r="H121" i="6"/>
  <c r="I121" i="6"/>
  <c r="J121" i="6"/>
  <c r="H122" i="6"/>
  <c r="I122" i="6"/>
  <c r="J122" i="6"/>
  <c r="H123" i="6"/>
  <c r="I123" i="6"/>
  <c r="J123" i="6"/>
  <c r="H124" i="6"/>
  <c r="I124" i="6"/>
  <c r="J124" i="6"/>
  <c r="H125" i="6"/>
  <c r="I125" i="6"/>
  <c r="J125" i="6"/>
  <c r="H126" i="6"/>
  <c r="I126" i="6"/>
  <c r="J126" i="6"/>
  <c r="H127" i="6"/>
  <c r="I127" i="6"/>
  <c r="J127" i="6"/>
  <c r="H128" i="6"/>
  <c r="I128" i="6"/>
  <c r="J128" i="6"/>
  <c r="H129" i="6"/>
  <c r="I129" i="6"/>
  <c r="J129" i="6"/>
  <c r="H130" i="6"/>
  <c r="I130" i="6"/>
  <c r="J130" i="6"/>
  <c r="H131" i="6"/>
  <c r="I131" i="6"/>
  <c r="J131" i="6"/>
  <c r="H132" i="6"/>
  <c r="I132" i="6"/>
  <c r="J132" i="6"/>
  <c r="H133" i="6"/>
  <c r="I133" i="6"/>
  <c r="J133" i="6"/>
  <c r="H134" i="6"/>
  <c r="I134" i="6"/>
  <c r="J134" i="6"/>
  <c r="H135" i="6"/>
  <c r="I135" i="6"/>
  <c r="J135" i="6"/>
  <c r="H136" i="6"/>
  <c r="I136" i="6"/>
  <c r="J136" i="6"/>
  <c r="H137" i="6"/>
  <c r="I137" i="6"/>
  <c r="J137" i="6"/>
  <c r="H138" i="6"/>
  <c r="I138" i="6"/>
  <c r="J138" i="6"/>
  <c r="H139" i="6"/>
  <c r="I139" i="6"/>
  <c r="J139" i="6"/>
  <c r="H140" i="6"/>
  <c r="I140" i="6"/>
  <c r="J140" i="6"/>
  <c r="H141" i="6"/>
  <c r="I141" i="6"/>
  <c r="J141" i="6"/>
  <c r="H142" i="6"/>
  <c r="I142" i="6"/>
  <c r="J142" i="6"/>
  <c r="H143" i="6"/>
  <c r="I143" i="6"/>
  <c r="J143" i="6"/>
  <c r="H144" i="6"/>
  <c r="I144" i="6"/>
  <c r="J144" i="6"/>
  <c r="H145" i="6"/>
  <c r="I145" i="6"/>
  <c r="J145" i="6"/>
  <c r="H146" i="6"/>
  <c r="I146" i="6"/>
  <c r="J146" i="6"/>
  <c r="H147" i="6"/>
  <c r="I147" i="6"/>
  <c r="J147" i="6"/>
  <c r="H148" i="6"/>
  <c r="I148" i="6"/>
  <c r="J148" i="6"/>
  <c r="H149" i="6"/>
  <c r="I149" i="6"/>
  <c r="J149" i="6"/>
  <c r="H150" i="6"/>
  <c r="I150" i="6"/>
  <c r="J150" i="6"/>
  <c r="H151" i="6"/>
  <c r="I151" i="6"/>
  <c r="J151" i="6"/>
  <c r="H152" i="6"/>
  <c r="I152" i="6"/>
  <c r="J152" i="6"/>
  <c r="H153" i="6"/>
  <c r="I153" i="6"/>
  <c r="J153" i="6"/>
  <c r="H154" i="6"/>
  <c r="I154" i="6"/>
  <c r="J154" i="6"/>
  <c r="H155" i="6"/>
  <c r="I155" i="6"/>
  <c r="J155" i="6"/>
  <c r="H156" i="6"/>
  <c r="I156" i="6"/>
  <c r="J156" i="6"/>
  <c r="H157" i="6"/>
  <c r="I157" i="6"/>
  <c r="J157" i="6"/>
  <c r="H158" i="6"/>
  <c r="I158" i="6"/>
  <c r="J158" i="6"/>
  <c r="H159" i="6"/>
  <c r="I159" i="6"/>
  <c r="J159" i="6"/>
  <c r="H160" i="6"/>
  <c r="I160" i="6"/>
  <c r="J160" i="6"/>
  <c r="H161" i="6"/>
  <c r="I161" i="6"/>
  <c r="J161" i="6"/>
  <c r="H162" i="6"/>
  <c r="I162" i="6"/>
  <c r="J162" i="6"/>
  <c r="H163" i="6"/>
  <c r="I163" i="6"/>
  <c r="J163" i="6"/>
  <c r="H164" i="6"/>
  <c r="I164" i="6"/>
  <c r="J164" i="6"/>
  <c r="H165" i="6"/>
  <c r="I165" i="6"/>
  <c r="J165" i="6"/>
  <c r="H166" i="6"/>
  <c r="I166" i="6"/>
  <c r="J166" i="6"/>
  <c r="H167" i="6"/>
  <c r="I167" i="6"/>
  <c r="J167" i="6"/>
  <c r="H168" i="6"/>
  <c r="I168" i="6"/>
  <c r="J168" i="6"/>
  <c r="H169" i="6"/>
  <c r="I169" i="6"/>
  <c r="J169" i="6"/>
  <c r="H170" i="6"/>
  <c r="I170" i="6"/>
  <c r="J170" i="6"/>
  <c r="H171" i="6"/>
  <c r="I171" i="6"/>
  <c r="J171" i="6"/>
  <c r="H172" i="6"/>
  <c r="I172" i="6"/>
  <c r="J172" i="6"/>
  <c r="H173" i="6"/>
  <c r="I173" i="6"/>
  <c r="J173" i="6"/>
  <c r="U109" i="7" l="1"/>
  <c r="N24" i="7"/>
  <c r="AD171" i="6"/>
  <c r="AD163" i="6"/>
  <c r="AD155" i="6"/>
  <c r="AD147" i="6"/>
  <c r="AD139" i="6"/>
  <c r="AD131" i="6"/>
  <c r="AD123" i="6"/>
  <c r="AD115" i="6"/>
  <c r="AD107" i="6"/>
  <c r="AD99" i="6"/>
  <c r="AD91" i="6"/>
  <c r="AD83" i="6"/>
  <c r="AD75" i="6"/>
  <c r="AD67" i="6"/>
  <c r="AD59" i="6"/>
  <c r="AD51" i="6"/>
  <c r="AD43" i="6"/>
  <c r="AD35" i="6"/>
  <c r="AD27" i="6"/>
  <c r="AD19" i="6"/>
  <c r="AD11" i="6"/>
  <c r="U152" i="7"/>
  <c r="U161" i="7"/>
  <c r="U145" i="7"/>
  <c r="U137" i="7"/>
  <c r="U113" i="7"/>
  <c r="U157" i="7"/>
  <c r="U149" i="7"/>
  <c r="U141" i="7"/>
  <c r="U160" i="7"/>
  <c r="U144" i="7"/>
  <c r="U136" i="7"/>
  <c r="U112" i="7"/>
  <c r="N96" i="7"/>
  <c r="N72" i="7"/>
  <c r="N64" i="7"/>
  <c r="N56" i="7"/>
  <c r="N48" i="7"/>
  <c r="N32" i="7"/>
  <c r="N8" i="7"/>
  <c r="AD169" i="6"/>
  <c r="AD161" i="6"/>
  <c r="AD153" i="6"/>
  <c r="AD145" i="6"/>
  <c r="AD137" i="6"/>
  <c r="AD129" i="6"/>
  <c r="AD121" i="6"/>
  <c r="AD113" i="6"/>
  <c r="AD105" i="6"/>
  <c r="AD97" i="6"/>
  <c r="AD89" i="6"/>
  <c r="AD81" i="6"/>
  <c r="AD73" i="6"/>
  <c r="AD65" i="6"/>
  <c r="AD57" i="6"/>
  <c r="AD49" i="6"/>
  <c r="AD41" i="6"/>
  <c r="AD33" i="6"/>
  <c r="AD25" i="6"/>
  <c r="AD17" i="6"/>
  <c r="AD9" i="6"/>
  <c r="U87" i="7"/>
  <c r="U79" i="7"/>
  <c r="U71" i="7"/>
  <c r="U55" i="7"/>
  <c r="U47" i="7"/>
  <c r="U31" i="7"/>
  <c r="U23" i="7"/>
  <c r="U7" i="7"/>
  <c r="U104" i="7"/>
  <c r="G5" i="7"/>
  <c r="U101" i="7"/>
  <c r="U93" i="7"/>
  <c r="U85" i="7"/>
  <c r="U77" i="7"/>
  <c r="U69" i="7"/>
  <c r="U61" i="7"/>
  <c r="U53" i="7"/>
  <c r="U45" i="7"/>
  <c r="U37" i="7"/>
  <c r="U29" i="7"/>
  <c r="U21" i="7"/>
  <c r="U13" i="7"/>
  <c r="U5" i="7"/>
  <c r="N165" i="7"/>
  <c r="N157" i="7"/>
  <c r="N149" i="7"/>
  <c r="N141" i="7"/>
  <c r="N133" i="7"/>
  <c r="N125" i="7"/>
  <c r="N117" i="7"/>
  <c r="N109" i="7"/>
  <c r="N69" i="7"/>
  <c r="N21" i="7"/>
  <c r="G88" i="7"/>
  <c r="G80" i="7"/>
  <c r="U43" i="7"/>
  <c r="U35" i="7"/>
  <c r="U27" i="7"/>
  <c r="U19" i="7"/>
  <c r="U11" i="7"/>
  <c r="U3" i="7"/>
  <c r="U52" i="7"/>
  <c r="U28" i="7"/>
  <c r="G76" i="7"/>
  <c r="U98" i="7"/>
  <c r="U90" i="7"/>
  <c r="U82" i="7"/>
  <c r="U66" i="7"/>
  <c r="U58" i="7"/>
  <c r="U50" i="7"/>
  <c r="U34" i="7"/>
  <c r="U26" i="7"/>
  <c r="U18" i="7"/>
  <c r="U10" i="7"/>
  <c r="N3" i="7"/>
  <c r="U100" i="7"/>
  <c r="U84" i="7"/>
  <c r="U76" i="7"/>
  <c r="U60" i="7"/>
  <c r="U44" i="7"/>
  <c r="U20" i="7"/>
  <c r="U12" i="7"/>
  <c r="U4" i="7"/>
  <c r="N163" i="7"/>
  <c r="N155" i="7"/>
  <c r="N147" i="7"/>
  <c r="N139" i="7"/>
  <c r="N131" i="7"/>
  <c r="N123" i="7"/>
  <c r="N115" i="7"/>
  <c r="N107" i="7"/>
  <c r="N99" i="7"/>
  <c r="N91" i="7"/>
  <c r="N75" i="7"/>
  <c r="N67" i="7"/>
  <c r="N59" i="7"/>
  <c r="N51" i="7"/>
  <c r="N43" i="7"/>
  <c r="N35" i="7"/>
  <c r="N27" i="7"/>
  <c r="N19" i="7"/>
  <c r="N11" i="7"/>
  <c r="G60" i="7"/>
  <c r="G44" i="7"/>
  <c r="G36" i="7"/>
  <c r="G28" i="7"/>
  <c r="G20" i="7"/>
  <c r="G4" i="7"/>
  <c r="N74" i="7"/>
  <c r="N66" i="7"/>
  <c r="N50" i="7"/>
  <c r="N42" i="7"/>
  <c r="N18" i="7"/>
  <c r="N10" i="7"/>
  <c r="G151" i="7"/>
  <c r="G123" i="7"/>
  <c r="G119" i="7"/>
  <c r="G83" i="7"/>
  <c r="G79" i="7"/>
  <c r="G63" i="7"/>
  <c r="G51" i="7"/>
  <c r="G47" i="7"/>
  <c r="G31" i="7"/>
  <c r="G19" i="7"/>
  <c r="G11" i="7"/>
  <c r="U105" i="7"/>
  <c r="U97" i="7"/>
  <c r="U89" i="7"/>
  <c r="U81" i="7"/>
  <c r="U73" i="7"/>
  <c r="U57" i="7"/>
  <c r="U49" i="7"/>
  <c r="U33" i="7"/>
  <c r="U25" i="7"/>
  <c r="U9" i="7"/>
  <c r="N168" i="7"/>
  <c r="N136" i="7"/>
  <c r="U96" i="7"/>
  <c r="U88" i="7"/>
  <c r="U80" i="7"/>
  <c r="U72" i="7"/>
  <c r="U56" i="7"/>
  <c r="U48" i="7"/>
  <c r="U40" i="7"/>
  <c r="U32" i="7"/>
  <c r="U24" i="7"/>
  <c r="U16" i="7"/>
  <c r="U8" i="7"/>
  <c r="N167" i="7"/>
  <c r="N159" i="7"/>
  <c r="N151" i="7"/>
  <c r="N143" i="7"/>
  <c r="N135" i="7"/>
  <c r="N127" i="7"/>
  <c r="N111" i="7"/>
  <c r="N103" i="7"/>
  <c r="N95" i="7"/>
  <c r="N87" i="7"/>
  <c r="N79" i="7"/>
  <c r="N71" i="7"/>
  <c r="N63" i="7"/>
  <c r="N55" i="7"/>
  <c r="N47" i="7"/>
  <c r="N39" i="7"/>
  <c r="N31" i="7"/>
  <c r="N23" i="7"/>
  <c r="N15" i="7"/>
  <c r="N7" i="7"/>
  <c r="G6" i="7"/>
  <c r="U78" i="7"/>
  <c r="U70" i="7"/>
  <c r="U54" i="7"/>
  <c r="U46" i="7"/>
  <c r="U30" i="7"/>
  <c r="U22" i="7"/>
  <c r="N94" i="7"/>
  <c r="N46" i="7"/>
  <c r="N14" i="7"/>
  <c r="N6" i="7"/>
  <c r="G169" i="7"/>
  <c r="G165" i="7"/>
  <c r="G161" i="7"/>
  <c r="G157" i="7"/>
  <c r="G153" i="7"/>
  <c r="G149" i="7"/>
  <c r="G133" i="7"/>
  <c r="G129" i="7"/>
  <c r="G125" i="7"/>
  <c r="G121" i="7"/>
  <c r="G117" i="7"/>
  <c r="G113" i="7"/>
  <c r="G89" i="7"/>
  <c r="G85" i="7"/>
  <c r="G81" i="7"/>
  <c r="G77" i="7"/>
  <c r="G73" i="7"/>
  <c r="G69" i="7"/>
  <c r="G65" i="7"/>
  <c r="G61" i="7"/>
  <c r="G53" i="7"/>
  <c r="G49" i="7"/>
  <c r="G45" i="7"/>
  <c r="G41" i="7"/>
  <c r="G37" i="7"/>
  <c r="G29" i="7"/>
  <c r="G25" i="7"/>
  <c r="G21" i="7"/>
  <c r="G17" i="7"/>
  <c r="G13" i="7"/>
  <c r="G9" i="7"/>
  <c r="AD170" i="6"/>
  <c r="AD162" i="6"/>
  <c r="AD154" i="6"/>
  <c r="AD146" i="6"/>
  <c r="AD138" i="6"/>
  <c r="AD130" i="6"/>
  <c r="AD122" i="6"/>
  <c r="AD114" i="6"/>
  <c r="AD106" i="6"/>
  <c r="AD98" i="6"/>
  <c r="AD90" i="6"/>
  <c r="AD82" i="6"/>
  <c r="AD74" i="6"/>
  <c r="AD66" i="6"/>
  <c r="AD58" i="6"/>
  <c r="AD50" i="6"/>
  <c r="AD42" i="6"/>
  <c r="AD34" i="6"/>
  <c r="AD26" i="6"/>
  <c r="AD18" i="6"/>
  <c r="AD10" i="6"/>
  <c r="AD167" i="6"/>
  <c r="AD159" i="6"/>
  <c r="AD151" i="6"/>
  <c r="AD143" i="6"/>
  <c r="AD135" i="6"/>
  <c r="AD127" i="6"/>
  <c r="AD119" i="6"/>
  <c r="AD111" i="6"/>
  <c r="AD103" i="6"/>
  <c r="AD95" i="6"/>
  <c r="AD87" i="6"/>
  <c r="AD79" i="6"/>
  <c r="AD71" i="6"/>
  <c r="AD63" i="6"/>
  <c r="AD55" i="6"/>
  <c r="AD47" i="6"/>
  <c r="AD39" i="6"/>
  <c r="AD31" i="6"/>
  <c r="AD23" i="6"/>
  <c r="AD15" i="6"/>
  <c r="AD173" i="6"/>
  <c r="AD165" i="6"/>
  <c r="AD157" i="6"/>
  <c r="AD149" i="6"/>
  <c r="AD141" i="6"/>
  <c r="AD133" i="6"/>
  <c r="AD125" i="6"/>
  <c r="AD117" i="6"/>
  <c r="AD109" i="6"/>
  <c r="AD101" i="6"/>
  <c r="AD93" i="6"/>
  <c r="AD85" i="6"/>
  <c r="AD77" i="6"/>
  <c r="AD69" i="6"/>
  <c r="AD61" i="6"/>
  <c r="AD53" i="6"/>
  <c r="AD45" i="6"/>
  <c r="AD37" i="6"/>
  <c r="AD29" i="6"/>
  <c r="AD21" i="6"/>
  <c r="AD13" i="6"/>
  <c r="AD168" i="6"/>
  <c r="AD160" i="6"/>
  <c r="AD152" i="6"/>
  <c r="AD144" i="6"/>
  <c r="AD136" i="6"/>
  <c r="AD128" i="6"/>
  <c r="AD120" i="6"/>
  <c r="AD112" i="6"/>
  <c r="G161" i="6"/>
  <c r="G153" i="6"/>
  <c r="G145" i="6"/>
  <c r="G137" i="6"/>
  <c r="G129" i="6"/>
  <c r="G121" i="6"/>
  <c r="G113" i="6"/>
  <c r="G97" i="6"/>
  <c r="G89" i="6"/>
  <c r="G81" i="6"/>
  <c r="G73" i="6"/>
  <c r="G65" i="6"/>
  <c r="G57" i="6"/>
  <c r="G49" i="6"/>
  <c r="G17" i="6"/>
  <c r="AD166" i="6"/>
  <c r="AD158" i="6"/>
  <c r="AD150" i="6"/>
  <c r="AD142" i="6"/>
  <c r="AD134" i="6"/>
  <c r="AD126" i="6"/>
  <c r="AD118" i="6"/>
  <c r="AD110" i="6"/>
  <c r="AD102" i="6"/>
  <c r="AD94" i="6"/>
  <c r="AD86" i="6"/>
  <c r="AD78" i="6"/>
  <c r="AD70" i="6"/>
  <c r="AD62" i="6"/>
  <c r="AD54" i="6"/>
  <c r="AD46" i="6"/>
  <c r="AD38" i="6"/>
  <c r="AD30" i="6"/>
  <c r="AD22" i="6"/>
  <c r="AD14" i="6"/>
  <c r="AD6" i="6"/>
  <c r="G135" i="6"/>
  <c r="G119" i="6"/>
  <c r="U64" i="7"/>
  <c r="G96" i="7"/>
  <c r="G72" i="7"/>
  <c r="G64" i="7"/>
  <c r="G56" i="7"/>
  <c r="N68" i="7"/>
  <c r="N52" i="7"/>
  <c r="N20" i="7"/>
  <c r="N4" i="7"/>
  <c r="G84" i="7"/>
  <c r="G52" i="7"/>
  <c r="U158" i="7"/>
  <c r="U150" i="7"/>
  <c r="U142" i="7"/>
  <c r="U102" i="7"/>
  <c r="U94" i="7"/>
  <c r="U86" i="7"/>
  <c r="U62" i="7"/>
  <c r="U38" i="7"/>
  <c r="U14" i="7"/>
  <c r="U143" i="7"/>
  <c r="U135" i="7"/>
  <c r="U111" i="7"/>
  <c r="U103" i="7"/>
  <c r="U95" i="7"/>
  <c r="U63" i="7"/>
  <c r="U39" i="7"/>
  <c r="U15" i="7"/>
  <c r="N98" i="7"/>
  <c r="U156" i="7"/>
  <c r="U148" i="7"/>
  <c r="U116" i="7"/>
  <c r="U92" i="7"/>
  <c r="U68" i="7"/>
  <c r="U65" i="7"/>
  <c r="U41" i="7"/>
  <c r="U17" i="7"/>
  <c r="U106" i="7"/>
  <c r="U42" i="7"/>
  <c r="N101" i="7"/>
  <c r="N93" i="7"/>
  <c r="N85" i="7"/>
  <c r="N77" i="7"/>
  <c r="N61" i="7"/>
  <c r="N53" i="7"/>
  <c r="N45" i="7"/>
  <c r="N37" i="7"/>
  <c r="N29" i="7"/>
  <c r="N13" i="7"/>
  <c r="N5" i="7"/>
  <c r="AD7" i="6"/>
  <c r="AD104" i="6"/>
  <c r="AD96" i="6"/>
  <c r="AD88" i="6"/>
  <c r="AD80" i="6"/>
  <c r="AD72" i="6"/>
  <c r="AD64" i="6"/>
  <c r="AD56" i="6"/>
  <c r="AD48" i="6"/>
  <c r="AD40" i="6"/>
  <c r="AD32" i="6"/>
  <c r="AD24" i="6"/>
  <c r="AD16" i="6"/>
  <c r="AD8" i="6"/>
  <c r="G165" i="6"/>
  <c r="AD172" i="6"/>
  <c r="AD164" i="6"/>
  <c r="AD156" i="6"/>
  <c r="AD148" i="6"/>
  <c r="AD140" i="6"/>
  <c r="AD132" i="6"/>
  <c r="AD124" i="6"/>
  <c r="AD116" i="6"/>
  <c r="AD108" i="6"/>
  <c r="AD100" i="6"/>
  <c r="AD92" i="6"/>
  <c r="AD84" i="6"/>
  <c r="AD76" i="6"/>
  <c r="AD68" i="6"/>
  <c r="AD60" i="6"/>
  <c r="AD52" i="6"/>
  <c r="AD44" i="6"/>
  <c r="AD36" i="6"/>
  <c r="AD28" i="6"/>
  <c r="AD20" i="6"/>
  <c r="AD12" i="6"/>
  <c r="N80" i="7"/>
  <c r="N16" i="7"/>
  <c r="U140" i="7"/>
  <c r="U108" i="7"/>
  <c r="N102" i="7"/>
  <c r="N78" i="7"/>
  <c r="N62" i="7"/>
  <c r="N54" i="7"/>
  <c r="N104" i="7"/>
  <c r="N88" i="7"/>
  <c r="N105" i="7"/>
  <c r="N97" i="7"/>
  <c r="N89" i="7"/>
  <c r="N81" i="7"/>
  <c r="N73" i="7"/>
  <c r="N65" i="7"/>
  <c r="N57" i="7"/>
  <c r="N49" i="7"/>
  <c r="N41" i="7"/>
  <c r="N33" i="7"/>
  <c r="N25" i="7"/>
  <c r="N17" i="7"/>
  <c r="N9" i="7"/>
  <c r="L166" i="6"/>
  <c r="M166" i="6" s="1"/>
  <c r="L158" i="6"/>
  <c r="M158" i="6" s="1"/>
  <c r="L150" i="6"/>
  <c r="M150" i="6" s="1"/>
  <c r="L142" i="6"/>
  <c r="M142" i="6" s="1"/>
  <c r="L134" i="6"/>
  <c r="M134" i="6" s="1"/>
  <c r="L126" i="6"/>
  <c r="M126" i="6" s="1"/>
  <c r="L118" i="6"/>
  <c r="M118" i="6" s="1"/>
  <c r="L110" i="6"/>
  <c r="M110" i="6" s="1"/>
  <c r="L102" i="6"/>
  <c r="M102" i="6" s="1"/>
  <c r="L94" i="6"/>
  <c r="M94" i="6" s="1"/>
  <c r="L86" i="6"/>
  <c r="M86" i="6" s="1"/>
  <c r="L78" i="6"/>
  <c r="M78" i="6" s="1"/>
  <c r="L70" i="6"/>
  <c r="M70" i="6" s="1"/>
  <c r="L62" i="6"/>
  <c r="M62" i="6" s="1"/>
  <c r="L54" i="6"/>
  <c r="M54" i="6" s="1"/>
  <c r="L46" i="6"/>
  <c r="M46" i="6" s="1"/>
  <c r="L38" i="6"/>
  <c r="M38" i="6" s="1"/>
  <c r="L30" i="6"/>
  <c r="M30" i="6" s="1"/>
  <c r="L22" i="6"/>
  <c r="M22" i="6" s="1"/>
  <c r="N86" i="7"/>
  <c r="N70" i="7"/>
  <c r="N38" i="7"/>
  <c r="N22" i="7"/>
  <c r="L168" i="6"/>
  <c r="M168" i="6" s="1"/>
  <c r="L160" i="6"/>
  <c r="M160" i="6" s="1"/>
  <c r="L136" i="6"/>
  <c r="M136" i="6" s="1"/>
  <c r="L128" i="6"/>
  <c r="M128" i="6" s="1"/>
  <c r="L120" i="6"/>
  <c r="M120" i="6" s="1"/>
  <c r="G120" i="7"/>
  <c r="G40" i="7"/>
  <c r="G32" i="7"/>
  <c r="G24" i="7"/>
  <c r="G8" i="7"/>
  <c r="G12" i="7"/>
  <c r="L167" i="6"/>
  <c r="M167" i="6" s="1"/>
  <c r="L159" i="6"/>
  <c r="M159" i="6" s="1"/>
  <c r="L151" i="6"/>
  <c r="M151" i="6" s="1"/>
  <c r="L143" i="6"/>
  <c r="M143" i="6" s="1"/>
  <c r="L135" i="6"/>
  <c r="M135" i="6" s="1"/>
  <c r="L127" i="6"/>
  <c r="M127" i="6" s="1"/>
  <c r="L119" i="6"/>
  <c r="M119" i="6" s="1"/>
  <c r="L111" i="6"/>
  <c r="M111" i="6" s="1"/>
  <c r="L103" i="6"/>
  <c r="M103" i="6" s="1"/>
  <c r="L95" i="6"/>
  <c r="M95" i="6" s="1"/>
  <c r="L87" i="6"/>
  <c r="M87" i="6" s="1"/>
  <c r="L79" i="6"/>
  <c r="M79" i="6" s="1"/>
  <c r="L71" i="6"/>
  <c r="M71" i="6" s="1"/>
  <c r="L63" i="6"/>
  <c r="M63" i="6" s="1"/>
  <c r="L55" i="6"/>
  <c r="M55" i="6" s="1"/>
  <c r="L47" i="6"/>
  <c r="M47" i="6" s="1"/>
  <c r="L39" i="6"/>
  <c r="M39" i="6" s="1"/>
  <c r="L31" i="6"/>
  <c r="M31" i="6" s="1"/>
  <c r="L23" i="6"/>
  <c r="M23" i="6" s="1"/>
  <c r="L7" i="6"/>
  <c r="M7" i="6" s="1"/>
  <c r="L6" i="6"/>
  <c r="L112" i="6"/>
  <c r="M112" i="6" s="1"/>
  <c r="L173" i="6"/>
  <c r="M173" i="6" s="1"/>
  <c r="L165" i="6"/>
  <c r="M165" i="6" s="1"/>
  <c r="L157" i="6"/>
  <c r="M157" i="6" s="1"/>
  <c r="L149" i="6"/>
  <c r="M149" i="6" s="1"/>
  <c r="L125" i="6"/>
  <c r="M125" i="6" s="1"/>
  <c r="L117" i="6"/>
  <c r="M117" i="6" s="1"/>
  <c r="L109" i="6"/>
  <c r="M109" i="6" s="1"/>
  <c r="L101" i="6"/>
  <c r="M101" i="6" s="1"/>
  <c r="L93" i="6"/>
  <c r="M93" i="6" s="1"/>
  <c r="L85" i="6"/>
  <c r="M85" i="6" s="1"/>
  <c r="L77" i="6"/>
  <c r="M77" i="6" s="1"/>
  <c r="L69" i="6"/>
  <c r="M69" i="6" s="1"/>
  <c r="L61" i="6"/>
  <c r="M61" i="6" s="1"/>
  <c r="L53" i="6"/>
  <c r="M53" i="6" s="1"/>
  <c r="L45" i="6"/>
  <c r="M45" i="6" s="1"/>
  <c r="L37" i="6"/>
  <c r="M37" i="6" s="1"/>
  <c r="L29" i="6"/>
  <c r="M29" i="6" s="1"/>
  <c r="L21" i="6"/>
  <c r="M21" i="6" s="1"/>
  <c r="L14" i="6"/>
  <c r="M14" i="6" s="1"/>
  <c r="L171" i="6"/>
  <c r="M171" i="6" s="1"/>
  <c r="L163" i="6"/>
  <c r="M163" i="6" s="1"/>
  <c r="L155" i="6"/>
  <c r="M155" i="6" s="1"/>
  <c r="L147" i="6"/>
  <c r="M147" i="6" s="1"/>
  <c r="L139" i="6"/>
  <c r="M139" i="6" s="1"/>
  <c r="L131" i="6"/>
  <c r="M131" i="6" s="1"/>
  <c r="L123" i="6"/>
  <c r="M123" i="6" s="1"/>
  <c r="L115" i="6"/>
  <c r="M115" i="6" s="1"/>
  <c r="L107" i="6"/>
  <c r="M107" i="6" s="1"/>
  <c r="L99" i="6"/>
  <c r="M99" i="6" s="1"/>
  <c r="L91" i="6"/>
  <c r="M91" i="6" s="1"/>
  <c r="L83" i="6"/>
  <c r="M83" i="6" s="1"/>
  <c r="L75" i="6"/>
  <c r="M75" i="6" s="1"/>
  <c r="L67" i="6"/>
  <c r="M67" i="6" s="1"/>
  <c r="L59" i="6"/>
  <c r="M59" i="6" s="1"/>
  <c r="L51" i="6"/>
  <c r="M51" i="6" s="1"/>
  <c r="L43" i="6"/>
  <c r="M43" i="6" s="1"/>
  <c r="L35" i="6"/>
  <c r="M35" i="6" s="1"/>
  <c r="L27" i="6"/>
  <c r="M27" i="6" s="1"/>
  <c r="L19" i="6"/>
  <c r="M19" i="6" s="1"/>
  <c r="L11" i="6"/>
  <c r="M11" i="6" s="1"/>
  <c r="L152" i="6"/>
  <c r="M152" i="6" s="1"/>
  <c r="L144" i="6"/>
  <c r="M144" i="6" s="1"/>
  <c r="L104" i="6"/>
  <c r="M104" i="6" s="1"/>
  <c r="L96" i="6"/>
  <c r="M96" i="6" s="1"/>
  <c r="L88" i="6"/>
  <c r="M88" i="6" s="1"/>
  <c r="L80" i="6"/>
  <c r="M80" i="6" s="1"/>
  <c r="L72" i="6"/>
  <c r="M72" i="6" s="1"/>
  <c r="L64" i="6"/>
  <c r="M64" i="6" s="1"/>
  <c r="L56" i="6"/>
  <c r="M56" i="6" s="1"/>
  <c r="L48" i="6"/>
  <c r="M48" i="6" s="1"/>
  <c r="L40" i="6"/>
  <c r="M40" i="6" s="1"/>
  <c r="L32" i="6"/>
  <c r="M32" i="6" s="1"/>
  <c r="L24" i="6"/>
  <c r="M24" i="6" s="1"/>
  <c r="L16" i="6"/>
  <c r="M16" i="6" s="1"/>
  <c r="L8" i="6"/>
  <c r="M8" i="6" s="1"/>
  <c r="L141" i="6"/>
  <c r="M141" i="6" s="1"/>
  <c r="L133" i="6"/>
  <c r="M133" i="6" s="1"/>
  <c r="L13" i="6"/>
  <c r="M13" i="6" s="1"/>
  <c r="L170" i="6"/>
  <c r="M170" i="6" s="1"/>
  <c r="L162" i="6"/>
  <c r="M162" i="6" s="1"/>
  <c r="L154" i="6"/>
  <c r="M154" i="6" s="1"/>
  <c r="L146" i="6"/>
  <c r="M146" i="6" s="1"/>
  <c r="L138" i="6"/>
  <c r="M138" i="6" s="1"/>
  <c r="L130" i="6"/>
  <c r="M130" i="6" s="1"/>
  <c r="L122" i="6"/>
  <c r="M122" i="6" s="1"/>
  <c r="L114" i="6"/>
  <c r="M114" i="6" s="1"/>
  <c r="L106" i="6"/>
  <c r="M106" i="6" s="1"/>
  <c r="L98" i="6"/>
  <c r="M98" i="6" s="1"/>
  <c r="L90" i="6"/>
  <c r="M90" i="6" s="1"/>
  <c r="L82" i="6"/>
  <c r="M82" i="6" s="1"/>
  <c r="L74" i="6"/>
  <c r="M74" i="6" s="1"/>
  <c r="L66" i="6"/>
  <c r="M66" i="6" s="1"/>
  <c r="L58" i="6"/>
  <c r="M58" i="6" s="1"/>
  <c r="L50" i="6"/>
  <c r="M50" i="6" s="1"/>
  <c r="L42" i="6"/>
  <c r="M42" i="6" s="1"/>
  <c r="L34" i="6"/>
  <c r="M34" i="6" s="1"/>
  <c r="L26" i="6"/>
  <c r="M26" i="6" s="1"/>
  <c r="L18" i="6"/>
  <c r="M18" i="6" s="1"/>
  <c r="L10" i="6"/>
  <c r="M10" i="6" s="1"/>
  <c r="L15" i="6"/>
  <c r="M15" i="6" s="1"/>
  <c r="L172" i="6"/>
  <c r="M172" i="6" s="1"/>
  <c r="L164" i="6"/>
  <c r="M164" i="6" s="1"/>
  <c r="L156" i="6"/>
  <c r="M156" i="6" s="1"/>
  <c r="L148" i="6"/>
  <c r="M148" i="6" s="1"/>
  <c r="L140" i="6"/>
  <c r="M140" i="6" s="1"/>
  <c r="L132" i="6"/>
  <c r="M132" i="6" s="1"/>
  <c r="L124" i="6"/>
  <c r="M124" i="6" s="1"/>
  <c r="L116" i="6"/>
  <c r="M116" i="6" s="1"/>
  <c r="L108" i="6"/>
  <c r="M108" i="6" s="1"/>
  <c r="L100" i="6"/>
  <c r="M100" i="6" s="1"/>
  <c r="L92" i="6"/>
  <c r="M92" i="6" s="1"/>
  <c r="L84" i="6"/>
  <c r="M84" i="6" s="1"/>
  <c r="L76" i="6"/>
  <c r="M76" i="6" s="1"/>
  <c r="L68" i="6"/>
  <c r="M68" i="6" s="1"/>
  <c r="L60" i="6"/>
  <c r="M60" i="6" s="1"/>
  <c r="L52" i="6"/>
  <c r="M52" i="6" s="1"/>
  <c r="L44" i="6"/>
  <c r="M44" i="6" s="1"/>
  <c r="L36" i="6"/>
  <c r="M36" i="6" s="1"/>
  <c r="L28" i="6"/>
  <c r="M28" i="6" s="1"/>
  <c r="L20" i="6"/>
  <c r="M20" i="6" s="1"/>
  <c r="L12" i="6"/>
  <c r="M12" i="6" s="1"/>
  <c r="L169" i="6"/>
  <c r="M169" i="6" s="1"/>
  <c r="L161" i="6"/>
  <c r="M161" i="6" s="1"/>
  <c r="L153" i="6"/>
  <c r="M153" i="6" s="1"/>
  <c r="L145" i="6"/>
  <c r="M145" i="6" s="1"/>
  <c r="L137" i="6"/>
  <c r="M137" i="6" s="1"/>
  <c r="L129" i="6"/>
  <c r="M129" i="6" s="1"/>
  <c r="L121" i="6"/>
  <c r="M121" i="6" s="1"/>
  <c r="L113" i="6"/>
  <c r="M113" i="6" s="1"/>
  <c r="L105" i="6"/>
  <c r="M105" i="6" s="1"/>
  <c r="L97" i="6"/>
  <c r="M97" i="6" s="1"/>
  <c r="L89" i="6"/>
  <c r="M89" i="6" s="1"/>
  <c r="L81" i="6"/>
  <c r="M81" i="6" s="1"/>
  <c r="L73" i="6"/>
  <c r="M73" i="6" s="1"/>
  <c r="L65" i="6"/>
  <c r="M65" i="6" s="1"/>
  <c r="L57" i="6"/>
  <c r="M57" i="6" s="1"/>
  <c r="L49" i="6"/>
  <c r="M49" i="6" s="1"/>
  <c r="L41" i="6"/>
  <c r="M41" i="6" s="1"/>
  <c r="L33" i="6"/>
  <c r="M33" i="6" s="1"/>
  <c r="L25" i="6"/>
  <c r="M25" i="6" s="1"/>
  <c r="L17" i="6"/>
  <c r="M17" i="6" s="1"/>
  <c r="L9" i="6"/>
  <c r="M9" i="6" s="1"/>
  <c r="G61" i="6"/>
  <c r="G172" i="6"/>
  <c r="G164" i="6"/>
  <c r="G148" i="6"/>
  <c r="G140" i="6"/>
  <c r="G132" i="6"/>
  <c r="G124" i="6"/>
  <c r="G116" i="6"/>
  <c r="G108" i="6"/>
  <c r="G100" i="6"/>
  <c r="G84" i="6"/>
  <c r="G76" i="6"/>
  <c r="G68" i="6"/>
  <c r="G60" i="6"/>
  <c r="G52" i="6"/>
  <c r="G44" i="6"/>
  <c r="G36" i="6"/>
  <c r="G157" i="6"/>
  <c r="G123" i="6"/>
  <c r="G51" i="6"/>
  <c r="G27" i="6"/>
  <c r="G111" i="6"/>
  <c r="G25" i="6"/>
  <c r="G167" i="6"/>
  <c r="G151" i="6"/>
  <c r="G127" i="6"/>
  <c r="G95" i="6"/>
  <c r="G87" i="6"/>
  <c r="G55" i="6"/>
  <c r="G133" i="6"/>
  <c r="G93" i="6"/>
  <c r="G7" i="6"/>
  <c r="G75" i="6"/>
  <c r="G35" i="6"/>
  <c r="G171" i="6"/>
  <c r="G155" i="6"/>
  <c r="G147" i="6"/>
  <c r="G139" i="6"/>
  <c r="G115" i="6"/>
  <c r="G107" i="6"/>
  <c r="G91" i="6"/>
  <c r="G83" i="6"/>
  <c r="G43" i="6"/>
  <c r="G19" i="6"/>
  <c r="G11" i="6"/>
  <c r="G31" i="6"/>
  <c r="G170" i="6"/>
  <c r="G162" i="6"/>
  <c r="G154" i="6"/>
  <c r="G146" i="6"/>
  <c r="G138" i="6"/>
  <c r="G130" i="6"/>
  <c r="G122" i="6"/>
  <c r="G114" i="6"/>
  <c r="G106" i="6"/>
  <c r="G98" i="6"/>
  <c r="G90" i="6"/>
  <c r="G82" i="6"/>
  <c r="G74" i="6"/>
  <c r="G66" i="6"/>
  <c r="G168" i="6"/>
  <c r="G160" i="6"/>
  <c r="G163" i="6"/>
  <c r="G141" i="6"/>
  <c r="G103" i="6"/>
  <c r="G63" i="6"/>
  <c r="G47" i="6"/>
  <c r="G23" i="6"/>
  <c r="G159" i="6"/>
  <c r="G99" i="6"/>
  <c r="G77" i="6"/>
  <c r="G39" i="6"/>
  <c r="G173" i="6"/>
  <c r="G149" i="6"/>
  <c r="G125" i="6"/>
  <c r="G109" i="6"/>
  <c r="G101" i="6"/>
  <c r="G85" i="6"/>
  <c r="G69" i="6"/>
  <c r="G37" i="6"/>
  <c r="G29" i="6"/>
  <c r="G21" i="6"/>
  <c r="G13" i="6"/>
  <c r="G58" i="6"/>
  <c r="G50" i="6"/>
  <c r="G42" i="6"/>
  <c r="G34" i="6"/>
  <c r="G26" i="6"/>
  <c r="G18" i="6"/>
  <c r="G10" i="6"/>
  <c r="G6" i="6"/>
  <c r="G169" i="6"/>
  <c r="G156" i="6"/>
  <c r="G143" i="6"/>
  <c r="G131" i="6"/>
  <c r="G117" i="6"/>
  <c r="G105" i="6"/>
  <c r="G92" i="6"/>
  <c r="G79" i="6"/>
  <c r="G67" i="6"/>
  <c r="G53" i="6"/>
  <c r="G41" i="6"/>
  <c r="G28" i="6"/>
  <c r="G15" i="6"/>
  <c r="G12" i="6"/>
  <c r="G152" i="6"/>
  <c r="G144" i="6"/>
  <c r="G136" i="6"/>
  <c r="G128" i="6"/>
  <c r="G120" i="6"/>
  <c r="G112" i="6"/>
  <c r="G104" i="6"/>
  <c r="G96" i="6"/>
  <c r="G88" i="6"/>
  <c r="G80" i="6"/>
  <c r="G72" i="6"/>
  <c r="G64" i="6"/>
  <c r="G56" i="6"/>
  <c r="G48" i="6"/>
  <c r="G40" i="6"/>
  <c r="G32" i="6"/>
  <c r="G24" i="6"/>
  <c r="G16" i="6"/>
  <c r="G8" i="6"/>
  <c r="G9" i="6"/>
  <c r="G71" i="6"/>
  <c r="G59" i="6"/>
  <c r="G45" i="6"/>
  <c r="G33" i="6"/>
  <c r="G20" i="6"/>
  <c r="G166" i="6"/>
  <c r="G158" i="6"/>
  <c r="G150" i="6"/>
  <c r="G142" i="6"/>
  <c r="G134" i="6"/>
  <c r="G126" i="6"/>
  <c r="G118" i="6"/>
  <c r="G110" i="6"/>
  <c r="G102" i="6"/>
  <c r="G94" i="6"/>
  <c r="G86" i="6"/>
  <c r="G78" i="6"/>
  <c r="G70" i="6"/>
  <c r="G62" i="6"/>
  <c r="G54" i="6"/>
  <c r="G46" i="6"/>
  <c r="G38" i="6"/>
  <c r="G30" i="6"/>
  <c r="G22" i="6"/>
  <c r="G14" i="6"/>
  <c r="F3" i="6"/>
  <c r="R3" i="6"/>
  <c r="S2" i="6"/>
  <c r="T7" i="6" s="1"/>
  <c r="P3" i="6"/>
  <c r="Q3" i="6"/>
  <c r="O17" i="6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I3" i="6" l="1"/>
  <c r="M3" i="6" s="1"/>
  <c r="M6" i="6"/>
  <c r="T6" i="6"/>
  <c r="T166" i="6"/>
  <c r="T158" i="6"/>
  <c r="T150" i="6"/>
  <c r="T142" i="6"/>
  <c r="T134" i="6"/>
  <c r="T126" i="6"/>
  <c r="T118" i="6"/>
  <c r="T110" i="6"/>
  <c r="T102" i="6"/>
  <c r="T94" i="6"/>
  <c r="T86" i="6"/>
  <c r="T78" i="6"/>
  <c r="T70" i="6"/>
  <c r="T62" i="6"/>
  <c r="T54" i="6"/>
  <c r="T46" i="6"/>
  <c r="T38" i="6"/>
  <c r="T30" i="6"/>
  <c r="T22" i="6"/>
  <c r="T172" i="6"/>
  <c r="T164" i="6"/>
  <c r="T156" i="6"/>
  <c r="T148" i="6"/>
  <c r="T140" i="6"/>
  <c r="T132" i="6"/>
  <c r="T124" i="6"/>
  <c r="T116" i="6"/>
  <c r="T108" i="6"/>
  <c r="T100" i="6"/>
  <c r="T92" i="6"/>
  <c r="T84" i="6"/>
  <c r="T76" i="6"/>
  <c r="T68" i="6"/>
  <c r="T60" i="6"/>
  <c r="T52" i="6"/>
  <c r="T44" i="6"/>
  <c r="T36" i="6"/>
  <c r="T28" i="6"/>
  <c r="T20" i="6"/>
  <c r="T163" i="6"/>
  <c r="T155" i="6"/>
  <c r="T147" i="6"/>
  <c r="T139" i="6"/>
  <c r="T131" i="6"/>
  <c r="T123" i="6"/>
  <c r="T115" i="6"/>
  <c r="T99" i="6"/>
  <c r="T91" i="6"/>
  <c r="T83" i="6"/>
  <c r="T75" i="6"/>
  <c r="T67" i="6"/>
  <c r="T59" i="6"/>
  <c r="T51" i="6"/>
  <c r="T43" i="6"/>
  <c r="T35" i="6"/>
  <c r="T27" i="6"/>
  <c r="T171" i="6"/>
  <c r="T107" i="6"/>
  <c r="T19" i="6"/>
  <c r="T10" i="6"/>
  <c r="T13" i="6"/>
  <c r="T14" i="6"/>
  <c r="T16" i="6"/>
  <c r="T9" i="6"/>
  <c r="T15" i="6"/>
  <c r="T11" i="6"/>
  <c r="T8" i="6"/>
  <c r="T12" i="6"/>
  <c r="T173" i="6"/>
  <c r="T165" i="6"/>
  <c r="T157" i="6"/>
  <c r="T149" i="6"/>
  <c r="T141" i="6"/>
  <c r="T133" i="6"/>
  <c r="T125" i="6"/>
  <c r="T117" i="6"/>
  <c r="T109" i="6"/>
  <c r="T101" i="6"/>
  <c r="T93" i="6"/>
  <c r="T85" i="6"/>
  <c r="T77" i="6"/>
  <c r="T69" i="6"/>
  <c r="T61" i="6"/>
  <c r="T53" i="6"/>
  <c r="T45" i="6"/>
  <c r="T37" i="6"/>
  <c r="T29" i="6"/>
  <c r="T21" i="6"/>
  <c r="T170" i="6"/>
  <c r="T162" i="6"/>
  <c r="T154" i="6"/>
  <c r="T146" i="6"/>
  <c r="T138" i="6"/>
  <c r="T130" i="6"/>
  <c r="T122" i="6"/>
  <c r="T114" i="6"/>
  <c r="T106" i="6"/>
  <c r="T98" i="6"/>
  <c r="T90" i="6"/>
  <c r="T82" i="6"/>
  <c r="T74" i="6"/>
  <c r="T66" i="6"/>
  <c r="T58" i="6"/>
  <c r="T50" i="6"/>
  <c r="T42" i="6"/>
  <c r="T34" i="6"/>
  <c r="T26" i="6"/>
  <c r="T18" i="6"/>
  <c r="T168" i="6"/>
  <c r="T160" i="6"/>
  <c r="T152" i="6"/>
  <c r="T144" i="6"/>
  <c r="T136" i="6"/>
  <c r="T128" i="6"/>
  <c r="T120" i="6"/>
  <c r="T112" i="6"/>
  <c r="T104" i="6"/>
  <c r="T96" i="6"/>
  <c r="T88" i="6"/>
  <c r="T80" i="6"/>
  <c r="T72" i="6"/>
  <c r="T64" i="6"/>
  <c r="T56" i="6"/>
  <c r="T48" i="6"/>
  <c r="T40" i="6"/>
  <c r="T32" i="6"/>
  <c r="T24" i="6"/>
  <c r="S3" i="6"/>
  <c r="T169" i="6"/>
  <c r="T161" i="6"/>
  <c r="T153" i="6"/>
  <c r="T145" i="6"/>
  <c r="T137" i="6"/>
  <c r="T129" i="6"/>
  <c r="T121" i="6"/>
  <c r="T113" i="6"/>
  <c r="T105" i="6"/>
  <c r="T97" i="6"/>
  <c r="T89" i="6"/>
  <c r="T81" i="6"/>
  <c r="T73" i="6"/>
  <c r="T65" i="6"/>
  <c r="T57" i="6"/>
  <c r="T49" i="6"/>
  <c r="T41" i="6"/>
  <c r="T33" i="6"/>
  <c r="T25" i="6"/>
  <c r="T17" i="6"/>
  <c r="T167" i="6"/>
  <c r="T159" i="6"/>
  <c r="T151" i="6"/>
  <c r="T143" i="6"/>
  <c r="T135" i="6"/>
  <c r="T127" i="6"/>
  <c r="T119" i="6"/>
  <c r="T111" i="6"/>
  <c r="T103" i="6"/>
  <c r="T95" i="6"/>
  <c r="T87" i="6"/>
  <c r="T79" i="6"/>
  <c r="T71" i="6"/>
  <c r="T63" i="6"/>
  <c r="T55" i="6"/>
  <c r="T47" i="6"/>
  <c r="T39" i="6"/>
  <c r="T31" i="6"/>
  <c r="T23" i="6"/>
  <c r="U3" i="6"/>
  <c r="V3" i="6" s="1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D3" i="6"/>
</calcChain>
</file>

<file path=xl/sharedStrings.xml><?xml version="1.0" encoding="utf-8"?>
<sst xmlns="http://schemas.openxmlformats.org/spreadsheetml/2006/main" count="122" uniqueCount="54">
  <si>
    <t>Hora</t>
  </si>
  <si>
    <t>Pump Storage - Open Loop (turbine) [MW_e]</t>
  </si>
  <si>
    <t>Pump Storage - Closed Loop (turbine) [MW_e]</t>
  </si>
  <si>
    <t>ES00-FR00</t>
  </si>
  <si>
    <t>ES00-PT00</t>
  </si>
  <si>
    <t xml:space="preserve"> </t>
  </si>
  <si>
    <t>SRES</t>
  </si>
  <si>
    <t>TYNDP 26</t>
  </si>
  <si>
    <t>Capacidad Instalada</t>
  </si>
  <si>
    <t>SUMA</t>
  </si>
  <si>
    <t>TYNDP26</t>
  </si>
  <si>
    <t>Generación Total</t>
  </si>
  <si>
    <t>Solar CSP</t>
  </si>
  <si>
    <t>Solar (Photovoltaic)</t>
  </si>
  <si>
    <t>BENCHMARKING</t>
  </si>
  <si>
    <t>ES00 Wind Onshore</t>
  </si>
  <si>
    <t>ES00 Wind Offshore Radial</t>
  </si>
  <si>
    <t>ES00 Wind Offshore Hub Ready</t>
  </si>
  <si>
    <t>Perfil Eólico ES00 TYNDP</t>
  </si>
  <si>
    <t>Diferencia</t>
  </si>
  <si>
    <t>TYNDP</t>
  </si>
  <si>
    <t>Solar Rooftop</t>
  </si>
  <si>
    <t>Interconexion ES00-FR00 BenchMarking</t>
  </si>
  <si>
    <t>Interconexion ES00-PT00 BenchMarking</t>
  </si>
  <si>
    <t xml:space="preserve"> Interconexiones Electricidad</t>
  </si>
  <si>
    <t>ESh2-MA TYNDP 26</t>
  </si>
  <si>
    <t>ESh2-MA BenchMarking</t>
  </si>
  <si>
    <t>ESh2-PTh2 TYNDP26</t>
  </si>
  <si>
    <t>ESh2-PTh2 BenchMarking</t>
  </si>
  <si>
    <t>ES00-ESh2-P2G_emarket</t>
  </si>
  <si>
    <t>ES00_SRES_P2G-ESh2-P2G_SRES</t>
  </si>
  <si>
    <t>BenchMarking</t>
  </si>
  <si>
    <t>Generación H2 - SRES y Emarket</t>
  </si>
  <si>
    <t>Suma</t>
  </si>
  <si>
    <t xml:space="preserve">BenchMarking </t>
  </si>
  <si>
    <t>Generación Eólica ES</t>
  </si>
  <si>
    <t>Generación CCGT ES</t>
  </si>
  <si>
    <t>Generación CCGT PT</t>
  </si>
  <si>
    <t>Generación Solar ES</t>
  </si>
  <si>
    <t>Generación Turbina ES</t>
  </si>
  <si>
    <t>Turbine TYNDP26</t>
  </si>
  <si>
    <t>BenchMarkin</t>
  </si>
  <si>
    <t>Generación Turbina PT</t>
  </si>
  <si>
    <t>* tendríamos que poner generadores (quizás más unidades) y luego unit comittment</t>
  </si>
  <si>
    <t>Generación Pump ES</t>
  </si>
  <si>
    <t>Pump Storage - Open Loop (pump) [MW_e]</t>
  </si>
  <si>
    <t>Pump Storage - Closed Loop (pump) [MW_e]</t>
  </si>
  <si>
    <t>ESPAÑA</t>
  </si>
  <si>
    <t>PORTUGAL</t>
  </si>
  <si>
    <t>Precios Electricidad</t>
  </si>
  <si>
    <t>FRANCIA</t>
  </si>
  <si>
    <t>Precios Hidrógeno</t>
  </si>
  <si>
    <t xml:space="preserve"> TYNDP 26</t>
  </si>
  <si>
    <t>* Francia no simula las dinamicas de precio pq no tenemos precios ni similares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</si>
</sst>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24"/>
      <name val="Calibri"/>
      <family val="2"/>
    </font>
    <font>
      <b/>
      <sz val="11"/>
      <name val="Calibri"/>
      <family val="2"/>
    </font>
    <font>
      <b/>
      <sz val="25"/>
      <color theme="1"/>
      <name val="Verdana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11"/>
      <color rgb="FFC00000"/>
      <name val="Aptos Display"/>
      <family val="2"/>
      <scheme val="major"/>
    </font>
    <font>
      <sz val="11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1">
      <alignment horizontal="left" vertical="center"/>
    </xf>
    <xf numFmtId="4" fontId="2" fillId="0" borderId="1"/>
  </cellStyleXfs>
  <cellXfs count="80">
    <xf numFmtId="0" fontId="0" fillId="0" borderId="0" xfId="0"/>
    <xf numFmtId="0" fontId="1" fillId="3" borderId="0" xfId="0" applyFont="1" applyFill="1"/>
    <xf numFmtId="4" fontId="2" fillId="3" borderId="0" xfId="2" applyFill="1" applyBorder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1" applyFill="1" applyBorder="1" applyAlignment="1">
      <alignment horizontal="left" vertical="top"/>
    </xf>
    <xf numFmtId="4" fontId="2" fillId="3" borderId="1" xfId="2" applyFill="1"/>
    <xf numFmtId="0" fontId="2" fillId="3" borderId="1" xfId="1" applyFill="1" applyAlignment="1">
      <alignment horizontal="left" vertical="top"/>
    </xf>
    <xf numFmtId="3" fontId="2" fillId="3" borderId="0" xfId="2" applyNumberFormat="1" applyFill="1" applyBorder="1"/>
    <xf numFmtId="3" fontId="2" fillId="3" borderId="1" xfId="2" applyNumberFormat="1" applyFill="1"/>
    <xf numFmtId="0" fontId="0" fillId="3" borderId="8" xfId="0" applyFill="1" applyBorder="1" applyAlignment="1">
      <alignment horizontal="center"/>
    </xf>
    <xf numFmtId="3" fontId="2" fillId="3" borderId="6" xfId="2" applyNumberFormat="1" applyFill="1" applyBorder="1"/>
    <xf numFmtId="0" fontId="0" fillId="2" borderId="4" xfId="0" applyFill="1" applyBorder="1"/>
    <xf numFmtId="0" fontId="4" fillId="3" borderId="0" xfId="1" applyFont="1" applyFill="1" applyBorder="1" applyAlignment="1">
      <alignment vertical="top"/>
    </xf>
    <xf numFmtId="0" fontId="2" fillId="3" borderId="0" xfId="1" applyFill="1" applyBorder="1" applyAlignment="1">
      <alignment vertical="top"/>
    </xf>
    <xf numFmtId="0" fontId="0" fillId="2" borderId="11" xfId="0" applyFill="1" applyBorder="1"/>
    <xf numFmtId="0" fontId="3" fillId="3" borderId="1" xfId="0" applyFont="1" applyFill="1" applyBorder="1" applyAlignment="1">
      <alignment horizontal="center"/>
    </xf>
    <xf numFmtId="4" fontId="5" fillId="3" borderId="1" xfId="2" applyFont="1" applyFill="1"/>
    <xf numFmtId="0" fontId="5" fillId="3" borderId="1" xfId="1" applyFont="1" applyFill="1" applyAlignment="1">
      <alignment horizontal="left" vertical="top"/>
    </xf>
    <xf numFmtId="0" fontId="6" fillId="3" borderId="0" xfId="0" applyFont="1" applyFill="1"/>
    <xf numFmtId="0" fontId="1" fillId="3" borderId="5" xfId="0" applyFont="1" applyFill="1" applyBorder="1"/>
    <xf numFmtId="0" fontId="1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5" xfId="0" applyFont="1" applyFill="1" applyBorder="1"/>
    <xf numFmtId="0" fontId="7" fillId="3" borderId="0" xfId="0" applyFont="1" applyFill="1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3" borderId="11" xfId="0" applyFont="1" applyFill="1" applyBorder="1"/>
    <xf numFmtId="2" fontId="7" fillId="3" borderId="11" xfId="0" applyNumberFormat="1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/>
    </xf>
    <xf numFmtId="0" fontId="7" fillId="3" borderId="4" xfId="0" applyFont="1" applyFill="1" applyBorder="1"/>
    <xf numFmtId="0" fontId="9" fillId="3" borderId="1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8" xfId="0" applyFont="1" applyFill="1" applyBorder="1"/>
    <xf numFmtId="0" fontId="9" fillId="6" borderId="6" xfId="0" applyFont="1" applyFill="1" applyBorder="1"/>
    <xf numFmtId="0" fontId="9" fillId="6" borderId="1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9" xfId="0" applyFont="1" applyFill="1" applyBorder="1"/>
    <xf numFmtId="0" fontId="7" fillId="3" borderId="2" xfId="0" applyFont="1" applyFill="1" applyBorder="1"/>
    <xf numFmtId="0" fontId="7" fillId="3" borderId="13" xfId="0" applyFont="1" applyFill="1" applyBorder="1"/>
    <xf numFmtId="0" fontId="7" fillId="3" borderId="9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0" xfId="0" applyFont="1" applyFill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2" xfId="0" applyFont="1" applyFill="1" applyBorder="1"/>
    <xf numFmtId="164" fontId="7" fillId="3" borderId="4" xfId="0" applyNumberFormat="1" applyFont="1" applyFill="1" applyBorder="1" applyAlignment="1">
      <alignment horizontal="center"/>
    </xf>
    <xf numFmtId="164" fontId="7" fillId="3" borderId="14" xfId="0" applyNumberFormat="1" applyFont="1" applyFill="1" applyBorder="1" applyAlignment="1">
      <alignment horizontal="center"/>
    </xf>
    <xf numFmtId="164" fontId="7" fillId="3" borderId="0" xfId="0" applyNumberFormat="1" applyFont="1" applyFill="1"/>
    <xf numFmtId="164" fontId="7" fillId="3" borderId="2" xfId="0" applyNumberFormat="1" applyFont="1" applyFill="1" applyBorder="1"/>
    <xf numFmtId="164" fontId="7" fillId="3" borderId="9" xfId="0" applyNumberFormat="1" applyFont="1" applyFill="1" applyBorder="1"/>
    <xf numFmtId="164" fontId="7" fillId="3" borderId="5" xfId="0" applyNumberFormat="1" applyFont="1" applyFill="1" applyBorder="1"/>
    <xf numFmtId="164" fontId="7" fillId="3" borderId="3" xfId="0" applyNumberFormat="1" applyFont="1" applyFill="1" applyBorder="1"/>
    <xf numFmtId="164" fontId="7" fillId="3" borderId="10" xfId="0" applyNumberFormat="1" applyFont="1" applyFill="1" applyBorder="1"/>
    <xf numFmtId="0" fontId="8" fillId="6" borderId="8" xfId="0" applyFont="1" applyFill="1" applyBorder="1" applyAlignment="1">
      <alignment horizontal="center"/>
    </xf>
    <xf numFmtId="0" fontId="7" fillId="6" borderId="1" xfId="0" applyFont="1" applyFill="1" applyBorder="1"/>
    <xf numFmtId="164" fontId="7" fillId="3" borderId="4" xfId="0" applyNumberFormat="1" applyFont="1" applyFill="1" applyBorder="1"/>
    <xf numFmtId="164" fontId="7" fillId="3" borderId="14" xfId="0" applyNumberFormat="1" applyFont="1" applyFill="1" applyBorder="1"/>
    <xf numFmtId="0" fontId="8" fillId="6" borderId="1" xfId="0" applyFont="1" applyFill="1" applyBorder="1"/>
    <xf numFmtId="0" fontId="7" fillId="3" borderId="14" xfId="0" applyFont="1" applyFill="1" applyBorder="1"/>
    <xf numFmtId="0" fontId="10" fillId="3" borderId="0" xfId="0" applyFont="1" applyFill="1"/>
    <xf numFmtId="0" fontId="7" fillId="6" borderId="8" xfId="0" applyFont="1" applyFill="1" applyBorder="1"/>
    <xf numFmtId="0" fontId="7" fillId="6" borderId="7" xfId="0" applyFont="1" applyFill="1" applyBorder="1"/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1" fillId="3" borderId="0" xfId="0" applyFont="1" applyFill="1"/>
    <xf numFmtId="0" fontId="8" fillId="6" borderId="8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</cellXfs>
  <cellStyles count="3">
    <cellStyle name="Normal" xfId="0" builtinId="0"/>
    <cellStyle name="time_series_data" xfId="2" xr:uid="{898DD49A-A150-4918-B625-7467B844BC35}"/>
    <cellStyle name="time_series_node_header" xfId="1" xr:uid="{EDB55C1D-F223-4992-89D4-7B09B928A37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Comparación</a:t>
            </a:r>
            <a:r>
              <a:rPr lang="es-ES" b="1" baseline="0"/>
              <a:t> Solar ES00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'Comparación Generacion'!$G$5</c:f>
              <c:strCache>
                <c:ptCount val="1"/>
                <c:pt idx="0">
                  <c:v>TYNDP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Generacion'!$G$6:$G$173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0.12221174822800392</c:v>
                </c:pt>
                <c:pt idx="10">
                  <c:v>0.30586426722125543</c:v>
                </c:pt>
                <c:pt idx="11">
                  <c:v>0.39222910742328426</c:v>
                </c:pt>
                <c:pt idx="12">
                  <c:v>0.42122274097024742</c:v>
                </c:pt>
                <c:pt idx="13">
                  <c:v>0.42047616824413225</c:v>
                </c:pt>
                <c:pt idx="14">
                  <c:v>0.39536641059377786</c:v>
                </c:pt>
                <c:pt idx="15">
                  <c:v>0.34931170154068164</c:v>
                </c:pt>
                <c:pt idx="16">
                  <c:v>0.23548270446925004</c:v>
                </c:pt>
                <c:pt idx="17">
                  <c:v>5.2522940452442594E-2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0.10685565128814566</c:v>
                </c:pt>
                <c:pt idx="34">
                  <c:v>0.27468995373710792</c:v>
                </c:pt>
                <c:pt idx="35">
                  <c:v>0.36293718433003697</c:v>
                </c:pt>
                <c:pt idx="36">
                  <c:v>0.40967739060311531</c:v>
                </c:pt>
                <c:pt idx="37">
                  <c:v>0.42403972666694961</c:v>
                </c:pt>
                <c:pt idx="38">
                  <c:v>0.41490781376002711</c:v>
                </c:pt>
                <c:pt idx="39">
                  <c:v>0.36720279275073214</c:v>
                </c:pt>
                <c:pt idx="40">
                  <c:v>0.2456692415432282</c:v>
                </c:pt>
                <c:pt idx="41">
                  <c:v>5.5145919103603412E-2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0.11486206018420271</c:v>
                </c:pt>
                <c:pt idx="58">
                  <c:v>0.27823301218114688</c:v>
                </c:pt>
                <c:pt idx="59">
                  <c:v>0.36139866728916431</c:v>
                </c:pt>
                <c:pt idx="60">
                  <c:v>0.39990760154492599</c:v>
                </c:pt>
                <c:pt idx="61">
                  <c:v>0.40753928101523706</c:v>
                </c:pt>
                <c:pt idx="62">
                  <c:v>0.38832579262340311</c:v>
                </c:pt>
                <c:pt idx="63">
                  <c:v>0.3390251262679852</c:v>
                </c:pt>
                <c:pt idx="64">
                  <c:v>0.22480794533338994</c:v>
                </c:pt>
                <c:pt idx="65">
                  <c:v>5.1992699800517808E-2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6.9025211154025726E-2</c:v>
                </c:pt>
                <c:pt idx="82">
                  <c:v>0.17138041679045882</c:v>
                </c:pt>
                <c:pt idx="83">
                  <c:v>0.24306464071983361</c:v>
                </c:pt>
                <c:pt idx="84">
                  <c:v>0.28913170069182126</c:v>
                </c:pt>
                <c:pt idx="85">
                  <c:v>0.30022673061415051</c:v>
                </c:pt>
                <c:pt idx="86">
                  <c:v>0.28151411230423162</c:v>
                </c:pt>
                <c:pt idx="87">
                  <c:v>0.2457234412800815</c:v>
                </c:pt>
                <c:pt idx="88">
                  <c:v>0.1752222316540045</c:v>
                </c:pt>
                <c:pt idx="89">
                  <c:v>4.9624379270828911E-2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6.3497262425194184E-2</c:v>
                </c:pt>
                <c:pt idx="106">
                  <c:v>0.18370400237680914</c:v>
                </c:pt>
                <c:pt idx="107">
                  <c:v>0.27513997708076909</c:v>
                </c:pt>
                <c:pt idx="108">
                  <c:v>0.26203197501931158</c:v>
                </c:pt>
                <c:pt idx="109">
                  <c:v>0.31884235007877426</c:v>
                </c:pt>
                <c:pt idx="110">
                  <c:v>0.28732933433903479</c:v>
                </c:pt>
                <c:pt idx="111">
                  <c:v>0.20606226261465982</c:v>
                </c:pt>
                <c:pt idx="112">
                  <c:v>0.21499613768515766</c:v>
                </c:pt>
                <c:pt idx="113">
                  <c:v>5.5573659861635753E-2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0.12019188489452909</c:v>
                </c:pt>
                <c:pt idx="130">
                  <c:v>0.30003718008573493</c:v>
                </c:pt>
                <c:pt idx="131">
                  <c:v>0.38749458851491875</c:v>
                </c:pt>
                <c:pt idx="132">
                  <c:v>0.41554000254658124</c:v>
                </c:pt>
                <c:pt idx="133">
                  <c:v>0.39265008984296085</c:v>
                </c:pt>
                <c:pt idx="134">
                  <c:v>0.3885292220194389</c:v>
                </c:pt>
                <c:pt idx="135">
                  <c:v>0.33594198039132467</c:v>
                </c:pt>
                <c:pt idx="136">
                  <c:v>0.2243986672891643</c:v>
                </c:pt>
                <c:pt idx="137">
                  <c:v>5.4154619922753708E-2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3.0558974576630874E-2</c:v>
                </c:pt>
                <c:pt idx="154">
                  <c:v>8.5715249777174152E-2</c:v>
                </c:pt>
                <c:pt idx="155">
                  <c:v>0.14254522303807141</c:v>
                </c:pt>
                <c:pt idx="156">
                  <c:v>0.19222426891897626</c:v>
                </c:pt>
                <c:pt idx="157">
                  <c:v>0.21810954543525318</c:v>
                </c:pt>
                <c:pt idx="158">
                  <c:v>0.21586834175119901</c:v>
                </c:pt>
                <c:pt idx="159">
                  <c:v>5.1950256780272486E-2</c:v>
                </c:pt>
                <c:pt idx="160">
                  <c:v>7.1934541405627939E-2</c:v>
                </c:pt>
                <c:pt idx="161">
                  <c:v>2.7876575697126607E-2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A-4641-8A4F-32B2B78B9CE3}"/>
            </c:ext>
          </c:extLst>
        </c:ser>
        <c:ser>
          <c:idx val="1"/>
          <c:order val="1"/>
          <c:tx>
            <c:strRef>
              <c:f>'Comparación Generacion'!$M$5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Generacion'!$M$6:$M$173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0.12221174822800389</c:v>
                </c:pt>
                <c:pt idx="10">
                  <c:v>0.30586426722125543</c:v>
                </c:pt>
                <c:pt idx="11">
                  <c:v>0.39222910742328432</c:v>
                </c:pt>
                <c:pt idx="12">
                  <c:v>0.42122274097024748</c:v>
                </c:pt>
                <c:pt idx="13">
                  <c:v>0.4204761682441322</c:v>
                </c:pt>
                <c:pt idx="14">
                  <c:v>0.39536641059377786</c:v>
                </c:pt>
                <c:pt idx="15">
                  <c:v>0.34931170154068164</c:v>
                </c:pt>
                <c:pt idx="16">
                  <c:v>0.23548270446925004</c:v>
                </c:pt>
                <c:pt idx="17">
                  <c:v>5.2522940452442594E-2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0.10685565128814567</c:v>
                </c:pt>
                <c:pt idx="34">
                  <c:v>0.27468995373710803</c:v>
                </c:pt>
                <c:pt idx="35">
                  <c:v>0.3629371843300368</c:v>
                </c:pt>
                <c:pt idx="36">
                  <c:v>0.40967739060311531</c:v>
                </c:pt>
                <c:pt idx="37">
                  <c:v>0.42403972666694961</c:v>
                </c:pt>
                <c:pt idx="38">
                  <c:v>0.41490781376002711</c:v>
                </c:pt>
                <c:pt idx="39">
                  <c:v>0.36720279275073187</c:v>
                </c:pt>
                <c:pt idx="40">
                  <c:v>0.24566924154322822</c:v>
                </c:pt>
                <c:pt idx="41">
                  <c:v>5.5145919103603412E-2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0.11486206018420271</c:v>
                </c:pt>
                <c:pt idx="58">
                  <c:v>0.27823301218114654</c:v>
                </c:pt>
                <c:pt idx="59">
                  <c:v>0.36139866728916425</c:v>
                </c:pt>
                <c:pt idx="60">
                  <c:v>0.39990760154492594</c:v>
                </c:pt>
                <c:pt idx="61">
                  <c:v>0.40753928101523706</c:v>
                </c:pt>
                <c:pt idx="62">
                  <c:v>0.38832579262340311</c:v>
                </c:pt>
                <c:pt idx="63">
                  <c:v>0.3390251262679852</c:v>
                </c:pt>
                <c:pt idx="64">
                  <c:v>0.22480794533338994</c:v>
                </c:pt>
                <c:pt idx="65">
                  <c:v>5.1992699800517815E-2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6.9025211154025698E-2</c:v>
                </c:pt>
                <c:pt idx="82">
                  <c:v>0.17138041679045882</c:v>
                </c:pt>
                <c:pt idx="83">
                  <c:v>0.24306464071983339</c:v>
                </c:pt>
                <c:pt idx="84">
                  <c:v>0.28913170069182126</c:v>
                </c:pt>
                <c:pt idx="85">
                  <c:v>0.30022673061415023</c:v>
                </c:pt>
                <c:pt idx="86">
                  <c:v>0.28151411230423162</c:v>
                </c:pt>
                <c:pt idx="87">
                  <c:v>0.2457234412800815</c:v>
                </c:pt>
                <c:pt idx="88">
                  <c:v>0.1752222316540045</c:v>
                </c:pt>
                <c:pt idx="89">
                  <c:v>4.9624379270828911E-2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6.3497262425194156E-2</c:v>
                </c:pt>
                <c:pt idx="106">
                  <c:v>5.2002470062805901E-2</c:v>
                </c:pt>
                <c:pt idx="107">
                  <c:v>0.17458699376737372</c:v>
                </c:pt>
                <c:pt idx="108">
                  <c:v>0.33600870081915024</c:v>
                </c:pt>
                <c:pt idx="109">
                  <c:v>0.36467289164296923</c:v>
                </c:pt>
                <c:pt idx="110">
                  <c:v>0.36411120071304276</c:v>
                </c:pt>
                <c:pt idx="111">
                  <c:v>0.31754972199821735</c:v>
                </c:pt>
                <c:pt idx="112">
                  <c:v>0.21499613768515766</c:v>
                </c:pt>
                <c:pt idx="113">
                  <c:v>5.5573659861635719E-2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0.12019188489452912</c:v>
                </c:pt>
                <c:pt idx="130">
                  <c:v>0.30003718008573493</c:v>
                </c:pt>
                <c:pt idx="131">
                  <c:v>0.38749458851491875</c:v>
                </c:pt>
                <c:pt idx="132">
                  <c:v>0.4155400025465813</c:v>
                </c:pt>
                <c:pt idx="133">
                  <c:v>0.41432367047239088</c:v>
                </c:pt>
                <c:pt idx="134">
                  <c:v>0.38852922201943896</c:v>
                </c:pt>
                <c:pt idx="135">
                  <c:v>0.33594198039132467</c:v>
                </c:pt>
                <c:pt idx="136">
                  <c:v>0.2243986672891643</c:v>
                </c:pt>
                <c:pt idx="137">
                  <c:v>5.415461992275368E-2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3.0558974576630874E-2</c:v>
                </c:pt>
                <c:pt idx="154">
                  <c:v>4.428380964208329E-2</c:v>
                </c:pt>
                <c:pt idx="155">
                  <c:v>2.5637240658660219E-2</c:v>
                </c:pt>
                <c:pt idx="156">
                  <c:v>0</c:v>
                </c:pt>
                <c:pt idx="157">
                  <c:v>0</c:v>
                </c:pt>
                <c:pt idx="158">
                  <c:v>0.17414490007009761</c:v>
                </c:pt>
                <c:pt idx="159">
                  <c:v>0.17544000679088328</c:v>
                </c:pt>
                <c:pt idx="160">
                  <c:v>0.10921437969525886</c:v>
                </c:pt>
                <c:pt idx="161">
                  <c:v>2.7876575697126607E-2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A-4641-8A4F-32B2B78B9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375024"/>
        <c:axId val="949358704"/>
      </c:areaChart>
      <c:catAx>
        <c:axId val="9493750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9358704"/>
        <c:crosses val="autoZero"/>
        <c:auto val="1"/>
        <c:lblAlgn val="ctr"/>
        <c:lblOffset val="100"/>
        <c:noMultiLvlLbl val="0"/>
      </c:catAx>
      <c:valAx>
        <c:axId val="94935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937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Comparación Eólica ES00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'Comparación Generacion'!$T$5</c:f>
              <c:strCache>
                <c:ptCount val="1"/>
                <c:pt idx="0">
                  <c:v>Perfil Eólico ES00 TYNDP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Generacion'!$T$6:$T$173</c:f>
              <c:numCache>
                <c:formatCode>General</c:formatCode>
                <c:ptCount val="168"/>
                <c:pt idx="0">
                  <c:v>0.28341831899415904</c:v>
                </c:pt>
                <c:pt idx="1">
                  <c:v>0.30360786406942064</c:v>
                </c:pt>
                <c:pt idx="2">
                  <c:v>0.3093093906522672</c:v>
                </c:pt>
                <c:pt idx="3">
                  <c:v>0.31700437909450785</c:v>
                </c:pt>
                <c:pt idx="4">
                  <c:v>0.33111984557700558</c:v>
                </c:pt>
                <c:pt idx="5">
                  <c:v>0.33260132592881464</c:v>
                </c:pt>
                <c:pt idx="6">
                  <c:v>0.31132681552683117</c:v>
                </c:pt>
                <c:pt idx="7">
                  <c:v>0.2542113490443334</c:v>
                </c:pt>
                <c:pt idx="8">
                  <c:v>0.20118738602916347</c:v>
                </c:pt>
                <c:pt idx="9">
                  <c:v>0.17515688487338751</c:v>
                </c:pt>
                <c:pt idx="10">
                  <c:v>0.16545535829054092</c:v>
                </c:pt>
                <c:pt idx="11">
                  <c:v>0.17329631437105528</c:v>
                </c:pt>
                <c:pt idx="12">
                  <c:v>0.19719827276312146</c:v>
                </c:pt>
                <c:pt idx="13">
                  <c:v>0.21334424040139521</c:v>
                </c:pt>
                <c:pt idx="14">
                  <c:v>0.22000872768785987</c:v>
                </c:pt>
                <c:pt idx="15">
                  <c:v>0.22100872768785984</c:v>
                </c:pt>
                <c:pt idx="16">
                  <c:v>0.21200872768785989</c:v>
                </c:pt>
                <c:pt idx="17">
                  <c:v>0.1787102542707065</c:v>
                </c:pt>
                <c:pt idx="18">
                  <c:v>0.16564925195915459</c:v>
                </c:pt>
                <c:pt idx="19">
                  <c:v>0.16122223577829145</c:v>
                </c:pt>
                <c:pt idx="20">
                  <c:v>0.16167321497432457</c:v>
                </c:pt>
                <c:pt idx="21">
                  <c:v>0.16721569763768548</c:v>
                </c:pt>
                <c:pt idx="22">
                  <c:v>0.17827669994923734</c:v>
                </c:pt>
                <c:pt idx="23">
                  <c:v>0.18818519648190957</c:v>
                </c:pt>
                <c:pt idx="24">
                  <c:v>0.19597168839147799</c:v>
                </c:pt>
                <c:pt idx="25">
                  <c:v>0.18991068607992609</c:v>
                </c:pt>
                <c:pt idx="26">
                  <c:v>0.17978868145682236</c:v>
                </c:pt>
                <c:pt idx="27">
                  <c:v>0.16912419417035765</c:v>
                </c:pt>
                <c:pt idx="28">
                  <c:v>0.1615512103512208</c:v>
                </c:pt>
                <c:pt idx="29">
                  <c:v>0.15388672306475612</c:v>
                </c:pt>
                <c:pt idx="30">
                  <c:v>0.14055774849182678</c:v>
                </c:pt>
                <c:pt idx="31">
                  <c:v>0.12232027738622525</c:v>
                </c:pt>
                <c:pt idx="32">
                  <c:v>0.12047278316510493</c:v>
                </c:pt>
                <c:pt idx="33">
                  <c:v>0.11089979934596808</c:v>
                </c:pt>
                <c:pt idx="34">
                  <c:v>9.5814834019246231E-2</c:v>
                </c:pt>
                <c:pt idx="35">
                  <c:v>9.1211349044333437E-2</c:v>
                </c:pt>
                <c:pt idx="36">
                  <c:v>9.6302852511661236E-2</c:v>
                </c:pt>
                <c:pt idx="37">
                  <c:v>9.8455358290540945E-2</c:v>
                </c:pt>
                <c:pt idx="38">
                  <c:v>9.3546861757868735E-2</c:v>
                </c:pt>
                <c:pt idx="39">
                  <c:v>8.8516360602092808E-2</c:v>
                </c:pt>
                <c:pt idx="40">
                  <c:v>8.2241850200109365E-2</c:v>
                </c:pt>
                <c:pt idx="41">
                  <c:v>8.1814834019246233E-2</c:v>
                </c:pt>
                <c:pt idx="42">
                  <c:v>0.12286276004958616</c:v>
                </c:pt>
                <c:pt idx="43">
                  <c:v>0.14321569763768549</c:v>
                </c:pt>
                <c:pt idx="44">
                  <c:v>0.13545316874328703</c:v>
                </c:pt>
                <c:pt idx="45">
                  <c:v>0.11762963753733667</c:v>
                </c:pt>
                <c:pt idx="46">
                  <c:v>0.11020262135647355</c:v>
                </c:pt>
                <c:pt idx="47">
                  <c:v>0.10574510401983446</c:v>
                </c:pt>
                <c:pt idx="48">
                  <c:v>0.11028758668319538</c:v>
                </c:pt>
                <c:pt idx="49">
                  <c:v>0.11304357743698788</c:v>
                </c:pt>
                <c:pt idx="50">
                  <c:v>0.11570806472345255</c:v>
                </c:pt>
                <c:pt idx="51">
                  <c:v>0.11067756356767662</c:v>
                </c:pt>
                <c:pt idx="52">
                  <c:v>0.10670806472345254</c:v>
                </c:pt>
                <c:pt idx="53">
                  <c:v>0.10252505778879691</c:v>
                </c:pt>
                <c:pt idx="54">
                  <c:v>9.5433554321469105E-2</c:v>
                </c:pt>
                <c:pt idx="55">
                  <c:v>8.2647062411900674E-2</c:v>
                </c:pt>
                <c:pt idx="56">
                  <c:v>7.8525057788796926E-2</c:v>
                </c:pt>
                <c:pt idx="57">
                  <c:v>6.5738565879228494E-2</c:v>
                </c:pt>
                <c:pt idx="58">
                  <c:v>3.4653600552506644E-2</c:v>
                </c:pt>
                <c:pt idx="59">
                  <c:v>1.8019614421817914E-2</c:v>
                </c:pt>
                <c:pt idx="60">
                  <c:v>1.4233122512249482E-2</c:v>
                </c:pt>
                <c:pt idx="61">
                  <c:v>1.3385628291129175E-2</c:v>
                </c:pt>
                <c:pt idx="62">
                  <c:v>1.3416129446905112E-2</c:v>
                </c:pt>
                <c:pt idx="63">
                  <c:v>1.4324625979577298E-2</c:v>
                </c:pt>
                <c:pt idx="64">
                  <c:v>1.3385628291129175E-2</c:v>
                </c:pt>
                <c:pt idx="65">
                  <c:v>2.1202621356473543E-2</c:v>
                </c:pt>
                <c:pt idx="66">
                  <c:v>3.4897609798714153E-2</c:v>
                </c:pt>
                <c:pt idx="67">
                  <c:v>3.6141619044921663E-2</c:v>
                </c:pt>
                <c:pt idx="68">
                  <c:v>2.5965150250872007E-2</c:v>
                </c:pt>
                <c:pt idx="69">
                  <c:v>2.1758180301046409E-2</c:v>
                </c:pt>
                <c:pt idx="70">
                  <c:v>2.4612212662772685E-2</c:v>
                </c:pt>
                <c:pt idx="71">
                  <c:v>2.5740755426482409E-2</c:v>
                </c:pt>
                <c:pt idx="72">
                  <c:v>3.0930300501744012E-2</c:v>
                </c:pt>
                <c:pt idx="73">
                  <c:v>3.6241850200109366E-2</c:v>
                </c:pt>
                <c:pt idx="74">
                  <c:v>4.3492397586922846E-2</c:v>
                </c:pt>
                <c:pt idx="75">
                  <c:v>5.2468434571752882E-2</c:v>
                </c:pt>
                <c:pt idx="76">
                  <c:v>6.2895450752616017E-2</c:v>
                </c:pt>
                <c:pt idx="77">
                  <c:v>7.110895884304759E-2</c:v>
                </c:pt>
                <c:pt idx="78">
                  <c:v>7.8474972712358843E-2</c:v>
                </c:pt>
                <c:pt idx="79">
                  <c:v>8.3054494672101686E-2</c:v>
                </c:pt>
                <c:pt idx="80">
                  <c:v>9.2542513164516699E-2</c:v>
                </c:pt>
                <c:pt idx="81">
                  <c:v>0.10493902818960389</c:v>
                </c:pt>
                <c:pt idx="82">
                  <c:v>0.11561005361667454</c:v>
                </c:pt>
                <c:pt idx="83">
                  <c:v>0.13022007673219332</c:v>
                </c:pt>
                <c:pt idx="84">
                  <c:v>0.15337258251107302</c:v>
                </c:pt>
                <c:pt idx="85">
                  <c:v>0.17840308366684893</c:v>
                </c:pt>
                <c:pt idx="86">
                  <c:v>0.20358609060150459</c:v>
                </c:pt>
                <c:pt idx="87">
                  <c:v>0.22404360793814365</c:v>
                </c:pt>
                <c:pt idx="88">
                  <c:v>0.22889764029986995</c:v>
                </c:pt>
                <c:pt idx="89">
                  <c:v>0.22281267497314808</c:v>
                </c:pt>
                <c:pt idx="90">
                  <c:v>0.24069067035004432</c:v>
                </c:pt>
                <c:pt idx="91">
                  <c:v>0.27205014607874961</c:v>
                </c:pt>
                <c:pt idx="92">
                  <c:v>0.29168413220943834</c:v>
                </c:pt>
                <c:pt idx="93">
                  <c:v>0.30450112527478274</c:v>
                </c:pt>
                <c:pt idx="94">
                  <c:v>0.3347995986919361</c:v>
                </c:pt>
                <c:pt idx="95">
                  <c:v>0.36888456401865793</c:v>
                </c:pt>
                <c:pt idx="96">
                  <c:v>0.38157955246089859</c:v>
                </c:pt>
                <c:pt idx="97">
                  <c:v>0.35849458713417681</c:v>
                </c:pt>
                <c:pt idx="98">
                  <c:v>0.35086060100348804</c:v>
                </c:pt>
                <c:pt idx="99">
                  <c:v>0.37212857326486548</c:v>
                </c:pt>
                <c:pt idx="100">
                  <c:v>0.42860351547606862</c:v>
                </c:pt>
                <c:pt idx="101">
                  <c:v>0.48320046231037544</c:v>
                </c:pt>
                <c:pt idx="102">
                  <c:v>0.50965144150640851</c:v>
                </c:pt>
                <c:pt idx="103">
                  <c:v>0.52552943688330467</c:v>
                </c:pt>
                <c:pt idx="104">
                  <c:v>0.55404141839088972</c:v>
                </c:pt>
                <c:pt idx="105">
                  <c:v>0.58618738602916343</c:v>
                </c:pt>
                <c:pt idx="106">
                  <c:v>0.62478433286347024</c:v>
                </c:pt>
                <c:pt idx="107">
                  <c:v>0.65168629125553657</c:v>
                </c:pt>
                <c:pt idx="108">
                  <c:v>0.64956422563012117</c:v>
                </c:pt>
                <c:pt idx="109">
                  <c:v>0.69378868145682238</c:v>
                </c:pt>
                <c:pt idx="110">
                  <c:v>0.67574069442417084</c:v>
                </c:pt>
                <c:pt idx="111">
                  <c:v>0.66604570598193025</c:v>
                </c:pt>
                <c:pt idx="112">
                  <c:v>0.67522658437164351</c:v>
                </c:pt>
                <c:pt idx="113">
                  <c:v>0.61323312251224948</c:v>
                </c:pt>
                <c:pt idx="114">
                  <c:v>0.53903269070302984</c:v>
                </c:pt>
                <c:pt idx="115">
                  <c:v>0.48916123346673962</c:v>
                </c:pt>
                <c:pt idx="116">
                  <c:v>0.47610023115518774</c:v>
                </c:pt>
                <c:pt idx="117">
                  <c:v>0.47582572075320428</c:v>
                </c:pt>
                <c:pt idx="118">
                  <c:v>0.47418519648190949</c:v>
                </c:pt>
                <c:pt idx="119">
                  <c:v>0.48372767914527037</c:v>
                </c:pt>
                <c:pt idx="120">
                  <c:v>0.49727016180863143</c:v>
                </c:pt>
                <c:pt idx="121">
                  <c:v>0.49836166527595915</c:v>
                </c:pt>
                <c:pt idx="122">
                  <c:v>0.49184968376837424</c:v>
                </c:pt>
                <c:pt idx="123">
                  <c:v>0.49109369301458178</c:v>
                </c:pt>
                <c:pt idx="124">
                  <c:v>0.48939870457234114</c:v>
                </c:pt>
                <c:pt idx="125">
                  <c:v>0.48488672306475605</c:v>
                </c:pt>
                <c:pt idx="126">
                  <c:v>0.4794052427129471</c:v>
                </c:pt>
                <c:pt idx="127">
                  <c:v>0.46438127969777709</c:v>
                </c:pt>
                <c:pt idx="128">
                  <c:v>0.44541831899415907</c:v>
                </c:pt>
                <c:pt idx="129">
                  <c:v>0.43984533517502222</c:v>
                </c:pt>
                <c:pt idx="130">
                  <c:v>0.44781483401924621</c:v>
                </c:pt>
                <c:pt idx="131">
                  <c:v>0.45954032361726282</c:v>
                </c:pt>
                <c:pt idx="132">
                  <c:v>0.47911330743639963</c:v>
                </c:pt>
                <c:pt idx="133">
                  <c:v>0.48323531205950337</c:v>
                </c:pt>
                <c:pt idx="134">
                  <c:v>0.46993683864234992</c:v>
                </c:pt>
                <c:pt idx="135">
                  <c:v>0.44388237447140411</c:v>
                </c:pt>
                <c:pt idx="136">
                  <c:v>0.42349239758692281</c:v>
                </c:pt>
                <c:pt idx="137">
                  <c:v>0.35744447155658299</c:v>
                </c:pt>
                <c:pt idx="138">
                  <c:v>0.35823096346615124</c:v>
                </c:pt>
                <c:pt idx="139">
                  <c:v>0.39516342301399343</c:v>
                </c:pt>
                <c:pt idx="140">
                  <c:v>0.42437039296381907</c:v>
                </c:pt>
                <c:pt idx="141">
                  <c:v>0.44224838834071534</c:v>
                </c:pt>
                <c:pt idx="142">
                  <c:v>0.46797387793873191</c:v>
                </c:pt>
                <c:pt idx="143">
                  <c:v>0.49572986869252439</c:v>
                </c:pt>
                <c:pt idx="144">
                  <c:v>0.53336385482321313</c:v>
                </c:pt>
                <c:pt idx="145">
                  <c:v>0.57263182708459048</c:v>
                </c:pt>
                <c:pt idx="146">
                  <c:v>0.61180829587864027</c:v>
                </c:pt>
                <c:pt idx="147">
                  <c:v>0.65392376236113803</c:v>
                </c:pt>
                <c:pt idx="148">
                  <c:v>0.69500872768785993</c:v>
                </c:pt>
                <c:pt idx="149">
                  <c:v>0.7146427138185486</c:v>
                </c:pt>
                <c:pt idx="150">
                  <c:v>0.70306972999941175</c:v>
                </c:pt>
                <c:pt idx="151">
                  <c:v>0.67810676929579361</c:v>
                </c:pt>
                <c:pt idx="152">
                  <c:v>0.64829631437105528</c:v>
                </c:pt>
                <c:pt idx="153">
                  <c:v>0.6153638548232131</c:v>
                </c:pt>
                <c:pt idx="154">
                  <c:v>0.61236385482321309</c:v>
                </c:pt>
                <c:pt idx="155">
                  <c:v>0.62690633748657398</c:v>
                </c:pt>
                <c:pt idx="156">
                  <c:v>0.66577779472286436</c:v>
                </c:pt>
                <c:pt idx="157">
                  <c:v>0.70277125658225836</c:v>
                </c:pt>
                <c:pt idx="158">
                  <c:v>0.72710023115518763</c:v>
                </c:pt>
                <c:pt idx="159">
                  <c:v>0.59127533280769673</c:v>
                </c:pt>
                <c:pt idx="160">
                  <c:v>0.7533006019620957</c:v>
                </c:pt>
                <c:pt idx="161">
                  <c:v>0.77078868145682222</c:v>
                </c:pt>
                <c:pt idx="162">
                  <c:v>0.72322223577829148</c:v>
                </c:pt>
                <c:pt idx="163">
                  <c:v>0.70389326120536211</c:v>
                </c:pt>
                <c:pt idx="164">
                  <c:v>0.70980175773803433</c:v>
                </c:pt>
                <c:pt idx="165">
                  <c:v>0.72346624502449886</c:v>
                </c:pt>
                <c:pt idx="166">
                  <c:v>0.74000872768785986</c:v>
                </c:pt>
                <c:pt idx="167">
                  <c:v>0.75867321497432461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3-49EB-AC5D-1A1CE907930A}"/>
            </c:ext>
          </c:extLst>
        </c:ser>
        <c:ser>
          <c:idx val="1"/>
          <c:order val="1"/>
          <c:tx>
            <c:strRef>
              <c:f>'Comparación Generacion'!$V$5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Generacion'!$V$6:$V$173</c:f>
              <c:numCache>
                <c:formatCode>General</c:formatCode>
                <c:ptCount val="168"/>
                <c:pt idx="0">
                  <c:v>0.27513819939576217</c:v>
                </c:pt>
                <c:pt idx="1">
                  <c:v>0.29443185923141452</c:v>
                </c:pt>
                <c:pt idx="2">
                  <c:v>0.29945536192825256</c:v>
                </c:pt>
                <c:pt idx="3">
                  <c:v>0.30697121547468043</c:v>
                </c:pt>
                <c:pt idx="4">
                  <c:v>0.32181365957895791</c:v>
                </c:pt>
                <c:pt idx="5">
                  <c:v>0.3237431354625166</c:v>
                </c:pt>
                <c:pt idx="6">
                  <c:v>0.30273458373035572</c:v>
                </c:pt>
                <c:pt idx="7">
                  <c:v>0.24533327319445131</c:v>
                </c:pt>
                <c:pt idx="8">
                  <c:v>0.19145562344589845</c:v>
                </c:pt>
                <c:pt idx="9">
                  <c:v>0.16467229406223804</c:v>
                </c:pt>
                <c:pt idx="10">
                  <c:v>0.15553495061366493</c:v>
                </c:pt>
                <c:pt idx="11">
                  <c:v>0.1648144200536609</c:v>
                </c:pt>
                <c:pt idx="12">
                  <c:v>0.18996266653599647</c:v>
                </c:pt>
                <c:pt idx="13">
                  <c:v>0.20713522749965435</c:v>
                </c:pt>
                <c:pt idx="14">
                  <c:v>0.21409617707956999</c:v>
                </c:pt>
                <c:pt idx="15">
                  <c:v>0.21472034404190238</c:v>
                </c:pt>
                <c:pt idx="16">
                  <c:v>0.20648647953880553</c:v>
                </c:pt>
                <c:pt idx="17">
                  <c:v>0.17191645562506214</c:v>
                </c:pt>
                <c:pt idx="18">
                  <c:v>0.15897326940616688</c:v>
                </c:pt>
                <c:pt idx="19">
                  <c:v>0.15493873364964594</c:v>
                </c:pt>
                <c:pt idx="20">
                  <c:v>0.15646372555761462</c:v>
                </c:pt>
                <c:pt idx="21">
                  <c:v>0.16174562723885857</c:v>
                </c:pt>
                <c:pt idx="22">
                  <c:v>0.17293220756376276</c:v>
                </c:pt>
                <c:pt idx="23">
                  <c:v>0.18310456194987426</c:v>
                </c:pt>
                <c:pt idx="24">
                  <c:v>0.19130815645479785</c:v>
                </c:pt>
                <c:pt idx="25">
                  <c:v>0.18462988985782267</c:v>
                </c:pt>
                <c:pt idx="26">
                  <c:v>0.17520330542670495</c:v>
                </c:pt>
                <c:pt idx="27">
                  <c:v>0.16408779509751176</c:v>
                </c:pt>
                <c:pt idx="28">
                  <c:v>0.15585539059432688</c:v>
                </c:pt>
                <c:pt idx="29">
                  <c:v>0.14814172205983683</c:v>
                </c:pt>
                <c:pt idx="30">
                  <c:v>0.1337881849260544</c:v>
                </c:pt>
                <c:pt idx="31">
                  <c:v>0.11525754504435479</c:v>
                </c:pt>
                <c:pt idx="32">
                  <c:v>0.11344062815400338</c:v>
                </c:pt>
                <c:pt idx="33">
                  <c:v>0.10305219278093219</c:v>
                </c:pt>
                <c:pt idx="34">
                  <c:v>8.6513134779043155E-2</c:v>
                </c:pt>
                <c:pt idx="35">
                  <c:v>8.167246407117143E-2</c:v>
                </c:pt>
                <c:pt idx="36">
                  <c:v>8.7381505726638067E-2</c:v>
                </c:pt>
                <c:pt idx="37">
                  <c:v>8.9404027604581465E-2</c:v>
                </c:pt>
                <c:pt idx="38">
                  <c:v>8.3889891937352509E-2</c:v>
                </c:pt>
                <c:pt idx="39">
                  <c:v>7.8523665261197403E-2</c:v>
                </c:pt>
                <c:pt idx="40">
                  <c:v>7.2706807612237301E-2</c:v>
                </c:pt>
                <c:pt idx="41">
                  <c:v>7.3486634565175762E-2</c:v>
                </c:pt>
                <c:pt idx="42">
                  <c:v>0.11561111602301725</c:v>
                </c:pt>
                <c:pt idx="43">
                  <c:v>0.13827660665518401</c:v>
                </c:pt>
                <c:pt idx="44">
                  <c:v>0.13061771111738849</c:v>
                </c:pt>
                <c:pt idx="45">
                  <c:v>0.11403062711839775</c:v>
                </c:pt>
                <c:pt idx="46">
                  <c:v>0.10739481651886042</c:v>
                </c:pt>
                <c:pt idx="47">
                  <c:v>0.10342495075843673</c:v>
                </c:pt>
                <c:pt idx="48">
                  <c:v>0.10774976249743988</c:v>
                </c:pt>
                <c:pt idx="49">
                  <c:v>0.11149651127132836</c:v>
                </c:pt>
                <c:pt idx="50">
                  <c:v>0.11350844814991057</c:v>
                </c:pt>
                <c:pt idx="51">
                  <c:v>0.10916307341214838</c:v>
                </c:pt>
                <c:pt idx="52">
                  <c:v>0.10474235967893281</c:v>
                </c:pt>
                <c:pt idx="53">
                  <c:v>0.10133546788453433</c:v>
                </c:pt>
                <c:pt idx="54">
                  <c:v>9.3626613349753834E-2</c:v>
                </c:pt>
                <c:pt idx="55">
                  <c:v>8.0518058140838358E-2</c:v>
                </c:pt>
                <c:pt idx="56">
                  <c:v>7.7173863342656232E-2</c:v>
                </c:pt>
                <c:pt idx="57">
                  <c:v>6.3607418161373802E-2</c:v>
                </c:pt>
                <c:pt idx="58">
                  <c:v>3.2033385066826257E-2</c:v>
                </c:pt>
                <c:pt idx="59">
                  <c:v>1.5442122068087717E-2</c:v>
                </c:pt>
                <c:pt idx="60">
                  <c:v>1.1414298311161723E-2</c:v>
                </c:pt>
                <c:pt idx="61">
                  <c:v>1.0335404376271588E-2</c:v>
                </c:pt>
                <c:pt idx="62">
                  <c:v>1.0208370383937926E-2</c:v>
                </c:pt>
                <c:pt idx="63">
                  <c:v>1.1060390332519614E-2</c:v>
                </c:pt>
                <c:pt idx="64">
                  <c:v>9.8989424026115092E-3</c:v>
                </c:pt>
                <c:pt idx="65">
                  <c:v>1.7780220926986442E-2</c:v>
                </c:pt>
                <c:pt idx="66">
                  <c:v>3.2348741047794928E-2</c:v>
                </c:pt>
                <c:pt idx="67">
                  <c:v>3.3034014006439585E-2</c:v>
                </c:pt>
                <c:pt idx="68">
                  <c:v>2.1762910686636223E-2</c:v>
                </c:pt>
                <c:pt idx="69">
                  <c:v>1.74869709446837E-2</c:v>
                </c:pt>
                <c:pt idx="70">
                  <c:v>1.8721865870159379E-2</c:v>
                </c:pt>
                <c:pt idx="71">
                  <c:v>1.9438407826916998E-2</c:v>
                </c:pt>
                <c:pt idx="72">
                  <c:v>2.2797541624197577E-2</c:v>
                </c:pt>
                <c:pt idx="73">
                  <c:v>2.6731526386786626E-2</c:v>
                </c:pt>
                <c:pt idx="74">
                  <c:v>3.2651091029548496E-2</c:v>
                </c:pt>
                <c:pt idx="75">
                  <c:v>4.0581735550944249E-2</c:v>
                </c:pt>
                <c:pt idx="76">
                  <c:v>5.0982280923284669E-2</c:v>
                </c:pt>
                <c:pt idx="77">
                  <c:v>5.937375941686969E-2</c:v>
                </c:pt>
                <c:pt idx="78">
                  <c:v>6.6060949013306364E-2</c:v>
                </c:pt>
                <c:pt idx="79">
                  <c:v>6.9969822777410831E-2</c:v>
                </c:pt>
                <c:pt idx="80">
                  <c:v>7.8754290247279493E-2</c:v>
                </c:pt>
                <c:pt idx="81">
                  <c:v>9.0938502511977895E-2</c:v>
                </c:pt>
                <c:pt idx="82">
                  <c:v>0.10059799892903966</c:v>
                </c:pt>
                <c:pt idx="83">
                  <c:v>0.11549853702981128</c:v>
                </c:pt>
                <c:pt idx="84">
                  <c:v>0.13827718365514913</c:v>
                </c:pt>
                <c:pt idx="85">
                  <c:v>0.16269358818165039</c:v>
                </c:pt>
                <c:pt idx="86">
                  <c:v>0.18848292862529667</c:v>
                </c:pt>
                <c:pt idx="87">
                  <c:v>0.20757708547298881</c:v>
                </c:pt>
                <c:pt idx="88">
                  <c:v>0.21244670217911368</c:v>
                </c:pt>
                <c:pt idx="89">
                  <c:v>0.20457369765423944</c:v>
                </c:pt>
                <c:pt idx="90">
                  <c:v>0.22267503956184667</c:v>
                </c:pt>
                <c:pt idx="91">
                  <c:v>0.25473775162690299</c:v>
                </c:pt>
                <c:pt idx="92">
                  <c:v>0.2750155344031649</c:v>
                </c:pt>
                <c:pt idx="93">
                  <c:v>0.28818689160829031</c:v>
                </c:pt>
                <c:pt idx="94">
                  <c:v>0.31947299172021421</c:v>
                </c:pt>
                <c:pt idx="95">
                  <c:v>0.35398291563758449</c:v>
                </c:pt>
                <c:pt idx="96">
                  <c:v>0.36701986785082119</c:v>
                </c:pt>
                <c:pt idx="97">
                  <c:v>0.34250826133006518</c:v>
                </c:pt>
                <c:pt idx="98">
                  <c:v>0.33470189480116946</c:v>
                </c:pt>
                <c:pt idx="99">
                  <c:v>0.35738880743204338</c:v>
                </c:pt>
                <c:pt idx="100">
                  <c:v>0.41485717196390121</c:v>
                </c:pt>
                <c:pt idx="101">
                  <c:v>0.47076274659007128</c:v>
                </c:pt>
                <c:pt idx="102">
                  <c:v>0.49756943397232212</c:v>
                </c:pt>
                <c:pt idx="103">
                  <c:v>0.51359010000549543</c:v>
                </c:pt>
                <c:pt idx="104">
                  <c:v>0.54317547422005596</c:v>
                </c:pt>
                <c:pt idx="105">
                  <c:v>0.57570686625682821</c:v>
                </c:pt>
                <c:pt idx="106">
                  <c:v>0.61551763585429931</c:v>
                </c:pt>
                <c:pt idx="107">
                  <c:v>0.64408789313012094</c:v>
                </c:pt>
                <c:pt idx="108">
                  <c:v>0.67036327354443537</c:v>
                </c:pt>
                <c:pt idx="109">
                  <c:v>0.68859965844389293</c:v>
                </c:pt>
                <c:pt idx="110">
                  <c:v>0.69667432295659715</c:v>
                </c:pt>
                <c:pt idx="111">
                  <c:v>0.68744842451336829</c:v>
                </c:pt>
                <c:pt idx="112">
                  <c:v>0.67320852137272824</c:v>
                </c:pt>
                <c:pt idx="113">
                  <c:v>0.61049660515731197</c:v>
                </c:pt>
                <c:pt idx="114">
                  <c:v>0.53394368977718243</c:v>
                </c:pt>
                <c:pt idx="115">
                  <c:v>0.48341004882682292</c:v>
                </c:pt>
                <c:pt idx="116">
                  <c:v>0.46995058263908446</c:v>
                </c:pt>
                <c:pt idx="117">
                  <c:v>0.47026382862018046</c:v>
                </c:pt>
                <c:pt idx="118">
                  <c:v>0.46934742567548415</c:v>
                </c:pt>
                <c:pt idx="119">
                  <c:v>0.47874162510855628</c:v>
                </c:pt>
                <c:pt idx="120">
                  <c:v>0.49302265624671432</c:v>
                </c:pt>
                <c:pt idx="121">
                  <c:v>0.4938622261960473</c:v>
                </c:pt>
                <c:pt idx="122">
                  <c:v>0.48728852859276156</c:v>
                </c:pt>
                <c:pt idx="123">
                  <c:v>0.48603132366863239</c:v>
                </c:pt>
                <c:pt idx="124">
                  <c:v>0.48435209376997174</c:v>
                </c:pt>
                <c:pt idx="125">
                  <c:v>0.47883979810263166</c:v>
                </c:pt>
                <c:pt idx="126">
                  <c:v>0.47275229247000478</c:v>
                </c:pt>
                <c:pt idx="127">
                  <c:v>0.45748426039141099</c:v>
                </c:pt>
                <c:pt idx="128">
                  <c:v>0.43651179265707257</c:v>
                </c:pt>
                <c:pt idx="129">
                  <c:v>0.43123138797573823</c:v>
                </c:pt>
                <c:pt idx="130">
                  <c:v>0.43856396553322652</c:v>
                </c:pt>
                <c:pt idx="131">
                  <c:v>0.4509053437884401</c:v>
                </c:pt>
                <c:pt idx="132">
                  <c:v>0.47123204056175017</c:v>
                </c:pt>
                <c:pt idx="133">
                  <c:v>0.47521057832165048</c:v>
                </c:pt>
                <c:pt idx="134">
                  <c:v>0.46109749317335702</c:v>
                </c:pt>
                <c:pt idx="135">
                  <c:v>0.43415104179954089</c:v>
                </c:pt>
                <c:pt idx="136">
                  <c:v>0.41252640710455979</c:v>
                </c:pt>
                <c:pt idx="137">
                  <c:v>0.34461739720278156</c:v>
                </c:pt>
                <c:pt idx="138">
                  <c:v>0.34607709511469076</c:v>
                </c:pt>
                <c:pt idx="139">
                  <c:v>0.38436774580389899</c:v>
                </c:pt>
                <c:pt idx="140">
                  <c:v>0.41364259403719944</c:v>
                </c:pt>
                <c:pt idx="141">
                  <c:v>0.43220437191701999</c:v>
                </c:pt>
                <c:pt idx="142">
                  <c:v>0.4584762983315428</c:v>
                </c:pt>
                <c:pt idx="143">
                  <c:v>0.48614240466192871</c:v>
                </c:pt>
                <c:pt idx="144">
                  <c:v>0.52357055040318801</c:v>
                </c:pt>
                <c:pt idx="145">
                  <c:v>0.56404711396047935</c:v>
                </c:pt>
                <c:pt idx="146">
                  <c:v>0.5748165915809369</c:v>
                </c:pt>
                <c:pt idx="147">
                  <c:v>0.57715532638199307</c:v>
                </c:pt>
                <c:pt idx="148">
                  <c:v>0.57860242549996499</c:v>
                </c:pt>
                <c:pt idx="149">
                  <c:v>0.58272954038823277</c:v>
                </c:pt>
                <c:pt idx="150">
                  <c:v>0.600721311062134</c:v>
                </c:pt>
                <c:pt idx="151">
                  <c:v>0.64557382215840775</c:v>
                </c:pt>
                <c:pt idx="152">
                  <c:v>0.63980305738870513</c:v>
                </c:pt>
                <c:pt idx="153">
                  <c:v>0.60584824243783475</c:v>
                </c:pt>
                <c:pt idx="154">
                  <c:v>0.60256060363623953</c:v>
                </c:pt>
                <c:pt idx="155">
                  <c:v>0.61838276568139239</c:v>
                </c:pt>
                <c:pt idx="156">
                  <c:v>0.61770589754629901</c:v>
                </c:pt>
                <c:pt idx="157">
                  <c:v>0.59011559380965195</c:v>
                </c:pt>
                <c:pt idx="158">
                  <c:v>0.72059703551289223</c:v>
                </c:pt>
                <c:pt idx="159">
                  <c:v>0.73931284938341679</c:v>
                </c:pt>
                <c:pt idx="160">
                  <c:v>0.77701196410832341</c:v>
                </c:pt>
                <c:pt idx="161">
                  <c:v>0.76608120876798058</c:v>
                </c:pt>
                <c:pt idx="162">
                  <c:v>0.71677548674351776</c:v>
                </c:pt>
                <c:pt idx="163">
                  <c:v>0.69716502092698418</c:v>
                </c:pt>
                <c:pt idx="164">
                  <c:v>0.70264441459630977</c:v>
                </c:pt>
                <c:pt idx="165">
                  <c:v>0.71687942273724525</c:v>
                </c:pt>
                <c:pt idx="166">
                  <c:v>0.73354007373179642</c:v>
                </c:pt>
                <c:pt idx="167">
                  <c:v>0.75291920456229067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3-49EB-AC5D-1A1CE9079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Generación total de h2 (SRES+Emarket)</a:t>
            </a:r>
            <a:r>
              <a:rPr lang="es-ES" b="1" baseline="0"/>
              <a:t> TYNDP26 vs. BenchMarking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'Comparación Generacion'!$AA$5</c:f>
              <c:strCache>
                <c:ptCount val="1"/>
                <c:pt idx="0">
                  <c:v>TYNDP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Generacion'!$AA$6:$AA$173</c:f>
              <c:numCache>
                <c:formatCode>0.0</c:formatCode>
                <c:ptCount val="168"/>
                <c:pt idx="0">
                  <c:v>10975.25966279</c:v>
                </c:pt>
                <c:pt idx="1">
                  <c:v>11056.508512789998</c:v>
                </c:pt>
                <c:pt idx="2">
                  <c:v>11110.370532790001</c:v>
                </c:pt>
                <c:pt idx="3">
                  <c:v>11160.816742790001</c:v>
                </c:pt>
                <c:pt idx="4">
                  <c:v>11212.995695559999</c:v>
                </c:pt>
                <c:pt idx="5">
                  <c:v>11363.44315755</c:v>
                </c:pt>
                <c:pt idx="6">
                  <c:v>11502.292426799999</c:v>
                </c:pt>
                <c:pt idx="7">
                  <c:v>11608.12853201</c:v>
                </c:pt>
                <c:pt idx="8">
                  <c:v>11706.51810849</c:v>
                </c:pt>
                <c:pt idx="9">
                  <c:v>11271.758108490001</c:v>
                </c:pt>
                <c:pt idx="10">
                  <c:v>14273.376216160001</c:v>
                </c:pt>
                <c:pt idx="11">
                  <c:v>17108.20086357</c:v>
                </c:pt>
                <c:pt idx="12">
                  <c:v>17274.066409999999</c:v>
                </c:pt>
                <c:pt idx="13">
                  <c:v>17736.400659999999</c:v>
                </c:pt>
                <c:pt idx="14">
                  <c:v>16964.3992</c:v>
                </c:pt>
                <c:pt idx="15">
                  <c:v>16092.808676080002</c:v>
                </c:pt>
                <c:pt idx="16">
                  <c:v>12226.572510870001</c:v>
                </c:pt>
                <c:pt idx="17">
                  <c:v>8630.2114684799981</c:v>
                </c:pt>
                <c:pt idx="18">
                  <c:v>8004.3614676399993</c:v>
                </c:pt>
                <c:pt idx="19">
                  <c:v>6740.06494604</c:v>
                </c:pt>
                <c:pt idx="20">
                  <c:v>5545.8661146800005</c:v>
                </c:pt>
                <c:pt idx="21">
                  <c:v>4388.6796334599994</c:v>
                </c:pt>
                <c:pt idx="22">
                  <c:v>5214.9888707</c:v>
                </c:pt>
                <c:pt idx="23">
                  <c:v>6312.1860507000001</c:v>
                </c:pt>
                <c:pt idx="24">
                  <c:v>7316.4313669900002</c:v>
                </c:pt>
                <c:pt idx="25">
                  <c:v>8417.6024169800003</c:v>
                </c:pt>
                <c:pt idx="26">
                  <c:v>8682.7073195199991</c:v>
                </c:pt>
                <c:pt idx="27">
                  <c:v>7695.0837295199999</c:v>
                </c:pt>
                <c:pt idx="28">
                  <c:v>6713.9507903800004</c:v>
                </c:pt>
                <c:pt idx="29">
                  <c:v>5853.0773885500003</c:v>
                </c:pt>
                <c:pt idx="30">
                  <c:v>5979.6813689400005</c:v>
                </c:pt>
                <c:pt idx="31">
                  <c:v>7114.7841822400005</c:v>
                </c:pt>
                <c:pt idx="32">
                  <c:v>8230.275838720001</c:v>
                </c:pt>
                <c:pt idx="33">
                  <c:v>8840.4158387200005</c:v>
                </c:pt>
                <c:pt idx="34">
                  <c:v>10862.797701740001</c:v>
                </c:pt>
                <c:pt idx="35">
                  <c:v>12580.573143199999</c:v>
                </c:pt>
                <c:pt idx="36">
                  <c:v>14132.36469</c:v>
                </c:pt>
                <c:pt idx="37">
                  <c:v>14631.32855</c:v>
                </c:pt>
                <c:pt idx="38">
                  <c:v>13974.337149999999</c:v>
                </c:pt>
                <c:pt idx="39">
                  <c:v>12058.272220000001</c:v>
                </c:pt>
                <c:pt idx="40">
                  <c:v>8674.3238838099987</c:v>
                </c:pt>
                <c:pt idx="41">
                  <c:v>6721.7768838000002</c:v>
                </c:pt>
                <c:pt idx="42">
                  <c:v>6095.9268829600005</c:v>
                </c:pt>
                <c:pt idx="43">
                  <c:v>4740.1596413500001</c:v>
                </c:pt>
                <c:pt idx="44">
                  <c:v>3524.0367200000001</c:v>
                </c:pt>
                <c:pt idx="45">
                  <c:v>3076.52088</c:v>
                </c:pt>
                <c:pt idx="46">
                  <c:v>2897.4879900000001</c:v>
                </c:pt>
                <c:pt idx="47">
                  <c:v>2790.3816499999998</c:v>
                </c:pt>
                <c:pt idx="48">
                  <c:v>2907.0644699999998</c:v>
                </c:pt>
                <c:pt idx="49">
                  <c:v>3008.150720000001</c:v>
                </c:pt>
                <c:pt idx="50">
                  <c:v>3062.43235</c:v>
                </c:pt>
                <c:pt idx="51">
                  <c:v>2945.1950200000001</c:v>
                </c:pt>
                <c:pt idx="52">
                  <c:v>2825.9249599999998</c:v>
                </c:pt>
                <c:pt idx="53">
                  <c:v>2734.0083599999998</c:v>
                </c:pt>
                <c:pt idx="54">
                  <c:v>3452.0102702300001</c:v>
                </c:pt>
                <c:pt idx="55">
                  <c:v>4656.1336035200002</c:v>
                </c:pt>
                <c:pt idx="56">
                  <c:v>5876.38789</c:v>
                </c:pt>
                <c:pt idx="57">
                  <c:v>6611.2039100000002</c:v>
                </c:pt>
                <c:pt idx="58">
                  <c:v>8563.7509099999988</c:v>
                </c:pt>
                <c:pt idx="59">
                  <c:v>10723.800950000001</c:v>
                </c:pt>
                <c:pt idx="60">
                  <c:v>11917.276159999999</c:v>
                </c:pt>
                <c:pt idx="61">
                  <c:v>12084.64659</c:v>
                </c:pt>
                <c:pt idx="62">
                  <c:v>11316.43014</c:v>
                </c:pt>
                <c:pt idx="63">
                  <c:v>9581.1113299999997</c:v>
                </c:pt>
                <c:pt idx="64">
                  <c:v>6318.8669861400003</c:v>
                </c:pt>
                <c:pt idx="65">
                  <c:v>5708.7269861300001</c:v>
                </c:pt>
                <c:pt idx="66">
                  <c:v>5082.8769852799996</c:v>
                </c:pt>
                <c:pt idx="67">
                  <c:v>3800.81697368</c:v>
                </c:pt>
                <c:pt idx="68">
                  <c:v>2632.68721233</c:v>
                </c:pt>
                <c:pt idx="69">
                  <c:v>1571.2080211</c:v>
                </c:pt>
                <c:pt idx="70">
                  <c:v>505.11174999999992</c:v>
                </c:pt>
                <c:pt idx="71">
                  <c:v>524.44362999999998</c:v>
                </c:pt>
                <c:pt idx="72">
                  <c:v>615.07228999999995</c:v>
                </c:pt>
                <c:pt idx="73">
                  <c:v>721.21090000000004</c:v>
                </c:pt>
                <c:pt idx="74">
                  <c:v>880.91901000000007</c:v>
                </c:pt>
                <c:pt idx="75">
                  <c:v>1094.8860299999999</c:v>
                </c:pt>
                <c:pt idx="76">
                  <c:v>1375.4901</c:v>
                </c:pt>
                <c:pt idx="77">
                  <c:v>2330.8324966099999</c:v>
                </c:pt>
                <c:pt idx="78">
                  <c:v>3440.7653939399997</c:v>
                </c:pt>
                <c:pt idx="79">
                  <c:v>4581.5063172399996</c:v>
                </c:pt>
                <c:pt idx="80">
                  <c:v>5699.8372637100001</c:v>
                </c:pt>
                <c:pt idx="81">
                  <c:v>6513.2062637200006</c:v>
                </c:pt>
                <c:pt idx="82">
                  <c:v>8465.7532637200002</c:v>
                </c:pt>
                <c:pt idx="83">
                  <c:v>10552.485405989999</c:v>
                </c:pt>
                <c:pt idx="84">
                  <c:v>12100.758620000001</c:v>
                </c:pt>
                <c:pt idx="85">
                  <c:v>13022.3585</c:v>
                </c:pt>
                <c:pt idx="86">
                  <c:v>13019.24444</c:v>
                </c:pt>
                <c:pt idx="87">
                  <c:v>12335.657859999999</c:v>
                </c:pt>
                <c:pt idx="88">
                  <c:v>11923.61781526</c:v>
                </c:pt>
                <c:pt idx="89">
                  <c:v>11253.28580559</c:v>
                </c:pt>
                <c:pt idx="90">
                  <c:v>11106.54983892</c:v>
                </c:pt>
                <c:pt idx="91">
                  <c:v>10771.062183670001</c:v>
                </c:pt>
                <c:pt idx="92">
                  <c:v>10353.75041058</c:v>
                </c:pt>
                <c:pt idx="93">
                  <c:v>9885.9895092900006</c:v>
                </c:pt>
                <c:pt idx="94">
                  <c:v>10558.2641516</c:v>
                </c:pt>
                <c:pt idx="95">
                  <c:v>11514.728402909999</c:v>
                </c:pt>
                <c:pt idx="96">
                  <c:v>13090.712196000002</c:v>
                </c:pt>
                <c:pt idx="97">
                  <c:v>13936.210543319998</c:v>
                </c:pt>
                <c:pt idx="98">
                  <c:v>11579.267255390001</c:v>
                </c:pt>
                <c:pt idx="99">
                  <c:v>14382.545833029999</c:v>
                </c:pt>
                <c:pt idx="100">
                  <c:v>14242.06688219</c:v>
                </c:pt>
                <c:pt idx="101">
                  <c:v>14459.75340584</c:v>
                </c:pt>
                <c:pt idx="102">
                  <c:v>14892.853602589999</c:v>
                </c:pt>
                <c:pt idx="103">
                  <c:v>15142.7760079</c:v>
                </c:pt>
                <c:pt idx="104">
                  <c:v>14722.22133</c:v>
                </c:pt>
                <c:pt idx="105">
                  <c:v>19029.547215540002</c:v>
                </c:pt>
                <c:pt idx="106">
                  <c:v>19444.790240220002</c:v>
                </c:pt>
                <c:pt idx="107">
                  <c:v>19627.369549629999</c:v>
                </c:pt>
                <c:pt idx="108">
                  <c:v>20045.49978495</c:v>
                </c:pt>
                <c:pt idx="109">
                  <c:v>20464.56893007</c:v>
                </c:pt>
                <c:pt idx="110">
                  <c:v>20481.198694749997</c:v>
                </c:pt>
                <c:pt idx="111">
                  <c:v>20223.075294300001</c:v>
                </c:pt>
                <c:pt idx="112">
                  <c:v>20006.02877166</c:v>
                </c:pt>
                <c:pt idx="113">
                  <c:v>18017.84821</c:v>
                </c:pt>
                <c:pt idx="114">
                  <c:v>16427.779576829998</c:v>
                </c:pt>
                <c:pt idx="115">
                  <c:v>15921.48324559</c:v>
                </c:pt>
                <c:pt idx="116">
                  <c:v>15943.154369849999</c:v>
                </c:pt>
                <c:pt idx="117">
                  <c:v>16345.20930142</c:v>
                </c:pt>
                <c:pt idx="118">
                  <c:v>16175.180805749998</c:v>
                </c:pt>
                <c:pt idx="119">
                  <c:v>16723.54939032</c:v>
                </c:pt>
                <c:pt idx="120">
                  <c:v>20077.868680970001</c:v>
                </c:pt>
                <c:pt idx="121">
                  <c:v>21166.98721585</c:v>
                </c:pt>
                <c:pt idx="122">
                  <c:v>18459.837435720001</c:v>
                </c:pt>
                <c:pt idx="123">
                  <c:v>21442.589891800002</c:v>
                </c:pt>
                <c:pt idx="124">
                  <c:v>18953.001396899999</c:v>
                </c:pt>
                <c:pt idx="125">
                  <c:v>20753.01779442</c:v>
                </c:pt>
                <c:pt idx="126">
                  <c:v>21596.144879079999</c:v>
                </c:pt>
                <c:pt idx="127">
                  <c:v>21264.755271629998</c:v>
                </c:pt>
                <c:pt idx="128">
                  <c:v>21261.877624140001</c:v>
                </c:pt>
                <c:pt idx="129">
                  <c:v>21178.05332558</c:v>
                </c:pt>
                <c:pt idx="130">
                  <c:v>20728.262895420001</c:v>
                </c:pt>
                <c:pt idx="131">
                  <c:v>20732.128069710001</c:v>
                </c:pt>
                <c:pt idx="132">
                  <c:v>20709.198337820002</c:v>
                </c:pt>
                <c:pt idx="133">
                  <c:v>20704.922617650001</c:v>
                </c:pt>
                <c:pt idx="134">
                  <c:v>20583.95618958</c:v>
                </c:pt>
                <c:pt idx="135">
                  <c:v>20133.514142870001</c:v>
                </c:pt>
                <c:pt idx="136">
                  <c:v>19698.83027455</c:v>
                </c:pt>
                <c:pt idx="137">
                  <c:v>15632.578975549999</c:v>
                </c:pt>
                <c:pt idx="138">
                  <c:v>16783.87191944</c:v>
                </c:pt>
                <c:pt idx="139">
                  <c:v>16161.650085830002</c:v>
                </c:pt>
                <c:pt idx="140">
                  <c:v>18780.570199410002</c:v>
                </c:pt>
                <c:pt idx="141">
                  <c:v>18176.443177679997</c:v>
                </c:pt>
                <c:pt idx="142">
                  <c:v>16753.500588229999</c:v>
                </c:pt>
                <c:pt idx="143">
                  <c:v>17690.326535749999</c:v>
                </c:pt>
                <c:pt idx="144">
                  <c:v>18464.527722090002</c:v>
                </c:pt>
                <c:pt idx="145">
                  <c:v>18905.927639780002</c:v>
                </c:pt>
                <c:pt idx="146">
                  <c:v>19355.75142579</c:v>
                </c:pt>
                <c:pt idx="147">
                  <c:v>19813.508082159999</c:v>
                </c:pt>
                <c:pt idx="148">
                  <c:v>20319.444675579998</c:v>
                </c:pt>
                <c:pt idx="149">
                  <c:v>20777.659585879999</c:v>
                </c:pt>
                <c:pt idx="150">
                  <c:v>20810.08340213</c:v>
                </c:pt>
                <c:pt idx="151">
                  <c:v>20792.260666120001</c:v>
                </c:pt>
                <c:pt idx="152">
                  <c:v>20771.553618810001</c:v>
                </c:pt>
                <c:pt idx="153">
                  <c:v>20751.717199049999</c:v>
                </c:pt>
                <c:pt idx="154">
                  <c:v>20733.823937729998</c:v>
                </c:pt>
                <c:pt idx="155">
                  <c:v>20737.914935059998</c:v>
                </c:pt>
                <c:pt idx="156">
                  <c:v>20714.635666130001</c:v>
                </c:pt>
                <c:pt idx="157">
                  <c:v>20710.260666130001</c:v>
                </c:pt>
                <c:pt idx="158">
                  <c:v>20725.936025589999</c:v>
                </c:pt>
                <c:pt idx="159">
                  <c:v>20710.68402004</c:v>
                </c:pt>
                <c:pt idx="160">
                  <c:v>20710.207168180001</c:v>
                </c:pt>
                <c:pt idx="161">
                  <c:v>20705.6624151</c:v>
                </c:pt>
                <c:pt idx="162">
                  <c:v>20721.078000900001</c:v>
                </c:pt>
                <c:pt idx="163">
                  <c:v>20701.51606736</c:v>
                </c:pt>
                <c:pt idx="164">
                  <c:v>20672.228053579998</c:v>
                </c:pt>
                <c:pt idx="165">
                  <c:v>20626.210615930002</c:v>
                </c:pt>
                <c:pt idx="166">
                  <c:v>20573.47538054</c:v>
                </c:pt>
                <c:pt idx="167">
                  <c:v>20578.096522510001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10-4522-9CC1-61483A9D965C}"/>
            </c:ext>
          </c:extLst>
        </c:ser>
        <c:ser>
          <c:idx val="3"/>
          <c:order val="1"/>
          <c:tx>
            <c:strRef>
              <c:f>'Comparación Generacion'!$AD$5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Generacion'!$AD$6:$AD$173</c:f>
              <c:numCache>
                <c:formatCode>0.0</c:formatCode>
                <c:ptCount val="168"/>
                <c:pt idx="0">
                  <c:v>13871.000090262676</c:v>
                </c:pt>
                <c:pt idx="1">
                  <c:v>12396.662176544034</c:v>
                </c:pt>
                <c:pt idx="2">
                  <c:v>12432.236324363877</c:v>
                </c:pt>
                <c:pt idx="3">
                  <c:v>12465.554165587786</c:v>
                </c:pt>
                <c:pt idx="4">
                  <c:v>12505.046799049092</c:v>
                </c:pt>
                <c:pt idx="5">
                  <c:v>12647.732372763587</c:v>
                </c:pt>
                <c:pt idx="6">
                  <c:v>12777.727363679976</c:v>
                </c:pt>
                <c:pt idx="7">
                  <c:v>12884.168085886871</c:v>
                </c:pt>
                <c:pt idx="8">
                  <c:v>12982.351694786259</c:v>
                </c:pt>
                <c:pt idx="9">
                  <c:v>14801.408027716412</c:v>
                </c:pt>
                <c:pt idx="10">
                  <c:v>18508.783866999998</c:v>
                </c:pt>
                <c:pt idx="11">
                  <c:v>18933.260622419995</c:v>
                </c:pt>
                <c:pt idx="12">
                  <c:v>19577.090740510001</c:v>
                </c:pt>
                <c:pt idx="13">
                  <c:v>19490.463867000006</c:v>
                </c:pt>
                <c:pt idx="14">
                  <c:v>19506.173867000001</c:v>
                </c:pt>
                <c:pt idx="15">
                  <c:v>17936.330504330006</c:v>
                </c:pt>
                <c:pt idx="16">
                  <c:v>15910.211575000001</c:v>
                </c:pt>
                <c:pt idx="17">
                  <c:v>9872.1596537936603</c:v>
                </c:pt>
                <c:pt idx="18">
                  <c:v>9360.6484209314021</c:v>
                </c:pt>
                <c:pt idx="19">
                  <c:v>8119.8441415098987</c:v>
                </c:pt>
                <c:pt idx="20">
                  <c:v>6936.4532897370254</c:v>
                </c:pt>
                <c:pt idx="21">
                  <c:v>5786.2601193645469</c:v>
                </c:pt>
                <c:pt idx="22">
                  <c:v>6599.8132209175019</c:v>
                </c:pt>
                <c:pt idx="23">
                  <c:v>7679.2540063811593</c:v>
                </c:pt>
                <c:pt idx="24">
                  <c:v>8636.9145788951082</c:v>
                </c:pt>
                <c:pt idx="25">
                  <c:v>9718.9795619824763</c:v>
                </c:pt>
                <c:pt idx="26">
                  <c:v>9962.0675445183842</c:v>
                </c:pt>
                <c:pt idx="27">
                  <c:v>8954.9966242264727</c:v>
                </c:pt>
                <c:pt idx="28">
                  <c:v>7957.0864905899498</c:v>
                </c:pt>
                <c:pt idx="29">
                  <c:v>7076.7378595960408</c:v>
                </c:pt>
                <c:pt idx="30">
                  <c:v>7195.089262568973</c:v>
                </c:pt>
                <c:pt idx="31">
                  <c:v>8335.9485778978742</c:v>
                </c:pt>
                <c:pt idx="32">
                  <c:v>9460.6878316623915</c:v>
                </c:pt>
                <c:pt idx="33">
                  <c:v>11433.264643511982</c:v>
                </c:pt>
                <c:pt idx="34">
                  <c:v>17154.507867</c:v>
                </c:pt>
                <c:pt idx="35">
                  <c:v>16939.861456909999</c:v>
                </c:pt>
                <c:pt idx="36">
                  <c:v>17839.932923199995</c:v>
                </c:pt>
                <c:pt idx="37">
                  <c:v>18672.463867000006</c:v>
                </c:pt>
                <c:pt idx="38">
                  <c:v>16471.232013370001</c:v>
                </c:pt>
                <c:pt idx="39">
                  <c:v>15442.042013369999</c:v>
                </c:pt>
                <c:pt idx="40">
                  <c:v>15320.22036209</c:v>
                </c:pt>
                <c:pt idx="41">
                  <c:v>7542.7995920517578</c:v>
                </c:pt>
                <c:pt idx="42">
                  <c:v>7414.3322038779643</c:v>
                </c:pt>
                <c:pt idx="43">
                  <c:v>6115.7837280312242</c:v>
                </c:pt>
                <c:pt idx="44">
                  <c:v>4917.9124894647257</c:v>
                </c:pt>
                <c:pt idx="45">
                  <c:v>4474.1053222253322</c:v>
                </c:pt>
                <c:pt idx="46">
                  <c:v>4299.4952933289815</c:v>
                </c:pt>
                <c:pt idx="47">
                  <c:v>4174.8609155804625</c:v>
                </c:pt>
                <c:pt idx="48">
                  <c:v>4107.860028455917</c:v>
                </c:pt>
                <c:pt idx="49">
                  <c:v>4205.6295979126571</c:v>
                </c:pt>
                <c:pt idx="50">
                  <c:v>4272.8531693831983</c:v>
                </c:pt>
                <c:pt idx="51">
                  <c:v>4163.1890418073954</c:v>
                </c:pt>
                <c:pt idx="52">
                  <c:v>4046.8227276659964</c:v>
                </c:pt>
                <c:pt idx="53">
                  <c:v>3959.387341617266</c:v>
                </c:pt>
                <c:pt idx="54">
                  <c:v>4670.8660302099152</c:v>
                </c:pt>
                <c:pt idx="55">
                  <c:v>5857.310640951664</c:v>
                </c:pt>
                <c:pt idx="56">
                  <c:v>7051.2858581239152</c:v>
                </c:pt>
                <c:pt idx="57">
                  <c:v>10777.442112765551</c:v>
                </c:pt>
                <c:pt idx="58">
                  <c:v>15071.819801320002</c:v>
                </c:pt>
                <c:pt idx="59">
                  <c:v>14857.173391230002</c:v>
                </c:pt>
                <c:pt idx="60">
                  <c:v>16207.120466559994</c:v>
                </c:pt>
                <c:pt idx="61">
                  <c:v>17791.493941280001</c:v>
                </c:pt>
                <c:pt idx="62">
                  <c:v>15528.928842689997</c:v>
                </c:pt>
                <c:pt idx="63">
                  <c:v>15402.194177460005</c:v>
                </c:pt>
                <c:pt idx="64">
                  <c:v>11811.838885459998</c:v>
                </c:pt>
                <c:pt idx="65">
                  <c:v>6353.989783916526</c:v>
                </c:pt>
                <c:pt idx="66">
                  <c:v>5944.1515616437127</c:v>
                </c:pt>
                <c:pt idx="67">
                  <c:v>4697.7964873304863</c:v>
                </c:pt>
                <c:pt idx="68">
                  <c:v>3861.6228764214948</c:v>
                </c:pt>
                <c:pt idx="69">
                  <c:v>2774.6412561632064</c:v>
                </c:pt>
                <c:pt idx="70">
                  <c:v>1693.3621659451826</c:v>
                </c:pt>
                <c:pt idx="71">
                  <c:v>1765.8781250902873</c:v>
                </c:pt>
                <c:pt idx="72">
                  <c:v>1914.8485793098673</c:v>
                </c:pt>
                <c:pt idx="73">
                  <c:v>2000.8750949641883</c:v>
                </c:pt>
                <c:pt idx="74">
                  <c:v>2157.743217627743</c:v>
                </c:pt>
                <c:pt idx="75">
                  <c:v>2373.9069439536829</c:v>
                </c:pt>
                <c:pt idx="76">
                  <c:v>2663.7527435770885</c:v>
                </c:pt>
                <c:pt idx="77">
                  <c:v>3632.1443559114427</c:v>
                </c:pt>
                <c:pt idx="78">
                  <c:v>4758.1299871339061</c:v>
                </c:pt>
                <c:pt idx="79">
                  <c:v>5902.7129770898136</c:v>
                </c:pt>
                <c:pt idx="80">
                  <c:v>7029.3713340474533</c:v>
                </c:pt>
                <c:pt idx="81">
                  <c:v>8492.8478831345165</c:v>
                </c:pt>
                <c:pt idx="82">
                  <c:v>15316.670800680004</c:v>
                </c:pt>
                <c:pt idx="83">
                  <c:v>15102.024390599998</c:v>
                </c:pt>
                <c:pt idx="84">
                  <c:v>17685.34656451</c:v>
                </c:pt>
                <c:pt idx="85">
                  <c:v>18672.463867000006</c:v>
                </c:pt>
                <c:pt idx="86">
                  <c:v>17455.257664270001</c:v>
                </c:pt>
                <c:pt idx="87">
                  <c:v>17471.427546180006</c:v>
                </c:pt>
                <c:pt idx="88">
                  <c:v>17150.211575000001</c:v>
                </c:pt>
                <c:pt idx="89">
                  <c:v>12365.125971492931</c:v>
                </c:pt>
                <c:pt idx="90">
                  <c:v>12675.961947443771</c:v>
                </c:pt>
                <c:pt idx="91">
                  <c:v>12406.599168838289</c:v>
                </c:pt>
                <c:pt idx="92">
                  <c:v>12096.081777715881</c:v>
                </c:pt>
                <c:pt idx="93">
                  <c:v>11725.463120564113</c:v>
                </c:pt>
                <c:pt idx="94">
                  <c:v>12556.988699756006</c:v>
                </c:pt>
                <c:pt idx="95">
                  <c:v>13420.838260153787</c:v>
                </c:pt>
                <c:pt idx="96">
                  <c:v>13082.84835745226</c:v>
                </c:pt>
                <c:pt idx="97">
                  <c:v>13053.097242459164</c:v>
                </c:pt>
                <c:pt idx="98">
                  <c:v>13503.18408111859</c:v>
                </c:pt>
                <c:pt idx="99">
                  <c:v>13763.709063421351</c:v>
                </c:pt>
                <c:pt idx="100">
                  <c:v>14689.971451563029</c:v>
                </c:pt>
                <c:pt idx="101">
                  <c:v>16669.57154224949</c:v>
                </c:pt>
                <c:pt idx="102">
                  <c:v>17618.788523342209</c:v>
                </c:pt>
                <c:pt idx="103">
                  <c:v>18186.075634586417</c:v>
                </c:pt>
                <c:pt idx="104">
                  <c:v>18806.983866999999</c:v>
                </c:pt>
                <c:pt idx="105">
                  <c:v>19609.426560129999</c:v>
                </c:pt>
                <c:pt idx="106">
                  <c:v>19609.426560129999</c:v>
                </c:pt>
                <c:pt idx="107">
                  <c:v>19593.256678219997</c:v>
                </c:pt>
                <c:pt idx="108">
                  <c:v>19577.086796309999</c:v>
                </c:pt>
                <c:pt idx="109">
                  <c:v>19577.086796309999</c:v>
                </c:pt>
                <c:pt idx="110">
                  <c:v>19593.256678219997</c:v>
                </c:pt>
                <c:pt idx="111">
                  <c:v>19609.426560129999</c:v>
                </c:pt>
                <c:pt idx="112">
                  <c:v>19609.426560129999</c:v>
                </c:pt>
                <c:pt idx="113">
                  <c:v>18949.426560130003</c:v>
                </c:pt>
                <c:pt idx="114">
                  <c:v>18911.589884776025</c:v>
                </c:pt>
                <c:pt idx="115">
                  <c:v>17117.408825422543</c:v>
                </c:pt>
                <c:pt idx="116">
                  <c:v>16640.813053641206</c:v>
                </c:pt>
                <c:pt idx="117">
                  <c:v>16651.905002462616</c:v>
                </c:pt>
                <c:pt idx="118">
                  <c:v>16619.455441492057</c:v>
                </c:pt>
                <c:pt idx="119">
                  <c:v>16952.101303268613</c:v>
                </c:pt>
                <c:pt idx="120">
                  <c:v>17457.788450306005</c:v>
                </c:pt>
                <c:pt idx="121">
                  <c:v>17487.517377321794</c:v>
                </c:pt>
                <c:pt idx="122">
                  <c:v>17254.744662639456</c:v>
                </c:pt>
                <c:pt idx="123">
                  <c:v>17612.716078359197</c:v>
                </c:pt>
                <c:pt idx="124">
                  <c:v>19188.63170660086</c:v>
                </c:pt>
                <c:pt idx="125">
                  <c:v>16955.577580353223</c:v>
                </c:pt>
                <c:pt idx="126">
                  <c:v>17676.762148754118</c:v>
                </c:pt>
                <c:pt idx="127">
                  <c:v>17941.457845210516</c:v>
                </c:pt>
                <c:pt idx="128">
                  <c:v>17022.790265101281</c:v>
                </c:pt>
                <c:pt idx="129">
                  <c:v>20224.376905700708</c:v>
                </c:pt>
                <c:pt idx="130">
                  <c:v>19591.066268560004</c:v>
                </c:pt>
                <c:pt idx="131">
                  <c:v>19607.376275519997</c:v>
                </c:pt>
                <c:pt idx="132">
                  <c:v>19591.066268560004</c:v>
                </c:pt>
                <c:pt idx="133">
                  <c:v>19591.066268560004</c:v>
                </c:pt>
                <c:pt idx="134">
                  <c:v>19607.376275519997</c:v>
                </c:pt>
                <c:pt idx="135">
                  <c:v>19591.066268560004</c:v>
                </c:pt>
                <c:pt idx="136">
                  <c:v>19591.066268560004</c:v>
                </c:pt>
                <c:pt idx="137">
                  <c:v>16593.137464367977</c:v>
                </c:pt>
                <c:pt idx="138">
                  <c:v>17770.116273013937</c:v>
                </c:pt>
                <c:pt idx="139">
                  <c:v>16933.858888007511</c:v>
                </c:pt>
                <c:pt idx="140">
                  <c:v>17402.48149802097</c:v>
                </c:pt>
                <c:pt idx="141">
                  <c:v>16575.231872121964</c:v>
                </c:pt>
                <c:pt idx="142">
                  <c:v>16240.129714096875</c:v>
                </c:pt>
                <c:pt idx="143">
                  <c:v>17214.160748556002</c:v>
                </c:pt>
                <c:pt idx="144">
                  <c:v>18539.480472019484</c:v>
                </c:pt>
                <c:pt idx="145">
                  <c:v>19525.825284679999</c:v>
                </c:pt>
                <c:pt idx="146">
                  <c:v>19525.825284679999</c:v>
                </c:pt>
                <c:pt idx="147">
                  <c:v>19525.825284679999</c:v>
                </c:pt>
                <c:pt idx="148">
                  <c:v>19558.445288600007</c:v>
                </c:pt>
                <c:pt idx="149">
                  <c:v>19591.065282510001</c:v>
                </c:pt>
                <c:pt idx="150">
                  <c:v>19607.375289470001</c:v>
                </c:pt>
                <c:pt idx="151">
                  <c:v>19591.065282510001</c:v>
                </c:pt>
                <c:pt idx="152">
                  <c:v>19591.065282510001</c:v>
                </c:pt>
                <c:pt idx="153">
                  <c:v>19591.065282510001</c:v>
                </c:pt>
                <c:pt idx="154">
                  <c:v>19591.065282510001</c:v>
                </c:pt>
                <c:pt idx="155">
                  <c:v>19607.375289470001</c:v>
                </c:pt>
                <c:pt idx="156">
                  <c:v>19591.065282510001</c:v>
                </c:pt>
                <c:pt idx="157">
                  <c:v>19591.065282510001</c:v>
                </c:pt>
                <c:pt idx="158">
                  <c:v>19607.375289470001</c:v>
                </c:pt>
                <c:pt idx="159">
                  <c:v>19591.065282510001</c:v>
                </c:pt>
                <c:pt idx="160">
                  <c:v>19591.065282510001</c:v>
                </c:pt>
                <c:pt idx="161">
                  <c:v>20462.705996671008</c:v>
                </c:pt>
                <c:pt idx="162">
                  <c:v>21227.292519910916</c:v>
                </c:pt>
                <c:pt idx="163">
                  <c:v>21260.74646168849</c:v>
                </c:pt>
                <c:pt idx="164">
                  <c:v>21242.923392933149</c:v>
                </c:pt>
                <c:pt idx="165">
                  <c:v>21229.694831556877</c:v>
                </c:pt>
                <c:pt idx="166">
                  <c:v>21196.602694410009</c:v>
                </c:pt>
                <c:pt idx="167">
                  <c:v>21193.506531284227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10-4522-9CC1-61483A9D9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F10-4522-9CC1-61483A9D965C}"/>
                  </c:ext>
                </c:extLst>
              </c15:ser>
            </c15:filteredAreaSeries>
            <c15:filteredArea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10-4522-9CC1-61483A9D965C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Generación de electrolizadores Emarket TYNDP</a:t>
            </a:r>
            <a:r>
              <a:rPr lang="es-ES" b="1" baseline="0"/>
              <a:t> 26 vs. BenchMarking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'Comparación Generacion'!$Y$5</c:f>
              <c:strCache>
                <c:ptCount val="1"/>
                <c:pt idx="0">
                  <c:v>ES00-ESh2-P2G_emarket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Generacion'!$Y$6:$Y$173</c:f>
              <c:numCache>
                <c:formatCode>0.0</c:formatCode>
                <c:ptCount val="168"/>
                <c:pt idx="0">
                  <c:v>3552.0932227899998</c:v>
                </c:pt>
                <c:pt idx="1">
                  <c:v>3112.8034427900002</c:v>
                </c:pt>
                <c:pt idx="2">
                  <c:v>3031.1321427900002</c:v>
                </c:pt>
                <c:pt idx="3">
                  <c:v>2878.80235279</c:v>
                </c:pt>
                <c:pt idx="4">
                  <c:v>2530.53562556</c:v>
                </c:pt>
                <c:pt idx="5">
                  <c:v>2628.9265975500002</c:v>
                </c:pt>
                <c:pt idx="6">
                  <c:v>3334.5816467999998</c:v>
                </c:pt>
                <c:pt idx="7">
                  <c:v>4989.0924720100002</c:v>
                </c:pt>
                <c:pt idx="8">
                  <c:v>6413.0960684899992</c:v>
                </c:pt>
                <c:pt idx="9">
                  <c:v>3411.5177984900001</c:v>
                </c:pt>
                <c:pt idx="10">
                  <c:v>1739.0362161600001</c:v>
                </c:pt>
                <c:pt idx="11">
                  <c:v>1590.77385357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806.86083608000013</c:v>
                </c:pt>
                <c:pt idx="16">
                  <c:v>474.17894087000002</c:v>
                </c:pt>
                <c:pt idx="17">
                  <c:v>2550.12291848</c:v>
                </c:pt>
                <c:pt idx="18">
                  <c:v>3715.18756764</c:v>
                </c:pt>
                <c:pt idx="19">
                  <c:v>2559.8526160400002</c:v>
                </c:pt>
                <c:pt idx="20">
                  <c:v>1324.5099946800001</c:v>
                </c:pt>
                <c:pt idx="21">
                  <c:v>24.81941346</c:v>
                </c:pt>
                <c:pt idx="22">
                  <c:v>549.31688069999996</c:v>
                </c:pt>
                <c:pt idx="23">
                  <c:v>1372.0664007</c:v>
                </c:pt>
                <c:pt idx="24">
                  <c:v>2154.9805769899999</c:v>
                </c:pt>
                <c:pt idx="25">
                  <c:v>3436.32974698</c:v>
                </c:pt>
                <c:pt idx="26">
                  <c:v>3955.7616195199998</c:v>
                </c:pt>
                <c:pt idx="27">
                  <c:v>3268.0320895200002</c:v>
                </c:pt>
                <c:pt idx="28">
                  <c:v>2509.0077403800001</c:v>
                </c:pt>
                <c:pt idx="29">
                  <c:v>1856.24740855</c:v>
                </c:pt>
                <c:pt idx="30">
                  <c:v>2370.1059789400001</c:v>
                </c:pt>
                <c:pt idx="31">
                  <c:v>4005.1616822400001</c:v>
                </c:pt>
                <c:pt idx="32">
                  <c:v>5062.6527287200006</c:v>
                </c:pt>
                <c:pt idx="33">
                  <c:v>3094.5704387199999</c:v>
                </c:pt>
                <c:pt idx="34">
                  <c:v>1050.63391174</c:v>
                </c:pt>
                <c:pt idx="35">
                  <c:v>153.1264832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282.55769380999999</c:v>
                </c:pt>
                <c:pt idx="41">
                  <c:v>3232.2170538</c:v>
                </c:pt>
                <c:pt idx="42">
                  <c:v>2976.5425929600001</c:v>
                </c:pt>
                <c:pt idx="43">
                  <c:v>1009.48807135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925.98505023000007</c:v>
                </c:pt>
                <c:pt idx="55">
                  <c:v>2483.7742935199999</c:v>
                </c:pt>
                <c:pt idx="56">
                  <c:v>3657.6045199999999</c:v>
                </c:pt>
                <c:pt idx="57">
                  <c:v>1647.31062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101.21664613999999</c:v>
                </c:pt>
                <c:pt idx="65">
                  <c:v>3794.73170613</c:v>
                </c:pt>
                <c:pt idx="66">
                  <c:v>4209.5968652800002</c:v>
                </c:pt>
                <c:pt idx="67">
                  <c:v>2909.5667536800001</c:v>
                </c:pt>
                <c:pt idx="68">
                  <c:v>2045.5285723300001</c:v>
                </c:pt>
                <c:pt idx="69">
                  <c:v>1099.4137310999999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728.94185660999983</c:v>
                </c:pt>
                <c:pt idx="78">
                  <c:v>1658.45594394</c:v>
                </c:pt>
                <c:pt idx="79">
                  <c:v>2693.7363072399999</c:v>
                </c:pt>
                <c:pt idx="80">
                  <c:v>3482.5214637099998</c:v>
                </c:pt>
                <c:pt idx="81">
                  <c:v>2050.9719937199998</c:v>
                </c:pt>
                <c:pt idx="82">
                  <c:v>848.47779371999991</c:v>
                </c:pt>
                <c:pt idx="83">
                  <c:v>384.84094599000002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1519.7783652600001</c:v>
                </c:pt>
                <c:pt idx="89">
                  <c:v>4338.87554559</c:v>
                </c:pt>
                <c:pt idx="90">
                  <c:v>5097.7871789199999</c:v>
                </c:pt>
                <c:pt idx="91">
                  <c:v>3898.2948436699999</c:v>
                </c:pt>
                <c:pt idx="92">
                  <c:v>2933.89328058</c:v>
                </c:pt>
                <c:pt idx="93">
                  <c:v>2110.7724092899998</c:v>
                </c:pt>
                <c:pt idx="94">
                  <c:v>1938.9550316</c:v>
                </c:pt>
                <c:pt idx="95">
                  <c:v>1964.3494229099999</c:v>
                </c:pt>
                <c:pt idx="96">
                  <c:v>3188.599216000001</c:v>
                </c:pt>
                <c:pt idx="97">
                  <c:v>4695.4149933199997</c:v>
                </c:pt>
                <c:pt idx="98">
                  <c:v>2549.08539539</c:v>
                </c:pt>
                <c:pt idx="99">
                  <c:v>4740.2765230300001</c:v>
                </c:pt>
                <c:pt idx="100">
                  <c:v>3049.3137721899998</c:v>
                </c:pt>
                <c:pt idx="101">
                  <c:v>1758.6805558399999</c:v>
                </c:pt>
                <c:pt idx="102">
                  <c:v>1468.5428025900001</c:v>
                </c:pt>
                <c:pt idx="103">
                  <c:v>1286.2306979</c:v>
                </c:pt>
                <c:pt idx="104">
                  <c:v>0</c:v>
                </c:pt>
                <c:pt idx="105">
                  <c:v>1679.89420554</c:v>
                </c:pt>
                <c:pt idx="106">
                  <c:v>5094.7389025400007</c:v>
                </c:pt>
                <c:pt idx="107">
                  <c:v>11005</c:v>
                </c:pt>
                <c:pt idx="108">
                  <c:v>11005</c:v>
                </c:pt>
                <c:pt idx="109">
                  <c:v>11005</c:v>
                </c:pt>
                <c:pt idx="110">
                  <c:v>11005</c:v>
                </c:pt>
                <c:pt idx="111">
                  <c:v>11005</c:v>
                </c:pt>
                <c:pt idx="112">
                  <c:v>8029.9397307700001</c:v>
                </c:pt>
                <c:pt idx="113">
                  <c:v>0</c:v>
                </c:pt>
                <c:pt idx="114">
                  <c:v>2020.2707168300001</c:v>
                </c:pt>
                <c:pt idx="115">
                  <c:v>2879.1893655899999</c:v>
                </c:pt>
                <c:pt idx="116">
                  <c:v>3263.9935398499988</c:v>
                </c:pt>
                <c:pt idx="117">
                  <c:v>3657.5973414199998</c:v>
                </c:pt>
                <c:pt idx="118">
                  <c:v>3512.29317575</c:v>
                </c:pt>
                <c:pt idx="119">
                  <c:v>3807.2080903199999</c:v>
                </c:pt>
                <c:pt idx="120">
                  <c:v>6776.2288409700004</c:v>
                </c:pt>
                <c:pt idx="121">
                  <c:v>7842.6955358499999</c:v>
                </c:pt>
                <c:pt idx="122">
                  <c:v>5312.9030457200006</c:v>
                </c:pt>
                <c:pt idx="123">
                  <c:v>8329.5743318000004</c:v>
                </c:pt>
                <c:pt idx="124">
                  <c:v>5885.2909369000008</c:v>
                </c:pt>
                <c:pt idx="125">
                  <c:v>7834.0281944200005</c:v>
                </c:pt>
                <c:pt idx="126">
                  <c:v>8841.39460908</c:v>
                </c:pt>
                <c:pt idx="127">
                  <c:v>8921.9328016299987</c:v>
                </c:pt>
                <c:pt idx="128">
                  <c:v>9360.1852541400003</c:v>
                </c:pt>
                <c:pt idx="129">
                  <c:v>6208.6625355799997</c:v>
                </c:pt>
                <c:pt idx="130">
                  <c:v>761.11607542000002</c:v>
                </c:pt>
                <c:pt idx="131">
                  <c:v>11005</c:v>
                </c:pt>
                <c:pt idx="132">
                  <c:v>11005</c:v>
                </c:pt>
                <c:pt idx="133">
                  <c:v>11005</c:v>
                </c:pt>
                <c:pt idx="134">
                  <c:v>11005</c:v>
                </c:pt>
                <c:pt idx="135">
                  <c:v>11005</c:v>
                </c:pt>
                <c:pt idx="136">
                  <c:v>5769.1220671900001</c:v>
                </c:pt>
                <c:pt idx="137">
                  <c:v>4830.41390555</c:v>
                </c:pt>
                <c:pt idx="138">
                  <c:v>7443.6657194400004</c:v>
                </c:pt>
                <c:pt idx="139">
                  <c:v>5791.4951658300006</c:v>
                </c:pt>
                <c:pt idx="140">
                  <c:v>7620.5864294099993</c:v>
                </c:pt>
                <c:pt idx="141">
                  <c:v>6515.6665876799998</c:v>
                </c:pt>
                <c:pt idx="142">
                  <c:v>4383.9132482300001</c:v>
                </c:pt>
                <c:pt idx="143">
                  <c:v>4574.3140657500007</c:v>
                </c:pt>
                <c:pt idx="144">
                  <c:v>4338.7120720900002</c:v>
                </c:pt>
                <c:pt idx="145">
                  <c:v>3688.063829780001</c:v>
                </c:pt>
                <c:pt idx="146">
                  <c:v>3347.57674597</c:v>
                </c:pt>
                <c:pt idx="147">
                  <c:v>2362.84976216</c:v>
                </c:pt>
                <c:pt idx="148">
                  <c:v>1733.46511558</c:v>
                </c:pt>
                <c:pt idx="149">
                  <c:v>1650.7757558799999</c:v>
                </c:pt>
                <c:pt idx="150">
                  <c:v>11005</c:v>
                </c:pt>
                <c:pt idx="151">
                  <c:v>2696.17329612</c:v>
                </c:pt>
                <c:pt idx="152">
                  <c:v>11005</c:v>
                </c:pt>
                <c:pt idx="153">
                  <c:v>11005</c:v>
                </c:pt>
                <c:pt idx="154">
                  <c:v>6342.1974667499999</c:v>
                </c:pt>
                <c:pt idx="155">
                  <c:v>11005</c:v>
                </c:pt>
                <c:pt idx="156">
                  <c:v>11005</c:v>
                </c:pt>
                <c:pt idx="157">
                  <c:v>11005</c:v>
                </c:pt>
                <c:pt idx="158">
                  <c:v>11005</c:v>
                </c:pt>
                <c:pt idx="159">
                  <c:v>11005</c:v>
                </c:pt>
                <c:pt idx="160">
                  <c:v>11005</c:v>
                </c:pt>
                <c:pt idx="161">
                  <c:v>0</c:v>
                </c:pt>
                <c:pt idx="162">
                  <c:v>11005</c:v>
                </c:pt>
                <c:pt idx="163">
                  <c:v>1892.16127736</c:v>
                </c:pt>
                <c:pt idx="164">
                  <c:v>11005</c:v>
                </c:pt>
                <c:pt idx="165">
                  <c:v>2865.70849761</c:v>
                </c:pt>
                <c:pt idx="166">
                  <c:v>11005</c:v>
                </c:pt>
                <c:pt idx="167">
                  <c:v>264.50591250999997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57-49A1-A80E-CB0C23AD9806}"/>
            </c:ext>
          </c:extLst>
        </c:ser>
        <c:ser>
          <c:idx val="3"/>
          <c:order val="1"/>
          <c:tx>
            <c:strRef>
              <c:f>'Comparación Generacion'!$AC$5</c:f>
              <c:strCache>
                <c:ptCount val="1"/>
                <c:pt idx="0">
                  <c:v>ES_electrolyzer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70000"/>
              </a:schemeClr>
            </a:solidFill>
            <a:ln w="12700">
              <a:solidFill>
                <a:schemeClr val="tx1"/>
              </a:solidFill>
            </a:ln>
          </c:spPr>
          <c:val>
            <c:numRef>
              <c:f>'Comparación Generacion'!$AC$6:$AC$173</c:f>
              <c:numCache>
                <c:formatCode>0.0</c:formatCode>
                <c:ptCount val="168"/>
                <c:pt idx="0">
                  <c:v>5897.7667191245882</c:v>
                </c:pt>
                <c:pt idx="1">
                  <c:v>2815.594175088976</c:v>
                </c:pt>
                <c:pt idx="2">
                  <c:v>2612.2990073832329</c:v>
                </c:pt>
                <c:pt idx="3">
                  <c:v>2279.704235108677</c:v>
                </c:pt>
                <c:pt idx="4">
                  <c:v>1585.312830893602</c:v>
                </c:pt>
                <c:pt idx="5">
                  <c:v>1691.5462530038301</c:v>
                </c:pt>
                <c:pt idx="6">
                  <c:v>2939.977224246009</c:v>
                </c:pt>
                <c:pt idx="7">
                  <c:v>5995.6977744932656</c:v>
                </c:pt>
                <c:pt idx="8">
                  <c:v>8381.4217210371316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5330.2284278857096</c:v>
                </c:pt>
                <c:pt idx="19">
                  <c:v>3762.1553947207899</c:v>
                </c:pt>
                <c:pt idx="20">
                  <c:v>1994.4548655542981</c:v>
                </c:pt>
                <c:pt idx="21">
                  <c:v>84.135196621420434</c:v>
                </c:pt>
                <c:pt idx="22">
                  <c:v>680.47741834644648</c:v>
                </c:pt>
                <c:pt idx="23">
                  <c:v>1707.964109455336</c:v>
                </c:pt>
                <c:pt idx="24">
                  <c:v>2661.0693722572541</c:v>
                </c:pt>
                <c:pt idx="25">
                  <c:v>4544.6985941644343</c:v>
                </c:pt>
                <c:pt idx="26">
                  <c:v>5368.8137193744969</c:v>
                </c:pt>
                <c:pt idx="27">
                  <c:v>4492.4223739965801</c:v>
                </c:pt>
                <c:pt idx="28">
                  <c:v>3483.2751004981069</c:v>
                </c:pt>
                <c:pt idx="29">
                  <c:v>2615.8324174263571</c:v>
                </c:pt>
                <c:pt idx="30">
                  <c:v>3510.9837976641552</c:v>
                </c:pt>
                <c:pt idx="31">
                  <c:v>6078.1607525603094</c:v>
                </c:pt>
                <c:pt idx="32">
                  <c:v>7375.5273244896634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1407.3810854159531</c:v>
                </c:pt>
                <c:pt idx="42">
                  <c:v>4742.8457819962023</c:v>
                </c:pt>
                <c:pt idx="43">
                  <c:v>1742.0705994352491</c:v>
                </c:pt>
                <c:pt idx="44">
                  <c:v>418.25348292196662</c:v>
                </c:pt>
                <c:pt idx="45">
                  <c:v>623.3058242915273</c:v>
                </c:pt>
                <c:pt idx="46">
                  <c:v>709.53737981412814</c:v>
                </c:pt>
                <c:pt idx="47">
                  <c:v>732.30510963865788</c:v>
                </c:pt>
                <c:pt idx="48">
                  <c:v>417.81766775399842</c:v>
                </c:pt>
                <c:pt idx="49">
                  <c:v>367.95807953163597</c:v>
                </c:pt>
                <c:pt idx="50">
                  <c:v>362.21732732030421</c:v>
                </c:pt>
                <c:pt idx="51">
                  <c:v>425.36636218752022</c:v>
                </c:pt>
                <c:pt idx="52">
                  <c:v>482.7518903235075</c:v>
                </c:pt>
                <c:pt idx="53">
                  <c:v>530.18283125373148</c:v>
                </c:pt>
                <c:pt idx="54">
                  <c:v>1936.5356585548641</c:v>
                </c:pt>
                <c:pt idx="55">
                  <c:v>4294.5566972955539</c:v>
                </c:pt>
                <c:pt idx="56">
                  <c:v>5656.9829420492197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2799.3162629788221</c:v>
                </c:pt>
                <c:pt idx="66">
                  <c:v>6853.3319201023214</c:v>
                </c:pt>
                <c:pt idx="67">
                  <c:v>5040.1024098485341</c:v>
                </c:pt>
                <c:pt idx="68">
                  <c:v>4415.7207956081347</c:v>
                </c:pt>
                <c:pt idx="69">
                  <c:v>3079.1895938597081</c:v>
                </c:pt>
                <c:pt idx="70">
                  <c:v>1472.0376519617089</c:v>
                </c:pt>
                <c:pt idx="71">
                  <c:v>1539.385391191666</c:v>
                </c:pt>
                <c:pt idx="72">
                  <c:v>1582.27754300215</c:v>
                </c:pt>
                <c:pt idx="73">
                  <c:v>1506.170775425006</c:v>
                </c:pt>
                <c:pt idx="74">
                  <c:v>1430.8251544428499</c:v>
                </c:pt>
                <c:pt idx="75">
                  <c:v>1338.4564645494161</c:v>
                </c:pt>
                <c:pt idx="76">
                  <c:v>1226.4072097973101</c:v>
                </c:pt>
                <c:pt idx="77">
                  <c:v>2185.3383620061932</c:v>
                </c:pt>
                <c:pt idx="78">
                  <c:v>3455.6157879584448</c:v>
                </c:pt>
                <c:pt idx="79">
                  <c:v>4893.0028024290459</c:v>
                </c:pt>
                <c:pt idx="80">
                  <c:v>5711.1268785196216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2084.760852969142</c:v>
                </c:pt>
                <c:pt idx="90">
                  <c:v>6840.5337988800075</c:v>
                </c:pt>
                <c:pt idx="91">
                  <c:v>4837.7281242147728</c:v>
                </c:pt>
                <c:pt idx="92">
                  <c:v>3368.3741749267551</c:v>
                </c:pt>
                <c:pt idx="93">
                  <c:v>2172.6419265040581</c:v>
                </c:pt>
                <c:pt idx="94">
                  <c:v>1777.9189263892649</c:v>
                </c:pt>
                <c:pt idx="95">
                  <c:v>1266.2949556981521</c:v>
                </c:pt>
                <c:pt idx="96">
                  <c:v>123.97413014557191</c:v>
                </c:pt>
                <c:pt idx="97">
                  <c:v>1321.3994476243131</c:v>
                </c:pt>
                <c:pt idx="98">
                  <c:v>2359.2680196905781</c:v>
                </c:pt>
                <c:pt idx="99">
                  <c:v>1583.8223389465199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574.98382196449768</c:v>
                </c:pt>
                <c:pt idx="124">
                  <c:v>2911.2362064599201</c:v>
                </c:pt>
                <c:pt idx="125">
                  <c:v>0</c:v>
                </c:pt>
                <c:pt idx="126">
                  <c:v>1338.2019531674071</c:v>
                </c:pt>
                <c:pt idx="127">
                  <c:v>2488.6766087403971</c:v>
                </c:pt>
                <c:pt idx="128">
                  <c:v>1769.573203784706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630.36182420107434</c:v>
                </c:pt>
                <c:pt idx="138">
                  <c:v>7867.7514835802431</c:v>
                </c:pt>
                <c:pt idx="139">
                  <c:v>4747.8701763673571</c:v>
                </c:pt>
                <c:pt idx="140">
                  <c:v>3936.4541379544239</c:v>
                </c:pt>
                <c:pt idx="141">
                  <c:v>1815.7159001995969</c:v>
                </c:pt>
                <c:pt idx="142">
                  <c:v>8.0253155818697266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57-49A1-A80E-CB0C23AD9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A57-49A1-A80E-CB0C23AD9806}"/>
                  </c:ext>
                </c:extLst>
              </c15:ser>
            </c15:filteredAreaSeries>
            <c15:filteredArea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57-49A1-A80E-CB0C23AD9806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Comparación Eólica ES00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'Comparación Generacion'!$Z$5</c:f>
              <c:strCache>
                <c:ptCount val="1"/>
                <c:pt idx="0">
                  <c:v>ES00_SRES_P2G-ESh2-P2G_SRES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 w="12700">
              <a:solidFill>
                <a:schemeClr val="tx1"/>
              </a:solidFill>
            </a:ln>
          </c:spPr>
          <c:val>
            <c:numRef>
              <c:f>'Comparación Generacion'!$Z$6:$Z$173</c:f>
              <c:numCache>
                <c:formatCode>0.0</c:formatCode>
                <c:ptCount val="168"/>
                <c:pt idx="0">
                  <c:v>7423.1664400000009</c:v>
                </c:pt>
                <c:pt idx="1">
                  <c:v>7943.7050699999991</c:v>
                </c:pt>
                <c:pt idx="2">
                  <c:v>8079.2383900000004</c:v>
                </c:pt>
                <c:pt idx="3">
                  <c:v>8282.0143900000003</c:v>
                </c:pt>
                <c:pt idx="4">
                  <c:v>8682.4600699999992</c:v>
                </c:pt>
                <c:pt idx="5">
                  <c:v>8734.51656</c:v>
                </c:pt>
                <c:pt idx="6">
                  <c:v>8167.7107799999994</c:v>
                </c:pt>
                <c:pt idx="7">
                  <c:v>6619.0360599999995</c:v>
                </c:pt>
                <c:pt idx="8">
                  <c:v>5293.4220400000004</c:v>
                </c:pt>
                <c:pt idx="9">
                  <c:v>7860.240310000001</c:v>
                </c:pt>
                <c:pt idx="10">
                  <c:v>12534.34</c:v>
                </c:pt>
                <c:pt idx="11">
                  <c:v>15517.427009999999</c:v>
                </c:pt>
                <c:pt idx="12">
                  <c:v>17274.066409999999</c:v>
                </c:pt>
                <c:pt idx="13">
                  <c:v>17736.400659999999</c:v>
                </c:pt>
                <c:pt idx="14">
                  <c:v>16964.3992</c:v>
                </c:pt>
                <c:pt idx="15">
                  <c:v>15285.947840000001</c:v>
                </c:pt>
                <c:pt idx="16">
                  <c:v>11752.39357</c:v>
                </c:pt>
                <c:pt idx="17">
                  <c:v>6080.0885499999986</c:v>
                </c:pt>
                <c:pt idx="18">
                  <c:v>4289.1738999999998</c:v>
                </c:pt>
                <c:pt idx="19">
                  <c:v>4180.2123299999994</c:v>
                </c:pt>
                <c:pt idx="20">
                  <c:v>4221.3561200000004</c:v>
                </c:pt>
                <c:pt idx="21">
                  <c:v>4363.8602199999996</c:v>
                </c:pt>
                <c:pt idx="22">
                  <c:v>4665.6719899999998</c:v>
                </c:pt>
                <c:pt idx="23">
                  <c:v>4940.1196499999996</c:v>
                </c:pt>
                <c:pt idx="24">
                  <c:v>5161.4507900000008</c:v>
                </c:pt>
                <c:pt idx="25">
                  <c:v>4981.2726700000003</c:v>
                </c:pt>
                <c:pt idx="26">
                  <c:v>4726.9457000000002</c:v>
                </c:pt>
                <c:pt idx="27">
                  <c:v>4427.0516399999997</c:v>
                </c:pt>
                <c:pt idx="28">
                  <c:v>4204.9430499999999</c:v>
                </c:pt>
                <c:pt idx="29">
                  <c:v>3996.82998</c:v>
                </c:pt>
                <c:pt idx="30">
                  <c:v>3609.57539</c:v>
                </c:pt>
                <c:pt idx="31">
                  <c:v>3109.6224999999999</c:v>
                </c:pt>
                <c:pt idx="32">
                  <c:v>3167.62311</c:v>
                </c:pt>
                <c:pt idx="33">
                  <c:v>5745.8454000000002</c:v>
                </c:pt>
                <c:pt idx="34">
                  <c:v>9812.1637900000005</c:v>
                </c:pt>
                <c:pt idx="35">
                  <c:v>12427.44666</c:v>
                </c:pt>
                <c:pt idx="36">
                  <c:v>14132.36469</c:v>
                </c:pt>
                <c:pt idx="37">
                  <c:v>14631.32855</c:v>
                </c:pt>
                <c:pt idx="38">
                  <c:v>13974.337149999999</c:v>
                </c:pt>
                <c:pt idx="39">
                  <c:v>12058.272220000001</c:v>
                </c:pt>
                <c:pt idx="40">
                  <c:v>8391.7661899999985</c:v>
                </c:pt>
                <c:pt idx="41">
                  <c:v>3489.5598300000001</c:v>
                </c:pt>
                <c:pt idx="42">
                  <c:v>3119.38429</c:v>
                </c:pt>
                <c:pt idx="43">
                  <c:v>3730.67157</c:v>
                </c:pt>
                <c:pt idx="44">
                  <c:v>3524.0367200000001</c:v>
                </c:pt>
                <c:pt idx="45">
                  <c:v>3076.52088</c:v>
                </c:pt>
                <c:pt idx="46">
                  <c:v>2897.4879900000001</c:v>
                </c:pt>
                <c:pt idx="47">
                  <c:v>2790.3816499999998</c:v>
                </c:pt>
                <c:pt idx="48">
                  <c:v>2907.0644699999998</c:v>
                </c:pt>
                <c:pt idx="49">
                  <c:v>3008.150720000001</c:v>
                </c:pt>
                <c:pt idx="50">
                  <c:v>3062.43235</c:v>
                </c:pt>
                <c:pt idx="51">
                  <c:v>2945.1950200000001</c:v>
                </c:pt>
                <c:pt idx="52">
                  <c:v>2825.9249599999998</c:v>
                </c:pt>
                <c:pt idx="53">
                  <c:v>2734.0083599999998</c:v>
                </c:pt>
                <c:pt idx="54">
                  <c:v>2526.02522</c:v>
                </c:pt>
                <c:pt idx="55">
                  <c:v>2172.3593099999998</c:v>
                </c:pt>
                <c:pt idx="56">
                  <c:v>2218.7833700000001</c:v>
                </c:pt>
                <c:pt idx="57">
                  <c:v>4963.89329</c:v>
                </c:pt>
                <c:pt idx="58">
                  <c:v>8563.7509099999988</c:v>
                </c:pt>
                <c:pt idx="59">
                  <c:v>10723.800950000001</c:v>
                </c:pt>
                <c:pt idx="60">
                  <c:v>11917.276159999999</c:v>
                </c:pt>
                <c:pt idx="61">
                  <c:v>12084.64659</c:v>
                </c:pt>
                <c:pt idx="62">
                  <c:v>11316.43014</c:v>
                </c:pt>
                <c:pt idx="63">
                  <c:v>9581.1113299999997</c:v>
                </c:pt>
                <c:pt idx="64">
                  <c:v>6217.6503400000001</c:v>
                </c:pt>
                <c:pt idx="65">
                  <c:v>1913.9952800000001</c:v>
                </c:pt>
                <c:pt idx="66">
                  <c:v>873.2801199999999</c:v>
                </c:pt>
                <c:pt idx="67">
                  <c:v>891.2502199999999</c:v>
                </c:pt>
                <c:pt idx="68">
                  <c:v>587.1586400000001</c:v>
                </c:pt>
                <c:pt idx="69">
                  <c:v>471.79428999999999</c:v>
                </c:pt>
                <c:pt idx="70">
                  <c:v>505.11174999999992</c:v>
                </c:pt>
                <c:pt idx="71">
                  <c:v>524.44362999999998</c:v>
                </c:pt>
                <c:pt idx="72">
                  <c:v>615.07228999999995</c:v>
                </c:pt>
                <c:pt idx="73">
                  <c:v>721.21090000000004</c:v>
                </c:pt>
                <c:pt idx="74">
                  <c:v>880.91901000000007</c:v>
                </c:pt>
                <c:pt idx="75">
                  <c:v>1094.8860299999999</c:v>
                </c:pt>
                <c:pt idx="76">
                  <c:v>1375.4901</c:v>
                </c:pt>
                <c:pt idx="77">
                  <c:v>1601.8906400000001</c:v>
                </c:pt>
                <c:pt idx="78">
                  <c:v>1782.30945</c:v>
                </c:pt>
                <c:pt idx="79">
                  <c:v>1887.77001</c:v>
                </c:pt>
                <c:pt idx="80">
                  <c:v>2217.3157999999999</c:v>
                </c:pt>
                <c:pt idx="81">
                  <c:v>4462.2342700000008</c:v>
                </c:pt>
                <c:pt idx="82">
                  <c:v>7617.2754699999996</c:v>
                </c:pt>
                <c:pt idx="83">
                  <c:v>10167.64446</c:v>
                </c:pt>
                <c:pt idx="84">
                  <c:v>12100.758620000001</c:v>
                </c:pt>
                <c:pt idx="85">
                  <c:v>13022.3585</c:v>
                </c:pt>
                <c:pt idx="86">
                  <c:v>13019.24444</c:v>
                </c:pt>
                <c:pt idx="87">
                  <c:v>12335.657859999999</c:v>
                </c:pt>
                <c:pt idx="88">
                  <c:v>10403.839449999999</c:v>
                </c:pt>
                <c:pt idx="89">
                  <c:v>6914.4102599999997</c:v>
                </c:pt>
                <c:pt idx="90">
                  <c:v>6008.7626600000003</c:v>
                </c:pt>
                <c:pt idx="91">
                  <c:v>6872.7673400000003</c:v>
                </c:pt>
                <c:pt idx="92">
                  <c:v>7419.8571300000003</c:v>
                </c:pt>
                <c:pt idx="93">
                  <c:v>7775.2170999999998</c:v>
                </c:pt>
                <c:pt idx="94">
                  <c:v>8619.3091199999999</c:v>
                </c:pt>
                <c:pt idx="95">
                  <c:v>9550.3789799999995</c:v>
                </c:pt>
                <c:pt idx="96">
                  <c:v>9902.1129800000017</c:v>
                </c:pt>
                <c:pt idx="97">
                  <c:v>9240.7955499999989</c:v>
                </c:pt>
                <c:pt idx="98">
                  <c:v>9030.1818600000006</c:v>
                </c:pt>
                <c:pt idx="99">
                  <c:v>9642.2693099999997</c:v>
                </c:pt>
                <c:pt idx="100">
                  <c:v>11192.75311</c:v>
                </c:pt>
                <c:pt idx="101">
                  <c:v>12701.07285</c:v>
                </c:pt>
                <c:pt idx="102">
                  <c:v>13424.310799999999</c:v>
                </c:pt>
                <c:pt idx="103">
                  <c:v>13856.54531</c:v>
                </c:pt>
                <c:pt idx="104">
                  <c:v>14722.22133</c:v>
                </c:pt>
                <c:pt idx="105">
                  <c:v>17349.653010000002</c:v>
                </c:pt>
                <c:pt idx="106">
                  <c:v>14350.051337680001</c:v>
                </c:pt>
                <c:pt idx="107">
                  <c:v>8622.3695496300006</c:v>
                </c:pt>
                <c:pt idx="108">
                  <c:v>9040.4997849499996</c:v>
                </c:pt>
                <c:pt idx="109">
                  <c:v>9459.5689300699996</c:v>
                </c:pt>
                <c:pt idx="110">
                  <c:v>9476.198694749999</c:v>
                </c:pt>
                <c:pt idx="111">
                  <c:v>9218.0752943000007</c:v>
                </c:pt>
                <c:pt idx="112">
                  <c:v>11976.08904089</c:v>
                </c:pt>
                <c:pt idx="113">
                  <c:v>18017.84821</c:v>
                </c:pt>
                <c:pt idx="114">
                  <c:v>14407.50886</c:v>
                </c:pt>
                <c:pt idx="115">
                  <c:v>13042.293879999999</c:v>
                </c:pt>
                <c:pt idx="116">
                  <c:v>12679.160830000001</c:v>
                </c:pt>
                <c:pt idx="117">
                  <c:v>12687.61196</c:v>
                </c:pt>
                <c:pt idx="118">
                  <c:v>12662.887629999999</c:v>
                </c:pt>
                <c:pt idx="119">
                  <c:v>12916.3413</c:v>
                </c:pt>
                <c:pt idx="120">
                  <c:v>13301.63984</c:v>
                </c:pt>
                <c:pt idx="121">
                  <c:v>13324.29168</c:v>
                </c:pt>
                <c:pt idx="122">
                  <c:v>13146.93439</c:v>
                </c:pt>
                <c:pt idx="123">
                  <c:v>13113.01556</c:v>
                </c:pt>
                <c:pt idx="124">
                  <c:v>13067.71046</c:v>
                </c:pt>
                <c:pt idx="125">
                  <c:v>12918.989600000001</c:v>
                </c:pt>
                <c:pt idx="126">
                  <c:v>12754.75027</c:v>
                </c:pt>
                <c:pt idx="127">
                  <c:v>12342.822469999999</c:v>
                </c:pt>
                <c:pt idx="128">
                  <c:v>11901.692370000001</c:v>
                </c:pt>
                <c:pt idx="129">
                  <c:v>14969.390789999999</c:v>
                </c:pt>
                <c:pt idx="130">
                  <c:v>19967.146820000002</c:v>
                </c:pt>
                <c:pt idx="131">
                  <c:v>9727.128069710001</c:v>
                </c:pt>
                <c:pt idx="132">
                  <c:v>9704.1983378200002</c:v>
                </c:pt>
                <c:pt idx="133">
                  <c:v>9699.9226176499997</c:v>
                </c:pt>
                <c:pt idx="134">
                  <c:v>9578.9561895799998</c:v>
                </c:pt>
                <c:pt idx="135">
                  <c:v>9128.5141428700008</c:v>
                </c:pt>
                <c:pt idx="136">
                  <c:v>13929.70820736</c:v>
                </c:pt>
                <c:pt idx="137">
                  <c:v>10802.165069999999</c:v>
                </c:pt>
                <c:pt idx="138">
                  <c:v>9340.2061999999987</c:v>
                </c:pt>
                <c:pt idx="139">
                  <c:v>10370.154920000001</c:v>
                </c:pt>
                <c:pt idx="140">
                  <c:v>11159.983770000001</c:v>
                </c:pt>
                <c:pt idx="141">
                  <c:v>11660.776589999999</c:v>
                </c:pt>
                <c:pt idx="142">
                  <c:v>12369.58734</c:v>
                </c:pt>
                <c:pt idx="143">
                  <c:v>13116.01247</c:v>
                </c:pt>
                <c:pt idx="144">
                  <c:v>14125.81565</c:v>
                </c:pt>
                <c:pt idx="145">
                  <c:v>15217.863810000001</c:v>
                </c:pt>
                <c:pt idx="146">
                  <c:v>16008.17467982</c:v>
                </c:pt>
                <c:pt idx="147">
                  <c:v>17450.658319999999</c:v>
                </c:pt>
                <c:pt idx="148">
                  <c:v>18585.97956</c:v>
                </c:pt>
                <c:pt idx="149">
                  <c:v>19126.883829999999</c:v>
                </c:pt>
                <c:pt idx="150">
                  <c:v>9805.0834021299997</c:v>
                </c:pt>
                <c:pt idx="151">
                  <c:v>18096.087370000001</c:v>
                </c:pt>
                <c:pt idx="152">
                  <c:v>9766.5536188099995</c:v>
                </c:pt>
                <c:pt idx="153">
                  <c:v>9746.717199050001</c:v>
                </c:pt>
                <c:pt idx="154">
                  <c:v>14391.62647098</c:v>
                </c:pt>
                <c:pt idx="155">
                  <c:v>9732.9149350600001</c:v>
                </c:pt>
                <c:pt idx="156">
                  <c:v>9709.6356661299997</c:v>
                </c:pt>
                <c:pt idx="157">
                  <c:v>9705.2606661300015</c:v>
                </c:pt>
                <c:pt idx="158">
                  <c:v>9720.9360255899992</c:v>
                </c:pt>
                <c:pt idx="159">
                  <c:v>9705.6840200400002</c:v>
                </c:pt>
                <c:pt idx="160">
                  <c:v>9705.2071681800007</c:v>
                </c:pt>
                <c:pt idx="161">
                  <c:v>20705.6624151</c:v>
                </c:pt>
                <c:pt idx="162">
                  <c:v>9716.0780009000009</c:v>
                </c:pt>
                <c:pt idx="163">
                  <c:v>18809.354790000001</c:v>
                </c:pt>
                <c:pt idx="164">
                  <c:v>9667.2280535799982</c:v>
                </c:pt>
                <c:pt idx="165">
                  <c:v>17760.502118320001</c:v>
                </c:pt>
                <c:pt idx="166">
                  <c:v>9568.4753805399996</c:v>
                </c:pt>
                <c:pt idx="167">
                  <c:v>20313.590609999999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06-407C-87C0-564447D1FA72}"/>
            </c:ext>
          </c:extLst>
        </c:ser>
        <c:ser>
          <c:idx val="3"/>
          <c:order val="1"/>
          <c:tx>
            <c:strRef>
              <c:f>'Comparación Generacion'!$AB$5</c:f>
              <c:strCache>
                <c:ptCount val="1"/>
                <c:pt idx="0">
                  <c:v>ES_SRES_electrolyzer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 w="12700">
              <a:solidFill>
                <a:schemeClr val="tx1"/>
              </a:solidFill>
            </a:ln>
          </c:spPr>
          <c:val>
            <c:numRef>
              <c:f>'Comparación Generacion'!$AB$6:$AB$173</c:f>
              <c:numCache>
                <c:formatCode>0.0</c:formatCode>
                <c:ptCount val="168"/>
                <c:pt idx="0">
                  <c:v>13917.947695536381</c:v>
                </c:pt>
                <c:pt idx="1">
                  <c:v>14893.923219973931</c:v>
                </c:pt>
                <c:pt idx="2">
                  <c:v>15148.038598850881</c:v>
                </c:pt>
                <c:pt idx="3">
                  <c:v>15528.230287159589</c:v>
                </c:pt>
                <c:pt idx="4">
                  <c:v>16279.039739176529</c:v>
                </c:pt>
                <c:pt idx="5">
                  <c:v>16376.64285094415</c:v>
                </c:pt>
                <c:pt idx="6">
                  <c:v>15313.919009582531</c:v>
                </c:pt>
                <c:pt idx="7">
                  <c:v>12410.25663391655</c:v>
                </c:pt>
                <c:pt idx="8">
                  <c:v>10164.794985800379</c:v>
                </c:pt>
                <c:pt idx="9">
                  <c:v>21144.868611023448</c:v>
                </c:pt>
                <c:pt idx="10">
                  <c:v>26441.11981</c:v>
                </c:pt>
                <c:pt idx="11">
                  <c:v>27047.51517488571</c:v>
                </c:pt>
                <c:pt idx="12">
                  <c:v>27967.27248644286</c:v>
                </c:pt>
                <c:pt idx="13">
                  <c:v>27843.519810000009</c:v>
                </c:pt>
                <c:pt idx="14">
                  <c:v>27865.96266714286</c:v>
                </c:pt>
                <c:pt idx="15">
                  <c:v>25623.329291900009</c:v>
                </c:pt>
                <c:pt idx="16">
                  <c:v>22728.873678571432</c:v>
                </c:pt>
                <c:pt idx="17">
                  <c:v>14103.08521970523</c:v>
                </c:pt>
                <c:pt idx="18">
                  <c:v>8042.1264591591525</c:v>
                </c:pt>
                <c:pt idx="19">
                  <c:v>7837.6219502933509</c:v>
                </c:pt>
                <c:pt idx="20">
                  <c:v>7914.7641197843104</c:v>
                </c:pt>
                <c:pt idx="21">
                  <c:v>8181.9506881850766</c:v>
                </c:pt>
                <c:pt idx="22">
                  <c:v>8747.8271829642708</c:v>
                </c:pt>
                <c:pt idx="23">
                  <c:v>9262.3987568034645</c:v>
                </c:pt>
                <c:pt idx="24">
                  <c:v>9677.38002616433</c:v>
                </c:pt>
                <c:pt idx="25">
                  <c:v>9339.5579229533887</c:v>
                </c:pt>
                <c:pt idx="26">
                  <c:v>8862.7113442231966</c:v>
                </c:pt>
                <c:pt idx="27">
                  <c:v>8300.4299463269526</c:v>
                </c:pt>
                <c:pt idx="28">
                  <c:v>7883.9913146303934</c:v>
                </c:pt>
                <c:pt idx="29">
                  <c:v>7493.793096282272</c:v>
                </c:pt>
                <c:pt idx="30">
                  <c:v>6767.7151488629506</c:v>
                </c:pt>
                <c:pt idx="31">
                  <c:v>5830.3372158652246</c:v>
                </c:pt>
                <c:pt idx="32">
                  <c:v>6139.7410064566093</c:v>
                </c:pt>
                <c:pt idx="33">
                  <c:v>16333.235205017119</c:v>
                </c:pt>
                <c:pt idx="34">
                  <c:v>24506.43981</c:v>
                </c:pt>
                <c:pt idx="35">
                  <c:v>24199.8020813</c:v>
                </c:pt>
                <c:pt idx="36">
                  <c:v>25485.618461714279</c:v>
                </c:pt>
                <c:pt idx="37">
                  <c:v>26674.948381428581</c:v>
                </c:pt>
                <c:pt idx="38">
                  <c:v>23530.331447671429</c:v>
                </c:pt>
                <c:pt idx="39">
                  <c:v>22060.060019100001</c:v>
                </c:pt>
                <c:pt idx="40">
                  <c:v>21886.029088700001</c:v>
                </c:pt>
                <c:pt idx="41">
                  <c:v>9368.0469032294168</c:v>
                </c:pt>
                <c:pt idx="42">
                  <c:v>5849.0573664008898</c:v>
                </c:pt>
                <c:pt idx="43">
                  <c:v>6994.7632977522144</c:v>
                </c:pt>
                <c:pt idx="44">
                  <c:v>6607.3357877419276</c:v>
                </c:pt>
                <c:pt idx="45">
                  <c:v>5768.2732074589476</c:v>
                </c:pt>
                <c:pt idx="46">
                  <c:v>5432.5987535129889</c:v>
                </c:pt>
                <c:pt idx="47">
                  <c:v>5231.7819126191453</c:v>
                </c:pt>
                <c:pt idx="48">
                  <c:v>5450.5538014687399</c:v>
                </c:pt>
                <c:pt idx="49">
                  <c:v>5640.0842032007313</c:v>
                </c:pt>
                <c:pt idx="50">
                  <c:v>5741.8586289414079</c:v>
                </c:pt>
                <c:pt idx="51">
                  <c:v>5522.0465546801879</c:v>
                </c:pt>
                <c:pt idx="52">
                  <c:v>5298.4234349136304</c:v>
                </c:pt>
                <c:pt idx="53">
                  <c:v>5126.0847996280772</c:v>
                </c:pt>
                <c:pt idx="54">
                  <c:v>4736.130098887872</c:v>
                </c:pt>
                <c:pt idx="55">
                  <c:v>4073.0299326353961</c:v>
                </c:pt>
                <c:pt idx="56">
                  <c:v>4416.2825695563743</c:v>
                </c:pt>
                <c:pt idx="57">
                  <c:v>15396.34587537936</c:v>
                </c:pt>
                <c:pt idx="58">
                  <c:v>21531.171144742861</c:v>
                </c:pt>
                <c:pt idx="59">
                  <c:v>21224.533416042861</c:v>
                </c:pt>
                <c:pt idx="60">
                  <c:v>23153.02923794285</c:v>
                </c:pt>
                <c:pt idx="61">
                  <c:v>25416.41991611429</c:v>
                </c:pt>
                <c:pt idx="62">
                  <c:v>22184.18406098571</c:v>
                </c:pt>
                <c:pt idx="63">
                  <c:v>22003.13453922858</c:v>
                </c:pt>
                <c:pt idx="64">
                  <c:v>16874.05555065714</c:v>
                </c:pt>
                <c:pt idx="65">
                  <c:v>6277.8119997590729</c:v>
                </c:pt>
                <c:pt idx="66">
                  <c:v>1638.3131679601249</c:v>
                </c:pt>
                <c:pt idx="67">
                  <c:v>1671.0354291950191</c:v>
                </c:pt>
                <c:pt idx="68">
                  <c:v>1100.8833135654299</c:v>
                </c:pt>
                <c:pt idx="69">
                  <c:v>884.58362923058723</c:v>
                </c:pt>
                <c:pt idx="70">
                  <c:v>947.05115653140899</c:v>
                </c:pt>
                <c:pt idx="71">
                  <c:v>983.29764465160167</c:v>
                </c:pt>
                <c:pt idx="72">
                  <c:v>1153.2204274405181</c:v>
                </c:pt>
                <c:pt idx="73">
                  <c:v>1352.2222173809771</c:v>
                </c:pt>
                <c:pt idx="74">
                  <c:v>1651.6651564539261</c:v>
                </c:pt>
                <c:pt idx="75">
                  <c:v>2052.839169670131</c:v>
                </c:pt>
                <c:pt idx="76">
                  <c:v>2578.9538524556742</c:v>
                </c:pt>
                <c:pt idx="77">
                  <c:v>3003.439289295869</c:v>
                </c:pt>
                <c:pt idx="78">
                  <c:v>3341.712765089992</c:v>
                </c:pt>
                <c:pt idx="79">
                  <c:v>3539.4443076992588</c:v>
                </c:pt>
                <c:pt idx="80">
                  <c:v>4330.8321701195982</c:v>
                </c:pt>
                <c:pt idx="81">
                  <c:v>12132.63983304931</c:v>
                </c:pt>
                <c:pt idx="82">
                  <c:v>21880.95828668572</c:v>
                </c:pt>
                <c:pt idx="83">
                  <c:v>21574.320557999999</c:v>
                </c:pt>
                <c:pt idx="84">
                  <c:v>25264.780806442861</c:v>
                </c:pt>
                <c:pt idx="85">
                  <c:v>26674.948381428581</c:v>
                </c:pt>
                <c:pt idx="86">
                  <c:v>24936.082377528572</c:v>
                </c:pt>
                <c:pt idx="87">
                  <c:v>24959.182208828581</c:v>
                </c:pt>
                <c:pt idx="88">
                  <c:v>24500.302250000001</c:v>
                </c:pt>
                <c:pt idx="89">
                  <c:v>15579.704820592189</c:v>
                </c:pt>
                <c:pt idx="90">
                  <c:v>11267.983268896811</c:v>
                </c:pt>
                <c:pt idx="91">
                  <c:v>12885.98497412564</c:v>
                </c:pt>
                <c:pt idx="92">
                  <c:v>13911.74265038165</c:v>
                </c:pt>
                <c:pt idx="93">
                  <c:v>14578.01967430182</c:v>
                </c:pt>
                <c:pt idx="94">
                  <c:v>16160.636358976461</c:v>
                </c:pt>
                <c:pt idx="95">
                  <c:v>17906.331130235831</c:v>
                </c:pt>
                <c:pt idx="96">
                  <c:v>18565.809237643371</c:v>
                </c:pt>
                <c:pt idx="97">
                  <c:v>17325.882327317351</c:v>
                </c:pt>
                <c:pt idx="98">
                  <c:v>16930.99495333598</c:v>
                </c:pt>
                <c:pt idx="99">
                  <c:v>18078.61918022684</c:v>
                </c:pt>
                <c:pt idx="100">
                  <c:v>20985.673502232901</c:v>
                </c:pt>
                <c:pt idx="101">
                  <c:v>23813.67363178499</c:v>
                </c:pt>
                <c:pt idx="102">
                  <c:v>25169.697890488871</c:v>
                </c:pt>
                <c:pt idx="103">
                  <c:v>25980.108049409169</c:v>
                </c:pt>
                <c:pt idx="104">
                  <c:v>26867.11981</c:v>
                </c:pt>
                <c:pt idx="105">
                  <c:v>28013.466514471431</c:v>
                </c:pt>
                <c:pt idx="106">
                  <c:v>28013.466514471431</c:v>
                </c:pt>
                <c:pt idx="107">
                  <c:v>27990.366683171429</c:v>
                </c:pt>
                <c:pt idx="108">
                  <c:v>27967.266851871431</c:v>
                </c:pt>
                <c:pt idx="109">
                  <c:v>27967.266851871431</c:v>
                </c:pt>
                <c:pt idx="110">
                  <c:v>27990.366683171429</c:v>
                </c:pt>
                <c:pt idx="111">
                  <c:v>28013.466514471431</c:v>
                </c:pt>
                <c:pt idx="112">
                  <c:v>28013.466514471431</c:v>
                </c:pt>
                <c:pt idx="113">
                  <c:v>27070.60937161429</c:v>
                </c:pt>
                <c:pt idx="114">
                  <c:v>27016.556978251469</c:v>
                </c:pt>
                <c:pt idx="115">
                  <c:v>24453.441179175061</c:v>
                </c:pt>
                <c:pt idx="116">
                  <c:v>23772.590076630298</c:v>
                </c:pt>
                <c:pt idx="117">
                  <c:v>23788.435717803739</c:v>
                </c:pt>
                <c:pt idx="118">
                  <c:v>23742.07920213151</c:v>
                </c:pt>
                <c:pt idx="119">
                  <c:v>24217.287576098021</c:v>
                </c:pt>
                <c:pt idx="120">
                  <c:v>24939.697786151439</c:v>
                </c:pt>
                <c:pt idx="121">
                  <c:v>24982.167681888281</c:v>
                </c:pt>
                <c:pt idx="122">
                  <c:v>24649.63523234208</c:v>
                </c:pt>
                <c:pt idx="123">
                  <c:v>24586.039147120071</c:v>
                </c:pt>
                <c:pt idx="124">
                  <c:v>24501.094802969881</c:v>
                </c:pt>
                <c:pt idx="125">
                  <c:v>24222.25368621889</c:v>
                </c:pt>
                <c:pt idx="126">
                  <c:v>23914.315402195622</c:v>
                </c:pt>
                <c:pt idx="127">
                  <c:v>23141.977455846059</c:v>
                </c:pt>
                <c:pt idx="128">
                  <c:v>22548.698603502839</c:v>
                </c:pt>
                <c:pt idx="129">
                  <c:v>28891.967008143871</c:v>
                </c:pt>
                <c:pt idx="130">
                  <c:v>27987.237526514291</c:v>
                </c:pt>
                <c:pt idx="131">
                  <c:v>28010.537536457141</c:v>
                </c:pt>
                <c:pt idx="132">
                  <c:v>27987.237526514291</c:v>
                </c:pt>
                <c:pt idx="133">
                  <c:v>27987.237526514291</c:v>
                </c:pt>
                <c:pt idx="134">
                  <c:v>28010.537536457141</c:v>
                </c:pt>
                <c:pt idx="135">
                  <c:v>27987.237526514291</c:v>
                </c:pt>
                <c:pt idx="136">
                  <c:v>27987.237526514291</c:v>
                </c:pt>
                <c:pt idx="137">
                  <c:v>23074.12026775318</c:v>
                </c:pt>
                <c:pt idx="138">
                  <c:v>17518.12890643967</c:v>
                </c:pt>
                <c:pt idx="139">
                  <c:v>19443.35680650052</c:v>
                </c:pt>
                <c:pt idx="140">
                  <c:v>20924.23371636125</c:v>
                </c:pt>
                <c:pt idx="141">
                  <c:v>21863.18677426035</c:v>
                </c:pt>
                <c:pt idx="142">
                  <c:v>23192.159990270811</c:v>
                </c:pt>
                <c:pt idx="143">
                  <c:v>24591.658212222861</c:v>
                </c:pt>
                <c:pt idx="144">
                  <c:v>26484.972102884982</c:v>
                </c:pt>
                <c:pt idx="145">
                  <c:v>27894.036120971428</c:v>
                </c:pt>
                <c:pt idx="146">
                  <c:v>27894.036120971428</c:v>
                </c:pt>
                <c:pt idx="147">
                  <c:v>27894.036120971428</c:v>
                </c:pt>
                <c:pt idx="148">
                  <c:v>27940.63612657144</c:v>
                </c:pt>
                <c:pt idx="149">
                  <c:v>27987.236117871431</c:v>
                </c:pt>
                <c:pt idx="150">
                  <c:v>28010.536127814288</c:v>
                </c:pt>
                <c:pt idx="151">
                  <c:v>27987.236117871431</c:v>
                </c:pt>
                <c:pt idx="152">
                  <c:v>27987.236117871431</c:v>
                </c:pt>
                <c:pt idx="153">
                  <c:v>27987.236117871431</c:v>
                </c:pt>
                <c:pt idx="154">
                  <c:v>27987.236117871431</c:v>
                </c:pt>
                <c:pt idx="155">
                  <c:v>28010.536127814288</c:v>
                </c:pt>
                <c:pt idx="156">
                  <c:v>27987.236117871431</c:v>
                </c:pt>
                <c:pt idx="157">
                  <c:v>27987.236117871431</c:v>
                </c:pt>
                <c:pt idx="158">
                  <c:v>28010.536127814288</c:v>
                </c:pt>
                <c:pt idx="159">
                  <c:v>27987.236117871431</c:v>
                </c:pt>
                <c:pt idx="160">
                  <c:v>27987.236117871431</c:v>
                </c:pt>
                <c:pt idx="161">
                  <c:v>29232.437138101439</c:v>
                </c:pt>
                <c:pt idx="162">
                  <c:v>30324.703599872741</c:v>
                </c:pt>
                <c:pt idx="163">
                  <c:v>30372.494945269271</c:v>
                </c:pt>
                <c:pt idx="164">
                  <c:v>30347.03341847593</c:v>
                </c:pt>
                <c:pt idx="165">
                  <c:v>30328.135473652681</c:v>
                </c:pt>
                <c:pt idx="166">
                  <c:v>30280.860992014299</c:v>
                </c:pt>
                <c:pt idx="167">
                  <c:v>30276.437901834612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06-407C-87C0-564447D1F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C06-407C-87C0-564447D1FA72}"/>
                  </c:ext>
                </c:extLst>
              </c15:ser>
            </c15:filteredAreaSeries>
            <c15:filteredArea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06-407C-87C0-564447D1FA72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Generación electricidad CCGT. TYNDP 26 vs BenchMarking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'Comparación Generacion'!$AG$5</c:f>
              <c:strCache>
                <c:ptCount val="1"/>
                <c:pt idx="0">
                  <c:v>TYNDP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Generacion'!$AG$6:$AG$173</c:f>
              <c:numCache>
                <c:formatCode>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1591.4646720000001</c:v>
                </c:pt>
                <c:pt idx="18">
                  <c:v>1591.4646720000001</c:v>
                </c:pt>
                <c:pt idx="19">
                  <c:v>1591.4646720000001</c:v>
                </c:pt>
                <c:pt idx="20">
                  <c:v>1591.4646720000001</c:v>
                </c:pt>
                <c:pt idx="21">
                  <c:v>1591.4646720000001</c:v>
                </c:pt>
                <c:pt idx="22">
                  <c:v>1591.4646720000001</c:v>
                </c:pt>
                <c:pt idx="23">
                  <c:v>1591.4646720000001</c:v>
                </c:pt>
                <c:pt idx="24">
                  <c:v>1591.4646720000001</c:v>
                </c:pt>
                <c:pt idx="25">
                  <c:v>1591.4646720000001</c:v>
                </c:pt>
                <c:pt idx="26">
                  <c:v>1591.4646720000001</c:v>
                </c:pt>
                <c:pt idx="27">
                  <c:v>1591.4646720000001</c:v>
                </c:pt>
                <c:pt idx="28">
                  <c:v>1591.4646720000001</c:v>
                </c:pt>
                <c:pt idx="29">
                  <c:v>1591.4646720000001</c:v>
                </c:pt>
                <c:pt idx="30">
                  <c:v>1591.4646720000001</c:v>
                </c:pt>
                <c:pt idx="31">
                  <c:v>1591.4646720000001</c:v>
                </c:pt>
                <c:pt idx="32">
                  <c:v>1591.4646720000001</c:v>
                </c:pt>
                <c:pt idx="33">
                  <c:v>1591.4646720000001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1591.4646720000001</c:v>
                </c:pt>
                <c:pt idx="41">
                  <c:v>1591.4646720000001</c:v>
                </c:pt>
                <c:pt idx="42">
                  <c:v>1591.4646720000001</c:v>
                </c:pt>
                <c:pt idx="43">
                  <c:v>1591.4646720000001</c:v>
                </c:pt>
                <c:pt idx="44">
                  <c:v>1591.4646720000001</c:v>
                </c:pt>
                <c:pt idx="45">
                  <c:v>1591.4646720000001</c:v>
                </c:pt>
                <c:pt idx="46">
                  <c:v>1591.4646720000001</c:v>
                </c:pt>
                <c:pt idx="47">
                  <c:v>4850.2973344299999</c:v>
                </c:pt>
                <c:pt idx="48">
                  <c:v>1835.1986978699999</c:v>
                </c:pt>
                <c:pt idx="49">
                  <c:v>1591.4646720000001</c:v>
                </c:pt>
                <c:pt idx="50">
                  <c:v>1591.4646720000001</c:v>
                </c:pt>
                <c:pt idx="51">
                  <c:v>1591.4646720000001</c:v>
                </c:pt>
                <c:pt idx="52">
                  <c:v>1591.4646720000001</c:v>
                </c:pt>
                <c:pt idx="53">
                  <c:v>1591.4646720000001</c:v>
                </c:pt>
                <c:pt idx="54">
                  <c:v>1591.4646720000001</c:v>
                </c:pt>
                <c:pt idx="55">
                  <c:v>1591.4646720000001</c:v>
                </c:pt>
                <c:pt idx="56">
                  <c:v>1591.4646720000001</c:v>
                </c:pt>
                <c:pt idx="57">
                  <c:v>1591.4646720000001</c:v>
                </c:pt>
                <c:pt idx="58">
                  <c:v>1591.4646720000001</c:v>
                </c:pt>
                <c:pt idx="59">
                  <c:v>1591.4646720000001</c:v>
                </c:pt>
                <c:pt idx="60">
                  <c:v>1591.4646720000001</c:v>
                </c:pt>
                <c:pt idx="61">
                  <c:v>1591.4646720000001</c:v>
                </c:pt>
                <c:pt idx="62">
                  <c:v>1591.4646720000001</c:v>
                </c:pt>
                <c:pt idx="63">
                  <c:v>1591.4646720000001</c:v>
                </c:pt>
                <c:pt idx="64">
                  <c:v>1591.4646720000001</c:v>
                </c:pt>
                <c:pt idx="65">
                  <c:v>6195.8310494400002</c:v>
                </c:pt>
                <c:pt idx="66">
                  <c:v>6195.8310494400002</c:v>
                </c:pt>
                <c:pt idx="67">
                  <c:v>6195.8310494400002</c:v>
                </c:pt>
                <c:pt idx="68">
                  <c:v>6195.8310494400002</c:v>
                </c:pt>
                <c:pt idx="69">
                  <c:v>6195.8310494400002</c:v>
                </c:pt>
                <c:pt idx="70">
                  <c:v>6195.8310494400002</c:v>
                </c:pt>
                <c:pt idx="71">
                  <c:v>3837.2917805000002</c:v>
                </c:pt>
                <c:pt idx="72">
                  <c:v>3533.9705572799999</c:v>
                </c:pt>
                <c:pt idx="73">
                  <c:v>2021.79975756</c:v>
                </c:pt>
                <c:pt idx="74">
                  <c:v>2021.79975756</c:v>
                </c:pt>
                <c:pt idx="75">
                  <c:v>2021.79975756</c:v>
                </c:pt>
                <c:pt idx="76">
                  <c:v>2021.79975756</c:v>
                </c:pt>
                <c:pt idx="77">
                  <c:v>2021.79975756</c:v>
                </c:pt>
                <c:pt idx="78">
                  <c:v>4143.4424293000002</c:v>
                </c:pt>
                <c:pt idx="79">
                  <c:v>6195.8310494400002</c:v>
                </c:pt>
                <c:pt idx="80">
                  <c:v>6195.8310494400002</c:v>
                </c:pt>
                <c:pt idx="81">
                  <c:v>6195.8310494400002</c:v>
                </c:pt>
                <c:pt idx="82">
                  <c:v>439.68117799999999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2-4EDA-BE66-C77D8966915C}"/>
            </c:ext>
          </c:extLst>
        </c:ser>
        <c:ser>
          <c:idx val="3"/>
          <c:order val="1"/>
          <c:tx>
            <c:strRef>
              <c:f>'Comparación Generacion'!$AH$5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Generacion'!$AH$6:$AH$173</c:f>
              <c:numCache>
                <c:formatCode>0.0</c:formatCode>
                <c:ptCount val="168"/>
                <c:pt idx="0">
                  <c:v>4911.9279999999999</c:v>
                </c:pt>
                <c:pt idx="1">
                  <c:v>4911.9279999999999</c:v>
                </c:pt>
                <c:pt idx="2">
                  <c:v>4911.9279999999999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11093.70761049073</c:v>
                </c:pt>
                <c:pt idx="42">
                  <c:v>11936.067610490731</c:v>
                </c:pt>
                <c:pt idx="43">
                  <c:v>12778.427610490729</c:v>
                </c:pt>
                <c:pt idx="44">
                  <c:v>13620.78761049073</c:v>
                </c:pt>
                <c:pt idx="45">
                  <c:v>14463.147610490731</c:v>
                </c:pt>
                <c:pt idx="46">
                  <c:v>15305.50761049074</c:v>
                </c:pt>
                <c:pt idx="47">
                  <c:v>16147.86761049073</c:v>
                </c:pt>
                <c:pt idx="48">
                  <c:v>16990.22761049074</c:v>
                </c:pt>
                <c:pt idx="49">
                  <c:v>17832.58761049074</c:v>
                </c:pt>
                <c:pt idx="50">
                  <c:v>18674.947610490741</c:v>
                </c:pt>
                <c:pt idx="51">
                  <c:v>19517.307610490741</c:v>
                </c:pt>
                <c:pt idx="52">
                  <c:v>20359.667610490738</c:v>
                </c:pt>
                <c:pt idx="53">
                  <c:v>21202.027610490739</c:v>
                </c:pt>
                <c:pt idx="54">
                  <c:v>22044.387610490739</c:v>
                </c:pt>
                <c:pt idx="55">
                  <c:v>21813.15191546077</c:v>
                </c:pt>
                <c:pt idx="56">
                  <c:v>22655.511915460771</c:v>
                </c:pt>
                <c:pt idx="57">
                  <c:v>21602.56191546085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2-4EDA-BE66-C77D89669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6B2-4EDA-BE66-C77D8966915C}"/>
                  </c:ext>
                </c:extLst>
              </c15:ser>
            </c15:filteredAreaSeries>
            <c15:filteredArea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6B2-4EDA-BE66-C77D8966915C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Generación electricidad CCGT. TYNDP 26 vs BenchMarking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'Comparación Generacion'!$AK$5</c:f>
              <c:strCache>
                <c:ptCount val="1"/>
                <c:pt idx="0">
                  <c:v>TYNDP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Generacion'!$AK$6:$AK$173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1357</c:v>
                </c:pt>
                <c:pt idx="66">
                  <c:v>1357</c:v>
                </c:pt>
                <c:pt idx="67">
                  <c:v>1357</c:v>
                </c:pt>
                <c:pt idx="68">
                  <c:v>1357</c:v>
                </c:pt>
                <c:pt idx="69">
                  <c:v>1357</c:v>
                </c:pt>
                <c:pt idx="70">
                  <c:v>1357</c:v>
                </c:pt>
                <c:pt idx="71">
                  <c:v>500.05599999999998</c:v>
                </c:pt>
                <c:pt idx="72">
                  <c:v>500.05599999999998</c:v>
                </c:pt>
                <c:pt idx="73">
                  <c:v>500.05599999999998</c:v>
                </c:pt>
                <c:pt idx="74">
                  <c:v>500.05599999999998</c:v>
                </c:pt>
                <c:pt idx="75">
                  <c:v>500.05599999999998</c:v>
                </c:pt>
                <c:pt idx="76">
                  <c:v>500.05599999999998</c:v>
                </c:pt>
                <c:pt idx="77">
                  <c:v>500.05599999999998</c:v>
                </c:pt>
                <c:pt idx="78">
                  <c:v>500.05599999999998</c:v>
                </c:pt>
                <c:pt idx="79">
                  <c:v>1357</c:v>
                </c:pt>
                <c:pt idx="80">
                  <c:v>1357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F-49F9-A22F-E191B5640A5B}"/>
            </c:ext>
          </c:extLst>
        </c:ser>
        <c:ser>
          <c:idx val="3"/>
          <c:order val="1"/>
          <c:tx>
            <c:strRef>
              <c:f>'Comparación Generacion'!$AL$5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Generacion'!$AL$6:$AL$173</c:f>
              <c:numCache>
                <c:formatCode>0.0</c:formatCode>
                <c:ptCount val="168"/>
                <c:pt idx="0">
                  <c:v>499.98665</c:v>
                </c:pt>
                <c:pt idx="1">
                  <c:v>499.98665</c:v>
                </c:pt>
                <c:pt idx="2">
                  <c:v>499.98665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6F-49F9-A22F-E191B5640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86F-49F9-A22F-E191B5640A5B}"/>
                  </c:ext>
                </c:extLst>
              </c15:ser>
            </c15:filteredAreaSeries>
            <c15:filteredArea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6F-49F9-A22F-E191B5640A5B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Generación electricidad Turbina ES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 TYNDP 26 vs BenchMarking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'Comparación Generacion'!$AQ$5</c:f>
              <c:strCache>
                <c:ptCount val="1"/>
                <c:pt idx="0">
                  <c:v>TYNDP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Generacion'!$AQ$6:$AQ$173</c:f>
              <c:numCache>
                <c:formatCode>0.0</c:formatCode>
                <c:ptCount val="168"/>
                <c:pt idx="0">
                  <c:v>3156.57</c:v>
                </c:pt>
                <c:pt idx="1">
                  <c:v>3156.57</c:v>
                </c:pt>
                <c:pt idx="2">
                  <c:v>3156.57</c:v>
                </c:pt>
                <c:pt idx="3">
                  <c:v>3156.57</c:v>
                </c:pt>
                <c:pt idx="4">
                  <c:v>3156.57</c:v>
                </c:pt>
                <c:pt idx="5">
                  <c:v>3156.57</c:v>
                </c:pt>
                <c:pt idx="6">
                  <c:v>3156.57</c:v>
                </c:pt>
                <c:pt idx="7">
                  <c:v>3156.57</c:v>
                </c:pt>
                <c:pt idx="8">
                  <c:v>3156.57</c:v>
                </c:pt>
                <c:pt idx="9">
                  <c:v>3156.57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2377.0242569299999</c:v>
                </c:pt>
                <c:pt idx="17">
                  <c:v>4173.9628619200003</c:v>
                </c:pt>
                <c:pt idx="18">
                  <c:v>13603.98</c:v>
                </c:pt>
                <c:pt idx="19">
                  <c:v>3156.57</c:v>
                </c:pt>
                <c:pt idx="20">
                  <c:v>13603.98</c:v>
                </c:pt>
                <c:pt idx="21">
                  <c:v>7526.6744896199998</c:v>
                </c:pt>
                <c:pt idx="22">
                  <c:v>5058.1444047000005</c:v>
                </c:pt>
                <c:pt idx="23">
                  <c:v>3156.57</c:v>
                </c:pt>
                <c:pt idx="24">
                  <c:v>3156.57</c:v>
                </c:pt>
                <c:pt idx="25">
                  <c:v>3156.57</c:v>
                </c:pt>
                <c:pt idx="26">
                  <c:v>3156.57</c:v>
                </c:pt>
                <c:pt idx="27">
                  <c:v>3156.57</c:v>
                </c:pt>
                <c:pt idx="28">
                  <c:v>3156.57</c:v>
                </c:pt>
                <c:pt idx="29">
                  <c:v>3156.57</c:v>
                </c:pt>
                <c:pt idx="30">
                  <c:v>3156.57</c:v>
                </c:pt>
                <c:pt idx="31">
                  <c:v>13603.98</c:v>
                </c:pt>
                <c:pt idx="32">
                  <c:v>13603.98</c:v>
                </c:pt>
                <c:pt idx="33">
                  <c:v>6048.5113872399997</c:v>
                </c:pt>
                <c:pt idx="34">
                  <c:v>3156.57</c:v>
                </c:pt>
                <c:pt idx="35">
                  <c:v>3156.57</c:v>
                </c:pt>
                <c:pt idx="36">
                  <c:v>3156.57</c:v>
                </c:pt>
                <c:pt idx="37">
                  <c:v>0</c:v>
                </c:pt>
                <c:pt idx="38">
                  <c:v>3156.57</c:v>
                </c:pt>
                <c:pt idx="39">
                  <c:v>0</c:v>
                </c:pt>
                <c:pt idx="40">
                  <c:v>3156.57</c:v>
                </c:pt>
                <c:pt idx="41">
                  <c:v>13603.98</c:v>
                </c:pt>
                <c:pt idx="42">
                  <c:v>13603.98</c:v>
                </c:pt>
                <c:pt idx="43">
                  <c:v>13603.98</c:v>
                </c:pt>
                <c:pt idx="44">
                  <c:v>12247.86732114</c:v>
                </c:pt>
                <c:pt idx="45">
                  <c:v>3156.57</c:v>
                </c:pt>
                <c:pt idx="46">
                  <c:v>8383.7805365099994</c:v>
                </c:pt>
                <c:pt idx="47">
                  <c:v>3156.57</c:v>
                </c:pt>
                <c:pt idx="48">
                  <c:v>3156.57</c:v>
                </c:pt>
                <c:pt idx="49">
                  <c:v>3156.57</c:v>
                </c:pt>
                <c:pt idx="50">
                  <c:v>3156.57</c:v>
                </c:pt>
                <c:pt idx="51">
                  <c:v>3156.57</c:v>
                </c:pt>
                <c:pt idx="52">
                  <c:v>3156.57</c:v>
                </c:pt>
                <c:pt idx="53">
                  <c:v>6004.1144368400001</c:v>
                </c:pt>
                <c:pt idx="54">
                  <c:v>12383.26318294</c:v>
                </c:pt>
                <c:pt idx="55">
                  <c:v>4645.7972467400004</c:v>
                </c:pt>
                <c:pt idx="56">
                  <c:v>13603.98</c:v>
                </c:pt>
                <c:pt idx="57">
                  <c:v>9081.9822508199995</c:v>
                </c:pt>
                <c:pt idx="58">
                  <c:v>3156.57</c:v>
                </c:pt>
                <c:pt idx="59">
                  <c:v>3156.57</c:v>
                </c:pt>
                <c:pt idx="60">
                  <c:v>3156.57</c:v>
                </c:pt>
                <c:pt idx="61">
                  <c:v>3156.57</c:v>
                </c:pt>
                <c:pt idx="62">
                  <c:v>3156.57</c:v>
                </c:pt>
                <c:pt idx="63">
                  <c:v>3156.57</c:v>
                </c:pt>
                <c:pt idx="64">
                  <c:v>3156.57</c:v>
                </c:pt>
                <c:pt idx="65">
                  <c:v>13603.98</c:v>
                </c:pt>
                <c:pt idx="66">
                  <c:v>13603.98</c:v>
                </c:pt>
                <c:pt idx="67">
                  <c:v>13603.98</c:v>
                </c:pt>
                <c:pt idx="68">
                  <c:v>13603.98</c:v>
                </c:pt>
                <c:pt idx="69">
                  <c:v>13603.98</c:v>
                </c:pt>
                <c:pt idx="70">
                  <c:v>13603.98</c:v>
                </c:pt>
                <c:pt idx="71">
                  <c:v>13603.98</c:v>
                </c:pt>
                <c:pt idx="72">
                  <c:v>10177.720740590001</c:v>
                </c:pt>
                <c:pt idx="73">
                  <c:v>8991.7383445699998</c:v>
                </c:pt>
                <c:pt idx="74">
                  <c:v>6940.6806552100006</c:v>
                </c:pt>
                <c:pt idx="75">
                  <c:v>6377.0254456100001</c:v>
                </c:pt>
                <c:pt idx="76">
                  <c:v>6784.8326522900006</c:v>
                </c:pt>
                <c:pt idx="77">
                  <c:v>10383.55895298</c:v>
                </c:pt>
                <c:pt idx="78">
                  <c:v>13603.98</c:v>
                </c:pt>
                <c:pt idx="79">
                  <c:v>13603.98</c:v>
                </c:pt>
                <c:pt idx="80">
                  <c:v>13603.98</c:v>
                </c:pt>
                <c:pt idx="81">
                  <c:v>8615.5573647700003</c:v>
                </c:pt>
                <c:pt idx="82">
                  <c:v>3156.57</c:v>
                </c:pt>
                <c:pt idx="83">
                  <c:v>0</c:v>
                </c:pt>
                <c:pt idx="84">
                  <c:v>2750.8483830800001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3156.57</c:v>
                </c:pt>
                <c:pt idx="90">
                  <c:v>3156.57</c:v>
                </c:pt>
                <c:pt idx="91">
                  <c:v>3156.57</c:v>
                </c:pt>
                <c:pt idx="92">
                  <c:v>3177.2440669300004</c:v>
                </c:pt>
                <c:pt idx="93">
                  <c:v>4163.4424477800003</c:v>
                </c:pt>
                <c:pt idx="94">
                  <c:v>3156.57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7328.80704702</c:v>
                </c:pt>
                <c:pt idx="116">
                  <c:v>5717.4052838600001</c:v>
                </c:pt>
                <c:pt idx="117">
                  <c:v>0</c:v>
                </c:pt>
                <c:pt idx="118">
                  <c:v>4495.2225401100004</c:v>
                </c:pt>
                <c:pt idx="119">
                  <c:v>4735.6556124700001</c:v>
                </c:pt>
                <c:pt idx="120">
                  <c:v>5087.1292435699997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335.77767516</c:v>
                </c:pt>
                <c:pt idx="125">
                  <c:v>2874.9269169600002</c:v>
                </c:pt>
                <c:pt idx="126">
                  <c:v>5794.7504322699997</c:v>
                </c:pt>
                <c:pt idx="127">
                  <c:v>4771.8748445000001</c:v>
                </c:pt>
                <c:pt idx="128">
                  <c:v>10447.41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7898.4060638499996</c:v>
                </c:pt>
                <c:pt idx="138">
                  <c:v>10447.41</c:v>
                </c:pt>
                <c:pt idx="139">
                  <c:v>10447.41</c:v>
                </c:pt>
                <c:pt idx="140">
                  <c:v>10447.41</c:v>
                </c:pt>
                <c:pt idx="141">
                  <c:v>10447.41</c:v>
                </c:pt>
                <c:pt idx="142">
                  <c:v>8416.2643414199993</c:v>
                </c:pt>
                <c:pt idx="143">
                  <c:v>2012.12705351</c:v>
                </c:pt>
                <c:pt idx="144">
                  <c:v>0</c:v>
                </c:pt>
                <c:pt idx="145">
                  <c:v>7817.5124999999998</c:v>
                </c:pt>
                <c:pt idx="146">
                  <c:v>7817.5124999999998</c:v>
                </c:pt>
                <c:pt idx="147">
                  <c:v>7817.5124999999998</c:v>
                </c:pt>
                <c:pt idx="148">
                  <c:v>0</c:v>
                </c:pt>
                <c:pt idx="149">
                  <c:v>0</c:v>
                </c:pt>
                <c:pt idx="150">
                  <c:v>6511.5986926699998</c:v>
                </c:pt>
                <c:pt idx="151">
                  <c:v>562.79134395000005</c:v>
                </c:pt>
                <c:pt idx="152">
                  <c:v>7211.9239925399997</c:v>
                </c:pt>
                <c:pt idx="153">
                  <c:v>6322.18954536</c:v>
                </c:pt>
                <c:pt idx="154">
                  <c:v>4283.9895957500003</c:v>
                </c:pt>
                <c:pt idx="155">
                  <c:v>2998.62965033</c:v>
                </c:pt>
                <c:pt idx="156">
                  <c:v>551.08658912999999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2973.3030961999998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9483.59832689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7-474A-9979-D1AB31C64B1D}"/>
            </c:ext>
          </c:extLst>
        </c:ser>
        <c:ser>
          <c:idx val="3"/>
          <c:order val="1"/>
          <c:tx>
            <c:strRef>
              <c:f>'Comparación Generacion'!$AR$5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Generacion'!$AR$6:$AR$173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10325.407011859719</c:v>
                </c:pt>
                <c:pt idx="26">
                  <c:v>11724.8561489536</c:v>
                </c:pt>
                <c:pt idx="27">
                  <c:v>12463.63268173</c:v>
                </c:pt>
                <c:pt idx="28">
                  <c:v>13454.923146792369</c:v>
                </c:pt>
                <c:pt idx="29">
                  <c:v>16141.3867910638</c:v>
                </c:pt>
                <c:pt idx="30">
                  <c:v>23375.405530030392</c:v>
                </c:pt>
                <c:pt idx="31">
                  <c:v>25140.2664733333</c:v>
                </c:pt>
                <c:pt idx="32">
                  <c:v>25140.2664733333</c:v>
                </c:pt>
                <c:pt idx="33">
                  <c:v>13251.288631535839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20857.674687178351</c:v>
                </c:pt>
                <c:pt idx="42">
                  <c:v>25140.2664733333</c:v>
                </c:pt>
                <c:pt idx="43">
                  <c:v>21949.10289212066</c:v>
                </c:pt>
                <c:pt idx="44">
                  <c:v>18418.241401717401</c:v>
                </c:pt>
                <c:pt idx="45">
                  <c:v>16516.255056023419</c:v>
                </c:pt>
                <c:pt idx="46">
                  <c:v>13669.90212387989</c:v>
                </c:pt>
                <c:pt idx="47">
                  <c:v>10257.10289297198</c:v>
                </c:pt>
                <c:pt idx="48">
                  <c:v>5125.4270119922103</c:v>
                </c:pt>
                <c:pt idx="49">
                  <c:v>1349.086532691525</c:v>
                </c:pt>
                <c:pt idx="50">
                  <c:v>0</c:v>
                </c:pt>
                <c:pt idx="51">
                  <c:v>0</c:v>
                </c:pt>
                <c:pt idx="52">
                  <c:v>1748.0666074250239</c:v>
                </c:pt>
                <c:pt idx="53">
                  <c:v>0</c:v>
                </c:pt>
                <c:pt idx="54">
                  <c:v>11148.18619673176</c:v>
                </c:pt>
                <c:pt idx="55">
                  <c:v>17837.082550562409</c:v>
                </c:pt>
                <c:pt idx="56">
                  <c:v>22871.23391404151</c:v>
                </c:pt>
                <c:pt idx="57">
                  <c:v>2117.4328376220128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5991.9213903708614</c:v>
                </c:pt>
                <c:pt idx="65">
                  <c:v>25140.2664733333</c:v>
                </c:pt>
                <c:pt idx="66">
                  <c:v>25140.2664733333</c:v>
                </c:pt>
                <c:pt idx="67">
                  <c:v>25140.2664733333</c:v>
                </c:pt>
                <c:pt idx="68">
                  <c:v>25140.2664733333</c:v>
                </c:pt>
                <c:pt idx="69">
                  <c:v>25140.2664733333</c:v>
                </c:pt>
                <c:pt idx="70">
                  <c:v>16155.528234543441</c:v>
                </c:pt>
                <c:pt idx="71">
                  <c:v>25140.2664733333</c:v>
                </c:pt>
                <c:pt idx="72">
                  <c:v>25140.2664733333</c:v>
                </c:pt>
                <c:pt idx="73">
                  <c:v>24037.914365964429</c:v>
                </c:pt>
                <c:pt idx="74">
                  <c:v>0</c:v>
                </c:pt>
                <c:pt idx="75">
                  <c:v>22388.276699878039</c:v>
                </c:pt>
                <c:pt idx="76">
                  <c:v>0</c:v>
                </c:pt>
                <c:pt idx="77">
                  <c:v>25140.2664733333</c:v>
                </c:pt>
                <c:pt idx="78">
                  <c:v>25140.2664733333</c:v>
                </c:pt>
                <c:pt idx="79">
                  <c:v>25140.2664733333</c:v>
                </c:pt>
                <c:pt idx="80">
                  <c:v>25140.2664733333</c:v>
                </c:pt>
                <c:pt idx="81">
                  <c:v>20709.92081004403</c:v>
                </c:pt>
                <c:pt idx="82">
                  <c:v>4319.1571583064024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7-474A-9979-D1AB31C64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577-474A-9979-D1AB31C64B1D}"/>
                  </c:ext>
                </c:extLst>
              </c15:ser>
            </c15:filteredAreaSeries>
            <c15:filteredArea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577-474A-9979-D1AB31C64B1D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Generación electricidad Turbina</a:t>
            </a:r>
            <a:r>
              <a:rPr lang="es-ES" b="1" baseline="0"/>
              <a:t> PT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 TYNDP 26 vs BenchMarking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'Comparación Generacion'!$AU$5</c:f>
              <c:strCache>
                <c:ptCount val="1"/>
                <c:pt idx="0">
                  <c:v>TYNDP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Generacion'!$AU$6:$AU$173</c:f>
              <c:numCache>
                <c:formatCode>General</c:formatCode>
                <c:ptCount val="168"/>
                <c:pt idx="0">
                  <c:v>4613</c:v>
                </c:pt>
                <c:pt idx="1">
                  <c:v>4613</c:v>
                </c:pt>
                <c:pt idx="2">
                  <c:v>4613</c:v>
                </c:pt>
                <c:pt idx="3">
                  <c:v>4613</c:v>
                </c:pt>
                <c:pt idx="4">
                  <c:v>4613</c:v>
                </c:pt>
                <c:pt idx="5">
                  <c:v>4613</c:v>
                </c:pt>
                <c:pt idx="6">
                  <c:v>4613</c:v>
                </c:pt>
                <c:pt idx="7">
                  <c:v>4613</c:v>
                </c:pt>
                <c:pt idx="8">
                  <c:v>4613</c:v>
                </c:pt>
                <c:pt idx="9">
                  <c:v>4613</c:v>
                </c:pt>
                <c:pt idx="10">
                  <c:v>4613</c:v>
                </c:pt>
                <c:pt idx="11">
                  <c:v>3484.0037682699999</c:v>
                </c:pt>
                <c:pt idx="12">
                  <c:v>4613</c:v>
                </c:pt>
                <c:pt idx="13">
                  <c:v>4538.1274936199998</c:v>
                </c:pt>
                <c:pt idx="14">
                  <c:v>4479.8725723400003</c:v>
                </c:pt>
                <c:pt idx="15">
                  <c:v>4613</c:v>
                </c:pt>
                <c:pt idx="16">
                  <c:v>4613</c:v>
                </c:pt>
                <c:pt idx="17">
                  <c:v>4613</c:v>
                </c:pt>
                <c:pt idx="18">
                  <c:v>4613</c:v>
                </c:pt>
                <c:pt idx="19">
                  <c:v>4613</c:v>
                </c:pt>
                <c:pt idx="20">
                  <c:v>4613</c:v>
                </c:pt>
                <c:pt idx="21">
                  <c:v>4613</c:v>
                </c:pt>
                <c:pt idx="22">
                  <c:v>4613</c:v>
                </c:pt>
                <c:pt idx="23">
                  <c:v>4613</c:v>
                </c:pt>
                <c:pt idx="24">
                  <c:v>4613</c:v>
                </c:pt>
                <c:pt idx="25">
                  <c:v>4613</c:v>
                </c:pt>
                <c:pt idx="26">
                  <c:v>4613</c:v>
                </c:pt>
                <c:pt idx="27">
                  <c:v>4613</c:v>
                </c:pt>
                <c:pt idx="28">
                  <c:v>4613</c:v>
                </c:pt>
                <c:pt idx="29">
                  <c:v>4613</c:v>
                </c:pt>
                <c:pt idx="30">
                  <c:v>4613</c:v>
                </c:pt>
                <c:pt idx="31">
                  <c:v>4613</c:v>
                </c:pt>
                <c:pt idx="32">
                  <c:v>4613</c:v>
                </c:pt>
                <c:pt idx="33">
                  <c:v>4613</c:v>
                </c:pt>
                <c:pt idx="34">
                  <c:v>4613</c:v>
                </c:pt>
                <c:pt idx="35">
                  <c:v>4613</c:v>
                </c:pt>
                <c:pt idx="36">
                  <c:v>4613</c:v>
                </c:pt>
                <c:pt idx="37">
                  <c:v>4613</c:v>
                </c:pt>
                <c:pt idx="38">
                  <c:v>4613</c:v>
                </c:pt>
                <c:pt idx="39">
                  <c:v>4613</c:v>
                </c:pt>
                <c:pt idx="40">
                  <c:v>4613</c:v>
                </c:pt>
                <c:pt idx="41">
                  <c:v>4613</c:v>
                </c:pt>
                <c:pt idx="42">
                  <c:v>4613</c:v>
                </c:pt>
                <c:pt idx="43">
                  <c:v>4613</c:v>
                </c:pt>
                <c:pt idx="44">
                  <c:v>4613</c:v>
                </c:pt>
                <c:pt idx="45">
                  <c:v>4613</c:v>
                </c:pt>
                <c:pt idx="46">
                  <c:v>4613</c:v>
                </c:pt>
                <c:pt idx="47">
                  <c:v>4613</c:v>
                </c:pt>
                <c:pt idx="48">
                  <c:v>4613</c:v>
                </c:pt>
                <c:pt idx="49">
                  <c:v>4613</c:v>
                </c:pt>
                <c:pt idx="50">
                  <c:v>4613</c:v>
                </c:pt>
                <c:pt idx="51">
                  <c:v>4613</c:v>
                </c:pt>
                <c:pt idx="52">
                  <c:v>4613</c:v>
                </c:pt>
                <c:pt idx="53">
                  <c:v>4613</c:v>
                </c:pt>
                <c:pt idx="54">
                  <c:v>4613</c:v>
                </c:pt>
                <c:pt idx="55">
                  <c:v>4613</c:v>
                </c:pt>
                <c:pt idx="56">
                  <c:v>4613</c:v>
                </c:pt>
                <c:pt idx="57">
                  <c:v>4613</c:v>
                </c:pt>
                <c:pt idx="58">
                  <c:v>4613</c:v>
                </c:pt>
                <c:pt idx="59">
                  <c:v>4613</c:v>
                </c:pt>
                <c:pt idx="60">
                  <c:v>4613</c:v>
                </c:pt>
                <c:pt idx="61">
                  <c:v>4613</c:v>
                </c:pt>
                <c:pt idx="62">
                  <c:v>4613</c:v>
                </c:pt>
                <c:pt idx="63">
                  <c:v>4613</c:v>
                </c:pt>
                <c:pt idx="64">
                  <c:v>4613</c:v>
                </c:pt>
                <c:pt idx="65">
                  <c:v>4613</c:v>
                </c:pt>
                <c:pt idx="66">
                  <c:v>4613</c:v>
                </c:pt>
                <c:pt idx="67">
                  <c:v>4613</c:v>
                </c:pt>
                <c:pt idx="68">
                  <c:v>4613</c:v>
                </c:pt>
                <c:pt idx="69">
                  <c:v>4613</c:v>
                </c:pt>
                <c:pt idx="70">
                  <c:v>4613</c:v>
                </c:pt>
                <c:pt idx="71">
                  <c:v>4613</c:v>
                </c:pt>
                <c:pt idx="72">
                  <c:v>4613</c:v>
                </c:pt>
                <c:pt idx="73">
                  <c:v>4613</c:v>
                </c:pt>
                <c:pt idx="74">
                  <c:v>4613</c:v>
                </c:pt>
                <c:pt idx="75">
                  <c:v>4613</c:v>
                </c:pt>
                <c:pt idx="76">
                  <c:v>4613</c:v>
                </c:pt>
                <c:pt idx="77">
                  <c:v>4613</c:v>
                </c:pt>
                <c:pt idx="78">
                  <c:v>4613</c:v>
                </c:pt>
                <c:pt idx="79">
                  <c:v>4613</c:v>
                </c:pt>
                <c:pt idx="80">
                  <c:v>4613</c:v>
                </c:pt>
                <c:pt idx="81">
                  <c:v>4613</c:v>
                </c:pt>
                <c:pt idx="82">
                  <c:v>4613</c:v>
                </c:pt>
                <c:pt idx="83">
                  <c:v>4613</c:v>
                </c:pt>
                <c:pt idx="84">
                  <c:v>4613</c:v>
                </c:pt>
                <c:pt idx="85">
                  <c:v>4613</c:v>
                </c:pt>
                <c:pt idx="86">
                  <c:v>4613</c:v>
                </c:pt>
                <c:pt idx="87">
                  <c:v>4613</c:v>
                </c:pt>
                <c:pt idx="88">
                  <c:v>4613</c:v>
                </c:pt>
                <c:pt idx="89">
                  <c:v>4613</c:v>
                </c:pt>
                <c:pt idx="90">
                  <c:v>4613</c:v>
                </c:pt>
                <c:pt idx="91">
                  <c:v>4613</c:v>
                </c:pt>
                <c:pt idx="92">
                  <c:v>4613</c:v>
                </c:pt>
                <c:pt idx="93">
                  <c:v>4613</c:v>
                </c:pt>
                <c:pt idx="94">
                  <c:v>4613</c:v>
                </c:pt>
                <c:pt idx="95">
                  <c:v>4613</c:v>
                </c:pt>
                <c:pt idx="96">
                  <c:v>4613</c:v>
                </c:pt>
                <c:pt idx="97">
                  <c:v>4613</c:v>
                </c:pt>
                <c:pt idx="98">
                  <c:v>4613</c:v>
                </c:pt>
                <c:pt idx="99">
                  <c:v>4613</c:v>
                </c:pt>
                <c:pt idx="100">
                  <c:v>4613</c:v>
                </c:pt>
                <c:pt idx="101">
                  <c:v>4613</c:v>
                </c:pt>
                <c:pt idx="102">
                  <c:v>4613</c:v>
                </c:pt>
                <c:pt idx="103">
                  <c:v>4613</c:v>
                </c:pt>
                <c:pt idx="104">
                  <c:v>4613</c:v>
                </c:pt>
                <c:pt idx="105">
                  <c:v>2696.8141957799999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4613</c:v>
                </c:pt>
                <c:pt idx="114">
                  <c:v>4613</c:v>
                </c:pt>
                <c:pt idx="115">
                  <c:v>4613</c:v>
                </c:pt>
                <c:pt idx="116">
                  <c:v>4613</c:v>
                </c:pt>
                <c:pt idx="117">
                  <c:v>4613</c:v>
                </c:pt>
                <c:pt idx="118">
                  <c:v>4613</c:v>
                </c:pt>
                <c:pt idx="119">
                  <c:v>4613</c:v>
                </c:pt>
                <c:pt idx="120">
                  <c:v>4613</c:v>
                </c:pt>
                <c:pt idx="121">
                  <c:v>4613</c:v>
                </c:pt>
                <c:pt idx="122">
                  <c:v>4613</c:v>
                </c:pt>
                <c:pt idx="123">
                  <c:v>4613</c:v>
                </c:pt>
                <c:pt idx="124">
                  <c:v>4613</c:v>
                </c:pt>
                <c:pt idx="125">
                  <c:v>4613</c:v>
                </c:pt>
                <c:pt idx="126">
                  <c:v>4613</c:v>
                </c:pt>
                <c:pt idx="127">
                  <c:v>4613</c:v>
                </c:pt>
                <c:pt idx="128">
                  <c:v>4613</c:v>
                </c:pt>
                <c:pt idx="129">
                  <c:v>4613</c:v>
                </c:pt>
                <c:pt idx="130">
                  <c:v>931.99979149000001</c:v>
                </c:pt>
                <c:pt idx="131">
                  <c:v>4613</c:v>
                </c:pt>
                <c:pt idx="132">
                  <c:v>2785.1080021299999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4613</c:v>
                </c:pt>
                <c:pt idx="138">
                  <c:v>4613</c:v>
                </c:pt>
                <c:pt idx="139">
                  <c:v>4613</c:v>
                </c:pt>
                <c:pt idx="140">
                  <c:v>4613</c:v>
                </c:pt>
                <c:pt idx="141">
                  <c:v>3458.3974297899999</c:v>
                </c:pt>
                <c:pt idx="142">
                  <c:v>4613</c:v>
                </c:pt>
                <c:pt idx="143">
                  <c:v>3821.1880371500001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2064.9701558299998</c:v>
                </c:pt>
                <c:pt idx="163">
                  <c:v>4613</c:v>
                </c:pt>
                <c:pt idx="164">
                  <c:v>3999.9155957399998</c:v>
                </c:pt>
                <c:pt idx="165">
                  <c:v>2460.2040297899998</c:v>
                </c:pt>
                <c:pt idx="166">
                  <c:v>4613</c:v>
                </c:pt>
                <c:pt idx="167">
                  <c:v>1388.2723531900001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A-46DB-9855-A4B783FA9D0A}"/>
            </c:ext>
          </c:extLst>
        </c:ser>
        <c:ser>
          <c:idx val="3"/>
          <c:order val="1"/>
          <c:tx>
            <c:strRef>
              <c:f>'Comparación Generacion'!$AV$5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Generacion'!$AV$6:$AV$173</c:f>
              <c:numCache>
                <c:formatCode>General</c:formatCode>
                <c:ptCount val="168"/>
                <c:pt idx="0">
                  <c:v>2877.985924161866</c:v>
                </c:pt>
                <c:pt idx="1">
                  <c:v>0</c:v>
                </c:pt>
                <c:pt idx="2">
                  <c:v>3093.9253817630588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2815.553749976214</c:v>
                </c:pt>
                <c:pt idx="18">
                  <c:v>3135</c:v>
                </c:pt>
                <c:pt idx="19">
                  <c:v>3135</c:v>
                </c:pt>
                <c:pt idx="20">
                  <c:v>3135</c:v>
                </c:pt>
                <c:pt idx="21">
                  <c:v>3135</c:v>
                </c:pt>
                <c:pt idx="22">
                  <c:v>3135</c:v>
                </c:pt>
                <c:pt idx="23">
                  <c:v>3135</c:v>
                </c:pt>
                <c:pt idx="24">
                  <c:v>3135</c:v>
                </c:pt>
                <c:pt idx="25">
                  <c:v>3135</c:v>
                </c:pt>
                <c:pt idx="26">
                  <c:v>3135</c:v>
                </c:pt>
                <c:pt idx="27">
                  <c:v>3135</c:v>
                </c:pt>
                <c:pt idx="28">
                  <c:v>3135</c:v>
                </c:pt>
                <c:pt idx="29">
                  <c:v>3135</c:v>
                </c:pt>
                <c:pt idx="30">
                  <c:v>3135</c:v>
                </c:pt>
                <c:pt idx="31">
                  <c:v>3135</c:v>
                </c:pt>
                <c:pt idx="32">
                  <c:v>3135</c:v>
                </c:pt>
                <c:pt idx="33">
                  <c:v>3135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2631.078580369528</c:v>
                </c:pt>
                <c:pt idx="42">
                  <c:v>99.341100350560311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713.53502990011782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1288.694734037764</c:v>
                </c:pt>
                <c:pt idx="66">
                  <c:v>3135</c:v>
                </c:pt>
                <c:pt idx="67">
                  <c:v>3135</c:v>
                </c:pt>
                <c:pt idx="68">
                  <c:v>3135</c:v>
                </c:pt>
                <c:pt idx="69">
                  <c:v>3135</c:v>
                </c:pt>
                <c:pt idx="70">
                  <c:v>3135</c:v>
                </c:pt>
                <c:pt idx="71">
                  <c:v>3135</c:v>
                </c:pt>
                <c:pt idx="72">
                  <c:v>2238.3712834037642</c:v>
                </c:pt>
                <c:pt idx="73">
                  <c:v>2032.951083400824</c:v>
                </c:pt>
                <c:pt idx="74">
                  <c:v>1424.061840973884</c:v>
                </c:pt>
                <c:pt idx="75">
                  <c:v>1084.2574991507049</c:v>
                </c:pt>
                <c:pt idx="76">
                  <c:v>1247.285672769648</c:v>
                </c:pt>
                <c:pt idx="77">
                  <c:v>1562.411013930119</c:v>
                </c:pt>
                <c:pt idx="78">
                  <c:v>2042.2099974291759</c:v>
                </c:pt>
                <c:pt idx="79">
                  <c:v>3033.1503409267061</c:v>
                </c:pt>
                <c:pt idx="80">
                  <c:v>3135</c:v>
                </c:pt>
                <c:pt idx="81">
                  <c:v>3135</c:v>
                </c:pt>
                <c:pt idx="82">
                  <c:v>2316.1753997748228</c:v>
                </c:pt>
                <c:pt idx="83">
                  <c:v>431.45248076647158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2715.6940365545888</c:v>
                </c:pt>
                <c:pt idx="89">
                  <c:v>3135</c:v>
                </c:pt>
                <c:pt idx="90">
                  <c:v>3135</c:v>
                </c:pt>
                <c:pt idx="91">
                  <c:v>80.995667754879079</c:v>
                </c:pt>
                <c:pt idx="92">
                  <c:v>0</c:v>
                </c:pt>
                <c:pt idx="93">
                  <c:v>0</c:v>
                </c:pt>
                <c:pt idx="94">
                  <c:v>3135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A-46DB-9855-A4B783FA9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26A-46DB-9855-A4B783FA9D0A}"/>
                  </c:ext>
                </c:extLst>
              </c15:ser>
            </c15:filteredAreaSeries>
            <c15:filteredArea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26A-46DB-9855-A4B783FA9D0A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Consumo</a:t>
            </a:r>
            <a:r>
              <a:rPr lang="es-ES" b="1" baseline="0"/>
              <a:t> electricidad para Pump</a:t>
            </a:r>
            <a:r>
              <a:rPr lang="es-ES" b="1"/>
              <a:t>. TYNDP 26 vs BenchMarking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'Comparación Generacion'!$BA$5</c:f>
              <c:strCache>
                <c:ptCount val="1"/>
                <c:pt idx="0">
                  <c:v>Turbine TYNDP26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Generacion'!$BA$6:$BA$173</c:f>
              <c:numCache>
                <c:formatCode>0.0</c:formatCode>
                <c:ptCount val="168"/>
                <c:pt idx="0">
                  <c:v>0</c:v>
                </c:pt>
                <c:pt idx="1">
                  <c:v>6233.0945069600002</c:v>
                </c:pt>
                <c:pt idx="2">
                  <c:v>2389.78039446</c:v>
                </c:pt>
                <c:pt idx="3">
                  <c:v>1486.2995510200001</c:v>
                </c:pt>
                <c:pt idx="4">
                  <c:v>7040.3117086499997</c:v>
                </c:pt>
                <c:pt idx="5">
                  <c:v>10423.35</c:v>
                </c:pt>
                <c:pt idx="6">
                  <c:v>8697.2256123299994</c:v>
                </c:pt>
                <c:pt idx="7">
                  <c:v>0</c:v>
                </c:pt>
                <c:pt idx="8">
                  <c:v>0</c:v>
                </c:pt>
                <c:pt idx="9">
                  <c:v>4059.8215599199998</c:v>
                </c:pt>
                <c:pt idx="10">
                  <c:v>10423.35</c:v>
                </c:pt>
                <c:pt idx="11">
                  <c:v>10423.35</c:v>
                </c:pt>
                <c:pt idx="12">
                  <c:v>10423.35</c:v>
                </c:pt>
                <c:pt idx="13">
                  <c:v>10423.35</c:v>
                </c:pt>
                <c:pt idx="14">
                  <c:v>10423.35</c:v>
                </c:pt>
                <c:pt idx="15">
                  <c:v>10423.35</c:v>
                </c:pt>
                <c:pt idx="16">
                  <c:v>10423.35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10423.35</c:v>
                </c:pt>
                <c:pt idx="35">
                  <c:v>10423.35</c:v>
                </c:pt>
                <c:pt idx="36">
                  <c:v>10423.35</c:v>
                </c:pt>
                <c:pt idx="37">
                  <c:v>10423.35</c:v>
                </c:pt>
                <c:pt idx="38">
                  <c:v>10423.35</c:v>
                </c:pt>
                <c:pt idx="39">
                  <c:v>10423.35</c:v>
                </c:pt>
                <c:pt idx="40">
                  <c:v>6754.1041912999999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9322.6525643200002</c:v>
                </c:pt>
                <c:pt idx="59">
                  <c:v>10423.35</c:v>
                </c:pt>
                <c:pt idx="60">
                  <c:v>10423.35</c:v>
                </c:pt>
                <c:pt idx="61">
                  <c:v>10423.35</c:v>
                </c:pt>
                <c:pt idx="62">
                  <c:v>10423.35</c:v>
                </c:pt>
                <c:pt idx="63">
                  <c:v>10351.18835441</c:v>
                </c:pt>
                <c:pt idx="64">
                  <c:v>374.42458929999998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1370.06201962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3244.7356579400002</c:v>
                </c:pt>
                <c:pt idx="106">
                  <c:v>13320.75</c:v>
                </c:pt>
                <c:pt idx="107">
                  <c:v>13320.75</c:v>
                </c:pt>
                <c:pt idx="108">
                  <c:v>13320.75</c:v>
                </c:pt>
                <c:pt idx="109">
                  <c:v>13320.75</c:v>
                </c:pt>
                <c:pt idx="110">
                  <c:v>13320.75</c:v>
                </c:pt>
                <c:pt idx="111">
                  <c:v>13320.75</c:v>
                </c:pt>
                <c:pt idx="112">
                  <c:v>13320.75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2897.4</c:v>
                </c:pt>
                <c:pt idx="121">
                  <c:v>2897.4</c:v>
                </c:pt>
                <c:pt idx="122">
                  <c:v>2897.4</c:v>
                </c:pt>
                <c:pt idx="123">
                  <c:v>2897.4</c:v>
                </c:pt>
                <c:pt idx="124">
                  <c:v>2897.4</c:v>
                </c:pt>
                <c:pt idx="125">
                  <c:v>2897.4</c:v>
                </c:pt>
                <c:pt idx="126">
                  <c:v>2897.4</c:v>
                </c:pt>
                <c:pt idx="127">
                  <c:v>2897.4</c:v>
                </c:pt>
                <c:pt idx="128">
                  <c:v>2897.4</c:v>
                </c:pt>
                <c:pt idx="129">
                  <c:v>5563.69374831</c:v>
                </c:pt>
                <c:pt idx="130">
                  <c:v>13320.75</c:v>
                </c:pt>
                <c:pt idx="131">
                  <c:v>13320.75</c:v>
                </c:pt>
                <c:pt idx="132">
                  <c:v>13320.75</c:v>
                </c:pt>
                <c:pt idx="133">
                  <c:v>13320.75</c:v>
                </c:pt>
                <c:pt idx="134">
                  <c:v>13320.75</c:v>
                </c:pt>
                <c:pt idx="135">
                  <c:v>13320.75</c:v>
                </c:pt>
                <c:pt idx="136">
                  <c:v>13320.75</c:v>
                </c:pt>
                <c:pt idx="137">
                  <c:v>2897.4</c:v>
                </c:pt>
                <c:pt idx="138">
                  <c:v>2897.4</c:v>
                </c:pt>
                <c:pt idx="139">
                  <c:v>2897.4</c:v>
                </c:pt>
                <c:pt idx="140">
                  <c:v>2897.4</c:v>
                </c:pt>
                <c:pt idx="141">
                  <c:v>2897.4</c:v>
                </c:pt>
                <c:pt idx="142">
                  <c:v>2897.4</c:v>
                </c:pt>
                <c:pt idx="143">
                  <c:v>2897.4</c:v>
                </c:pt>
                <c:pt idx="144">
                  <c:v>2897.4</c:v>
                </c:pt>
                <c:pt idx="145">
                  <c:v>13320.75</c:v>
                </c:pt>
                <c:pt idx="146">
                  <c:v>13320.75</c:v>
                </c:pt>
                <c:pt idx="147">
                  <c:v>13320.75</c:v>
                </c:pt>
                <c:pt idx="148">
                  <c:v>13320.75</c:v>
                </c:pt>
                <c:pt idx="149">
                  <c:v>13320.75</c:v>
                </c:pt>
                <c:pt idx="150">
                  <c:v>13320.75</c:v>
                </c:pt>
                <c:pt idx="151">
                  <c:v>13320.75</c:v>
                </c:pt>
                <c:pt idx="152">
                  <c:v>2897.4</c:v>
                </c:pt>
                <c:pt idx="153">
                  <c:v>2897.4</c:v>
                </c:pt>
                <c:pt idx="154">
                  <c:v>13320.75</c:v>
                </c:pt>
                <c:pt idx="155">
                  <c:v>13320.75</c:v>
                </c:pt>
                <c:pt idx="156">
                  <c:v>13320.75</c:v>
                </c:pt>
                <c:pt idx="157">
                  <c:v>13320.75</c:v>
                </c:pt>
                <c:pt idx="158">
                  <c:v>13320.75</c:v>
                </c:pt>
                <c:pt idx="159">
                  <c:v>13320.75</c:v>
                </c:pt>
                <c:pt idx="160">
                  <c:v>13320.75</c:v>
                </c:pt>
                <c:pt idx="161">
                  <c:v>2897.4</c:v>
                </c:pt>
                <c:pt idx="162">
                  <c:v>2897.4</c:v>
                </c:pt>
                <c:pt idx="163">
                  <c:v>13320.75</c:v>
                </c:pt>
                <c:pt idx="164">
                  <c:v>13320.75</c:v>
                </c:pt>
                <c:pt idx="165">
                  <c:v>13320.75</c:v>
                </c:pt>
                <c:pt idx="166">
                  <c:v>13320.75</c:v>
                </c:pt>
                <c:pt idx="167">
                  <c:v>13320.75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3-46F5-B6D4-BC20E3816C1C}"/>
            </c:ext>
          </c:extLst>
        </c:ser>
        <c:ser>
          <c:idx val="3"/>
          <c:order val="1"/>
          <c:tx>
            <c:strRef>
              <c:f>'Comparación Generacion'!$BB$5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Generacion'!$BB$6:$BB$173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7065.7329251074016</c:v>
                </c:pt>
                <c:pt idx="4">
                  <c:v>8597.891380286339</c:v>
                </c:pt>
                <c:pt idx="5">
                  <c:v>2241.2887393551368</c:v>
                </c:pt>
                <c:pt idx="6">
                  <c:v>1758.205171427413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13320.750632965201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13320.750632965201</c:v>
                </c:pt>
                <c:pt idx="15">
                  <c:v>13320.750632965201</c:v>
                </c:pt>
                <c:pt idx="16">
                  <c:v>13320.750632965201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316.0060293980988</c:v>
                </c:pt>
                <c:pt idx="97">
                  <c:v>0</c:v>
                </c:pt>
                <c:pt idx="98">
                  <c:v>0</c:v>
                </c:pt>
                <c:pt idx="99">
                  <c:v>1065.4878922070859</c:v>
                </c:pt>
                <c:pt idx="100">
                  <c:v>6857.0334255452472</c:v>
                </c:pt>
                <c:pt idx="101">
                  <c:v>8305.1438078327574</c:v>
                </c:pt>
                <c:pt idx="102">
                  <c:v>5219.1889548658928</c:v>
                </c:pt>
                <c:pt idx="103">
                  <c:v>6332.2951380279856</c:v>
                </c:pt>
                <c:pt idx="104">
                  <c:v>6739.603684719812</c:v>
                </c:pt>
                <c:pt idx="105">
                  <c:v>13223.43965244709</c:v>
                </c:pt>
                <c:pt idx="106">
                  <c:v>13320.750632965201</c:v>
                </c:pt>
                <c:pt idx="107">
                  <c:v>13320.750632965201</c:v>
                </c:pt>
                <c:pt idx="108">
                  <c:v>13320.750632965201</c:v>
                </c:pt>
                <c:pt idx="109">
                  <c:v>13320.750632965201</c:v>
                </c:pt>
                <c:pt idx="110">
                  <c:v>13320.750632965201</c:v>
                </c:pt>
                <c:pt idx="111">
                  <c:v>13320.750632965201</c:v>
                </c:pt>
                <c:pt idx="112">
                  <c:v>13320.750632965201</c:v>
                </c:pt>
                <c:pt idx="113">
                  <c:v>13320.750632965201</c:v>
                </c:pt>
                <c:pt idx="114">
                  <c:v>13320.750632965201</c:v>
                </c:pt>
                <c:pt idx="115">
                  <c:v>13320.750632965201</c:v>
                </c:pt>
                <c:pt idx="116">
                  <c:v>13320.750632965201</c:v>
                </c:pt>
                <c:pt idx="117">
                  <c:v>13320.750632965201</c:v>
                </c:pt>
                <c:pt idx="118">
                  <c:v>13320.750632965201</c:v>
                </c:pt>
                <c:pt idx="119">
                  <c:v>13320.750632965201</c:v>
                </c:pt>
                <c:pt idx="120">
                  <c:v>13320.750632965201</c:v>
                </c:pt>
                <c:pt idx="121">
                  <c:v>13320.750632965201</c:v>
                </c:pt>
                <c:pt idx="122">
                  <c:v>13320.750632965201</c:v>
                </c:pt>
                <c:pt idx="123">
                  <c:v>13320.750632965201</c:v>
                </c:pt>
                <c:pt idx="124">
                  <c:v>13320.750632965201</c:v>
                </c:pt>
                <c:pt idx="125">
                  <c:v>13320.750632965201</c:v>
                </c:pt>
                <c:pt idx="126">
                  <c:v>13320.750632965201</c:v>
                </c:pt>
                <c:pt idx="127">
                  <c:v>13320.750632965201</c:v>
                </c:pt>
                <c:pt idx="128">
                  <c:v>13320.750632965201</c:v>
                </c:pt>
                <c:pt idx="129">
                  <c:v>13320.750632965201</c:v>
                </c:pt>
                <c:pt idx="130">
                  <c:v>13320.750632965201</c:v>
                </c:pt>
                <c:pt idx="131">
                  <c:v>13320.750632965201</c:v>
                </c:pt>
                <c:pt idx="132">
                  <c:v>13320.750632965201</c:v>
                </c:pt>
                <c:pt idx="133">
                  <c:v>13320.750632965201</c:v>
                </c:pt>
                <c:pt idx="134">
                  <c:v>13320.750632965201</c:v>
                </c:pt>
                <c:pt idx="135">
                  <c:v>13320.750632965201</c:v>
                </c:pt>
                <c:pt idx="136">
                  <c:v>13320.750632965201</c:v>
                </c:pt>
                <c:pt idx="137">
                  <c:v>13320.750632965201</c:v>
                </c:pt>
                <c:pt idx="138">
                  <c:v>13320.750632965201</c:v>
                </c:pt>
                <c:pt idx="139">
                  <c:v>13320.750632965201</c:v>
                </c:pt>
                <c:pt idx="140">
                  <c:v>13320.750632965201</c:v>
                </c:pt>
                <c:pt idx="141">
                  <c:v>13320.750632965201</c:v>
                </c:pt>
                <c:pt idx="142">
                  <c:v>13320.750632965201</c:v>
                </c:pt>
                <c:pt idx="143">
                  <c:v>13320.750632965201</c:v>
                </c:pt>
                <c:pt idx="144">
                  <c:v>13320.750632965201</c:v>
                </c:pt>
                <c:pt idx="145">
                  <c:v>13320.750632965201</c:v>
                </c:pt>
                <c:pt idx="146">
                  <c:v>13320.750632965201</c:v>
                </c:pt>
                <c:pt idx="147">
                  <c:v>13320.750632965201</c:v>
                </c:pt>
                <c:pt idx="148">
                  <c:v>13320.750632965201</c:v>
                </c:pt>
                <c:pt idx="149">
                  <c:v>13320.750632965201</c:v>
                </c:pt>
                <c:pt idx="150">
                  <c:v>13320.750632965201</c:v>
                </c:pt>
                <c:pt idx="151">
                  <c:v>13320.750632965201</c:v>
                </c:pt>
                <c:pt idx="152">
                  <c:v>13320.750632965201</c:v>
                </c:pt>
                <c:pt idx="153">
                  <c:v>13320.750632965201</c:v>
                </c:pt>
                <c:pt idx="154">
                  <c:v>13320.750632965201</c:v>
                </c:pt>
                <c:pt idx="155">
                  <c:v>13320.750632965201</c:v>
                </c:pt>
                <c:pt idx="156">
                  <c:v>13320.750632965201</c:v>
                </c:pt>
                <c:pt idx="157">
                  <c:v>13320.750632965201</c:v>
                </c:pt>
                <c:pt idx="158">
                  <c:v>13320.750632965201</c:v>
                </c:pt>
                <c:pt idx="159">
                  <c:v>13320.750632965201</c:v>
                </c:pt>
                <c:pt idx="160">
                  <c:v>13320.750632965201</c:v>
                </c:pt>
                <c:pt idx="161">
                  <c:v>13320.750632965201</c:v>
                </c:pt>
                <c:pt idx="162">
                  <c:v>13320.750632965201</c:v>
                </c:pt>
                <c:pt idx="163">
                  <c:v>13320.750632965201</c:v>
                </c:pt>
                <c:pt idx="164">
                  <c:v>13320.750632965201</c:v>
                </c:pt>
                <c:pt idx="165">
                  <c:v>13320.750632965201</c:v>
                </c:pt>
                <c:pt idx="166">
                  <c:v>13320.750632965201</c:v>
                </c:pt>
                <c:pt idx="167">
                  <c:v>13320.750632965201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3-46F5-B6D4-BC20E3816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2E3-46F5-B6D4-BC20E3816C1C}"/>
                  </c:ext>
                </c:extLst>
              </c15:ser>
            </c15:filteredAreaSeries>
            <c15:filteredArea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E3-46F5-B6D4-BC20E3816C1C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ES00-FR00</a:t>
            </a:r>
            <a:r>
              <a:rPr lang="es-ES" baseline="0"/>
              <a:t> Interconexiones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'Comparación Interconexiones'!$C$2</c:f>
              <c:strCache>
                <c:ptCount val="1"/>
                <c:pt idx="0">
                  <c:v>ES00-FR00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Interconexiones'!$C$3:$C$170</c:f>
              <c:numCache>
                <c:formatCode>#,##0.00</c:formatCode>
                <c:ptCount val="168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-5000</c:v>
                </c:pt>
                <c:pt idx="35">
                  <c:v>0</c:v>
                </c:pt>
                <c:pt idx="36">
                  <c:v>0</c:v>
                </c:pt>
                <c:pt idx="37">
                  <c:v>-1024.6925293199999</c:v>
                </c:pt>
                <c:pt idx="38">
                  <c:v>-2020.1101721099999</c:v>
                </c:pt>
                <c:pt idx="39">
                  <c:v>-3682.2798601</c:v>
                </c:pt>
                <c:pt idx="40">
                  <c:v>-5000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-5000</c:v>
                </c:pt>
                <c:pt idx="59">
                  <c:v>-5000</c:v>
                </c:pt>
                <c:pt idx="60">
                  <c:v>-5000</c:v>
                </c:pt>
                <c:pt idx="61">
                  <c:v>-5000</c:v>
                </c:pt>
                <c:pt idx="62">
                  <c:v>-5000</c:v>
                </c:pt>
                <c:pt idx="63">
                  <c:v>-5000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-746.27792890000001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1-4BF1-B561-572DF9181994}"/>
            </c:ext>
          </c:extLst>
        </c:ser>
        <c:ser>
          <c:idx val="1"/>
          <c:order val="1"/>
          <c:tx>
            <c:strRef>
              <c:f>'Comparación Interconexiones'!$G$2</c:f>
              <c:strCache>
                <c:ptCount val="1"/>
                <c:pt idx="0">
                  <c:v>Interconexion ES00-FR00 BenchMarking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Interconexiones'!$G$3:$G$169</c:f>
              <c:numCache>
                <c:formatCode>General</c:formatCode>
                <c:ptCount val="167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-5000</c:v>
                </c:pt>
                <c:pt idx="35">
                  <c:v>0</c:v>
                </c:pt>
                <c:pt idx="36">
                  <c:v>0</c:v>
                </c:pt>
                <c:pt idx="37">
                  <c:v>-1024.6925293199999</c:v>
                </c:pt>
                <c:pt idx="38">
                  <c:v>-2020.1101721099999</c:v>
                </c:pt>
                <c:pt idx="39">
                  <c:v>-3682.2798601</c:v>
                </c:pt>
                <c:pt idx="40">
                  <c:v>-5000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-5000</c:v>
                </c:pt>
                <c:pt idx="59">
                  <c:v>-5000</c:v>
                </c:pt>
                <c:pt idx="60">
                  <c:v>-5000</c:v>
                </c:pt>
                <c:pt idx="61">
                  <c:v>-5000</c:v>
                </c:pt>
                <c:pt idx="62">
                  <c:v>-5000</c:v>
                </c:pt>
                <c:pt idx="63">
                  <c:v>-5000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-746.27792890000001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1-4BF1-B561-572DF9181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05904"/>
        <c:axId val="1124914064"/>
      </c:areaChart>
      <c:catAx>
        <c:axId val="1124905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14064"/>
        <c:crosses val="autoZero"/>
        <c:auto val="1"/>
        <c:lblAlgn val="ctr"/>
        <c:lblOffset val="100"/>
        <c:noMultiLvlLbl val="0"/>
      </c:catAx>
      <c:valAx>
        <c:axId val="11249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0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ES00-PT00</a:t>
            </a:r>
            <a:r>
              <a:rPr lang="es-ES" baseline="0"/>
              <a:t> Interconexiones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'Comparación Interconexiones'!$J$2</c:f>
              <c:strCache>
                <c:ptCount val="1"/>
                <c:pt idx="0">
                  <c:v>ES00-PT00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Interconexiones'!$J$3:$J$170</c:f>
              <c:numCache>
                <c:formatCode>#,##0.00</c:formatCode>
                <c:ptCount val="168"/>
                <c:pt idx="0">
                  <c:v>-125.95322385999999</c:v>
                </c:pt>
                <c:pt idx="1">
                  <c:v>-1957.117</c:v>
                </c:pt>
                <c:pt idx="2">
                  <c:v>-2261.8411787199998</c:v>
                </c:pt>
                <c:pt idx="3">
                  <c:v>-555.81680649999998</c:v>
                </c:pt>
                <c:pt idx="4">
                  <c:v>-3500</c:v>
                </c:pt>
                <c:pt idx="5">
                  <c:v>-3500</c:v>
                </c:pt>
                <c:pt idx="6">
                  <c:v>-3285.6525446800001</c:v>
                </c:pt>
                <c:pt idx="7">
                  <c:v>-3500</c:v>
                </c:pt>
                <c:pt idx="8">
                  <c:v>-3286.08996596</c:v>
                </c:pt>
                <c:pt idx="9">
                  <c:v>-3102.8425404300001</c:v>
                </c:pt>
                <c:pt idx="10">
                  <c:v>-3447.3844978699999</c:v>
                </c:pt>
                <c:pt idx="11">
                  <c:v>-3500</c:v>
                </c:pt>
                <c:pt idx="12">
                  <c:v>-3500</c:v>
                </c:pt>
                <c:pt idx="13">
                  <c:v>-3500</c:v>
                </c:pt>
                <c:pt idx="14">
                  <c:v>-3500</c:v>
                </c:pt>
                <c:pt idx="15">
                  <c:v>-3500</c:v>
                </c:pt>
                <c:pt idx="16">
                  <c:v>-1527.2423872300001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-1054.0725276600001</c:v>
                </c:pt>
                <c:pt idx="21">
                  <c:v>-3500</c:v>
                </c:pt>
                <c:pt idx="22">
                  <c:v>-1843.3974944700001</c:v>
                </c:pt>
                <c:pt idx="23">
                  <c:v>-2117.35048633</c:v>
                </c:pt>
                <c:pt idx="24">
                  <c:v>-860.67870935999997</c:v>
                </c:pt>
                <c:pt idx="25">
                  <c:v>-972.71159252999996</c:v>
                </c:pt>
                <c:pt idx="26">
                  <c:v>-2126.45227802</c:v>
                </c:pt>
                <c:pt idx="27">
                  <c:v>-2666.8125878599999</c:v>
                </c:pt>
                <c:pt idx="28">
                  <c:v>-3496.0209702100001</c:v>
                </c:pt>
                <c:pt idx="29">
                  <c:v>-3452.89829319</c:v>
                </c:pt>
                <c:pt idx="30">
                  <c:v>-3500</c:v>
                </c:pt>
                <c:pt idx="31">
                  <c:v>-3500</c:v>
                </c:pt>
                <c:pt idx="32">
                  <c:v>-2539.9379867600001</c:v>
                </c:pt>
                <c:pt idx="33">
                  <c:v>-3500</c:v>
                </c:pt>
                <c:pt idx="34">
                  <c:v>-2145.4950749</c:v>
                </c:pt>
                <c:pt idx="35">
                  <c:v>-658.24248510999996</c:v>
                </c:pt>
                <c:pt idx="36">
                  <c:v>-2943.0556530099998</c:v>
                </c:pt>
                <c:pt idx="37">
                  <c:v>-3500</c:v>
                </c:pt>
                <c:pt idx="38">
                  <c:v>-2361.9084276600001</c:v>
                </c:pt>
                <c:pt idx="39">
                  <c:v>-3500</c:v>
                </c:pt>
                <c:pt idx="40">
                  <c:v>-1225.5375106399999</c:v>
                </c:pt>
                <c:pt idx="41">
                  <c:v>-1198.1990383</c:v>
                </c:pt>
                <c:pt idx="42">
                  <c:v>-3458.30981277</c:v>
                </c:pt>
                <c:pt idx="43">
                  <c:v>-1155.82165532</c:v>
                </c:pt>
                <c:pt idx="44">
                  <c:v>-3500</c:v>
                </c:pt>
                <c:pt idx="45">
                  <c:v>-3500</c:v>
                </c:pt>
                <c:pt idx="46">
                  <c:v>-3500</c:v>
                </c:pt>
                <c:pt idx="47">
                  <c:v>-3500</c:v>
                </c:pt>
                <c:pt idx="48">
                  <c:v>-3307.7390723399999</c:v>
                </c:pt>
                <c:pt idx="49">
                  <c:v>-3500</c:v>
                </c:pt>
                <c:pt idx="50">
                  <c:v>-3500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-3500</c:v>
                </c:pt>
                <c:pt idx="58">
                  <c:v>-1965.2597978700001</c:v>
                </c:pt>
                <c:pt idx="59">
                  <c:v>-2452.7780019400002</c:v>
                </c:pt>
                <c:pt idx="60">
                  <c:v>-3500</c:v>
                </c:pt>
                <c:pt idx="61">
                  <c:v>-2359.1536063799999</c:v>
                </c:pt>
                <c:pt idx="62">
                  <c:v>-3500</c:v>
                </c:pt>
                <c:pt idx="63">
                  <c:v>-1329.54075745</c:v>
                </c:pt>
                <c:pt idx="64">
                  <c:v>-1455.36819388</c:v>
                </c:pt>
                <c:pt idx="65">
                  <c:v>-3500</c:v>
                </c:pt>
                <c:pt idx="66">
                  <c:v>-757.34881276999999</c:v>
                </c:pt>
                <c:pt idx="67">
                  <c:v>-3500</c:v>
                </c:pt>
                <c:pt idx="68">
                  <c:v>-3500</c:v>
                </c:pt>
                <c:pt idx="69">
                  <c:v>-2411.5887285099998</c:v>
                </c:pt>
                <c:pt idx="70">
                  <c:v>-1508.62675745</c:v>
                </c:pt>
                <c:pt idx="71">
                  <c:v>-999.62707660000001</c:v>
                </c:pt>
                <c:pt idx="72">
                  <c:v>-1598.2044723399999</c:v>
                </c:pt>
                <c:pt idx="73">
                  <c:v>-1986.5157872299999</c:v>
                </c:pt>
                <c:pt idx="74">
                  <c:v>-2357.61208085</c:v>
                </c:pt>
                <c:pt idx="75">
                  <c:v>-2475.9811489399999</c:v>
                </c:pt>
                <c:pt idx="76">
                  <c:v>-2456.4717702100002</c:v>
                </c:pt>
                <c:pt idx="77">
                  <c:v>-2343.4829923399998</c:v>
                </c:pt>
                <c:pt idx="78">
                  <c:v>-1987.29290468</c:v>
                </c:pt>
                <c:pt idx="79">
                  <c:v>-3500</c:v>
                </c:pt>
                <c:pt idx="80">
                  <c:v>-3500</c:v>
                </c:pt>
                <c:pt idx="81">
                  <c:v>-1105.75236298</c:v>
                </c:pt>
                <c:pt idx="82">
                  <c:v>-1083.4669978699999</c:v>
                </c:pt>
                <c:pt idx="83">
                  <c:v>-2181.02128511</c:v>
                </c:pt>
                <c:pt idx="84">
                  <c:v>0</c:v>
                </c:pt>
                <c:pt idx="85">
                  <c:v>-2697.57585049</c:v>
                </c:pt>
                <c:pt idx="86">
                  <c:v>-2642.77572766</c:v>
                </c:pt>
                <c:pt idx="87">
                  <c:v>-2767.0649574499998</c:v>
                </c:pt>
                <c:pt idx="88">
                  <c:v>-3500</c:v>
                </c:pt>
                <c:pt idx="89">
                  <c:v>-3500</c:v>
                </c:pt>
                <c:pt idx="90">
                  <c:v>-3144.8217055599998</c:v>
                </c:pt>
                <c:pt idx="91">
                  <c:v>-2970.2919743699999</c:v>
                </c:pt>
                <c:pt idx="92">
                  <c:v>-89.159204259999996</c:v>
                </c:pt>
                <c:pt idx="93">
                  <c:v>-3158.0710893599999</c:v>
                </c:pt>
                <c:pt idx="94">
                  <c:v>-1688.3280255499999</c:v>
                </c:pt>
                <c:pt idx="95">
                  <c:v>0</c:v>
                </c:pt>
                <c:pt idx="96">
                  <c:v>-2754.0536382999999</c:v>
                </c:pt>
                <c:pt idx="97">
                  <c:v>-90.240200000000002</c:v>
                </c:pt>
                <c:pt idx="98">
                  <c:v>-3109.9481787200002</c:v>
                </c:pt>
                <c:pt idx="99">
                  <c:v>-1239.1858297900001</c:v>
                </c:pt>
                <c:pt idx="100">
                  <c:v>-1173.07119625</c:v>
                </c:pt>
                <c:pt idx="101">
                  <c:v>-3443.8641531899998</c:v>
                </c:pt>
                <c:pt idx="102">
                  <c:v>-3201.47374468</c:v>
                </c:pt>
                <c:pt idx="103">
                  <c:v>-3267.0699829800001</c:v>
                </c:pt>
                <c:pt idx="104">
                  <c:v>-1935.6791659600001</c:v>
                </c:pt>
                <c:pt idx="105">
                  <c:v>-621.77287875000002</c:v>
                </c:pt>
                <c:pt idx="106">
                  <c:v>3399.8320021300001</c:v>
                </c:pt>
                <c:pt idx="107">
                  <c:v>59.394714890000003</c:v>
                </c:pt>
                <c:pt idx="108">
                  <c:v>1328.00260213</c:v>
                </c:pt>
                <c:pt idx="109">
                  <c:v>60.682493620000002</c:v>
                </c:pt>
                <c:pt idx="110">
                  <c:v>26.157423590000001</c:v>
                </c:pt>
                <c:pt idx="111">
                  <c:v>0</c:v>
                </c:pt>
                <c:pt idx="112">
                  <c:v>2684.1520127700001</c:v>
                </c:pt>
                <c:pt idx="113">
                  <c:v>-194.37778510999999</c:v>
                </c:pt>
                <c:pt idx="114">
                  <c:v>0</c:v>
                </c:pt>
                <c:pt idx="115">
                  <c:v>-716.98913617000005</c:v>
                </c:pt>
                <c:pt idx="116">
                  <c:v>0</c:v>
                </c:pt>
                <c:pt idx="117">
                  <c:v>0</c:v>
                </c:pt>
                <c:pt idx="118">
                  <c:v>-1534.8241379200001</c:v>
                </c:pt>
                <c:pt idx="119">
                  <c:v>-3500</c:v>
                </c:pt>
                <c:pt idx="120">
                  <c:v>-3500</c:v>
                </c:pt>
                <c:pt idx="121">
                  <c:v>-3500</c:v>
                </c:pt>
                <c:pt idx="122">
                  <c:v>-3500</c:v>
                </c:pt>
                <c:pt idx="123">
                  <c:v>-3500</c:v>
                </c:pt>
                <c:pt idx="124">
                  <c:v>-3500</c:v>
                </c:pt>
                <c:pt idx="125">
                  <c:v>-3500</c:v>
                </c:pt>
                <c:pt idx="126">
                  <c:v>-3500</c:v>
                </c:pt>
                <c:pt idx="127">
                  <c:v>-3500</c:v>
                </c:pt>
                <c:pt idx="128">
                  <c:v>-3500</c:v>
                </c:pt>
                <c:pt idx="129">
                  <c:v>-3500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-3500</c:v>
                </c:pt>
                <c:pt idx="138">
                  <c:v>-3500</c:v>
                </c:pt>
                <c:pt idx="139">
                  <c:v>-3500</c:v>
                </c:pt>
                <c:pt idx="140">
                  <c:v>-3500</c:v>
                </c:pt>
                <c:pt idx="141">
                  <c:v>-3500</c:v>
                </c:pt>
                <c:pt idx="142">
                  <c:v>-3500</c:v>
                </c:pt>
                <c:pt idx="143">
                  <c:v>-3500</c:v>
                </c:pt>
                <c:pt idx="144">
                  <c:v>-965.11985730000004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4-48B0-8F97-86CEF6DD862E}"/>
            </c:ext>
          </c:extLst>
        </c:ser>
        <c:ser>
          <c:idx val="1"/>
          <c:order val="1"/>
          <c:tx>
            <c:strRef>
              <c:f>'Comparación Interconexiones'!$N$2</c:f>
              <c:strCache>
                <c:ptCount val="1"/>
                <c:pt idx="0">
                  <c:v>Interconexion ES00-PT00 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Interconexiones'!$N$3:$N$169</c:f>
              <c:numCache>
                <c:formatCode>General</c:formatCode>
                <c:ptCount val="167"/>
                <c:pt idx="0">
                  <c:v>-2444.6961297099861</c:v>
                </c:pt>
                <c:pt idx="1">
                  <c:v>-2143.0083277280419</c:v>
                </c:pt>
                <c:pt idx="2">
                  <c:v>-3500</c:v>
                </c:pt>
                <c:pt idx="3">
                  <c:v>-3500</c:v>
                </c:pt>
                <c:pt idx="4">
                  <c:v>-3500</c:v>
                </c:pt>
                <c:pt idx="5">
                  <c:v>-190.04872886950031</c:v>
                </c:pt>
                <c:pt idx="6">
                  <c:v>-3500</c:v>
                </c:pt>
                <c:pt idx="7">
                  <c:v>-3500</c:v>
                </c:pt>
                <c:pt idx="8">
                  <c:v>-3500</c:v>
                </c:pt>
                <c:pt idx="9">
                  <c:v>-1300.3325433995999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-3500</c:v>
                </c:pt>
                <c:pt idx="14">
                  <c:v>-3500</c:v>
                </c:pt>
                <c:pt idx="15">
                  <c:v>-3500</c:v>
                </c:pt>
                <c:pt idx="16">
                  <c:v>-3500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-3500</c:v>
                </c:pt>
                <c:pt idx="21">
                  <c:v>-3500</c:v>
                </c:pt>
                <c:pt idx="22">
                  <c:v>-3500</c:v>
                </c:pt>
                <c:pt idx="23">
                  <c:v>-3500</c:v>
                </c:pt>
                <c:pt idx="24">
                  <c:v>-3500</c:v>
                </c:pt>
                <c:pt idx="25">
                  <c:v>-3500</c:v>
                </c:pt>
                <c:pt idx="26">
                  <c:v>-3500</c:v>
                </c:pt>
                <c:pt idx="27">
                  <c:v>-3500</c:v>
                </c:pt>
                <c:pt idx="28">
                  <c:v>-3500</c:v>
                </c:pt>
                <c:pt idx="29">
                  <c:v>-3500</c:v>
                </c:pt>
                <c:pt idx="30">
                  <c:v>-3500</c:v>
                </c:pt>
                <c:pt idx="31">
                  <c:v>-3500</c:v>
                </c:pt>
                <c:pt idx="32">
                  <c:v>-3500</c:v>
                </c:pt>
                <c:pt idx="33">
                  <c:v>-3500</c:v>
                </c:pt>
                <c:pt idx="34">
                  <c:v>-3500</c:v>
                </c:pt>
                <c:pt idx="35">
                  <c:v>-3500</c:v>
                </c:pt>
                <c:pt idx="36">
                  <c:v>-3500</c:v>
                </c:pt>
                <c:pt idx="37">
                  <c:v>-3500</c:v>
                </c:pt>
                <c:pt idx="38">
                  <c:v>-3500</c:v>
                </c:pt>
                <c:pt idx="39">
                  <c:v>-3500</c:v>
                </c:pt>
                <c:pt idx="40">
                  <c:v>-3500</c:v>
                </c:pt>
                <c:pt idx="41">
                  <c:v>-3500</c:v>
                </c:pt>
                <c:pt idx="42">
                  <c:v>-3500</c:v>
                </c:pt>
                <c:pt idx="43">
                  <c:v>-3500</c:v>
                </c:pt>
                <c:pt idx="44">
                  <c:v>-3500</c:v>
                </c:pt>
                <c:pt idx="45">
                  <c:v>-3500</c:v>
                </c:pt>
                <c:pt idx="46">
                  <c:v>-3500</c:v>
                </c:pt>
                <c:pt idx="47">
                  <c:v>-3500</c:v>
                </c:pt>
                <c:pt idx="48">
                  <c:v>-3500</c:v>
                </c:pt>
                <c:pt idx="49">
                  <c:v>-3500</c:v>
                </c:pt>
                <c:pt idx="50">
                  <c:v>-3500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-3500</c:v>
                </c:pt>
                <c:pt idx="58">
                  <c:v>-3500</c:v>
                </c:pt>
                <c:pt idx="59">
                  <c:v>-3500</c:v>
                </c:pt>
                <c:pt idx="60">
                  <c:v>-3500</c:v>
                </c:pt>
                <c:pt idx="61">
                  <c:v>-3500</c:v>
                </c:pt>
                <c:pt idx="62">
                  <c:v>-3500</c:v>
                </c:pt>
                <c:pt idx="63">
                  <c:v>-3500</c:v>
                </c:pt>
                <c:pt idx="64">
                  <c:v>-3500</c:v>
                </c:pt>
                <c:pt idx="65">
                  <c:v>-3500</c:v>
                </c:pt>
                <c:pt idx="66">
                  <c:v>-3500</c:v>
                </c:pt>
                <c:pt idx="67">
                  <c:v>-3500</c:v>
                </c:pt>
                <c:pt idx="68">
                  <c:v>-3500</c:v>
                </c:pt>
                <c:pt idx="69">
                  <c:v>-3500</c:v>
                </c:pt>
                <c:pt idx="70">
                  <c:v>-3500</c:v>
                </c:pt>
                <c:pt idx="71">
                  <c:v>-3500</c:v>
                </c:pt>
                <c:pt idx="72">
                  <c:v>-3500</c:v>
                </c:pt>
                <c:pt idx="73">
                  <c:v>-3500</c:v>
                </c:pt>
                <c:pt idx="74">
                  <c:v>-3500</c:v>
                </c:pt>
                <c:pt idx="75">
                  <c:v>-3500</c:v>
                </c:pt>
                <c:pt idx="76">
                  <c:v>-3500</c:v>
                </c:pt>
                <c:pt idx="77">
                  <c:v>-3500</c:v>
                </c:pt>
                <c:pt idx="78">
                  <c:v>-3500</c:v>
                </c:pt>
                <c:pt idx="79">
                  <c:v>-3500</c:v>
                </c:pt>
                <c:pt idx="80">
                  <c:v>-3500</c:v>
                </c:pt>
                <c:pt idx="81">
                  <c:v>-3500</c:v>
                </c:pt>
                <c:pt idx="82">
                  <c:v>-3500</c:v>
                </c:pt>
                <c:pt idx="83">
                  <c:v>-3500</c:v>
                </c:pt>
                <c:pt idx="84">
                  <c:v>-3500</c:v>
                </c:pt>
                <c:pt idx="85">
                  <c:v>-3500</c:v>
                </c:pt>
                <c:pt idx="86">
                  <c:v>-3500</c:v>
                </c:pt>
                <c:pt idx="87">
                  <c:v>-3500</c:v>
                </c:pt>
                <c:pt idx="88">
                  <c:v>-3500</c:v>
                </c:pt>
                <c:pt idx="89">
                  <c:v>-3500</c:v>
                </c:pt>
                <c:pt idx="90">
                  <c:v>-3500</c:v>
                </c:pt>
                <c:pt idx="91">
                  <c:v>-3500</c:v>
                </c:pt>
                <c:pt idx="92">
                  <c:v>-3500</c:v>
                </c:pt>
                <c:pt idx="93">
                  <c:v>-3500</c:v>
                </c:pt>
                <c:pt idx="94">
                  <c:v>-3500</c:v>
                </c:pt>
                <c:pt idx="95">
                  <c:v>-3500</c:v>
                </c:pt>
                <c:pt idx="96">
                  <c:v>0</c:v>
                </c:pt>
                <c:pt idx="97">
                  <c:v>-418.99449976307869</c:v>
                </c:pt>
                <c:pt idx="98">
                  <c:v>-3500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4200</c:v>
                </c:pt>
                <c:pt idx="107">
                  <c:v>4200</c:v>
                </c:pt>
                <c:pt idx="108">
                  <c:v>4200</c:v>
                </c:pt>
                <c:pt idx="109">
                  <c:v>4200</c:v>
                </c:pt>
                <c:pt idx="110">
                  <c:v>4200</c:v>
                </c:pt>
                <c:pt idx="111">
                  <c:v>4200</c:v>
                </c:pt>
                <c:pt idx="112">
                  <c:v>4200</c:v>
                </c:pt>
                <c:pt idx="113">
                  <c:v>4200</c:v>
                </c:pt>
                <c:pt idx="114">
                  <c:v>4200</c:v>
                </c:pt>
                <c:pt idx="115">
                  <c:v>4200</c:v>
                </c:pt>
                <c:pt idx="116">
                  <c:v>4200</c:v>
                </c:pt>
                <c:pt idx="117">
                  <c:v>4200</c:v>
                </c:pt>
                <c:pt idx="118">
                  <c:v>4200</c:v>
                </c:pt>
                <c:pt idx="119">
                  <c:v>4200</c:v>
                </c:pt>
                <c:pt idx="120">
                  <c:v>4200</c:v>
                </c:pt>
                <c:pt idx="121">
                  <c:v>4200</c:v>
                </c:pt>
                <c:pt idx="122">
                  <c:v>4200</c:v>
                </c:pt>
                <c:pt idx="123">
                  <c:v>4200</c:v>
                </c:pt>
                <c:pt idx="124">
                  <c:v>4200</c:v>
                </c:pt>
                <c:pt idx="125">
                  <c:v>4200</c:v>
                </c:pt>
                <c:pt idx="126">
                  <c:v>4200</c:v>
                </c:pt>
                <c:pt idx="127">
                  <c:v>4200</c:v>
                </c:pt>
                <c:pt idx="128">
                  <c:v>4200</c:v>
                </c:pt>
                <c:pt idx="129">
                  <c:v>4200</c:v>
                </c:pt>
                <c:pt idx="130">
                  <c:v>4200</c:v>
                </c:pt>
                <c:pt idx="131">
                  <c:v>4200</c:v>
                </c:pt>
                <c:pt idx="132">
                  <c:v>4200</c:v>
                </c:pt>
                <c:pt idx="133">
                  <c:v>4200</c:v>
                </c:pt>
                <c:pt idx="134">
                  <c:v>4200</c:v>
                </c:pt>
                <c:pt idx="135">
                  <c:v>4200</c:v>
                </c:pt>
                <c:pt idx="136">
                  <c:v>4200</c:v>
                </c:pt>
                <c:pt idx="137">
                  <c:v>4200</c:v>
                </c:pt>
                <c:pt idx="138">
                  <c:v>4200</c:v>
                </c:pt>
                <c:pt idx="139">
                  <c:v>4200</c:v>
                </c:pt>
                <c:pt idx="140">
                  <c:v>4200</c:v>
                </c:pt>
                <c:pt idx="141">
                  <c:v>4200</c:v>
                </c:pt>
                <c:pt idx="142">
                  <c:v>4200</c:v>
                </c:pt>
                <c:pt idx="143">
                  <c:v>4200</c:v>
                </c:pt>
                <c:pt idx="144">
                  <c:v>4200</c:v>
                </c:pt>
                <c:pt idx="145">
                  <c:v>4200</c:v>
                </c:pt>
                <c:pt idx="146">
                  <c:v>4200</c:v>
                </c:pt>
                <c:pt idx="147">
                  <c:v>4200</c:v>
                </c:pt>
                <c:pt idx="148">
                  <c:v>4200</c:v>
                </c:pt>
                <c:pt idx="149">
                  <c:v>4200</c:v>
                </c:pt>
                <c:pt idx="150">
                  <c:v>4200</c:v>
                </c:pt>
                <c:pt idx="151">
                  <c:v>4200</c:v>
                </c:pt>
                <c:pt idx="152">
                  <c:v>4200</c:v>
                </c:pt>
                <c:pt idx="153">
                  <c:v>4200</c:v>
                </c:pt>
                <c:pt idx="154">
                  <c:v>4200</c:v>
                </c:pt>
                <c:pt idx="155">
                  <c:v>4200</c:v>
                </c:pt>
                <c:pt idx="156">
                  <c:v>4200</c:v>
                </c:pt>
                <c:pt idx="157">
                  <c:v>4200</c:v>
                </c:pt>
                <c:pt idx="158">
                  <c:v>4200</c:v>
                </c:pt>
                <c:pt idx="159">
                  <c:v>4200</c:v>
                </c:pt>
                <c:pt idx="160">
                  <c:v>4200</c:v>
                </c:pt>
                <c:pt idx="161">
                  <c:v>4200</c:v>
                </c:pt>
                <c:pt idx="162">
                  <c:v>4200</c:v>
                </c:pt>
                <c:pt idx="163">
                  <c:v>4200</c:v>
                </c:pt>
                <c:pt idx="164">
                  <c:v>4200</c:v>
                </c:pt>
                <c:pt idx="165">
                  <c:v>4200</c:v>
                </c:pt>
                <c:pt idx="166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4-48B0-8F97-86CEF6DD8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05904"/>
        <c:axId val="1124914064"/>
      </c:areaChart>
      <c:catAx>
        <c:axId val="1124905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14064"/>
        <c:crosses val="autoZero"/>
        <c:auto val="1"/>
        <c:lblAlgn val="ctr"/>
        <c:lblOffset val="100"/>
        <c:noMultiLvlLbl val="0"/>
      </c:catAx>
      <c:valAx>
        <c:axId val="11249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0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ESh2-PTh2</a:t>
            </a:r>
            <a:r>
              <a:rPr lang="es-ES" baseline="0"/>
              <a:t>Interconexiones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'Comparación Interconexiones'!$Q$2</c:f>
              <c:strCache>
                <c:ptCount val="1"/>
                <c:pt idx="0">
                  <c:v>ESh2-PTh2 TYNDP26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Interconexiones'!$Q$3:$Q$170</c:f>
              <c:numCache>
                <c:formatCode>General</c:formatCode>
                <c:ptCount val="168"/>
                <c:pt idx="0">
                  <c:v>193.86524853</c:v>
                </c:pt>
                <c:pt idx="1">
                  <c:v>275.11409852999998</c:v>
                </c:pt>
                <c:pt idx="2">
                  <c:v>328.97611853000001</c:v>
                </c:pt>
                <c:pt idx="3">
                  <c:v>379.42232853000002</c:v>
                </c:pt>
                <c:pt idx="4">
                  <c:v>415.43139853000002</c:v>
                </c:pt>
                <c:pt idx="5">
                  <c:v>533.53909500999998</c:v>
                </c:pt>
                <c:pt idx="6">
                  <c:v>656.21848149000004</c:v>
                </c:pt>
                <c:pt idx="7">
                  <c:v>745.88470394000001</c:v>
                </c:pt>
                <c:pt idx="8">
                  <c:v>844.27428041999997</c:v>
                </c:pt>
                <c:pt idx="9">
                  <c:v>409.51428041999998</c:v>
                </c:pt>
                <c:pt idx="10">
                  <c:v>-25.245719579999999</c:v>
                </c:pt>
                <c:pt idx="11">
                  <c:v>-460.00571958</c:v>
                </c:pt>
                <c:pt idx="12">
                  <c:v>-894.76571958</c:v>
                </c:pt>
                <c:pt idx="13">
                  <c:v>-1329.52571958</c:v>
                </c:pt>
                <c:pt idx="14">
                  <c:v>-1149.00535958</c:v>
                </c:pt>
                <c:pt idx="15">
                  <c:v>-714.24535958000001</c:v>
                </c:pt>
                <c:pt idx="16">
                  <c:v>-279.48535958000002</c:v>
                </c:pt>
                <c:pt idx="17">
                  <c:v>155.27464042</c:v>
                </c:pt>
                <c:pt idx="18">
                  <c:v>590.03464041999996</c:v>
                </c:pt>
                <c:pt idx="19">
                  <c:v>386.34811966000001</c:v>
                </c:pt>
                <c:pt idx="20">
                  <c:v>252.75928916000001</c:v>
                </c:pt>
                <c:pt idx="21">
                  <c:v>156.18280879</c:v>
                </c:pt>
                <c:pt idx="22">
                  <c:v>143.54967852999999</c:v>
                </c:pt>
                <c:pt idx="23">
                  <c:v>195.84685852999999</c:v>
                </c:pt>
                <c:pt idx="24">
                  <c:v>247.99888973</c:v>
                </c:pt>
                <c:pt idx="25">
                  <c:v>304.26993972999998</c:v>
                </c:pt>
                <c:pt idx="26">
                  <c:v>369.11494972999998</c:v>
                </c:pt>
                <c:pt idx="27">
                  <c:v>426.39135972999998</c:v>
                </c:pt>
                <c:pt idx="28">
                  <c:v>474.44841973000001</c:v>
                </c:pt>
                <c:pt idx="29">
                  <c:v>627.05501620999996</c:v>
                </c:pt>
                <c:pt idx="30">
                  <c:v>747.96224268000003</c:v>
                </c:pt>
                <c:pt idx="31">
                  <c:v>822.45505513000001</c:v>
                </c:pt>
                <c:pt idx="32">
                  <c:v>893.04671160999999</c:v>
                </c:pt>
                <c:pt idx="33">
                  <c:v>458.28671161</c:v>
                </c:pt>
                <c:pt idx="34">
                  <c:v>23.52671161</c:v>
                </c:pt>
                <c:pt idx="35">
                  <c:v>-411.23328838999998</c:v>
                </c:pt>
                <c:pt idx="36">
                  <c:v>-845.99328838999998</c:v>
                </c:pt>
                <c:pt idx="37">
                  <c:v>-1280.7532883900001</c:v>
                </c:pt>
                <c:pt idx="38">
                  <c:v>-1130.34473839</c:v>
                </c:pt>
                <c:pt idx="39">
                  <c:v>-695.58473838999998</c:v>
                </c:pt>
                <c:pt idx="40">
                  <c:v>-260.82473838999999</c:v>
                </c:pt>
                <c:pt idx="41">
                  <c:v>173.93526161</c:v>
                </c:pt>
                <c:pt idx="42">
                  <c:v>608.69526160999999</c:v>
                </c:pt>
                <c:pt idx="43">
                  <c:v>313.53802086000002</c:v>
                </c:pt>
                <c:pt idx="44">
                  <c:v>158.02510036000001</c:v>
                </c:pt>
                <c:pt idx="45">
                  <c:v>71.122369980000002</c:v>
                </c:pt>
                <c:pt idx="46">
                  <c:v>7.8946397299999997</c:v>
                </c:pt>
                <c:pt idx="47">
                  <c:v>59.518029730000002</c:v>
                </c:pt>
                <c:pt idx="48">
                  <c:v>153.1397115</c:v>
                </c:pt>
                <c:pt idx="49">
                  <c:v>162.90718150000001</c:v>
                </c:pt>
                <c:pt idx="50">
                  <c:v>124.79154149999999</c:v>
                </c:pt>
                <c:pt idx="51">
                  <c:v>102.4861815</c:v>
                </c:pt>
                <c:pt idx="52">
                  <c:v>92.580261500000006</c:v>
                </c:pt>
                <c:pt idx="53">
                  <c:v>174.62918798000001</c:v>
                </c:pt>
                <c:pt idx="54">
                  <c:v>290.44358446000001</c:v>
                </c:pt>
                <c:pt idx="55">
                  <c:v>433.95691691000002</c:v>
                </c:pt>
                <c:pt idx="56">
                  <c:v>609.31120338999995</c:v>
                </c:pt>
                <c:pt idx="57">
                  <c:v>299.22722339000001</c:v>
                </c:pt>
                <c:pt idx="58">
                  <c:v>-135.53277661000001</c:v>
                </c:pt>
                <c:pt idx="59">
                  <c:v>-570.29277661000003</c:v>
                </c:pt>
                <c:pt idx="60">
                  <c:v>-1005.05277661</c:v>
                </c:pt>
                <c:pt idx="61">
                  <c:v>-1439.8127766099999</c:v>
                </c:pt>
                <c:pt idx="62">
                  <c:v>-1213.6280766100001</c:v>
                </c:pt>
                <c:pt idx="63">
                  <c:v>-778.86807661</c:v>
                </c:pt>
                <c:pt idx="64">
                  <c:v>-344.10807661000001</c:v>
                </c:pt>
                <c:pt idx="65">
                  <c:v>90.651923389999993</c:v>
                </c:pt>
                <c:pt idx="66">
                  <c:v>525.41192338999997</c:v>
                </c:pt>
                <c:pt idx="67">
                  <c:v>303.96191262999997</c:v>
                </c:pt>
                <c:pt idx="68">
                  <c:v>196.44215213000001</c:v>
                </c:pt>
                <c:pt idx="69">
                  <c:v>195.57296174999999</c:v>
                </c:pt>
                <c:pt idx="70">
                  <c:v>190.0866915</c:v>
                </c:pt>
                <c:pt idx="71">
                  <c:v>239.4210415</c:v>
                </c:pt>
                <c:pt idx="72">
                  <c:v>207.31380093999999</c:v>
                </c:pt>
                <c:pt idx="73">
                  <c:v>266.54768094000002</c:v>
                </c:pt>
                <c:pt idx="74">
                  <c:v>274.91219094000002</c:v>
                </c:pt>
                <c:pt idx="75">
                  <c:v>268.44196094</c:v>
                </c:pt>
                <c:pt idx="76">
                  <c:v>239.86872094</c:v>
                </c:pt>
                <c:pt idx="77">
                  <c:v>296.68424742000002</c:v>
                </c:pt>
                <c:pt idx="78">
                  <c:v>346.00714389000001</c:v>
                </c:pt>
                <c:pt idx="79">
                  <c:v>426.13806634000002</c:v>
                </c:pt>
                <c:pt idx="80">
                  <c:v>499.56901282000001</c:v>
                </c:pt>
                <c:pt idx="81">
                  <c:v>268.03801282000001</c:v>
                </c:pt>
                <c:pt idx="82">
                  <c:v>-166.72198718000001</c:v>
                </c:pt>
                <c:pt idx="83">
                  <c:v>-601.48198718000003</c:v>
                </c:pt>
                <c:pt idx="84">
                  <c:v>-1036.24198718</c:v>
                </c:pt>
                <c:pt idx="85">
                  <c:v>-1471.00198718</c:v>
                </c:pt>
                <c:pt idx="86">
                  <c:v>-1905.76198718</c:v>
                </c:pt>
                <c:pt idx="87">
                  <c:v>-1911.70957718</c:v>
                </c:pt>
                <c:pt idx="88">
                  <c:v>-1476.94957718</c:v>
                </c:pt>
                <c:pt idx="89">
                  <c:v>-1104.87052718</c:v>
                </c:pt>
                <c:pt idx="90">
                  <c:v>-1040.1632571800001</c:v>
                </c:pt>
                <c:pt idx="91">
                  <c:v>-1364.6484679299999</c:v>
                </c:pt>
                <c:pt idx="92">
                  <c:v>-1758.0035784300001</c:v>
                </c:pt>
                <c:pt idx="93">
                  <c:v>-2192.7635784300001</c:v>
                </c:pt>
                <c:pt idx="94">
                  <c:v>-2529.08299906</c:v>
                </c:pt>
                <c:pt idx="95">
                  <c:v>-2608.4120090599999</c:v>
                </c:pt>
                <c:pt idx="96">
                  <c:v>-2540.5300770099998</c:v>
                </c:pt>
                <c:pt idx="97">
                  <c:v>-2585.5753170100002</c:v>
                </c:pt>
                <c:pt idx="98">
                  <c:v>-2608.65031701</c:v>
                </c:pt>
                <c:pt idx="99">
                  <c:v>-2508.9450170099999</c:v>
                </c:pt>
                <c:pt idx="100">
                  <c:v>-2369.3796070100002</c:v>
                </c:pt>
                <c:pt idx="101">
                  <c:v>-2225.5493205299999</c:v>
                </c:pt>
                <c:pt idx="102">
                  <c:v>-2152.8283740500001</c:v>
                </c:pt>
                <c:pt idx="103">
                  <c:v>-1913.0653116000001</c:v>
                </c:pt>
                <c:pt idx="104">
                  <c:v>-1577.0216951299999</c:v>
                </c:pt>
                <c:pt idx="105">
                  <c:v>-1723.3491451299999</c:v>
                </c:pt>
                <c:pt idx="106">
                  <c:v>-1288.5891451299999</c:v>
                </c:pt>
                <c:pt idx="107">
                  <c:v>-853.82914513000003</c:v>
                </c:pt>
                <c:pt idx="108">
                  <c:v>-419.06914512999998</c:v>
                </c:pt>
                <c:pt idx="109">
                  <c:v>0</c:v>
                </c:pt>
                <c:pt idx="110">
                  <c:v>0</c:v>
                </c:pt>
                <c:pt idx="111">
                  <c:v>-274.75316513000001</c:v>
                </c:pt>
                <c:pt idx="112">
                  <c:v>-709.51316512999995</c:v>
                </c:pt>
                <c:pt idx="113">
                  <c:v>-1144.2731651300001</c:v>
                </c:pt>
                <c:pt idx="114">
                  <c:v>-709.51316512999995</c:v>
                </c:pt>
                <c:pt idx="115">
                  <c:v>-697.30430588000002</c:v>
                </c:pt>
                <c:pt idx="116">
                  <c:v>-647.78839637999999</c:v>
                </c:pt>
                <c:pt idx="117">
                  <c:v>-531.63893675999998</c:v>
                </c:pt>
                <c:pt idx="118">
                  <c:v>-333.48442700999999</c:v>
                </c:pt>
                <c:pt idx="119">
                  <c:v>-118.32957700999999</c:v>
                </c:pt>
                <c:pt idx="120">
                  <c:v>316.43042299000001</c:v>
                </c:pt>
                <c:pt idx="121">
                  <c:v>618.33666932999995</c:v>
                </c:pt>
                <c:pt idx="122">
                  <c:v>742.66050932999997</c:v>
                </c:pt>
                <c:pt idx="123">
                  <c:v>818.82575932999998</c:v>
                </c:pt>
                <c:pt idx="124">
                  <c:v>841.98453932999996</c:v>
                </c:pt>
                <c:pt idx="125">
                  <c:v>799.61883933000001</c:v>
                </c:pt>
                <c:pt idx="126">
                  <c:v>792.32287932999998</c:v>
                </c:pt>
                <c:pt idx="127">
                  <c:v>808.48105932999999</c:v>
                </c:pt>
                <c:pt idx="128">
                  <c:v>826.21117933000005</c:v>
                </c:pt>
                <c:pt idx="129">
                  <c:v>432.34932932999999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-136.44297066999999</c:v>
                </c:pt>
                <c:pt idx="135">
                  <c:v>-571.20297067000001</c:v>
                </c:pt>
                <c:pt idx="136">
                  <c:v>-1005.96297067</c:v>
                </c:pt>
                <c:pt idx="137">
                  <c:v>-1440.72297067</c:v>
                </c:pt>
                <c:pt idx="138">
                  <c:v>-1349.1954506699999</c:v>
                </c:pt>
                <c:pt idx="139">
                  <c:v>-1622.02999067</c:v>
                </c:pt>
                <c:pt idx="140">
                  <c:v>-1887.0978406700001</c:v>
                </c:pt>
                <c:pt idx="141">
                  <c:v>-2115.6333506699998</c:v>
                </c:pt>
                <c:pt idx="142">
                  <c:v>-2334.3921606700001</c:v>
                </c:pt>
                <c:pt idx="143">
                  <c:v>-2553.8048806699999</c:v>
                </c:pt>
                <c:pt idx="144">
                  <c:v>-2119.0448806700001</c:v>
                </c:pt>
                <c:pt idx="145">
                  <c:v>-1684.2848806699999</c:v>
                </c:pt>
                <c:pt idx="146">
                  <c:v>-1249.5248806699999</c:v>
                </c:pt>
                <c:pt idx="147">
                  <c:v>-814.76488067000003</c:v>
                </c:pt>
                <c:pt idx="148">
                  <c:v>-380.00488066999998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4-40CF-B8EB-2E7DFE22E425}"/>
            </c:ext>
          </c:extLst>
        </c:ser>
        <c:ser>
          <c:idx val="1"/>
          <c:order val="1"/>
          <c:tx>
            <c:strRef>
              <c:f>'Comparación Interconexiones'!$U$2</c:f>
              <c:strCache>
                <c:ptCount val="1"/>
                <c:pt idx="0">
                  <c:v>ESh2-PTh2 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Interconexiones'!$U$3:$U$169</c:f>
              <c:numCache>
                <c:formatCode>General</c:formatCode>
                <c:ptCount val="167"/>
                <c:pt idx="0">
                  <c:v>667.71211683537592</c:v>
                </c:pt>
                <c:pt idx="1">
                  <c:v>721.37420311672702</c:v>
                </c:pt>
                <c:pt idx="2">
                  <c:v>756.9483509365773</c:v>
                </c:pt>
                <c:pt idx="3">
                  <c:v>790.26619216048653</c:v>
                </c:pt>
                <c:pt idx="4">
                  <c:v>814.04882562178477</c:v>
                </c:pt>
                <c:pt idx="5">
                  <c:v>925.31438933628283</c:v>
                </c:pt>
                <c:pt idx="6">
                  <c:v>1039.599380252673</c:v>
                </c:pt>
                <c:pt idx="7">
                  <c:v>1130.330102459563</c:v>
                </c:pt>
                <c:pt idx="8">
                  <c:v>1228.513711358954</c:v>
                </c:pt>
                <c:pt idx="9">
                  <c:v>582.76006835875774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96.817269199139218</c:v>
                </c:pt>
                <c:pt idx="18">
                  <c:v>1054.2675555941</c:v>
                </c:pt>
                <c:pt idx="19">
                  <c:v>873.6133942525953</c:v>
                </c:pt>
                <c:pt idx="20">
                  <c:v>750.37267056972189</c:v>
                </c:pt>
                <c:pt idx="21">
                  <c:v>660.32961828724342</c:v>
                </c:pt>
                <c:pt idx="22">
                  <c:v>634.48046958019836</c:v>
                </c:pt>
                <c:pt idx="23">
                  <c:v>669.02125504385629</c:v>
                </c:pt>
                <c:pt idx="24">
                  <c:v>674.58755651502406</c:v>
                </c:pt>
                <c:pt idx="25">
                  <c:v>711.75253960239093</c:v>
                </c:pt>
                <c:pt idx="26">
                  <c:v>754.58062959829988</c:v>
                </c:pt>
                <c:pt idx="27">
                  <c:v>792.40970930638764</c:v>
                </c:pt>
                <c:pt idx="28">
                  <c:v>824.14945757986607</c:v>
                </c:pt>
                <c:pt idx="29">
                  <c:v>958.20058041595519</c:v>
                </c:pt>
                <c:pt idx="30">
                  <c:v>1071.3151122388899</c:v>
                </c:pt>
                <c:pt idx="31">
                  <c:v>1152.0243094777879</c:v>
                </c:pt>
                <c:pt idx="32">
                  <c:v>1231.863563242305</c:v>
                </c:pt>
                <c:pt idx="33">
                  <c:v>612.91791140973532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103.3628285416733</c:v>
                </c:pt>
                <c:pt idx="42">
                  <c:v>1035.0455584578799</c:v>
                </c:pt>
                <c:pt idx="43">
                  <c:v>796.6472007011389</c:v>
                </c:pt>
                <c:pt idx="44">
                  <c:v>658.92609022464114</c:v>
                </c:pt>
                <c:pt idx="45">
                  <c:v>575.27214984524699</c:v>
                </c:pt>
                <c:pt idx="46">
                  <c:v>516.00739792889692</c:v>
                </c:pt>
                <c:pt idx="47">
                  <c:v>550.10275018037862</c:v>
                </c:pt>
                <c:pt idx="48">
                  <c:v>460.03973877269942</c:v>
                </c:pt>
                <c:pt idx="49">
                  <c:v>466.49052822943997</c:v>
                </c:pt>
                <c:pt idx="50">
                  <c:v>441.31682969998138</c:v>
                </c:pt>
                <c:pt idx="51">
                  <c:v>426.58467212417878</c:v>
                </c:pt>
                <c:pt idx="52">
                  <c:v>420.04238074277822</c:v>
                </c:pt>
                <c:pt idx="53">
                  <c:v>507.49227670404821</c:v>
                </c:pt>
                <c:pt idx="54">
                  <c:v>617.24333431669834</c:v>
                </c:pt>
                <c:pt idx="55">
                  <c:v>743.53782696844814</c:v>
                </c:pt>
                <c:pt idx="56">
                  <c:v>892.61304414069855</c:v>
                </c:pt>
                <c:pt idx="57">
                  <c:v>424.60178766589928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-155.68140620669101</c:v>
                </c:pt>
                <c:pt idx="66">
                  <c:v>824.63048961049583</c:v>
                </c:pt>
                <c:pt idx="67">
                  <c:v>638.42553338727021</c:v>
                </c:pt>
                <c:pt idx="68">
                  <c:v>532.40205056827756</c:v>
                </c:pt>
                <c:pt idx="69">
                  <c:v>505.5705483899892</c:v>
                </c:pt>
                <c:pt idx="70">
                  <c:v>484.44157626196647</c:v>
                </c:pt>
                <c:pt idx="71">
                  <c:v>517.02518104028843</c:v>
                </c:pt>
                <c:pt idx="72">
                  <c:v>543.25874864986747</c:v>
                </c:pt>
                <c:pt idx="73">
                  <c:v>582.38053430418904</c:v>
                </c:pt>
                <c:pt idx="74">
                  <c:v>587.90505696774392</c:v>
                </c:pt>
                <c:pt idx="75">
                  <c:v>583.63153329368265</c:v>
                </c:pt>
                <c:pt idx="76">
                  <c:v>564.75990567708868</c:v>
                </c:pt>
                <c:pt idx="77">
                  <c:v>635.54440340144299</c:v>
                </c:pt>
                <c:pt idx="78">
                  <c:v>701.37991653390702</c:v>
                </c:pt>
                <c:pt idx="79">
                  <c:v>785.81278840981349</c:v>
                </c:pt>
                <c:pt idx="80">
                  <c:v>867.57114536745348</c:v>
                </c:pt>
                <c:pt idx="81">
                  <c:v>553.12983412326503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-489.08560350706921</c:v>
                </c:pt>
                <c:pt idx="90">
                  <c:v>-162.53962755622501</c:v>
                </c:pt>
                <c:pt idx="91">
                  <c:v>-416.19240616171442</c:v>
                </c:pt>
                <c:pt idx="92">
                  <c:v>-710.99978728411679</c:v>
                </c:pt>
                <c:pt idx="93">
                  <c:v>-1065.9084444358889</c:v>
                </c:pt>
                <c:pt idx="94">
                  <c:v>-1264.032747153994</c:v>
                </c:pt>
                <c:pt idx="95">
                  <c:v>-1316.426507046212</c:v>
                </c:pt>
                <c:pt idx="96">
                  <c:v>-1251.728783117743</c:v>
                </c:pt>
                <c:pt idx="97">
                  <c:v>-1281.4798981108329</c:v>
                </c:pt>
                <c:pt idx="98">
                  <c:v>-1296.7197551914121</c:v>
                </c:pt>
                <c:pt idx="99">
                  <c:v>-1230.8680771486449</c:v>
                </c:pt>
                <c:pt idx="100">
                  <c:v>-1138.6904063716941</c:v>
                </c:pt>
                <c:pt idx="101">
                  <c:v>-769.51525406051042</c:v>
                </c:pt>
                <c:pt idx="102">
                  <c:v>-496.46815487778622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68.968892944310255</c:v>
                </c:pt>
                <c:pt idx="115">
                  <c:v>44.428200599221327</c:v>
                </c:pt>
                <c:pt idx="116">
                  <c:v>42.121460234433471</c:v>
                </c:pt>
                <c:pt idx="117">
                  <c:v>92.576243111843041</c:v>
                </c:pt>
                <c:pt idx="118">
                  <c:v>205.94494927517229</c:v>
                </c:pt>
                <c:pt idx="119">
                  <c:v>348.04703655017119</c:v>
                </c:pt>
                <c:pt idx="120">
                  <c:v>885.4665873364105</c:v>
                </c:pt>
                <c:pt idx="121">
                  <c:v>1010.474303021752</c:v>
                </c:pt>
                <c:pt idx="122">
                  <c:v>1092.585778433574</c:v>
                </c:pt>
                <c:pt idx="123">
                  <c:v>1142.889807629201</c:v>
                </c:pt>
                <c:pt idx="124">
                  <c:v>1158.1854319508559</c:v>
                </c:pt>
                <c:pt idx="125">
                  <c:v>1130.2045827878139</c:v>
                </c:pt>
                <c:pt idx="126">
                  <c:v>1125.3858732341171</c:v>
                </c:pt>
                <c:pt idx="127">
                  <c:v>1136.0578076637159</c:v>
                </c:pt>
                <c:pt idx="128">
                  <c:v>1147.723996541283</c:v>
                </c:pt>
                <c:pt idx="129">
                  <c:v>633.31063714070342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-668.38662590592253</c:v>
                </c:pt>
                <c:pt idx="138">
                  <c:v>-309.26000250606558</c:v>
                </c:pt>
                <c:pt idx="139">
                  <c:v>-469.20738055248808</c:v>
                </c:pt>
                <c:pt idx="140">
                  <c:v>-644.2747735790324</c:v>
                </c:pt>
                <c:pt idx="141">
                  <c:v>-795.21440252803654</c:v>
                </c:pt>
                <c:pt idx="142">
                  <c:v>-939.69655663312619</c:v>
                </c:pt>
                <c:pt idx="143">
                  <c:v>-1084.6110634602051</c:v>
                </c:pt>
                <c:pt idx="144">
                  <c:v>-986.34481266051148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871.64071416100194</c:v>
                </c:pt>
                <c:pt idx="162">
                  <c:v>1619.9172304409151</c:v>
                </c:pt>
                <c:pt idx="163">
                  <c:v>1669.6811791784889</c:v>
                </c:pt>
                <c:pt idx="164">
                  <c:v>1668.1681073831489</c:v>
                </c:pt>
                <c:pt idx="165">
                  <c:v>1671.249542956868</c:v>
                </c:pt>
                <c:pt idx="166">
                  <c:v>1670.777409730011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4-40CF-B8EB-2E7DFE22E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05904"/>
        <c:axId val="1124914064"/>
      </c:areaChart>
      <c:catAx>
        <c:axId val="1124905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14064"/>
        <c:crosses val="autoZero"/>
        <c:auto val="1"/>
        <c:lblAlgn val="ctr"/>
        <c:lblOffset val="100"/>
        <c:noMultiLvlLbl val="0"/>
      </c:catAx>
      <c:valAx>
        <c:axId val="11249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0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ESh2-MAh2</a:t>
            </a:r>
            <a:r>
              <a:rPr lang="es-ES" b="1" baseline="0"/>
              <a:t>Interconexiones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'Comparación Interconexiones'!$X$2</c:f>
              <c:strCache>
                <c:ptCount val="1"/>
                <c:pt idx="0">
                  <c:v>ESh2-MA TYNDP 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Interconexiones'!$X$3:$X$170</c:f>
              <c:numCache>
                <c:formatCode>General</c:formatCode>
                <c:ptCount val="168"/>
                <c:pt idx="0">
                  <c:v>-2618.1493815899998</c:v>
                </c:pt>
                <c:pt idx="1">
                  <c:v>-2618.1493815899998</c:v>
                </c:pt>
                <c:pt idx="2">
                  <c:v>-2618.1493815899998</c:v>
                </c:pt>
                <c:pt idx="3">
                  <c:v>-2618.1493815899998</c:v>
                </c:pt>
                <c:pt idx="4">
                  <c:v>-2618.1493815899998</c:v>
                </c:pt>
                <c:pt idx="5">
                  <c:v>-2618.1493815899998</c:v>
                </c:pt>
                <c:pt idx="6">
                  <c:v>-2618.1493815899998</c:v>
                </c:pt>
                <c:pt idx="7">
                  <c:v>-2618.1493815899998</c:v>
                </c:pt>
                <c:pt idx="8">
                  <c:v>-2618.1493815899998</c:v>
                </c:pt>
                <c:pt idx="9">
                  <c:v>-2618.1493815899998</c:v>
                </c:pt>
                <c:pt idx="10">
                  <c:v>-1517.77579117</c:v>
                </c:pt>
                <c:pt idx="11">
                  <c:v>-1517.77579117</c:v>
                </c:pt>
                <c:pt idx="12">
                  <c:v>-1517.77579117</c:v>
                </c:pt>
                <c:pt idx="13">
                  <c:v>-1517.77579117</c:v>
                </c:pt>
                <c:pt idx="14">
                  <c:v>-1517.77579117</c:v>
                </c:pt>
                <c:pt idx="15">
                  <c:v>-1517.77579117</c:v>
                </c:pt>
                <c:pt idx="16">
                  <c:v>-1517.77579117</c:v>
                </c:pt>
                <c:pt idx="17">
                  <c:v>-2618.1493815899998</c:v>
                </c:pt>
                <c:pt idx="18">
                  <c:v>-2618.1493815899998</c:v>
                </c:pt>
                <c:pt idx="19">
                  <c:v>-2618.1493815899998</c:v>
                </c:pt>
                <c:pt idx="20">
                  <c:v>-2618.1493815899998</c:v>
                </c:pt>
                <c:pt idx="21">
                  <c:v>-2618.1493815899998</c:v>
                </c:pt>
                <c:pt idx="22">
                  <c:v>-2618.1493815899998</c:v>
                </c:pt>
                <c:pt idx="23">
                  <c:v>-2618.1493815899998</c:v>
                </c:pt>
                <c:pt idx="24">
                  <c:v>-2710.9560965000001</c:v>
                </c:pt>
                <c:pt idx="25">
                  <c:v>-2710.9560965000001</c:v>
                </c:pt>
                <c:pt idx="26">
                  <c:v>-2710.9560965000001</c:v>
                </c:pt>
                <c:pt idx="27">
                  <c:v>-2710.9560965000001</c:v>
                </c:pt>
                <c:pt idx="28">
                  <c:v>-2710.9560965000001</c:v>
                </c:pt>
                <c:pt idx="29">
                  <c:v>-2710.9560965000001</c:v>
                </c:pt>
                <c:pt idx="30">
                  <c:v>-2710.9560965000001</c:v>
                </c:pt>
                <c:pt idx="31">
                  <c:v>-2710.9560965000001</c:v>
                </c:pt>
                <c:pt idx="32">
                  <c:v>-2710.9560965000001</c:v>
                </c:pt>
                <c:pt idx="33">
                  <c:v>-2710.9560965000001</c:v>
                </c:pt>
                <c:pt idx="34">
                  <c:v>-2641.1212334900001</c:v>
                </c:pt>
                <c:pt idx="35">
                  <c:v>-1517.77579117</c:v>
                </c:pt>
                <c:pt idx="36">
                  <c:v>-1517.77579117</c:v>
                </c:pt>
                <c:pt idx="37">
                  <c:v>-1517.77579117</c:v>
                </c:pt>
                <c:pt idx="38">
                  <c:v>-1517.77579117</c:v>
                </c:pt>
                <c:pt idx="39">
                  <c:v>-1517.77579117</c:v>
                </c:pt>
                <c:pt idx="40">
                  <c:v>-2710.9560965000001</c:v>
                </c:pt>
                <c:pt idx="41">
                  <c:v>-2710.9560965000001</c:v>
                </c:pt>
                <c:pt idx="42">
                  <c:v>-2710.9560965000001</c:v>
                </c:pt>
                <c:pt idx="43">
                  <c:v>-2710.9560965000001</c:v>
                </c:pt>
                <c:pt idx="44">
                  <c:v>-2710.9560965000001</c:v>
                </c:pt>
                <c:pt idx="45">
                  <c:v>-2710.9560965000001</c:v>
                </c:pt>
                <c:pt idx="46">
                  <c:v>-2710.9560965000001</c:v>
                </c:pt>
                <c:pt idx="47">
                  <c:v>-2710.9560965000001</c:v>
                </c:pt>
                <c:pt idx="48">
                  <c:v>-2698.4194852700002</c:v>
                </c:pt>
                <c:pt idx="49">
                  <c:v>-2698.4194852700002</c:v>
                </c:pt>
                <c:pt idx="50">
                  <c:v>-2698.4194852700002</c:v>
                </c:pt>
                <c:pt idx="51">
                  <c:v>-2698.4194852700002</c:v>
                </c:pt>
                <c:pt idx="52">
                  <c:v>-2698.4194852700002</c:v>
                </c:pt>
                <c:pt idx="53">
                  <c:v>-2698.4194852700002</c:v>
                </c:pt>
                <c:pt idx="54">
                  <c:v>-2698.4194852700002</c:v>
                </c:pt>
                <c:pt idx="55">
                  <c:v>-2698.4194852700002</c:v>
                </c:pt>
                <c:pt idx="56">
                  <c:v>-2698.4194852700002</c:v>
                </c:pt>
                <c:pt idx="57">
                  <c:v>-2698.4194852700002</c:v>
                </c:pt>
                <c:pt idx="58">
                  <c:v>-2698.4194852700002</c:v>
                </c:pt>
                <c:pt idx="59">
                  <c:v>-1517.77579117</c:v>
                </c:pt>
                <c:pt idx="60">
                  <c:v>-1517.77579117</c:v>
                </c:pt>
                <c:pt idx="61">
                  <c:v>-1517.77579117</c:v>
                </c:pt>
                <c:pt idx="62">
                  <c:v>-1517.77579117</c:v>
                </c:pt>
                <c:pt idx="63">
                  <c:v>-1517.77579117</c:v>
                </c:pt>
                <c:pt idx="64">
                  <c:v>-2698.4194852700002</c:v>
                </c:pt>
                <c:pt idx="65">
                  <c:v>-2698.4194852700002</c:v>
                </c:pt>
                <c:pt idx="66">
                  <c:v>-2698.4194852700002</c:v>
                </c:pt>
                <c:pt idx="67">
                  <c:v>-2698.4194852700002</c:v>
                </c:pt>
                <c:pt idx="68">
                  <c:v>-2698.4194852700002</c:v>
                </c:pt>
                <c:pt idx="69">
                  <c:v>-2698.4194852700002</c:v>
                </c:pt>
                <c:pt idx="70">
                  <c:v>-2698.4194852700002</c:v>
                </c:pt>
                <c:pt idx="71">
                  <c:v>-3010.0779342999999</c:v>
                </c:pt>
                <c:pt idx="72">
                  <c:v>-3010.0779342999999</c:v>
                </c:pt>
                <c:pt idx="73">
                  <c:v>-3010.0779342999999</c:v>
                </c:pt>
                <c:pt idx="74">
                  <c:v>-3010.0779342999999</c:v>
                </c:pt>
                <c:pt idx="75">
                  <c:v>-3010.0779342999999</c:v>
                </c:pt>
                <c:pt idx="76">
                  <c:v>-3010.0779342999999</c:v>
                </c:pt>
                <c:pt idx="77">
                  <c:v>-3010.0779342999999</c:v>
                </c:pt>
                <c:pt idx="78">
                  <c:v>-3010.0779342999999</c:v>
                </c:pt>
                <c:pt idx="79">
                  <c:v>-3010.0779342999999</c:v>
                </c:pt>
                <c:pt idx="80">
                  <c:v>-3010.0779342999999</c:v>
                </c:pt>
                <c:pt idx="81">
                  <c:v>-3010.0779342999999</c:v>
                </c:pt>
                <c:pt idx="82">
                  <c:v>-3010.0779342999999</c:v>
                </c:pt>
                <c:pt idx="83">
                  <c:v>-1517.77579117</c:v>
                </c:pt>
                <c:pt idx="84">
                  <c:v>-1517.77579117</c:v>
                </c:pt>
                <c:pt idx="85">
                  <c:v>-1517.77579117</c:v>
                </c:pt>
                <c:pt idx="86">
                  <c:v>-1517.77579117</c:v>
                </c:pt>
                <c:pt idx="87">
                  <c:v>-1517.77579117</c:v>
                </c:pt>
                <c:pt idx="88">
                  <c:v>-1517.77579117</c:v>
                </c:pt>
                <c:pt idx="89">
                  <c:v>-1517.77579117</c:v>
                </c:pt>
                <c:pt idx="90">
                  <c:v>-1517.77579117</c:v>
                </c:pt>
                <c:pt idx="91">
                  <c:v>-1517.77579117</c:v>
                </c:pt>
                <c:pt idx="92">
                  <c:v>-1517.77579117</c:v>
                </c:pt>
                <c:pt idx="93">
                  <c:v>-1517.77579117</c:v>
                </c:pt>
                <c:pt idx="94">
                  <c:v>-1517.77579117</c:v>
                </c:pt>
                <c:pt idx="95">
                  <c:v>-1517.77579117</c:v>
                </c:pt>
                <c:pt idx="96">
                  <c:v>-1517.77579117</c:v>
                </c:pt>
                <c:pt idx="97">
                  <c:v>-1517.77579117</c:v>
                </c:pt>
                <c:pt idx="98">
                  <c:v>-1517.77579117</c:v>
                </c:pt>
                <c:pt idx="99">
                  <c:v>-1517.77579117</c:v>
                </c:pt>
                <c:pt idx="100">
                  <c:v>-1517.77579117</c:v>
                </c:pt>
                <c:pt idx="101">
                  <c:v>-1517.77579117</c:v>
                </c:pt>
                <c:pt idx="102">
                  <c:v>-1517.77579117</c:v>
                </c:pt>
                <c:pt idx="103">
                  <c:v>-1517.77579117</c:v>
                </c:pt>
                <c:pt idx="104">
                  <c:v>-1517.77579117</c:v>
                </c:pt>
                <c:pt idx="105">
                  <c:v>-1517.77579117</c:v>
                </c:pt>
                <c:pt idx="106">
                  <c:v>-1517.77579117</c:v>
                </c:pt>
                <c:pt idx="107">
                  <c:v>-1517.77579117</c:v>
                </c:pt>
                <c:pt idx="108">
                  <c:v>-1517.77579117</c:v>
                </c:pt>
                <c:pt idx="109">
                  <c:v>-1517.77579117</c:v>
                </c:pt>
                <c:pt idx="110">
                  <c:v>-1517.77579117</c:v>
                </c:pt>
                <c:pt idx="111">
                  <c:v>-1517.77579117</c:v>
                </c:pt>
                <c:pt idx="112">
                  <c:v>-1517.77579117</c:v>
                </c:pt>
                <c:pt idx="113">
                  <c:v>-1517.77579117</c:v>
                </c:pt>
                <c:pt idx="114">
                  <c:v>-1517.77579117</c:v>
                </c:pt>
                <c:pt idx="115">
                  <c:v>-1517.77579117</c:v>
                </c:pt>
                <c:pt idx="116">
                  <c:v>-1517.77579117</c:v>
                </c:pt>
                <c:pt idx="117">
                  <c:v>-1517.77579117</c:v>
                </c:pt>
                <c:pt idx="118">
                  <c:v>-1517.77579117</c:v>
                </c:pt>
                <c:pt idx="119">
                  <c:v>-1517.77579117</c:v>
                </c:pt>
                <c:pt idx="120">
                  <c:v>-1517.77579117</c:v>
                </c:pt>
                <c:pt idx="121">
                  <c:v>-1517.77579117</c:v>
                </c:pt>
                <c:pt idx="122">
                  <c:v>-1517.77579117</c:v>
                </c:pt>
                <c:pt idx="123">
                  <c:v>-1517.77579117</c:v>
                </c:pt>
                <c:pt idx="124">
                  <c:v>-1517.77579117</c:v>
                </c:pt>
                <c:pt idx="125">
                  <c:v>-1517.77579117</c:v>
                </c:pt>
                <c:pt idx="126">
                  <c:v>-1517.77579117</c:v>
                </c:pt>
                <c:pt idx="127">
                  <c:v>-1517.77579117</c:v>
                </c:pt>
                <c:pt idx="128">
                  <c:v>-1517.77579117</c:v>
                </c:pt>
                <c:pt idx="129">
                  <c:v>-1517.77579117</c:v>
                </c:pt>
                <c:pt idx="130">
                  <c:v>-1517.77579117</c:v>
                </c:pt>
                <c:pt idx="131">
                  <c:v>-1517.77579117</c:v>
                </c:pt>
                <c:pt idx="132">
                  <c:v>-1517.77579117</c:v>
                </c:pt>
                <c:pt idx="133">
                  <c:v>-1517.77579117</c:v>
                </c:pt>
                <c:pt idx="134">
                  <c:v>-1517.77579117</c:v>
                </c:pt>
                <c:pt idx="135">
                  <c:v>-1517.77579117</c:v>
                </c:pt>
                <c:pt idx="136">
                  <c:v>-1517.77579117</c:v>
                </c:pt>
                <c:pt idx="137">
                  <c:v>-1517.77579117</c:v>
                </c:pt>
                <c:pt idx="138">
                  <c:v>-1517.77579117</c:v>
                </c:pt>
                <c:pt idx="139">
                  <c:v>-1517.77579117</c:v>
                </c:pt>
                <c:pt idx="140">
                  <c:v>-1517.77579117</c:v>
                </c:pt>
                <c:pt idx="141">
                  <c:v>-1517.77579117</c:v>
                </c:pt>
                <c:pt idx="142">
                  <c:v>-1517.77579117</c:v>
                </c:pt>
                <c:pt idx="143">
                  <c:v>-1517.77579117</c:v>
                </c:pt>
                <c:pt idx="144">
                  <c:v>-1517.77579117</c:v>
                </c:pt>
                <c:pt idx="145">
                  <c:v>-1517.77579117</c:v>
                </c:pt>
                <c:pt idx="146">
                  <c:v>-1517.77579117</c:v>
                </c:pt>
                <c:pt idx="147">
                  <c:v>-1517.77579117</c:v>
                </c:pt>
                <c:pt idx="148">
                  <c:v>-1517.77579117</c:v>
                </c:pt>
                <c:pt idx="149">
                  <c:v>-1517.77579117</c:v>
                </c:pt>
                <c:pt idx="150">
                  <c:v>-1517.77579117</c:v>
                </c:pt>
                <c:pt idx="151">
                  <c:v>-1517.77579117</c:v>
                </c:pt>
                <c:pt idx="152">
                  <c:v>-1517.77579117</c:v>
                </c:pt>
                <c:pt idx="153">
                  <c:v>-1517.77579117</c:v>
                </c:pt>
                <c:pt idx="154">
                  <c:v>-1517.77579117</c:v>
                </c:pt>
                <c:pt idx="155">
                  <c:v>-1517.77579117</c:v>
                </c:pt>
                <c:pt idx="156">
                  <c:v>-1517.77579117</c:v>
                </c:pt>
                <c:pt idx="157">
                  <c:v>-1517.77579117</c:v>
                </c:pt>
                <c:pt idx="158">
                  <c:v>-1517.77579117</c:v>
                </c:pt>
                <c:pt idx="159">
                  <c:v>-1517.77579117</c:v>
                </c:pt>
                <c:pt idx="160">
                  <c:v>-1517.77579117</c:v>
                </c:pt>
                <c:pt idx="161">
                  <c:v>-1517.77579117</c:v>
                </c:pt>
                <c:pt idx="162">
                  <c:v>-1517.77579117</c:v>
                </c:pt>
                <c:pt idx="163">
                  <c:v>-1517.77579117</c:v>
                </c:pt>
                <c:pt idx="164">
                  <c:v>-1517.77579117</c:v>
                </c:pt>
                <c:pt idx="165">
                  <c:v>-1517.77579117</c:v>
                </c:pt>
                <c:pt idx="166">
                  <c:v>-1517.77579117</c:v>
                </c:pt>
                <c:pt idx="167">
                  <c:v>-1517.77579117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8-4982-A9D1-1B4EF4CE2F06}"/>
            </c:ext>
          </c:extLst>
        </c:ser>
        <c:ser>
          <c:idx val="1"/>
          <c:order val="1"/>
          <c:tx>
            <c:strRef>
              <c:f>'Comparación Interconexiones'!$AA$2</c:f>
              <c:strCache>
                <c:ptCount val="1"/>
                <c:pt idx="0">
                  <c:v>ESh2-MA 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'Comparación Interconexiones'!$AA$3:$AA$169</c:f>
              <c:numCache>
                <c:formatCode>General</c:formatCode>
                <c:ptCount val="167"/>
                <c:pt idx="0">
                  <c:v>-2618.1735915726958</c:v>
                </c:pt>
                <c:pt idx="1">
                  <c:v>-2618.1735915726958</c:v>
                </c:pt>
                <c:pt idx="2">
                  <c:v>-2618.1735915726958</c:v>
                </c:pt>
                <c:pt idx="3">
                  <c:v>-2618.1735915726958</c:v>
                </c:pt>
                <c:pt idx="4">
                  <c:v>-2618.1735915726958</c:v>
                </c:pt>
                <c:pt idx="5">
                  <c:v>-2618.1735915726958</c:v>
                </c:pt>
                <c:pt idx="6">
                  <c:v>-2618.1735915726958</c:v>
                </c:pt>
                <c:pt idx="7">
                  <c:v>-2618.1735915726958</c:v>
                </c:pt>
                <c:pt idx="8">
                  <c:v>-2618.1735915726958</c:v>
                </c:pt>
                <c:pt idx="9">
                  <c:v>-1517.8</c:v>
                </c:pt>
                <c:pt idx="10">
                  <c:v>-1517.8</c:v>
                </c:pt>
                <c:pt idx="11">
                  <c:v>-1517.8</c:v>
                </c:pt>
                <c:pt idx="12">
                  <c:v>-1517.8</c:v>
                </c:pt>
                <c:pt idx="13">
                  <c:v>-1517.8</c:v>
                </c:pt>
                <c:pt idx="14">
                  <c:v>-1517.8</c:v>
                </c:pt>
                <c:pt idx="15">
                  <c:v>-1517.8</c:v>
                </c:pt>
                <c:pt idx="16">
                  <c:v>-1517.8</c:v>
                </c:pt>
                <c:pt idx="17">
                  <c:v>-2209.3621904054771</c:v>
                </c:pt>
                <c:pt idx="18">
                  <c:v>-2618.1735915726958</c:v>
                </c:pt>
                <c:pt idx="19">
                  <c:v>-2618.1735915726958</c:v>
                </c:pt>
                <c:pt idx="20">
                  <c:v>-2618.1735915726958</c:v>
                </c:pt>
                <c:pt idx="21">
                  <c:v>-2618.1735915726958</c:v>
                </c:pt>
                <c:pt idx="22">
                  <c:v>-2618.1735915726958</c:v>
                </c:pt>
                <c:pt idx="23">
                  <c:v>-2618.1735915726958</c:v>
                </c:pt>
                <c:pt idx="24">
                  <c:v>-2710.9803065799151</c:v>
                </c:pt>
                <c:pt idx="25">
                  <c:v>-2710.9803065799151</c:v>
                </c:pt>
                <c:pt idx="26">
                  <c:v>-2710.9803065799151</c:v>
                </c:pt>
                <c:pt idx="27">
                  <c:v>-2710.9803065799151</c:v>
                </c:pt>
                <c:pt idx="28">
                  <c:v>-2710.9803065799151</c:v>
                </c:pt>
                <c:pt idx="29">
                  <c:v>-2710.9803065799151</c:v>
                </c:pt>
                <c:pt idx="30">
                  <c:v>-2710.9803065799151</c:v>
                </c:pt>
                <c:pt idx="31">
                  <c:v>-2710.9803065799151</c:v>
                </c:pt>
                <c:pt idx="32">
                  <c:v>-2710.9803065799151</c:v>
                </c:pt>
                <c:pt idx="33">
                  <c:v>-1517.8</c:v>
                </c:pt>
                <c:pt idx="34">
                  <c:v>-1497.1759999999999</c:v>
                </c:pt>
                <c:pt idx="35">
                  <c:v>-1517.8</c:v>
                </c:pt>
                <c:pt idx="36">
                  <c:v>-1517.8</c:v>
                </c:pt>
                <c:pt idx="37">
                  <c:v>-1517.8</c:v>
                </c:pt>
                <c:pt idx="38">
                  <c:v>-1517.8</c:v>
                </c:pt>
                <c:pt idx="39">
                  <c:v>-1517.8</c:v>
                </c:pt>
                <c:pt idx="40">
                  <c:v>-1497.1759999999999</c:v>
                </c:pt>
                <c:pt idx="41">
                  <c:v>-2710.9803065799151</c:v>
                </c:pt>
                <c:pt idx="42">
                  <c:v>-2710.9803065799151</c:v>
                </c:pt>
                <c:pt idx="43">
                  <c:v>-2710.9803065799151</c:v>
                </c:pt>
                <c:pt idx="44">
                  <c:v>-2710.9803065799151</c:v>
                </c:pt>
                <c:pt idx="45">
                  <c:v>-2710.9803065799151</c:v>
                </c:pt>
                <c:pt idx="46">
                  <c:v>-2710.9803065799151</c:v>
                </c:pt>
                <c:pt idx="47">
                  <c:v>-2710.9803065799151</c:v>
                </c:pt>
                <c:pt idx="48">
                  <c:v>-2698.4436953367831</c:v>
                </c:pt>
                <c:pt idx="49">
                  <c:v>-2698.4436953367831</c:v>
                </c:pt>
                <c:pt idx="50">
                  <c:v>-2698.4436953367831</c:v>
                </c:pt>
                <c:pt idx="51">
                  <c:v>-2698.4436953367831</c:v>
                </c:pt>
                <c:pt idx="52">
                  <c:v>-2698.4436953367831</c:v>
                </c:pt>
                <c:pt idx="53">
                  <c:v>-2698.4436953367831</c:v>
                </c:pt>
                <c:pt idx="54">
                  <c:v>-2698.4436953367831</c:v>
                </c:pt>
                <c:pt idx="55">
                  <c:v>-2698.4436953367831</c:v>
                </c:pt>
                <c:pt idx="56">
                  <c:v>-2698.4436953367831</c:v>
                </c:pt>
                <c:pt idx="57">
                  <c:v>-1517.8</c:v>
                </c:pt>
                <c:pt idx="58">
                  <c:v>-1497.1759999999999</c:v>
                </c:pt>
                <c:pt idx="59">
                  <c:v>-1517.8</c:v>
                </c:pt>
                <c:pt idx="60">
                  <c:v>-1517.8</c:v>
                </c:pt>
                <c:pt idx="61">
                  <c:v>-1517.8</c:v>
                </c:pt>
                <c:pt idx="62">
                  <c:v>-1517.8</c:v>
                </c:pt>
                <c:pt idx="63">
                  <c:v>-1517.8</c:v>
                </c:pt>
                <c:pt idx="64">
                  <c:v>-1497.1759999999999</c:v>
                </c:pt>
                <c:pt idx="65">
                  <c:v>-2698.4436953367831</c:v>
                </c:pt>
                <c:pt idx="66">
                  <c:v>-2698.4436953367831</c:v>
                </c:pt>
                <c:pt idx="67">
                  <c:v>-2698.4436953367831</c:v>
                </c:pt>
                <c:pt idx="68">
                  <c:v>-2698.4436953367831</c:v>
                </c:pt>
                <c:pt idx="69">
                  <c:v>-2698.4436953367831</c:v>
                </c:pt>
                <c:pt idx="70">
                  <c:v>-2698.4436953367831</c:v>
                </c:pt>
                <c:pt idx="71">
                  <c:v>-2940.16732</c:v>
                </c:pt>
                <c:pt idx="72">
                  <c:v>-2940.16732</c:v>
                </c:pt>
                <c:pt idx="73">
                  <c:v>-2940.16732</c:v>
                </c:pt>
                <c:pt idx="74">
                  <c:v>-2940.16732</c:v>
                </c:pt>
                <c:pt idx="75">
                  <c:v>-2940.16732</c:v>
                </c:pt>
                <c:pt idx="76">
                  <c:v>-2940.16732</c:v>
                </c:pt>
                <c:pt idx="77">
                  <c:v>-2940.16732</c:v>
                </c:pt>
                <c:pt idx="78">
                  <c:v>-2940.16732</c:v>
                </c:pt>
                <c:pt idx="79">
                  <c:v>-2940.16732</c:v>
                </c:pt>
                <c:pt idx="80">
                  <c:v>-2940.16732</c:v>
                </c:pt>
                <c:pt idx="81">
                  <c:v>-2207.1494596687498</c:v>
                </c:pt>
                <c:pt idx="82">
                  <c:v>-1497.1759999999999</c:v>
                </c:pt>
                <c:pt idx="83">
                  <c:v>-1517.8</c:v>
                </c:pt>
                <c:pt idx="84">
                  <c:v>-1517.8</c:v>
                </c:pt>
                <c:pt idx="85">
                  <c:v>-1517.8</c:v>
                </c:pt>
                <c:pt idx="86">
                  <c:v>-1517.8</c:v>
                </c:pt>
                <c:pt idx="87">
                  <c:v>-1517.8</c:v>
                </c:pt>
                <c:pt idx="88">
                  <c:v>-1517.8</c:v>
                </c:pt>
                <c:pt idx="89">
                  <c:v>-1517.8</c:v>
                </c:pt>
                <c:pt idx="90">
                  <c:v>-1517.8</c:v>
                </c:pt>
                <c:pt idx="91">
                  <c:v>-1517.8</c:v>
                </c:pt>
                <c:pt idx="92">
                  <c:v>-1517.8</c:v>
                </c:pt>
                <c:pt idx="93">
                  <c:v>-1517.8</c:v>
                </c:pt>
                <c:pt idx="94">
                  <c:v>-1517.8</c:v>
                </c:pt>
                <c:pt idx="95">
                  <c:v>-1517.8</c:v>
                </c:pt>
                <c:pt idx="96">
                  <c:v>-1517.8</c:v>
                </c:pt>
                <c:pt idx="97">
                  <c:v>-1517.8</c:v>
                </c:pt>
                <c:pt idx="98">
                  <c:v>-1517.8</c:v>
                </c:pt>
                <c:pt idx="99">
                  <c:v>-1517.8</c:v>
                </c:pt>
                <c:pt idx="100">
                  <c:v>-1517.8</c:v>
                </c:pt>
                <c:pt idx="101">
                  <c:v>-1517.8</c:v>
                </c:pt>
                <c:pt idx="102">
                  <c:v>-1517.8</c:v>
                </c:pt>
                <c:pt idx="103">
                  <c:v>-1517.8</c:v>
                </c:pt>
                <c:pt idx="104">
                  <c:v>-1517.8</c:v>
                </c:pt>
                <c:pt idx="105">
                  <c:v>-1517.8</c:v>
                </c:pt>
                <c:pt idx="106">
                  <c:v>-1517.8</c:v>
                </c:pt>
                <c:pt idx="107">
                  <c:v>-1517.8</c:v>
                </c:pt>
                <c:pt idx="108">
                  <c:v>-1517.8</c:v>
                </c:pt>
                <c:pt idx="109">
                  <c:v>-1517.8</c:v>
                </c:pt>
                <c:pt idx="110">
                  <c:v>-1517.8</c:v>
                </c:pt>
                <c:pt idx="111">
                  <c:v>-1517.8</c:v>
                </c:pt>
                <c:pt idx="112">
                  <c:v>-1517.8</c:v>
                </c:pt>
                <c:pt idx="113">
                  <c:v>-1517.8</c:v>
                </c:pt>
                <c:pt idx="114">
                  <c:v>-1517.8</c:v>
                </c:pt>
                <c:pt idx="115">
                  <c:v>-1517.8</c:v>
                </c:pt>
                <c:pt idx="116">
                  <c:v>-1517.8</c:v>
                </c:pt>
                <c:pt idx="117">
                  <c:v>-1517.8</c:v>
                </c:pt>
                <c:pt idx="118">
                  <c:v>-1517.8</c:v>
                </c:pt>
                <c:pt idx="119">
                  <c:v>-1517.8</c:v>
                </c:pt>
                <c:pt idx="120">
                  <c:v>-1517.8</c:v>
                </c:pt>
                <c:pt idx="121">
                  <c:v>-1517.8</c:v>
                </c:pt>
                <c:pt idx="122">
                  <c:v>-1517.8</c:v>
                </c:pt>
                <c:pt idx="123">
                  <c:v>-1517.8</c:v>
                </c:pt>
                <c:pt idx="124">
                  <c:v>-1517.8</c:v>
                </c:pt>
                <c:pt idx="125">
                  <c:v>-1517.8</c:v>
                </c:pt>
                <c:pt idx="126">
                  <c:v>-1517.8</c:v>
                </c:pt>
                <c:pt idx="127">
                  <c:v>-1517.8</c:v>
                </c:pt>
                <c:pt idx="128">
                  <c:v>-1517.8</c:v>
                </c:pt>
                <c:pt idx="129">
                  <c:v>-1517.8</c:v>
                </c:pt>
                <c:pt idx="130">
                  <c:v>-1517.8</c:v>
                </c:pt>
                <c:pt idx="131">
                  <c:v>-1517.8</c:v>
                </c:pt>
                <c:pt idx="132">
                  <c:v>-1517.8</c:v>
                </c:pt>
                <c:pt idx="133">
                  <c:v>-1517.8</c:v>
                </c:pt>
                <c:pt idx="134">
                  <c:v>-1517.8</c:v>
                </c:pt>
                <c:pt idx="135">
                  <c:v>-1517.8</c:v>
                </c:pt>
                <c:pt idx="136">
                  <c:v>-1517.8</c:v>
                </c:pt>
                <c:pt idx="137">
                  <c:v>-1517.8</c:v>
                </c:pt>
                <c:pt idx="138">
                  <c:v>-1517.8</c:v>
                </c:pt>
                <c:pt idx="139">
                  <c:v>-1517.8</c:v>
                </c:pt>
                <c:pt idx="140">
                  <c:v>-1517.8</c:v>
                </c:pt>
                <c:pt idx="141">
                  <c:v>-1517.8</c:v>
                </c:pt>
                <c:pt idx="142">
                  <c:v>-1517.8</c:v>
                </c:pt>
                <c:pt idx="143">
                  <c:v>-1517.8</c:v>
                </c:pt>
                <c:pt idx="144">
                  <c:v>-1517.8</c:v>
                </c:pt>
                <c:pt idx="145">
                  <c:v>-1517.8</c:v>
                </c:pt>
                <c:pt idx="146">
                  <c:v>-1517.8</c:v>
                </c:pt>
                <c:pt idx="147">
                  <c:v>-1517.8</c:v>
                </c:pt>
                <c:pt idx="148">
                  <c:v>-1517.8</c:v>
                </c:pt>
                <c:pt idx="149">
                  <c:v>-1517.8</c:v>
                </c:pt>
                <c:pt idx="150">
                  <c:v>-1517.8</c:v>
                </c:pt>
                <c:pt idx="151">
                  <c:v>-1517.8</c:v>
                </c:pt>
                <c:pt idx="152">
                  <c:v>-1517.8</c:v>
                </c:pt>
                <c:pt idx="153">
                  <c:v>-1517.8</c:v>
                </c:pt>
                <c:pt idx="154">
                  <c:v>-1517.8</c:v>
                </c:pt>
                <c:pt idx="155">
                  <c:v>-1517.8</c:v>
                </c:pt>
                <c:pt idx="156">
                  <c:v>-1517.8</c:v>
                </c:pt>
                <c:pt idx="157">
                  <c:v>-1517.8</c:v>
                </c:pt>
                <c:pt idx="158">
                  <c:v>-1517.8</c:v>
                </c:pt>
                <c:pt idx="159">
                  <c:v>-1517.8</c:v>
                </c:pt>
                <c:pt idx="160">
                  <c:v>-1517.8</c:v>
                </c:pt>
                <c:pt idx="161">
                  <c:v>-1517.8</c:v>
                </c:pt>
                <c:pt idx="162">
                  <c:v>-1517.8</c:v>
                </c:pt>
                <c:pt idx="163">
                  <c:v>-1517.8</c:v>
                </c:pt>
                <c:pt idx="164">
                  <c:v>-1517.8</c:v>
                </c:pt>
                <c:pt idx="165">
                  <c:v>-1517.8</c:v>
                </c:pt>
                <c:pt idx="166">
                  <c:v>-1517.8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38-4982-A9D1-1B4EF4CE2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05904"/>
        <c:axId val="1124914064"/>
      </c:areaChart>
      <c:catAx>
        <c:axId val="1124905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14064"/>
        <c:crosses val="autoZero"/>
        <c:auto val="1"/>
        <c:lblAlgn val="ctr"/>
        <c:lblOffset val="100"/>
        <c:noMultiLvlLbl val="0"/>
      </c:catAx>
      <c:valAx>
        <c:axId val="11249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0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ES00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TYNDP 26 vs. BenchMarking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'Comparación Precios'!$C$4</c:f>
              <c:strCache>
                <c:ptCount val="1"/>
                <c:pt idx="0">
                  <c:v> TYNDP 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Precios'!$C$5:$C$173</c:f>
              <c:numCache>
                <c:formatCode>General</c:formatCode>
                <c:ptCount val="169"/>
                <c:pt idx="0">
                  <c:v>52.578633869999997</c:v>
                </c:pt>
                <c:pt idx="1">
                  <c:v>52.578633869999997</c:v>
                </c:pt>
                <c:pt idx="2">
                  <c:v>52.578633869999997</c:v>
                </c:pt>
                <c:pt idx="3">
                  <c:v>52.578633869999997</c:v>
                </c:pt>
                <c:pt idx="4">
                  <c:v>52.578633869999997</c:v>
                </c:pt>
                <c:pt idx="5">
                  <c:v>52.578633869999997</c:v>
                </c:pt>
                <c:pt idx="6">
                  <c:v>52.578633869999997</c:v>
                </c:pt>
                <c:pt idx="7">
                  <c:v>52.578633869999997</c:v>
                </c:pt>
                <c:pt idx="8">
                  <c:v>52.578633869999997</c:v>
                </c:pt>
                <c:pt idx="9">
                  <c:v>52.578633869999997</c:v>
                </c:pt>
                <c:pt idx="10">
                  <c:v>15.622672</c:v>
                </c:pt>
                <c:pt idx="11">
                  <c:v>15.463145280000001</c:v>
                </c:pt>
                <c:pt idx="12">
                  <c:v>15.463145280000001</c:v>
                </c:pt>
                <c:pt idx="13">
                  <c:v>15.463145280000001</c:v>
                </c:pt>
                <c:pt idx="14">
                  <c:v>15.463145280000001</c:v>
                </c:pt>
                <c:pt idx="15">
                  <c:v>15.463145280000001</c:v>
                </c:pt>
                <c:pt idx="16">
                  <c:v>15.642671999999999</c:v>
                </c:pt>
                <c:pt idx="17">
                  <c:v>128.9143794</c:v>
                </c:pt>
                <c:pt idx="18">
                  <c:v>128.9143794</c:v>
                </c:pt>
                <c:pt idx="19">
                  <c:v>128.9143794</c:v>
                </c:pt>
                <c:pt idx="20">
                  <c:v>128.9143794</c:v>
                </c:pt>
                <c:pt idx="21">
                  <c:v>128.9143794</c:v>
                </c:pt>
                <c:pt idx="22">
                  <c:v>128.9143794</c:v>
                </c:pt>
                <c:pt idx="23">
                  <c:v>126.01</c:v>
                </c:pt>
                <c:pt idx="24">
                  <c:v>118.60202905</c:v>
                </c:pt>
                <c:pt idx="25">
                  <c:v>118.60202905</c:v>
                </c:pt>
                <c:pt idx="26">
                  <c:v>118.60202905</c:v>
                </c:pt>
                <c:pt idx="27">
                  <c:v>118.60202905</c:v>
                </c:pt>
                <c:pt idx="28">
                  <c:v>126.01056250000001</c:v>
                </c:pt>
                <c:pt idx="29">
                  <c:v>128.9143794</c:v>
                </c:pt>
                <c:pt idx="30">
                  <c:v>128.9143794</c:v>
                </c:pt>
                <c:pt idx="31">
                  <c:v>128.9143794</c:v>
                </c:pt>
                <c:pt idx="32">
                  <c:v>128.9143794</c:v>
                </c:pt>
                <c:pt idx="33">
                  <c:v>128.9143794</c:v>
                </c:pt>
                <c:pt idx="34">
                  <c:v>51.997</c:v>
                </c:pt>
                <c:pt idx="35">
                  <c:v>15.642671999999999</c:v>
                </c:pt>
                <c:pt idx="36">
                  <c:v>15.642671999999999</c:v>
                </c:pt>
                <c:pt idx="37">
                  <c:v>15.642671999999999</c:v>
                </c:pt>
                <c:pt idx="38">
                  <c:v>15.642671999999999</c:v>
                </c:pt>
                <c:pt idx="39">
                  <c:v>15.642671999999999</c:v>
                </c:pt>
                <c:pt idx="40">
                  <c:v>96.685784549999994</c:v>
                </c:pt>
                <c:pt idx="41">
                  <c:v>156.53247099999999</c:v>
                </c:pt>
                <c:pt idx="42">
                  <c:v>156.53247099999999</c:v>
                </c:pt>
                <c:pt idx="43">
                  <c:v>156.53247099999999</c:v>
                </c:pt>
                <c:pt idx="44">
                  <c:v>156.53247099999999</c:v>
                </c:pt>
                <c:pt idx="45">
                  <c:v>156.53247099999999</c:v>
                </c:pt>
                <c:pt idx="46">
                  <c:v>156.53247099999999</c:v>
                </c:pt>
                <c:pt idx="47">
                  <c:v>156.53247099999999</c:v>
                </c:pt>
                <c:pt idx="48">
                  <c:v>156.53247099999999</c:v>
                </c:pt>
                <c:pt idx="49">
                  <c:v>140.25309401999999</c:v>
                </c:pt>
                <c:pt idx="50">
                  <c:v>140.25309401999999</c:v>
                </c:pt>
                <c:pt idx="51">
                  <c:v>140.25309401999999</c:v>
                </c:pt>
                <c:pt idx="52">
                  <c:v>140.25309401999999</c:v>
                </c:pt>
                <c:pt idx="53">
                  <c:v>156.53247099999999</c:v>
                </c:pt>
                <c:pt idx="54">
                  <c:v>156.53247099999999</c:v>
                </c:pt>
                <c:pt idx="55">
                  <c:v>156.53247099999999</c:v>
                </c:pt>
                <c:pt idx="56">
                  <c:v>156.53247099999999</c:v>
                </c:pt>
                <c:pt idx="57">
                  <c:v>156.53247099999999</c:v>
                </c:pt>
                <c:pt idx="58">
                  <c:v>117.39935325</c:v>
                </c:pt>
                <c:pt idx="59">
                  <c:v>117.39935325</c:v>
                </c:pt>
                <c:pt idx="60">
                  <c:v>117.39935325</c:v>
                </c:pt>
                <c:pt idx="61">
                  <c:v>117.39935325</c:v>
                </c:pt>
                <c:pt idx="62">
                  <c:v>117.39935325</c:v>
                </c:pt>
                <c:pt idx="63">
                  <c:v>117.39935325</c:v>
                </c:pt>
                <c:pt idx="64">
                  <c:v>117.39935325</c:v>
                </c:pt>
                <c:pt idx="65">
                  <c:v>159.84172691000001</c:v>
                </c:pt>
                <c:pt idx="66">
                  <c:v>159.84172691000001</c:v>
                </c:pt>
                <c:pt idx="67">
                  <c:v>159.84172691000001</c:v>
                </c:pt>
                <c:pt idx="68">
                  <c:v>159.84172691000001</c:v>
                </c:pt>
                <c:pt idx="69">
                  <c:v>159.84172691000001</c:v>
                </c:pt>
                <c:pt idx="70">
                  <c:v>159.74662789999999</c:v>
                </c:pt>
                <c:pt idx="71">
                  <c:v>156.53247099999999</c:v>
                </c:pt>
                <c:pt idx="72">
                  <c:v>156.53247099999999</c:v>
                </c:pt>
                <c:pt idx="73">
                  <c:v>156.53247099999999</c:v>
                </c:pt>
                <c:pt idx="74">
                  <c:v>156.53247099999999</c:v>
                </c:pt>
                <c:pt idx="75">
                  <c:v>156.53247099999999</c:v>
                </c:pt>
                <c:pt idx="76">
                  <c:v>156.53247099999999</c:v>
                </c:pt>
                <c:pt idx="77">
                  <c:v>156.53247099999999</c:v>
                </c:pt>
                <c:pt idx="78">
                  <c:v>156.53247099999999</c:v>
                </c:pt>
                <c:pt idx="79">
                  <c:v>159.84172691000001</c:v>
                </c:pt>
                <c:pt idx="80">
                  <c:v>159.84172691000001</c:v>
                </c:pt>
                <c:pt idx="81">
                  <c:v>156.53247099999999</c:v>
                </c:pt>
                <c:pt idx="82">
                  <c:v>56.532471000000001</c:v>
                </c:pt>
                <c:pt idx="83">
                  <c:v>15.642671999999999</c:v>
                </c:pt>
                <c:pt idx="84">
                  <c:v>15.642671999999999</c:v>
                </c:pt>
                <c:pt idx="85">
                  <c:v>15.642671999999999</c:v>
                </c:pt>
                <c:pt idx="86">
                  <c:v>15.642671999999999</c:v>
                </c:pt>
                <c:pt idx="87">
                  <c:v>15.642671999999999</c:v>
                </c:pt>
                <c:pt idx="88">
                  <c:v>15.642671999999999</c:v>
                </c:pt>
                <c:pt idx="89">
                  <c:v>20.856895999999999</c:v>
                </c:pt>
                <c:pt idx="90">
                  <c:v>20.856895999999999</c:v>
                </c:pt>
                <c:pt idx="91">
                  <c:v>20.856895999999999</c:v>
                </c:pt>
                <c:pt idx="92">
                  <c:v>20.856895999999999</c:v>
                </c:pt>
                <c:pt idx="93">
                  <c:v>20.856895999999999</c:v>
                </c:pt>
                <c:pt idx="94">
                  <c:v>15.642671999999999</c:v>
                </c:pt>
                <c:pt idx="95">
                  <c:v>15.622672</c:v>
                </c:pt>
                <c:pt idx="96">
                  <c:v>15.622672</c:v>
                </c:pt>
                <c:pt idx="97">
                  <c:v>15.622672</c:v>
                </c:pt>
                <c:pt idx="98">
                  <c:v>15.622672</c:v>
                </c:pt>
                <c:pt idx="99">
                  <c:v>15.622672</c:v>
                </c:pt>
                <c:pt idx="100">
                  <c:v>15.622672</c:v>
                </c:pt>
                <c:pt idx="101">
                  <c:v>15.622672</c:v>
                </c:pt>
                <c:pt idx="102">
                  <c:v>15.622672</c:v>
                </c:pt>
                <c:pt idx="103">
                  <c:v>15.622672</c:v>
                </c:pt>
                <c:pt idx="104">
                  <c:v>15.622672</c:v>
                </c:pt>
                <c:pt idx="105">
                  <c:v>11.717003999999999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15.622672</c:v>
                </c:pt>
                <c:pt idx="114">
                  <c:v>15.622672</c:v>
                </c:pt>
                <c:pt idx="115">
                  <c:v>15.622672</c:v>
                </c:pt>
                <c:pt idx="116">
                  <c:v>15.622672</c:v>
                </c:pt>
                <c:pt idx="117">
                  <c:v>15.622672</c:v>
                </c:pt>
                <c:pt idx="118">
                  <c:v>15.622672</c:v>
                </c:pt>
                <c:pt idx="119">
                  <c:v>15.622672</c:v>
                </c:pt>
                <c:pt idx="120">
                  <c:v>15.436078999999999</c:v>
                </c:pt>
                <c:pt idx="121">
                  <c:v>15.436078999999999</c:v>
                </c:pt>
                <c:pt idx="122">
                  <c:v>15.436078999999999</c:v>
                </c:pt>
                <c:pt idx="123">
                  <c:v>15.436078999999999</c:v>
                </c:pt>
                <c:pt idx="124">
                  <c:v>15.436078999999999</c:v>
                </c:pt>
                <c:pt idx="125">
                  <c:v>15.436078999999999</c:v>
                </c:pt>
                <c:pt idx="126">
                  <c:v>15.436078999999999</c:v>
                </c:pt>
                <c:pt idx="127">
                  <c:v>15.436078999999999</c:v>
                </c:pt>
                <c:pt idx="128">
                  <c:v>15.436078999999999</c:v>
                </c:pt>
                <c:pt idx="129">
                  <c:v>11.57705925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15.436078999999999</c:v>
                </c:pt>
                <c:pt idx="138">
                  <c:v>15.436078999999999</c:v>
                </c:pt>
                <c:pt idx="139">
                  <c:v>15.436078999999999</c:v>
                </c:pt>
                <c:pt idx="140">
                  <c:v>15.436078999999999</c:v>
                </c:pt>
                <c:pt idx="141">
                  <c:v>15.436078999999999</c:v>
                </c:pt>
                <c:pt idx="142">
                  <c:v>15.436078999999999</c:v>
                </c:pt>
                <c:pt idx="143">
                  <c:v>15.436078999999999</c:v>
                </c:pt>
                <c:pt idx="144">
                  <c:v>0.01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1D-45B4-B31C-98690786692E}"/>
            </c:ext>
          </c:extLst>
        </c:ser>
        <c:ser>
          <c:idx val="5"/>
          <c:order val="1"/>
          <c:tx>
            <c:strRef>
              <c:f>'Comparación Precios'!$D$4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Precios'!$D$5:$D$173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A1D-45B4-B31C-986907866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Generacion'!$AU$5</c15:sqref>
                        </c15:formulaRef>
                      </c:ext>
                    </c:extLst>
                    <c:strCache>
                      <c:ptCount val="1"/>
                      <c:pt idx="0">
                        <c:v>TYNDP</c:v>
                      </c:pt>
                    </c:strCache>
                  </c:strRef>
                </c:tx>
                <c:spPr>
                  <a:solidFill>
                    <a:schemeClr val="accent2">
                      <a:alpha val="76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Generacion'!$AU$6:$AU$173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4613</c:v>
                      </c:pt>
                      <c:pt idx="1">
                        <c:v>4613</c:v>
                      </c:pt>
                      <c:pt idx="2">
                        <c:v>4613</c:v>
                      </c:pt>
                      <c:pt idx="3">
                        <c:v>4613</c:v>
                      </c:pt>
                      <c:pt idx="4">
                        <c:v>4613</c:v>
                      </c:pt>
                      <c:pt idx="5">
                        <c:v>4613</c:v>
                      </c:pt>
                      <c:pt idx="6">
                        <c:v>4613</c:v>
                      </c:pt>
                      <c:pt idx="7">
                        <c:v>4613</c:v>
                      </c:pt>
                      <c:pt idx="8">
                        <c:v>4613</c:v>
                      </c:pt>
                      <c:pt idx="9">
                        <c:v>4613</c:v>
                      </c:pt>
                      <c:pt idx="10">
                        <c:v>4613</c:v>
                      </c:pt>
                      <c:pt idx="11">
                        <c:v>3484.0037682699999</c:v>
                      </c:pt>
                      <c:pt idx="12">
                        <c:v>4613</c:v>
                      </c:pt>
                      <c:pt idx="13">
                        <c:v>4538.1274936199998</c:v>
                      </c:pt>
                      <c:pt idx="14">
                        <c:v>4479.8725723400003</c:v>
                      </c:pt>
                      <c:pt idx="15">
                        <c:v>4613</c:v>
                      </c:pt>
                      <c:pt idx="16">
                        <c:v>4613</c:v>
                      </c:pt>
                      <c:pt idx="17">
                        <c:v>4613</c:v>
                      </c:pt>
                      <c:pt idx="18">
                        <c:v>4613</c:v>
                      </c:pt>
                      <c:pt idx="19">
                        <c:v>4613</c:v>
                      </c:pt>
                      <c:pt idx="20">
                        <c:v>4613</c:v>
                      </c:pt>
                      <c:pt idx="21">
                        <c:v>4613</c:v>
                      </c:pt>
                      <c:pt idx="22">
                        <c:v>4613</c:v>
                      </c:pt>
                      <c:pt idx="23">
                        <c:v>4613</c:v>
                      </c:pt>
                      <c:pt idx="24">
                        <c:v>4613</c:v>
                      </c:pt>
                      <c:pt idx="25">
                        <c:v>4613</c:v>
                      </c:pt>
                      <c:pt idx="26">
                        <c:v>4613</c:v>
                      </c:pt>
                      <c:pt idx="27">
                        <c:v>4613</c:v>
                      </c:pt>
                      <c:pt idx="28">
                        <c:v>4613</c:v>
                      </c:pt>
                      <c:pt idx="29">
                        <c:v>4613</c:v>
                      </c:pt>
                      <c:pt idx="30">
                        <c:v>4613</c:v>
                      </c:pt>
                      <c:pt idx="31">
                        <c:v>4613</c:v>
                      </c:pt>
                      <c:pt idx="32">
                        <c:v>4613</c:v>
                      </c:pt>
                      <c:pt idx="33">
                        <c:v>4613</c:v>
                      </c:pt>
                      <c:pt idx="34">
                        <c:v>4613</c:v>
                      </c:pt>
                      <c:pt idx="35">
                        <c:v>4613</c:v>
                      </c:pt>
                      <c:pt idx="36">
                        <c:v>4613</c:v>
                      </c:pt>
                      <c:pt idx="37">
                        <c:v>4613</c:v>
                      </c:pt>
                      <c:pt idx="38">
                        <c:v>4613</c:v>
                      </c:pt>
                      <c:pt idx="39">
                        <c:v>4613</c:v>
                      </c:pt>
                      <c:pt idx="40">
                        <c:v>4613</c:v>
                      </c:pt>
                      <c:pt idx="41">
                        <c:v>4613</c:v>
                      </c:pt>
                      <c:pt idx="42">
                        <c:v>4613</c:v>
                      </c:pt>
                      <c:pt idx="43">
                        <c:v>4613</c:v>
                      </c:pt>
                      <c:pt idx="44">
                        <c:v>4613</c:v>
                      </c:pt>
                      <c:pt idx="45">
                        <c:v>4613</c:v>
                      </c:pt>
                      <c:pt idx="46">
                        <c:v>4613</c:v>
                      </c:pt>
                      <c:pt idx="47">
                        <c:v>4613</c:v>
                      </c:pt>
                      <c:pt idx="48">
                        <c:v>4613</c:v>
                      </c:pt>
                      <c:pt idx="49">
                        <c:v>4613</c:v>
                      </c:pt>
                      <c:pt idx="50">
                        <c:v>4613</c:v>
                      </c:pt>
                      <c:pt idx="51">
                        <c:v>4613</c:v>
                      </c:pt>
                      <c:pt idx="52">
                        <c:v>4613</c:v>
                      </c:pt>
                      <c:pt idx="53">
                        <c:v>4613</c:v>
                      </c:pt>
                      <c:pt idx="54">
                        <c:v>4613</c:v>
                      </c:pt>
                      <c:pt idx="55">
                        <c:v>4613</c:v>
                      </c:pt>
                      <c:pt idx="56">
                        <c:v>4613</c:v>
                      </c:pt>
                      <c:pt idx="57">
                        <c:v>4613</c:v>
                      </c:pt>
                      <c:pt idx="58">
                        <c:v>4613</c:v>
                      </c:pt>
                      <c:pt idx="59">
                        <c:v>4613</c:v>
                      </c:pt>
                      <c:pt idx="60">
                        <c:v>4613</c:v>
                      </c:pt>
                      <c:pt idx="61">
                        <c:v>4613</c:v>
                      </c:pt>
                      <c:pt idx="62">
                        <c:v>4613</c:v>
                      </c:pt>
                      <c:pt idx="63">
                        <c:v>4613</c:v>
                      </c:pt>
                      <c:pt idx="64">
                        <c:v>4613</c:v>
                      </c:pt>
                      <c:pt idx="65">
                        <c:v>4613</c:v>
                      </c:pt>
                      <c:pt idx="66">
                        <c:v>4613</c:v>
                      </c:pt>
                      <c:pt idx="67">
                        <c:v>4613</c:v>
                      </c:pt>
                      <c:pt idx="68">
                        <c:v>4613</c:v>
                      </c:pt>
                      <c:pt idx="69">
                        <c:v>4613</c:v>
                      </c:pt>
                      <c:pt idx="70">
                        <c:v>4613</c:v>
                      </c:pt>
                      <c:pt idx="71">
                        <c:v>4613</c:v>
                      </c:pt>
                      <c:pt idx="72">
                        <c:v>4613</c:v>
                      </c:pt>
                      <c:pt idx="73">
                        <c:v>4613</c:v>
                      </c:pt>
                      <c:pt idx="74">
                        <c:v>4613</c:v>
                      </c:pt>
                      <c:pt idx="75">
                        <c:v>4613</c:v>
                      </c:pt>
                      <c:pt idx="76">
                        <c:v>4613</c:v>
                      </c:pt>
                      <c:pt idx="77">
                        <c:v>4613</c:v>
                      </c:pt>
                      <c:pt idx="78">
                        <c:v>4613</c:v>
                      </c:pt>
                      <c:pt idx="79">
                        <c:v>4613</c:v>
                      </c:pt>
                      <c:pt idx="80">
                        <c:v>4613</c:v>
                      </c:pt>
                      <c:pt idx="81">
                        <c:v>4613</c:v>
                      </c:pt>
                      <c:pt idx="82">
                        <c:v>4613</c:v>
                      </c:pt>
                      <c:pt idx="83">
                        <c:v>4613</c:v>
                      </c:pt>
                      <c:pt idx="84">
                        <c:v>4613</c:v>
                      </c:pt>
                      <c:pt idx="85">
                        <c:v>4613</c:v>
                      </c:pt>
                      <c:pt idx="86">
                        <c:v>4613</c:v>
                      </c:pt>
                      <c:pt idx="87">
                        <c:v>4613</c:v>
                      </c:pt>
                      <c:pt idx="88">
                        <c:v>4613</c:v>
                      </c:pt>
                      <c:pt idx="89">
                        <c:v>4613</c:v>
                      </c:pt>
                      <c:pt idx="90">
                        <c:v>4613</c:v>
                      </c:pt>
                      <c:pt idx="91">
                        <c:v>4613</c:v>
                      </c:pt>
                      <c:pt idx="92">
                        <c:v>4613</c:v>
                      </c:pt>
                      <c:pt idx="93">
                        <c:v>4613</c:v>
                      </c:pt>
                      <c:pt idx="94">
                        <c:v>4613</c:v>
                      </c:pt>
                      <c:pt idx="95">
                        <c:v>4613</c:v>
                      </c:pt>
                      <c:pt idx="96">
                        <c:v>4613</c:v>
                      </c:pt>
                      <c:pt idx="97">
                        <c:v>4613</c:v>
                      </c:pt>
                      <c:pt idx="98">
                        <c:v>4613</c:v>
                      </c:pt>
                      <c:pt idx="99">
                        <c:v>4613</c:v>
                      </c:pt>
                      <c:pt idx="100">
                        <c:v>4613</c:v>
                      </c:pt>
                      <c:pt idx="101">
                        <c:v>4613</c:v>
                      </c:pt>
                      <c:pt idx="102">
                        <c:v>4613</c:v>
                      </c:pt>
                      <c:pt idx="103">
                        <c:v>4613</c:v>
                      </c:pt>
                      <c:pt idx="104">
                        <c:v>4613</c:v>
                      </c:pt>
                      <c:pt idx="105">
                        <c:v>2696.8141957799999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4613</c:v>
                      </c:pt>
                      <c:pt idx="114">
                        <c:v>4613</c:v>
                      </c:pt>
                      <c:pt idx="115">
                        <c:v>4613</c:v>
                      </c:pt>
                      <c:pt idx="116">
                        <c:v>4613</c:v>
                      </c:pt>
                      <c:pt idx="117">
                        <c:v>4613</c:v>
                      </c:pt>
                      <c:pt idx="118">
                        <c:v>4613</c:v>
                      </c:pt>
                      <c:pt idx="119">
                        <c:v>4613</c:v>
                      </c:pt>
                      <c:pt idx="120">
                        <c:v>4613</c:v>
                      </c:pt>
                      <c:pt idx="121">
                        <c:v>4613</c:v>
                      </c:pt>
                      <c:pt idx="122">
                        <c:v>4613</c:v>
                      </c:pt>
                      <c:pt idx="123">
                        <c:v>4613</c:v>
                      </c:pt>
                      <c:pt idx="124">
                        <c:v>4613</c:v>
                      </c:pt>
                      <c:pt idx="125">
                        <c:v>4613</c:v>
                      </c:pt>
                      <c:pt idx="126">
                        <c:v>4613</c:v>
                      </c:pt>
                      <c:pt idx="127">
                        <c:v>4613</c:v>
                      </c:pt>
                      <c:pt idx="128">
                        <c:v>4613</c:v>
                      </c:pt>
                      <c:pt idx="129">
                        <c:v>4613</c:v>
                      </c:pt>
                      <c:pt idx="130">
                        <c:v>931.99979149000001</c:v>
                      </c:pt>
                      <c:pt idx="131">
                        <c:v>4613</c:v>
                      </c:pt>
                      <c:pt idx="132">
                        <c:v>2785.1080021299999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4613</c:v>
                      </c:pt>
                      <c:pt idx="138">
                        <c:v>4613</c:v>
                      </c:pt>
                      <c:pt idx="139">
                        <c:v>4613</c:v>
                      </c:pt>
                      <c:pt idx="140">
                        <c:v>4613</c:v>
                      </c:pt>
                      <c:pt idx="141">
                        <c:v>3458.3974297899999</c:v>
                      </c:pt>
                      <c:pt idx="142">
                        <c:v>4613</c:v>
                      </c:pt>
                      <c:pt idx="143">
                        <c:v>3821.1880371500001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2064.9701558299998</c:v>
                      </c:pt>
                      <c:pt idx="163">
                        <c:v>4613</c:v>
                      </c:pt>
                      <c:pt idx="164">
                        <c:v>3999.9155957399998</c:v>
                      </c:pt>
                      <c:pt idx="165">
                        <c:v>2460.2040297899998</c:v>
                      </c:pt>
                      <c:pt idx="166">
                        <c:v>4613</c:v>
                      </c:pt>
                      <c:pt idx="167">
                        <c:v>1388.2723531900001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A1D-45B4-B31C-98690786692E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20000"/>
                      <a:lumOff val="80000"/>
                      <a:alpha val="82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Generacion'!$AV$6:$AV$173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2877.985924161866</c:v>
                      </c:pt>
                      <c:pt idx="1">
                        <c:v>0</c:v>
                      </c:pt>
                      <c:pt idx="2">
                        <c:v>3093.9253817630588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2815.553749976214</c:v>
                      </c:pt>
                      <c:pt idx="18">
                        <c:v>3135</c:v>
                      </c:pt>
                      <c:pt idx="19">
                        <c:v>3135</c:v>
                      </c:pt>
                      <c:pt idx="20">
                        <c:v>3135</c:v>
                      </c:pt>
                      <c:pt idx="21">
                        <c:v>3135</c:v>
                      </c:pt>
                      <c:pt idx="22">
                        <c:v>3135</c:v>
                      </c:pt>
                      <c:pt idx="23">
                        <c:v>3135</c:v>
                      </c:pt>
                      <c:pt idx="24">
                        <c:v>3135</c:v>
                      </c:pt>
                      <c:pt idx="25">
                        <c:v>3135</c:v>
                      </c:pt>
                      <c:pt idx="26">
                        <c:v>3135</c:v>
                      </c:pt>
                      <c:pt idx="27">
                        <c:v>3135</c:v>
                      </c:pt>
                      <c:pt idx="28">
                        <c:v>3135</c:v>
                      </c:pt>
                      <c:pt idx="29">
                        <c:v>3135</c:v>
                      </c:pt>
                      <c:pt idx="30">
                        <c:v>3135</c:v>
                      </c:pt>
                      <c:pt idx="31">
                        <c:v>3135</c:v>
                      </c:pt>
                      <c:pt idx="32">
                        <c:v>3135</c:v>
                      </c:pt>
                      <c:pt idx="33">
                        <c:v>3135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2631.078580369528</c:v>
                      </c:pt>
                      <c:pt idx="42">
                        <c:v>99.341100350560311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713.53502990011782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1288.694734037764</c:v>
                      </c:pt>
                      <c:pt idx="66">
                        <c:v>3135</c:v>
                      </c:pt>
                      <c:pt idx="67">
                        <c:v>3135</c:v>
                      </c:pt>
                      <c:pt idx="68">
                        <c:v>3135</c:v>
                      </c:pt>
                      <c:pt idx="69">
                        <c:v>3135</c:v>
                      </c:pt>
                      <c:pt idx="70">
                        <c:v>3135</c:v>
                      </c:pt>
                      <c:pt idx="71">
                        <c:v>3135</c:v>
                      </c:pt>
                      <c:pt idx="72">
                        <c:v>2238.3712834037642</c:v>
                      </c:pt>
                      <c:pt idx="73">
                        <c:v>2032.951083400824</c:v>
                      </c:pt>
                      <c:pt idx="74">
                        <c:v>1424.061840973884</c:v>
                      </c:pt>
                      <c:pt idx="75">
                        <c:v>1084.2574991507049</c:v>
                      </c:pt>
                      <c:pt idx="76">
                        <c:v>1247.285672769648</c:v>
                      </c:pt>
                      <c:pt idx="77">
                        <c:v>1562.411013930119</c:v>
                      </c:pt>
                      <c:pt idx="78">
                        <c:v>2042.2099974291759</c:v>
                      </c:pt>
                      <c:pt idx="79">
                        <c:v>3033.1503409267061</c:v>
                      </c:pt>
                      <c:pt idx="80">
                        <c:v>3135</c:v>
                      </c:pt>
                      <c:pt idx="81">
                        <c:v>3135</c:v>
                      </c:pt>
                      <c:pt idx="82">
                        <c:v>2316.1753997748228</c:v>
                      </c:pt>
                      <c:pt idx="83">
                        <c:v>431.45248076647158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2715.6940365545888</c:v>
                      </c:pt>
                      <c:pt idx="89">
                        <c:v>3135</c:v>
                      </c:pt>
                      <c:pt idx="90">
                        <c:v>3135</c:v>
                      </c:pt>
                      <c:pt idx="91">
                        <c:v>80.995667754879079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3135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A1D-45B4-B31C-98690786692E}"/>
                  </c:ext>
                </c:extLst>
              </c15:ser>
            </c15:filteredAreaSeries>
            <c15:filteredArea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A1D-45B4-B31C-98690786692E}"/>
                  </c:ext>
                </c:extLst>
              </c15:ser>
            </c15:filteredAreaSeries>
            <c15:filteredAreaSeries>
              <c15:ser>
                <c:idx val="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A1D-45B4-B31C-98690786692E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PT00 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TYNDP 26 vs. BenchMarking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'Comparación Precios'!$G$4</c:f>
              <c:strCache>
                <c:ptCount val="1"/>
                <c:pt idx="0">
                  <c:v> TYNDP 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Precios'!$G$5:$G$173</c:f>
              <c:numCache>
                <c:formatCode>General</c:formatCode>
                <c:ptCount val="169"/>
                <c:pt idx="0">
                  <c:v>52.568633869999999</c:v>
                </c:pt>
                <c:pt idx="1">
                  <c:v>52.568633869999999</c:v>
                </c:pt>
                <c:pt idx="2">
                  <c:v>52.568633869999999</c:v>
                </c:pt>
                <c:pt idx="3">
                  <c:v>52.568633869999999</c:v>
                </c:pt>
                <c:pt idx="4">
                  <c:v>52.568633869999999</c:v>
                </c:pt>
                <c:pt idx="5">
                  <c:v>52.568633869999999</c:v>
                </c:pt>
                <c:pt idx="6">
                  <c:v>52.568633869999999</c:v>
                </c:pt>
                <c:pt idx="7">
                  <c:v>52.568633869999999</c:v>
                </c:pt>
                <c:pt idx="8">
                  <c:v>52.568633869999999</c:v>
                </c:pt>
                <c:pt idx="9">
                  <c:v>52.568633869999999</c:v>
                </c:pt>
                <c:pt idx="10">
                  <c:v>15.612672</c:v>
                </c:pt>
                <c:pt idx="11">
                  <c:v>11.707004</c:v>
                </c:pt>
                <c:pt idx="12">
                  <c:v>11.707004</c:v>
                </c:pt>
                <c:pt idx="13">
                  <c:v>11.707004</c:v>
                </c:pt>
                <c:pt idx="14">
                  <c:v>11.707004</c:v>
                </c:pt>
                <c:pt idx="15">
                  <c:v>11.707004</c:v>
                </c:pt>
                <c:pt idx="16">
                  <c:v>15.632671999999999</c:v>
                </c:pt>
                <c:pt idx="17">
                  <c:v>128.90437940000001</c:v>
                </c:pt>
                <c:pt idx="18">
                  <c:v>128.90437940000001</c:v>
                </c:pt>
                <c:pt idx="19">
                  <c:v>128.90437940000001</c:v>
                </c:pt>
                <c:pt idx="20">
                  <c:v>128.90437940000001</c:v>
                </c:pt>
                <c:pt idx="21">
                  <c:v>128.90437940000001</c:v>
                </c:pt>
                <c:pt idx="22">
                  <c:v>128.90437940000001</c:v>
                </c:pt>
                <c:pt idx="23">
                  <c:v>126</c:v>
                </c:pt>
                <c:pt idx="24">
                  <c:v>118.59202904999999</c:v>
                </c:pt>
                <c:pt idx="25">
                  <c:v>118.59202904999999</c:v>
                </c:pt>
                <c:pt idx="26">
                  <c:v>118.59202904999999</c:v>
                </c:pt>
                <c:pt idx="27">
                  <c:v>118.59202904999999</c:v>
                </c:pt>
                <c:pt idx="28">
                  <c:v>126.0005625</c:v>
                </c:pt>
                <c:pt idx="29">
                  <c:v>128.90437940000001</c:v>
                </c:pt>
                <c:pt idx="30">
                  <c:v>128.90437940000001</c:v>
                </c:pt>
                <c:pt idx="31">
                  <c:v>128.90437940000001</c:v>
                </c:pt>
                <c:pt idx="32">
                  <c:v>128.90437940000001</c:v>
                </c:pt>
                <c:pt idx="33">
                  <c:v>128.90437940000001</c:v>
                </c:pt>
                <c:pt idx="34">
                  <c:v>51.987000000000002</c:v>
                </c:pt>
                <c:pt idx="35">
                  <c:v>15.632671999999999</c:v>
                </c:pt>
                <c:pt idx="36">
                  <c:v>15.632671999999999</c:v>
                </c:pt>
                <c:pt idx="37">
                  <c:v>15.632671999999999</c:v>
                </c:pt>
                <c:pt idx="38">
                  <c:v>15.632671999999999</c:v>
                </c:pt>
                <c:pt idx="39">
                  <c:v>15.632671999999999</c:v>
                </c:pt>
                <c:pt idx="40">
                  <c:v>96.675784550000003</c:v>
                </c:pt>
                <c:pt idx="41">
                  <c:v>156.522471</c:v>
                </c:pt>
                <c:pt idx="42">
                  <c:v>156.522471</c:v>
                </c:pt>
                <c:pt idx="43">
                  <c:v>156.522471</c:v>
                </c:pt>
                <c:pt idx="44">
                  <c:v>156.522471</c:v>
                </c:pt>
                <c:pt idx="45">
                  <c:v>156.522471</c:v>
                </c:pt>
                <c:pt idx="46">
                  <c:v>156.522471</c:v>
                </c:pt>
                <c:pt idx="47">
                  <c:v>156.522471</c:v>
                </c:pt>
                <c:pt idx="48">
                  <c:v>156.522471</c:v>
                </c:pt>
                <c:pt idx="49">
                  <c:v>126</c:v>
                </c:pt>
                <c:pt idx="50">
                  <c:v>126</c:v>
                </c:pt>
                <c:pt idx="51">
                  <c:v>126</c:v>
                </c:pt>
                <c:pt idx="52">
                  <c:v>126</c:v>
                </c:pt>
                <c:pt idx="53">
                  <c:v>126</c:v>
                </c:pt>
                <c:pt idx="54">
                  <c:v>126</c:v>
                </c:pt>
                <c:pt idx="55">
                  <c:v>136.95652174</c:v>
                </c:pt>
                <c:pt idx="56">
                  <c:v>136.95652174</c:v>
                </c:pt>
                <c:pt idx="57">
                  <c:v>136.95652174</c:v>
                </c:pt>
                <c:pt idx="58">
                  <c:v>117.38935325</c:v>
                </c:pt>
                <c:pt idx="59">
                  <c:v>117.38935325</c:v>
                </c:pt>
                <c:pt idx="60">
                  <c:v>117.38935325</c:v>
                </c:pt>
                <c:pt idx="61">
                  <c:v>117.38935325</c:v>
                </c:pt>
                <c:pt idx="62">
                  <c:v>117.38935325</c:v>
                </c:pt>
                <c:pt idx="63">
                  <c:v>117.38935325</c:v>
                </c:pt>
                <c:pt idx="64">
                  <c:v>117.38935325</c:v>
                </c:pt>
                <c:pt idx="65">
                  <c:v>159.83172690999999</c:v>
                </c:pt>
                <c:pt idx="66">
                  <c:v>159.83172690999999</c:v>
                </c:pt>
                <c:pt idx="67">
                  <c:v>159.83172690999999</c:v>
                </c:pt>
                <c:pt idx="68">
                  <c:v>159.83172690999999</c:v>
                </c:pt>
                <c:pt idx="69">
                  <c:v>159.83172690999999</c:v>
                </c:pt>
                <c:pt idx="70">
                  <c:v>159.7366279</c:v>
                </c:pt>
                <c:pt idx="71">
                  <c:v>156.522471</c:v>
                </c:pt>
                <c:pt idx="72">
                  <c:v>156.522471</c:v>
                </c:pt>
                <c:pt idx="73">
                  <c:v>156.522471</c:v>
                </c:pt>
                <c:pt idx="74">
                  <c:v>156.522471</c:v>
                </c:pt>
                <c:pt idx="75">
                  <c:v>156.522471</c:v>
                </c:pt>
                <c:pt idx="76">
                  <c:v>156.522471</c:v>
                </c:pt>
                <c:pt idx="77">
                  <c:v>156.522471</c:v>
                </c:pt>
                <c:pt idx="78">
                  <c:v>156.522471</c:v>
                </c:pt>
                <c:pt idx="79">
                  <c:v>159.83172690999999</c:v>
                </c:pt>
                <c:pt idx="80">
                  <c:v>159.83172690999999</c:v>
                </c:pt>
                <c:pt idx="81">
                  <c:v>156.522471</c:v>
                </c:pt>
                <c:pt idx="82">
                  <c:v>56.522471000000003</c:v>
                </c:pt>
                <c:pt idx="83">
                  <c:v>15.632671999999999</c:v>
                </c:pt>
                <c:pt idx="84">
                  <c:v>15.632671999999999</c:v>
                </c:pt>
                <c:pt idx="85">
                  <c:v>15.632671999999999</c:v>
                </c:pt>
                <c:pt idx="86">
                  <c:v>15.632671999999999</c:v>
                </c:pt>
                <c:pt idx="87">
                  <c:v>15.632671999999999</c:v>
                </c:pt>
                <c:pt idx="88">
                  <c:v>15.632671999999999</c:v>
                </c:pt>
                <c:pt idx="89">
                  <c:v>20.846896000000001</c:v>
                </c:pt>
                <c:pt idx="90">
                  <c:v>20.846896000000001</c:v>
                </c:pt>
                <c:pt idx="91">
                  <c:v>20.846896000000001</c:v>
                </c:pt>
                <c:pt idx="92">
                  <c:v>20.846896000000001</c:v>
                </c:pt>
                <c:pt idx="93">
                  <c:v>20.846896000000001</c:v>
                </c:pt>
                <c:pt idx="94">
                  <c:v>15.632671999999999</c:v>
                </c:pt>
                <c:pt idx="95">
                  <c:v>15.612672</c:v>
                </c:pt>
                <c:pt idx="96">
                  <c:v>15.612672</c:v>
                </c:pt>
                <c:pt idx="97">
                  <c:v>15.612672</c:v>
                </c:pt>
                <c:pt idx="98">
                  <c:v>15.612672</c:v>
                </c:pt>
                <c:pt idx="99">
                  <c:v>15.612672</c:v>
                </c:pt>
                <c:pt idx="100">
                  <c:v>15.612672</c:v>
                </c:pt>
                <c:pt idx="101">
                  <c:v>15.612672</c:v>
                </c:pt>
                <c:pt idx="102">
                  <c:v>15.612672</c:v>
                </c:pt>
                <c:pt idx="103">
                  <c:v>15.612672</c:v>
                </c:pt>
                <c:pt idx="104">
                  <c:v>15.612672</c:v>
                </c:pt>
                <c:pt idx="105">
                  <c:v>11.707004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15.612672</c:v>
                </c:pt>
                <c:pt idx="114">
                  <c:v>15.612672</c:v>
                </c:pt>
                <c:pt idx="115">
                  <c:v>15.612672</c:v>
                </c:pt>
                <c:pt idx="116">
                  <c:v>15.612672</c:v>
                </c:pt>
                <c:pt idx="117">
                  <c:v>15.612672</c:v>
                </c:pt>
                <c:pt idx="118">
                  <c:v>15.612672</c:v>
                </c:pt>
                <c:pt idx="119">
                  <c:v>15.612672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3-49F0-AEF6-51414B642FA4}"/>
            </c:ext>
          </c:extLst>
        </c:ser>
        <c:ser>
          <c:idx val="5"/>
          <c:order val="1"/>
          <c:tx>
            <c:strRef>
              <c:f>'Comparación Precios'!$H$4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Precios'!$H$5:$H$173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3-49F0-AEF6-51414B642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Generacion'!$AU$5</c15:sqref>
                        </c15:formulaRef>
                      </c:ext>
                    </c:extLst>
                    <c:strCache>
                      <c:ptCount val="1"/>
                      <c:pt idx="0">
                        <c:v>TYNDP</c:v>
                      </c:pt>
                    </c:strCache>
                  </c:strRef>
                </c:tx>
                <c:spPr>
                  <a:solidFill>
                    <a:schemeClr val="accent2">
                      <a:alpha val="76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Generacion'!$AU$6:$AU$173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4613</c:v>
                      </c:pt>
                      <c:pt idx="1">
                        <c:v>4613</c:v>
                      </c:pt>
                      <c:pt idx="2">
                        <c:v>4613</c:v>
                      </c:pt>
                      <c:pt idx="3">
                        <c:v>4613</c:v>
                      </c:pt>
                      <c:pt idx="4">
                        <c:v>4613</c:v>
                      </c:pt>
                      <c:pt idx="5">
                        <c:v>4613</c:v>
                      </c:pt>
                      <c:pt idx="6">
                        <c:v>4613</c:v>
                      </c:pt>
                      <c:pt idx="7">
                        <c:v>4613</c:v>
                      </c:pt>
                      <c:pt idx="8">
                        <c:v>4613</c:v>
                      </c:pt>
                      <c:pt idx="9">
                        <c:v>4613</c:v>
                      </c:pt>
                      <c:pt idx="10">
                        <c:v>4613</c:v>
                      </c:pt>
                      <c:pt idx="11">
                        <c:v>3484.0037682699999</c:v>
                      </c:pt>
                      <c:pt idx="12">
                        <c:v>4613</c:v>
                      </c:pt>
                      <c:pt idx="13">
                        <c:v>4538.1274936199998</c:v>
                      </c:pt>
                      <c:pt idx="14">
                        <c:v>4479.8725723400003</c:v>
                      </c:pt>
                      <c:pt idx="15">
                        <c:v>4613</c:v>
                      </c:pt>
                      <c:pt idx="16">
                        <c:v>4613</c:v>
                      </c:pt>
                      <c:pt idx="17">
                        <c:v>4613</c:v>
                      </c:pt>
                      <c:pt idx="18">
                        <c:v>4613</c:v>
                      </c:pt>
                      <c:pt idx="19">
                        <c:v>4613</c:v>
                      </c:pt>
                      <c:pt idx="20">
                        <c:v>4613</c:v>
                      </c:pt>
                      <c:pt idx="21">
                        <c:v>4613</c:v>
                      </c:pt>
                      <c:pt idx="22">
                        <c:v>4613</c:v>
                      </c:pt>
                      <c:pt idx="23">
                        <c:v>4613</c:v>
                      </c:pt>
                      <c:pt idx="24">
                        <c:v>4613</c:v>
                      </c:pt>
                      <c:pt idx="25">
                        <c:v>4613</c:v>
                      </c:pt>
                      <c:pt idx="26">
                        <c:v>4613</c:v>
                      </c:pt>
                      <c:pt idx="27">
                        <c:v>4613</c:v>
                      </c:pt>
                      <c:pt idx="28">
                        <c:v>4613</c:v>
                      </c:pt>
                      <c:pt idx="29">
                        <c:v>4613</c:v>
                      </c:pt>
                      <c:pt idx="30">
                        <c:v>4613</c:v>
                      </c:pt>
                      <c:pt idx="31">
                        <c:v>4613</c:v>
                      </c:pt>
                      <c:pt idx="32">
                        <c:v>4613</c:v>
                      </c:pt>
                      <c:pt idx="33">
                        <c:v>4613</c:v>
                      </c:pt>
                      <c:pt idx="34">
                        <c:v>4613</c:v>
                      </c:pt>
                      <c:pt idx="35">
                        <c:v>4613</c:v>
                      </c:pt>
                      <c:pt idx="36">
                        <c:v>4613</c:v>
                      </c:pt>
                      <c:pt idx="37">
                        <c:v>4613</c:v>
                      </c:pt>
                      <c:pt idx="38">
                        <c:v>4613</c:v>
                      </c:pt>
                      <c:pt idx="39">
                        <c:v>4613</c:v>
                      </c:pt>
                      <c:pt idx="40">
                        <c:v>4613</c:v>
                      </c:pt>
                      <c:pt idx="41">
                        <c:v>4613</c:v>
                      </c:pt>
                      <c:pt idx="42">
                        <c:v>4613</c:v>
                      </c:pt>
                      <c:pt idx="43">
                        <c:v>4613</c:v>
                      </c:pt>
                      <c:pt idx="44">
                        <c:v>4613</c:v>
                      </c:pt>
                      <c:pt idx="45">
                        <c:v>4613</c:v>
                      </c:pt>
                      <c:pt idx="46">
                        <c:v>4613</c:v>
                      </c:pt>
                      <c:pt idx="47">
                        <c:v>4613</c:v>
                      </c:pt>
                      <c:pt idx="48">
                        <c:v>4613</c:v>
                      </c:pt>
                      <c:pt idx="49">
                        <c:v>4613</c:v>
                      </c:pt>
                      <c:pt idx="50">
                        <c:v>4613</c:v>
                      </c:pt>
                      <c:pt idx="51">
                        <c:v>4613</c:v>
                      </c:pt>
                      <c:pt idx="52">
                        <c:v>4613</c:v>
                      </c:pt>
                      <c:pt idx="53">
                        <c:v>4613</c:v>
                      </c:pt>
                      <c:pt idx="54">
                        <c:v>4613</c:v>
                      </c:pt>
                      <c:pt idx="55">
                        <c:v>4613</c:v>
                      </c:pt>
                      <c:pt idx="56">
                        <c:v>4613</c:v>
                      </c:pt>
                      <c:pt idx="57">
                        <c:v>4613</c:v>
                      </c:pt>
                      <c:pt idx="58">
                        <c:v>4613</c:v>
                      </c:pt>
                      <c:pt idx="59">
                        <c:v>4613</c:v>
                      </c:pt>
                      <c:pt idx="60">
                        <c:v>4613</c:v>
                      </c:pt>
                      <c:pt idx="61">
                        <c:v>4613</c:v>
                      </c:pt>
                      <c:pt idx="62">
                        <c:v>4613</c:v>
                      </c:pt>
                      <c:pt idx="63">
                        <c:v>4613</c:v>
                      </c:pt>
                      <c:pt idx="64">
                        <c:v>4613</c:v>
                      </c:pt>
                      <c:pt idx="65">
                        <c:v>4613</c:v>
                      </c:pt>
                      <c:pt idx="66">
                        <c:v>4613</c:v>
                      </c:pt>
                      <c:pt idx="67">
                        <c:v>4613</c:v>
                      </c:pt>
                      <c:pt idx="68">
                        <c:v>4613</c:v>
                      </c:pt>
                      <c:pt idx="69">
                        <c:v>4613</c:v>
                      </c:pt>
                      <c:pt idx="70">
                        <c:v>4613</c:v>
                      </c:pt>
                      <c:pt idx="71">
                        <c:v>4613</c:v>
                      </c:pt>
                      <c:pt idx="72">
                        <c:v>4613</c:v>
                      </c:pt>
                      <c:pt idx="73">
                        <c:v>4613</c:v>
                      </c:pt>
                      <c:pt idx="74">
                        <c:v>4613</c:v>
                      </c:pt>
                      <c:pt idx="75">
                        <c:v>4613</c:v>
                      </c:pt>
                      <c:pt idx="76">
                        <c:v>4613</c:v>
                      </c:pt>
                      <c:pt idx="77">
                        <c:v>4613</c:v>
                      </c:pt>
                      <c:pt idx="78">
                        <c:v>4613</c:v>
                      </c:pt>
                      <c:pt idx="79">
                        <c:v>4613</c:v>
                      </c:pt>
                      <c:pt idx="80">
                        <c:v>4613</c:v>
                      </c:pt>
                      <c:pt idx="81">
                        <c:v>4613</c:v>
                      </c:pt>
                      <c:pt idx="82">
                        <c:v>4613</c:v>
                      </c:pt>
                      <c:pt idx="83">
                        <c:v>4613</c:v>
                      </c:pt>
                      <c:pt idx="84">
                        <c:v>4613</c:v>
                      </c:pt>
                      <c:pt idx="85">
                        <c:v>4613</c:v>
                      </c:pt>
                      <c:pt idx="86">
                        <c:v>4613</c:v>
                      </c:pt>
                      <c:pt idx="87">
                        <c:v>4613</c:v>
                      </c:pt>
                      <c:pt idx="88">
                        <c:v>4613</c:v>
                      </c:pt>
                      <c:pt idx="89">
                        <c:v>4613</c:v>
                      </c:pt>
                      <c:pt idx="90">
                        <c:v>4613</c:v>
                      </c:pt>
                      <c:pt idx="91">
                        <c:v>4613</c:v>
                      </c:pt>
                      <c:pt idx="92">
                        <c:v>4613</c:v>
                      </c:pt>
                      <c:pt idx="93">
                        <c:v>4613</c:v>
                      </c:pt>
                      <c:pt idx="94">
                        <c:v>4613</c:v>
                      </c:pt>
                      <c:pt idx="95">
                        <c:v>4613</c:v>
                      </c:pt>
                      <c:pt idx="96">
                        <c:v>4613</c:v>
                      </c:pt>
                      <c:pt idx="97">
                        <c:v>4613</c:v>
                      </c:pt>
                      <c:pt idx="98">
                        <c:v>4613</c:v>
                      </c:pt>
                      <c:pt idx="99">
                        <c:v>4613</c:v>
                      </c:pt>
                      <c:pt idx="100">
                        <c:v>4613</c:v>
                      </c:pt>
                      <c:pt idx="101">
                        <c:v>4613</c:v>
                      </c:pt>
                      <c:pt idx="102">
                        <c:v>4613</c:v>
                      </c:pt>
                      <c:pt idx="103">
                        <c:v>4613</c:v>
                      </c:pt>
                      <c:pt idx="104">
                        <c:v>4613</c:v>
                      </c:pt>
                      <c:pt idx="105">
                        <c:v>2696.8141957799999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4613</c:v>
                      </c:pt>
                      <c:pt idx="114">
                        <c:v>4613</c:v>
                      </c:pt>
                      <c:pt idx="115">
                        <c:v>4613</c:v>
                      </c:pt>
                      <c:pt idx="116">
                        <c:v>4613</c:v>
                      </c:pt>
                      <c:pt idx="117">
                        <c:v>4613</c:v>
                      </c:pt>
                      <c:pt idx="118">
                        <c:v>4613</c:v>
                      </c:pt>
                      <c:pt idx="119">
                        <c:v>4613</c:v>
                      </c:pt>
                      <c:pt idx="120">
                        <c:v>4613</c:v>
                      </c:pt>
                      <c:pt idx="121">
                        <c:v>4613</c:v>
                      </c:pt>
                      <c:pt idx="122">
                        <c:v>4613</c:v>
                      </c:pt>
                      <c:pt idx="123">
                        <c:v>4613</c:v>
                      </c:pt>
                      <c:pt idx="124">
                        <c:v>4613</c:v>
                      </c:pt>
                      <c:pt idx="125">
                        <c:v>4613</c:v>
                      </c:pt>
                      <c:pt idx="126">
                        <c:v>4613</c:v>
                      </c:pt>
                      <c:pt idx="127">
                        <c:v>4613</c:v>
                      </c:pt>
                      <c:pt idx="128">
                        <c:v>4613</c:v>
                      </c:pt>
                      <c:pt idx="129">
                        <c:v>4613</c:v>
                      </c:pt>
                      <c:pt idx="130">
                        <c:v>931.99979149000001</c:v>
                      </c:pt>
                      <c:pt idx="131">
                        <c:v>4613</c:v>
                      </c:pt>
                      <c:pt idx="132">
                        <c:v>2785.1080021299999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4613</c:v>
                      </c:pt>
                      <c:pt idx="138">
                        <c:v>4613</c:v>
                      </c:pt>
                      <c:pt idx="139">
                        <c:v>4613</c:v>
                      </c:pt>
                      <c:pt idx="140">
                        <c:v>4613</c:v>
                      </c:pt>
                      <c:pt idx="141">
                        <c:v>3458.3974297899999</c:v>
                      </c:pt>
                      <c:pt idx="142">
                        <c:v>4613</c:v>
                      </c:pt>
                      <c:pt idx="143">
                        <c:v>3821.1880371500001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2064.9701558299998</c:v>
                      </c:pt>
                      <c:pt idx="163">
                        <c:v>4613</c:v>
                      </c:pt>
                      <c:pt idx="164">
                        <c:v>3999.9155957399998</c:v>
                      </c:pt>
                      <c:pt idx="165">
                        <c:v>2460.2040297899998</c:v>
                      </c:pt>
                      <c:pt idx="166">
                        <c:v>4613</c:v>
                      </c:pt>
                      <c:pt idx="167">
                        <c:v>1388.2723531900001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4D3-49F0-AEF6-51414B642FA4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20000"/>
                      <a:lumOff val="80000"/>
                      <a:alpha val="82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Generacion'!$AV$6:$AV$173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2877.985924161866</c:v>
                      </c:pt>
                      <c:pt idx="1">
                        <c:v>0</c:v>
                      </c:pt>
                      <c:pt idx="2">
                        <c:v>3093.9253817630588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2815.553749976214</c:v>
                      </c:pt>
                      <c:pt idx="18">
                        <c:v>3135</c:v>
                      </c:pt>
                      <c:pt idx="19">
                        <c:v>3135</c:v>
                      </c:pt>
                      <c:pt idx="20">
                        <c:v>3135</c:v>
                      </c:pt>
                      <c:pt idx="21">
                        <c:v>3135</c:v>
                      </c:pt>
                      <c:pt idx="22">
                        <c:v>3135</c:v>
                      </c:pt>
                      <c:pt idx="23">
                        <c:v>3135</c:v>
                      </c:pt>
                      <c:pt idx="24">
                        <c:v>3135</c:v>
                      </c:pt>
                      <c:pt idx="25">
                        <c:v>3135</c:v>
                      </c:pt>
                      <c:pt idx="26">
                        <c:v>3135</c:v>
                      </c:pt>
                      <c:pt idx="27">
                        <c:v>3135</c:v>
                      </c:pt>
                      <c:pt idx="28">
                        <c:v>3135</c:v>
                      </c:pt>
                      <c:pt idx="29">
                        <c:v>3135</c:v>
                      </c:pt>
                      <c:pt idx="30">
                        <c:v>3135</c:v>
                      </c:pt>
                      <c:pt idx="31">
                        <c:v>3135</c:v>
                      </c:pt>
                      <c:pt idx="32">
                        <c:v>3135</c:v>
                      </c:pt>
                      <c:pt idx="33">
                        <c:v>3135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2631.078580369528</c:v>
                      </c:pt>
                      <c:pt idx="42">
                        <c:v>99.341100350560311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713.53502990011782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1288.694734037764</c:v>
                      </c:pt>
                      <c:pt idx="66">
                        <c:v>3135</c:v>
                      </c:pt>
                      <c:pt idx="67">
                        <c:v>3135</c:v>
                      </c:pt>
                      <c:pt idx="68">
                        <c:v>3135</c:v>
                      </c:pt>
                      <c:pt idx="69">
                        <c:v>3135</c:v>
                      </c:pt>
                      <c:pt idx="70">
                        <c:v>3135</c:v>
                      </c:pt>
                      <c:pt idx="71">
                        <c:v>3135</c:v>
                      </c:pt>
                      <c:pt idx="72">
                        <c:v>2238.3712834037642</c:v>
                      </c:pt>
                      <c:pt idx="73">
                        <c:v>2032.951083400824</c:v>
                      </c:pt>
                      <c:pt idx="74">
                        <c:v>1424.061840973884</c:v>
                      </c:pt>
                      <c:pt idx="75">
                        <c:v>1084.2574991507049</c:v>
                      </c:pt>
                      <c:pt idx="76">
                        <c:v>1247.285672769648</c:v>
                      </c:pt>
                      <c:pt idx="77">
                        <c:v>1562.411013930119</c:v>
                      </c:pt>
                      <c:pt idx="78">
                        <c:v>2042.2099974291759</c:v>
                      </c:pt>
                      <c:pt idx="79">
                        <c:v>3033.1503409267061</c:v>
                      </c:pt>
                      <c:pt idx="80">
                        <c:v>3135</c:v>
                      </c:pt>
                      <c:pt idx="81">
                        <c:v>3135</c:v>
                      </c:pt>
                      <c:pt idx="82">
                        <c:v>2316.1753997748228</c:v>
                      </c:pt>
                      <c:pt idx="83">
                        <c:v>431.45248076647158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2715.6940365545888</c:v>
                      </c:pt>
                      <c:pt idx="89">
                        <c:v>3135</c:v>
                      </c:pt>
                      <c:pt idx="90">
                        <c:v>3135</c:v>
                      </c:pt>
                      <c:pt idx="91">
                        <c:v>80.995667754879079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3135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4D3-49F0-AEF6-51414B642FA4}"/>
                  </c:ext>
                </c:extLst>
              </c15:ser>
            </c15:filteredAreaSeries>
            <c15:filteredArea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D3-49F0-AEF6-51414B642FA4}"/>
                  </c:ext>
                </c:extLst>
              </c15:ser>
            </c15:filteredAreaSeries>
            <c15:filteredAreaSeries>
              <c15:ser>
                <c:idx val="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4D3-49F0-AEF6-51414B642FA4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FR00 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TYNDP 26 vs. BenchMarking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'Comparación Precios'!$K$4</c:f>
              <c:strCache>
                <c:ptCount val="1"/>
                <c:pt idx="0">
                  <c:v> TYNDP 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Precios'!$K$5:$K$173</c:f>
              <c:numCache>
                <c:formatCode>General</c:formatCode>
                <c:ptCount val="169"/>
                <c:pt idx="0">
                  <c:v>15.632671999999999</c:v>
                </c:pt>
                <c:pt idx="1">
                  <c:v>15.632671999999999</c:v>
                </c:pt>
                <c:pt idx="2">
                  <c:v>15.632671999999999</c:v>
                </c:pt>
                <c:pt idx="3">
                  <c:v>15.632671999999999</c:v>
                </c:pt>
                <c:pt idx="4">
                  <c:v>15.632671999999999</c:v>
                </c:pt>
                <c:pt idx="5">
                  <c:v>15.632671999999999</c:v>
                </c:pt>
                <c:pt idx="6">
                  <c:v>15.632671999999999</c:v>
                </c:pt>
                <c:pt idx="7">
                  <c:v>15.632671999999999</c:v>
                </c:pt>
                <c:pt idx="8">
                  <c:v>15.632671999999999</c:v>
                </c:pt>
                <c:pt idx="9">
                  <c:v>15.632671999999999</c:v>
                </c:pt>
                <c:pt idx="10">
                  <c:v>15.632671999999999</c:v>
                </c:pt>
                <c:pt idx="11">
                  <c:v>15.632671999999999</c:v>
                </c:pt>
                <c:pt idx="12">
                  <c:v>15.632671999999999</c:v>
                </c:pt>
                <c:pt idx="13">
                  <c:v>15.632671999999999</c:v>
                </c:pt>
                <c:pt idx="14">
                  <c:v>15.632671999999999</c:v>
                </c:pt>
                <c:pt idx="15">
                  <c:v>15.632671999999999</c:v>
                </c:pt>
                <c:pt idx="16">
                  <c:v>15.632671999999999</c:v>
                </c:pt>
                <c:pt idx="17">
                  <c:v>15.632671999999999</c:v>
                </c:pt>
                <c:pt idx="18">
                  <c:v>15.632671999999999</c:v>
                </c:pt>
                <c:pt idx="19">
                  <c:v>15.632671999999999</c:v>
                </c:pt>
                <c:pt idx="20">
                  <c:v>15.632671999999999</c:v>
                </c:pt>
                <c:pt idx="21">
                  <c:v>15.632671999999999</c:v>
                </c:pt>
                <c:pt idx="22">
                  <c:v>15.632671999999999</c:v>
                </c:pt>
                <c:pt idx="23">
                  <c:v>15.632671999999999</c:v>
                </c:pt>
                <c:pt idx="24">
                  <c:v>15.632671999999999</c:v>
                </c:pt>
                <c:pt idx="25">
                  <c:v>15.632671999999999</c:v>
                </c:pt>
                <c:pt idx="26">
                  <c:v>15.632671999999999</c:v>
                </c:pt>
                <c:pt idx="27">
                  <c:v>15.632671999999999</c:v>
                </c:pt>
                <c:pt idx="28">
                  <c:v>15.632671999999999</c:v>
                </c:pt>
                <c:pt idx="29">
                  <c:v>15.632671999999999</c:v>
                </c:pt>
                <c:pt idx="30">
                  <c:v>15.632671999999999</c:v>
                </c:pt>
                <c:pt idx="31">
                  <c:v>15.632671999999999</c:v>
                </c:pt>
                <c:pt idx="32">
                  <c:v>15.632671999999999</c:v>
                </c:pt>
                <c:pt idx="33">
                  <c:v>15.632671999999999</c:v>
                </c:pt>
                <c:pt idx="34">
                  <c:v>15.632671999999999</c:v>
                </c:pt>
                <c:pt idx="35">
                  <c:v>15.632671999999999</c:v>
                </c:pt>
                <c:pt idx="36">
                  <c:v>15.632671999999999</c:v>
                </c:pt>
                <c:pt idx="37">
                  <c:v>15.632671999999999</c:v>
                </c:pt>
                <c:pt idx="38">
                  <c:v>15.632671999999999</c:v>
                </c:pt>
                <c:pt idx="39">
                  <c:v>15.632671999999999</c:v>
                </c:pt>
                <c:pt idx="40">
                  <c:v>15.632671999999999</c:v>
                </c:pt>
                <c:pt idx="41">
                  <c:v>15.632671999999999</c:v>
                </c:pt>
                <c:pt idx="42">
                  <c:v>15.632671999999999</c:v>
                </c:pt>
                <c:pt idx="43">
                  <c:v>15.632671999999999</c:v>
                </c:pt>
                <c:pt idx="44">
                  <c:v>15.632671999999999</c:v>
                </c:pt>
                <c:pt idx="45">
                  <c:v>15.632671999999999</c:v>
                </c:pt>
                <c:pt idx="46">
                  <c:v>15.632671999999999</c:v>
                </c:pt>
                <c:pt idx="47">
                  <c:v>15.632671999999999</c:v>
                </c:pt>
                <c:pt idx="48">
                  <c:v>15.632671999999999</c:v>
                </c:pt>
                <c:pt idx="49">
                  <c:v>15.632671999999999</c:v>
                </c:pt>
                <c:pt idx="50">
                  <c:v>15.632671999999999</c:v>
                </c:pt>
                <c:pt idx="51">
                  <c:v>15.632671999999999</c:v>
                </c:pt>
                <c:pt idx="52">
                  <c:v>15.632671999999999</c:v>
                </c:pt>
                <c:pt idx="53">
                  <c:v>15.632671999999999</c:v>
                </c:pt>
                <c:pt idx="54">
                  <c:v>15.622672</c:v>
                </c:pt>
                <c:pt idx="55">
                  <c:v>15.632671999999999</c:v>
                </c:pt>
                <c:pt idx="56">
                  <c:v>15.632671999999999</c:v>
                </c:pt>
                <c:pt idx="57">
                  <c:v>15.632671999999999</c:v>
                </c:pt>
                <c:pt idx="58">
                  <c:v>15.632671999999999</c:v>
                </c:pt>
                <c:pt idx="59">
                  <c:v>15.632671999999999</c:v>
                </c:pt>
                <c:pt idx="60">
                  <c:v>15.632671999999999</c:v>
                </c:pt>
                <c:pt idx="61">
                  <c:v>15.632671999999999</c:v>
                </c:pt>
                <c:pt idx="62">
                  <c:v>15.632671999999999</c:v>
                </c:pt>
                <c:pt idx="63">
                  <c:v>15.632671999999999</c:v>
                </c:pt>
                <c:pt idx="64">
                  <c:v>19.10890294</c:v>
                </c:pt>
                <c:pt idx="65">
                  <c:v>99.599357179999998</c:v>
                </c:pt>
                <c:pt idx="66">
                  <c:v>123.06</c:v>
                </c:pt>
                <c:pt idx="67">
                  <c:v>123.0458</c:v>
                </c:pt>
                <c:pt idx="68">
                  <c:v>99.599357179999998</c:v>
                </c:pt>
                <c:pt idx="69">
                  <c:v>99.599357179999998</c:v>
                </c:pt>
                <c:pt idx="70">
                  <c:v>99.599357179999998</c:v>
                </c:pt>
                <c:pt idx="71">
                  <c:v>99.599357179999998</c:v>
                </c:pt>
                <c:pt idx="72">
                  <c:v>20.843562670000001</c:v>
                </c:pt>
                <c:pt idx="73">
                  <c:v>20.843562670000001</c:v>
                </c:pt>
                <c:pt idx="74">
                  <c:v>19.12890294</c:v>
                </c:pt>
                <c:pt idx="75">
                  <c:v>19.12890294</c:v>
                </c:pt>
                <c:pt idx="76">
                  <c:v>19.12890294</c:v>
                </c:pt>
                <c:pt idx="77">
                  <c:v>19.10890294</c:v>
                </c:pt>
                <c:pt idx="78">
                  <c:v>19.12890294</c:v>
                </c:pt>
                <c:pt idx="79">
                  <c:v>20.79141624</c:v>
                </c:pt>
                <c:pt idx="80">
                  <c:v>20.843562670000001</c:v>
                </c:pt>
                <c:pt idx="81">
                  <c:v>15.632671999999999</c:v>
                </c:pt>
                <c:pt idx="82">
                  <c:v>15.632671999999999</c:v>
                </c:pt>
                <c:pt idx="83">
                  <c:v>15.632671999999999</c:v>
                </c:pt>
                <c:pt idx="84">
                  <c:v>15.632671999999999</c:v>
                </c:pt>
                <c:pt idx="85">
                  <c:v>15.632671999999999</c:v>
                </c:pt>
                <c:pt idx="86">
                  <c:v>15.632671999999999</c:v>
                </c:pt>
                <c:pt idx="87">
                  <c:v>15.632671999999999</c:v>
                </c:pt>
                <c:pt idx="88">
                  <c:v>15.632671999999999</c:v>
                </c:pt>
                <c:pt idx="89">
                  <c:v>20.843562670000001</c:v>
                </c:pt>
                <c:pt idx="90">
                  <c:v>20.843562670000001</c:v>
                </c:pt>
                <c:pt idx="91">
                  <c:v>20.843562670000001</c:v>
                </c:pt>
                <c:pt idx="92">
                  <c:v>15.632671999999999</c:v>
                </c:pt>
                <c:pt idx="93">
                  <c:v>15.632671999999999</c:v>
                </c:pt>
                <c:pt idx="94">
                  <c:v>15.632671999999999</c:v>
                </c:pt>
                <c:pt idx="95">
                  <c:v>15.632671999999999</c:v>
                </c:pt>
                <c:pt idx="96">
                  <c:v>15.632671999999999</c:v>
                </c:pt>
                <c:pt idx="97">
                  <c:v>15.632671999999999</c:v>
                </c:pt>
                <c:pt idx="98">
                  <c:v>15.632671999999999</c:v>
                </c:pt>
                <c:pt idx="99">
                  <c:v>15.632671999999999</c:v>
                </c:pt>
                <c:pt idx="100">
                  <c:v>15.632671999999999</c:v>
                </c:pt>
                <c:pt idx="101">
                  <c:v>15.632671999999999</c:v>
                </c:pt>
                <c:pt idx="102">
                  <c:v>15.632671999999999</c:v>
                </c:pt>
                <c:pt idx="103">
                  <c:v>15.632671999999999</c:v>
                </c:pt>
                <c:pt idx="104">
                  <c:v>15.632671999999999</c:v>
                </c:pt>
                <c:pt idx="105">
                  <c:v>15.632671999999999</c:v>
                </c:pt>
                <c:pt idx="106">
                  <c:v>15.622672</c:v>
                </c:pt>
                <c:pt idx="107">
                  <c:v>15.011112430000001</c:v>
                </c:pt>
                <c:pt idx="108">
                  <c:v>15.011112430000001</c:v>
                </c:pt>
                <c:pt idx="109">
                  <c:v>14.372058239999999</c:v>
                </c:pt>
                <c:pt idx="110">
                  <c:v>14.392058240000001</c:v>
                </c:pt>
                <c:pt idx="111">
                  <c:v>15.632671999999999</c:v>
                </c:pt>
                <c:pt idx="112">
                  <c:v>15.632671999999999</c:v>
                </c:pt>
                <c:pt idx="113">
                  <c:v>15.642671999999999</c:v>
                </c:pt>
                <c:pt idx="114">
                  <c:v>16.866418469999999</c:v>
                </c:pt>
                <c:pt idx="115">
                  <c:v>16.866418469999999</c:v>
                </c:pt>
                <c:pt idx="116">
                  <c:v>15.632671999999999</c:v>
                </c:pt>
                <c:pt idx="117">
                  <c:v>15.632671999999999</c:v>
                </c:pt>
                <c:pt idx="118">
                  <c:v>15.632671999999999</c:v>
                </c:pt>
                <c:pt idx="119">
                  <c:v>15.632671999999999</c:v>
                </c:pt>
                <c:pt idx="120">
                  <c:v>15.632671999999999</c:v>
                </c:pt>
                <c:pt idx="121">
                  <c:v>15.632671999999999</c:v>
                </c:pt>
                <c:pt idx="122">
                  <c:v>15.632671999999999</c:v>
                </c:pt>
                <c:pt idx="123">
                  <c:v>15.632671999999999</c:v>
                </c:pt>
                <c:pt idx="124">
                  <c:v>15.632671999999999</c:v>
                </c:pt>
                <c:pt idx="125">
                  <c:v>15.632671999999999</c:v>
                </c:pt>
                <c:pt idx="126">
                  <c:v>15.632671999999999</c:v>
                </c:pt>
                <c:pt idx="127">
                  <c:v>15.632671999999999</c:v>
                </c:pt>
                <c:pt idx="128">
                  <c:v>15.632671999999999</c:v>
                </c:pt>
                <c:pt idx="129">
                  <c:v>15.632671999999999</c:v>
                </c:pt>
                <c:pt idx="130">
                  <c:v>15.632671999999999</c:v>
                </c:pt>
                <c:pt idx="131">
                  <c:v>15.632671999999999</c:v>
                </c:pt>
                <c:pt idx="132">
                  <c:v>15.632671999999999</c:v>
                </c:pt>
                <c:pt idx="133">
                  <c:v>15.632671999999999</c:v>
                </c:pt>
                <c:pt idx="134">
                  <c:v>15.632671999999999</c:v>
                </c:pt>
                <c:pt idx="135">
                  <c:v>15.632671999999999</c:v>
                </c:pt>
                <c:pt idx="136">
                  <c:v>20.843562670000001</c:v>
                </c:pt>
                <c:pt idx="137">
                  <c:v>20.843562670000001</c:v>
                </c:pt>
                <c:pt idx="138">
                  <c:v>21</c:v>
                </c:pt>
                <c:pt idx="139">
                  <c:v>20.843562670000001</c:v>
                </c:pt>
                <c:pt idx="140">
                  <c:v>15.632671999999999</c:v>
                </c:pt>
                <c:pt idx="141">
                  <c:v>15.632671999999999</c:v>
                </c:pt>
                <c:pt idx="142">
                  <c:v>15.632671999999999</c:v>
                </c:pt>
                <c:pt idx="143">
                  <c:v>15.632671999999999</c:v>
                </c:pt>
                <c:pt idx="144">
                  <c:v>15.632671999999999</c:v>
                </c:pt>
                <c:pt idx="145">
                  <c:v>15.632671999999999</c:v>
                </c:pt>
                <c:pt idx="146">
                  <c:v>15.632671999999999</c:v>
                </c:pt>
                <c:pt idx="147">
                  <c:v>15.632671999999999</c:v>
                </c:pt>
                <c:pt idx="148">
                  <c:v>15.632671999999999</c:v>
                </c:pt>
                <c:pt idx="149">
                  <c:v>15.632671999999999</c:v>
                </c:pt>
                <c:pt idx="150">
                  <c:v>15.632671999999999</c:v>
                </c:pt>
                <c:pt idx="151">
                  <c:v>15.632671999999999</c:v>
                </c:pt>
                <c:pt idx="152">
                  <c:v>15.632671999999999</c:v>
                </c:pt>
                <c:pt idx="153">
                  <c:v>15.632671999999999</c:v>
                </c:pt>
                <c:pt idx="154">
                  <c:v>15.632671999999999</c:v>
                </c:pt>
                <c:pt idx="155">
                  <c:v>15.632671999999999</c:v>
                </c:pt>
                <c:pt idx="156">
                  <c:v>15.632671999999999</c:v>
                </c:pt>
                <c:pt idx="157">
                  <c:v>15.632671999999999</c:v>
                </c:pt>
                <c:pt idx="158">
                  <c:v>15.632671999999999</c:v>
                </c:pt>
                <c:pt idx="159">
                  <c:v>15.632671999999999</c:v>
                </c:pt>
                <c:pt idx="160">
                  <c:v>15.632671999999999</c:v>
                </c:pt>
                <c:pt idx="161">
                  <c:v>15.632671999999999</c:v>
                </c:pt>
                <c:pt idx="162">
                  <c:v>15.632671999999999</c:v>
                </c:pt>
                <c:pt idx="163">
                  <c:v>15.632671999999999</c:v>
                </c:pt>
                <c:pt idx="164">
                  <c:v>15.632671999999999</c:v>
                </c:pt>
                <c:pt idx="165">
                  <c:v>15.632671999999999</c:v>
                </c:pt>
                <c:pt idx="166">
                  <c:v>15.632671999999999</c:v>
                </c:pt>
                <c:pt idx="167">
                  <c:v>15.632671999999999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6-4764-A46B-E04354A89D89}"/>
            </c:ext>
          </c:extLst>
        </c:ser>
        <c:ser>
          <c:idx val="5"/>
          <c:order val="1"/>
          <c:tx>
            <c:strRef>
              <c:f>'Comparación Precios'!$L$4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Precios'!$L$5:$L$173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6-4764-A46B-E04354A89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Generacion'!$AU$5</c15:sqref>
                        </c15:formulaRef>
                      </c:ext>
                    </c:extLst>
                    <c:strCache>
                      <c:ptCount val="1"/>
                      <c:pt idx="0">
                        <c:v>TYNDP</c:v>
                      </c:pt>
                    </c:strCache>
                  </c:strRef>
                </c:tx>
                <c:spPr>
                  <a:solidFill>
                    <a:schemeClr val="accent2">
                      <a:alpha val="76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Generacion'!$AU$6:$AU$173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4613</c:v>
                      </c:pt>
                      <c:pt idx="1">
                        <c:v>4613</c:v>
                      </c:pt>
                      <c:pt idx="2">
                        <c:v>4613</c:v>
                      </c:pt>
                      <c:pt idx="3">
                        <c:v>4613</c:v>
                      </c:pt>
                      <c:pt idx="4">
                        <c:v>4613</c:v>
                      </c:pt>
                      <c:pt idx="5">
                        <c:v>4613</c:v>
                      </c:pt>
                      <c:pt idx="6">
                        <c:v>4613</c:v>
                      </c:pt>
                      <c:pt idx="7">
                        <c:v>4613</c:v>
                      </c:pt>
                      <c:pt idx="8">
                        <c:v>4613</c:v>
                      </c:pt>
                      <c:pt idx="9">
                        <c:v>4613</c:v>
                      </c:pt>
                      <c:pt idx="10">
                        <c:v>4613</c:v>
                      </c:pt>
                      <c:pt idx="11">
                        <c:v>3484.0037682699999</c:v>
                      </c:pt>
                      <c:pt idx="12">
                        <c:v>4613</c:v>
                      </c:pt>
                      <c:pt idx="13">
                        <c:v>4538.1274936199998</c:v>
                      </c:pt>
                      <c:pt idx="14">
                        <c:v>4479.8725723400003</c:v>
                      </c:pt>
                      <c:pt idx="15">
                        <c:v>4613</c:v>
                      </c:pt>
                      <c:pt idx="16">
                        <c:v>4613</c:v>
                      </c:pt>
                      <c:pt idx="17">
                        <c:v>4613</c:v>
                      </c:pt>
                      <c:pt idx="18">
                        <c:v>4613</c:v>
                      </c:pt>
                      <c:pt idx="19">
                        <c:v>4613</c:v>
                      </c:pt>
                      <c:pt idx="20">
                        <c:v>4613</c:v>
                      </c:pt>
                      <c:pt idx="21">
                        <c:v>4613</c:v>
                      </c:pt>
                      <c:pt idx="22">
                        <c:v>4613</c:v>
                      </c:pt>
                      <c:pt idx="23">
                        <c:v>4613</c:v>
                      </c:pt>
                      <c:pt idx="24">
                        <c:v>4613</c:v>
                      </c:pt>
                      <c:pt idx="25">
                        <c:v>4613</c:v>
                      </c:pt>
                      <c:pt idx="26">
                        <c:v>4613</c:v>
                      </c:pt>
                      <c:pt idx="27">
                        <c:v>4613</c:v>
                      </c:pt>
                      <c:pt idx="28">
                        <c:v>4613</c:v>
                      </c:pt>
                      <c:pt idx="29">
                        <c:v>4613</c:v>
                      </c:pt>
                      <c:pt idx="30">
                        <c:v>4613</c:v>
                      </c:pt>
                      <c:pt idx="31">
                        <c:v>4613</c:v>
                      </c:pt>
                      <c:pt idx="32">
                        <c:v>4613</c:v>
                      </c:pt>
                      <c:pt idx="33">
                        <c:v>4613</c:v>
                      </c:pt>
                      <c:pt idx="34">
                        <c:v>4613</c:v>
                      </c:pt>
                      <c:pt idx="35">
                        <c:v>4613</c:v>
                      </c:pt>
                      <c:pt idx="36">
                        <c:v>4613</c:v>
                      </c:pt>
                      <c:pt idx="37">
                        <c:v>4613</c:v>
                      </c:pt>
                      <c:pt idx="38">
                        <c:v>4613</c:v>
                      </c:pt>
                      <c:pt idx="39">
                        <c:v>4613</c:v>
                      </c:pt>
                      <c:pt idx="40">
                        <c:v>4613</c:v>
                      </c:pt>
                      <c:pt idx="41">
                        <c:v>4613</c:v>
                      </c:pt>
                      <c:pt idx="42">
                        <c:v>4613</c:v>
                      </c:pt>
                      <c:pt idx="43">
                        <c:v>4613</c:v>
                      </c:pt>
                      <c:pt idx="44">
                        <c:v>4613</c:v>
                      </c:pt>
                      <c:pt idx="45">
                        <c:v>4613</c:v>
                      </c:pt>
                      <c:pt idx="46">
                        <c:v>4613</c:v>
                      </c:pt>
                      <c:pt idx="47">
                        <c:v>4613</c:v>
                      </c:pt>
                      <c:pt idx="48">
                        <c:v>4613</c:v>
                      </c:pt>
                      <c:pt idx="49">
                        <c:v>4613</c:v>
                      </c:pt>
                      <c:pt idx="50">
                        <c:v>4613</c:v>
                      </c:pt>
                      <c:pt idx="51">
                        <c:v>4613</c:v>
                      </c:pt>
                      <c:pt idx="52">
                        <c:v>4613</c:v>
                      </c:pt>
                      <c:pt idx="53">
                        <c:v>4613</c:v>
                      </c:pt>
                      <c:pt idx="54">
                        <c:v>4613</c:v>
                      </c:pt>
                      <c:pt idx="55">
                        <c:v>4613</c:v>
                      </c:pt>
                      <c:pt idx="56">
                        <c:v>4613</c:v>
                      </c:pt>
                      <c:pt idx="57">
                        <c:v>4613</c:v>
                      </c:pt>
                      <c:pt idx="58">
                        <c:v>4613</c:v>
                      </c:pt>
                      <c:pt idx="59">
                        <c:v>4613</c:v>
                      </c:pt>
                      <c:pt idx="60">
                        <c:v>4613</c:v>
                      </c:pt>
                      <c:pt idx="61">
                        <c:v>4613</c:v>
                      </c:pt>
                      <c:pt idx="62">
                        <c:v>4613</c:v>
                      </c:pt>
                      <c:pt idx="63">
                        <c:v>4613</c:v>
                      </c:pt>
                      <c:pt idx="64">
                        <c:v>4613</c:v>
                      </c:pt>
                      <c:pt idx="65">
                        <c:v>4613</c:v>
                      </c:pt>
                      <c:pt idx="66">
                        <c:v>4613</c:v>
                      </c:pt>
                      <c:pt idx="67">
                        <c:v>4613</c:v>
                      </c:pt>
                      <c:pt idx="68">
                        <c:v>4613</c:v>
                      </c:pt>
                      <c:pt idx="69">
                        <c:v>4613</c:v>
                      </c:pt>
                      <c:pt idx="70">
                        <c:v>4613</c:v>
                      </c:pt>
                      <c:pt idx="71">
                        <c:v>4613</c:v>
                      </c:pt>
                      <c:pt idx="72">
                        <c:v>4613</c:v>
                      </c:pt>
                      <c:pt idx="73">
                        <c:v>4613</c:v>
                      </c:pt>
                      <c:pt idx="74">
                        <c:v>4613</c:v>
                      </c:pt>
                      <c:pt idx="75">
                        <c:v>4613</c:v>
                      </c:pt>
                      <c:pt idx="76">
                        <c:v>4613</c:v>
                      </c:pt>
                      <c:pt idx="77">
                        <c:v>4613</c:v>
                      </c:pt>
                      <c:pt idx="78">
                        <c:v>4613</c:v>
                      </c:pt>
                      <c:pt idx="79">
                        <c:v>4613</c:v>
                      </c:pt>
                      <c:pt idx="80">
                        <c:v>4613</c:v>
                      </c:pt>
                      <c:pt idx="81">
                        <c:v>4613</c:v>
                      </c:pt>
                      <c:pt idx="82">
                        <c:v>4613</c:v>
                      </c:pt>
                      <c:pt idx="83">
                        <c:v>4613</c:v>
                      </c:pt>
                      <c:pt idx="84">
                        <c:v>4613</c:v>
                      </c:pt>
                      <c:pt idx="85">
                        <c:v>4613</c:v>
                      </c:pt>
                      <c:pt idx="86">
                        <c:v>4613</c:v>
                      </c:pt>
                      <c:pt idx="87">
                        <c:v>4613</c:v>
                      </c:pt>
                      <c:pt idx="88">
                        <c:v>4613</c:v>
                      </c:pt>
                      <c:pt idx="89">
                        <c:v>4613</c:v>
                      </c:pt>
                      <c:pt idx="90">
                        <c:v>4613</c:v>
                      </c:pt>
                      <c:pt idx="91">
                        <c:v>4613</c:v>
                      </c:pt>
                      <c:pt idx="92">
                        <c:v>4613</c:v>
                      </c:pt>
                      <c:pt idx="93">
                        <c:v>4613</c:v>
                      </c:pt>
                      <c:pt idx="94">
                        <c:v>4613</c:v>
                      </c:pt>
                      <c:pt idx="95">
                        <c:v>4613</c:v>
                      </c:pt>
                      <c:pt idx="96">
                        <c:v>4613</c:v>
                      </c:pt>
                      <c:pt idx="97">
                        <c:v>4613</c:v>
                      </c:pt>
                      <c:pt idx="98">
                        <c:v>4613</c:v>
                      </c:pt>
                      <c:pt idx="99">
                        <c:v>4613</c:v>
                      </c:pt>
                      <c:pt idx="100">
                        <c:v>4613</c:v>
                      </c:pt>
                      <c:pt idx="101">
                        <c:v>4613</c:v>
                      </c:pt>
                      <c:pt idx="102">
                        <c:v>4613</c:v>
                      </c:pt>
                      <c:pt idx="103">
                        <c:v>4613</c:v>
                      </c:pt>
                      <c:pt idx="104">
                        <c:v>4613</c:v>
                      </c:pt>
                      <c:pt idx="105">
                        <c:v>2696.8141957799999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4613</c:v>
                      </c:pt>
                      <c:pt idx="114">
                        <c:v>4613</c:v>
                      </c:pt>
                      <c:pt idx="115">
                        <c:v>4613</c:v>
                      </c:pt>
                      <c:pt idx="116">
                        <c:v>4613</c:v>
                      </c:pt>
                      <c:pt idx="117">
                        <c:v>4613</c:v>
                      </c:pt>
                      <c:pt idx="118">
                        <c:v>4613</c:v>
                      </c:pt>
                      <c:pt idx="119">
                        <c:v>4613</c:v>
                      </c:pt>
                      <c:pt idx="120">
                        <c:v>4613</c:v>
                      </c:pt>
                      <c:pt idx="121">
                        <c:v>4613</c:v>
                      </c:pt>
                      <c:pt idx="122">
                        <c:v>4613</c:v>
                      </c:pt>
                      <c:pt idx="123">
                        <c:v>4613</c:v>
                      </c:pt>
                      <c:pt idx="124">
                        <c:v>4613</c:v>
                      </c:pt>
                      <c:pt idx="125">
                        <c:v>4613</c:v>
                      </c:pt>
                      <c:pt idx="126">
                        <c:v>4613</c:v>
                      </c:pt>
                      <c:pt idx="127">
                        <c:v>4613</c:v>
                      </c:pt>
                      <c:pt idx="128">
                        <c:v>4613</c:v>
                      </c:pt>
                      <c:pt idx="129">
                        <c:v>4613</c:v>
                      </c:pt>
                      <c:pt idx="130">
                        <c:v>931.99979149000001</c:v>
                      </c:pt>
                      <c:pt idx="131">
                        <c:v>4613</c:v>
                      </c:pt>
                      <c:pt idx="132">
                        <c:v>2785.1080021299999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4613</c:v>
                      </c:pt>
                      <c:pt idx="138">
                        <c:v>4613</c:v>
                      </c:pt>
                      <c:pt idx="139">
                        <c:v>4613</c:v>
                      </c:pt>
                      <c:pt idx="140">
                        <c:v>4613</c:v>
                      </c:pt>
                      <c:pt idx="141">
                        <c:v>3458.3974297899999</c:v>
                      </c:pt>
                      <c:pt idx="142">
                        <c:v>4613</c:v>
                      </c:pt>
                      <c:pt idx="143">
                        <c:v>3821.1880371500001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2064.9701558299998</c:v>
                      </c:pt>
                      <c:pt idx="163">
                        <c:v>4613</c:v>
                      </c:pt>
                      <c:pt idx="164">
                        <c:v>3999.9155957399998</c:v>
                      </c:pt>
                      <c:pt idx="165">
                        <c:v>2460.2040297899998</c:v>
                      </c:pt>
                      <c:pt idx="166">
                        <c:v>4613</c:v>
                      </c:pt>
                      <c:pt idx="167">
                        <c:v>1388.2723531900001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296-4764-A46B-E04354A89D89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20000"/>
                      <a:lumOff val="80000"/>
                      <a:alpha val="82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Generacion'!$AV$6:$AV$173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2877.985924161866</c:v>
                      </c:pt>
                      <c:pt idx="1">
                        <c:v>0</c:v>
                      </c:pt>
                      <c:pt idx="2">
                        <c:v>3093.9253817630588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2815.553749976214</c:v>
                      </c:pt>
                      <c:pt idx="18">
                        <c:v>3135</c:v>
                      </c:pt>
                      <c:pt idx="19">
                        <c:v>3135</c:v>
                      </c:pt>
                      <c:pt idx="20">
                        <c:v>3135</c:v>
                      </c:pt>
                      <c:pt idx="21">
                        <c:v>3135</c:v>
                      </c:pt>
                      <c:pt idx="22">
                        <c:v>3135</c:v>
                      </c:pt>
                      <c:pt idx="23">
                        <c:v>3135</c:v>
                      </c:pt>
                      <c:pt idx="24">
                        <c:v>3135</c:v>
                      </c:pt>
                      <c:pt idx="25">
                        <c:v>3135</c:v>
                      </c:pt>
                      <c:pt idx="26">
                        <c:v>3135</c:v>
                      </c:pt>
                      <c:pt idx="27">
                        <c:v>3135</c:v>
                      </c:pt>
                      <c:pt idx="28">
                        <c:v>3135</c:v>
                      </c:pt>
                      <c:pt idx="29">
                        <c:v>3135</c:v>
                      </c:pt>
                      <c:pt idx="30">
                        <c:v>3135</c:v>
                      </c:pt>
                      <c:pt idx="31">
                        <c:v>3135</c:v>
                      </c:pt>
                      <c:pt idx="32">
                        <c:v>3135</c:v>
                      </c:pt>
                      <c:pt idx="33">
                        <c:v>3135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2631.078580369528</c:v>
                      </c:pt>
                      <c:pt idx="42">
                        <c:v>99.341100350560311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713.53502990011782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1288.694734037764</c:v>
                      </c:pt>
                      <c:pt idx="66">
                        <c:v>3135</c:v>
                      </c:pt>
                      <c:pt idx="67">
                        <c:v>3135</c:v>
                      </c:pt>
                      <c:pt idx="68">
                        <c:v>3135</c:v>
                      </c:pt>
                      <c:pt idx="69">
                        <c:v>3135</c:v>
                      </c:pt>
                      <c:pt idx="70">
                        <c:v>3135</c:v>
                      </c:pt>
                      <c:pt idx="71">
                        <c:v>3135</c:v>
                      </c:pt>
                      <c:pt idx="72">
                        <c:v>2238.3712834037642</c:v>
                      </c:pt>
                      <c:pt idx="73">
                        <c:v>2032.951083400824</c:v>
                      </c:pt>
                      <c:pt idx="74">
                        <c:v>1424.061840973884</c:v>
                      </c:pt>
                      <c:pt idx="75">
                        <c:v>1084.2574991507049</c:v>
                      </c:pt>
                      <c:pt idx="76">
                        <c:v>1247.285672769648</c:v>
                      </c:pt>
                      <c:pt idx="77">
                        <c:v>1562.411013930119</c:v>
                      </c:pt>
                      <c:pt idx="78">
                        <c:v>2042.2099974291759</c:v>
                      </c:pt>
                      <c:pt idx="79">
                        <c:v>3033.1503409267061</c:v>
                      </c:pt>
                      <c:pt idx="80">
                        <c:v>3135</c:v>
                      </c:pt>
                      <c:pt idx="81">
                        <c:v>3135</c:v>
                      </c:pt>
                      <c:pt idx="82">
                        <c:v>2316.1753997748228</c:v>
                      </c:pt>
                      <c:pt idx="83">
                        <c:v>431.45248076647158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2715.6940365545888</c:v>
                      </c:pt>
                      <c:pt idx="89">
                        <c:v>3135</c:v>
                      </c:pt>
                      <c:pt idx="90">
                        <c:v>3135</c:v>
                      </c:pt>
                      <c:pt idx="91">
                        <c:v>80.995667754879079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3135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96-4764-A46B-E04354A89D89}"/>
                  </c:ext>
                </c:extLst>
              </c15:ser>
            </c15:filteredAreaSeries>
            <c15:filteredArea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96-4764-A46B-E04354A89D89}"/>
                  </c:ext>
                </c:extLst>
              </c15:ser>
            </c15:filteredAreaSeries>
            <c15:filteredAreaSeries>
              <c15:ser>
                <c:idx val="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96-4764-A46B-E04354A89D89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ESh2 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TYNDP 26 vs. BenchMarking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'Comparación Precios'!$O$4</c:f>
              <c:strCache>
                <c:ptCount val="1"/>
                <c:pt idx="0">
                  <c:v> TYNDP 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Precios'!$O$5:$O$173</c:f>
              <c:numCache>
                <c:formatCode>General</c:formatCode>
                <c:ptCount val="169"/>
                <c:pt idx="0">
                  <c:v>74.519202640000003</c:v>
                </c:pt>
                <c:pt idx="1">
                  <c:v>74.519202640000003</c:v>
                </c:pt>
                <c:pt idx="2">
                  <c:v>74.519202640000003</c:v>
                </c:pt>
                <c:pt idx="3">
                  <c:v>74.519202640000003</c:v>
                </c:pt>
                <c:pt idx="4">
                  <c:v>74.519202640000003</c:v>
                </c:pt>
                <c:pt idx="5">
                  <c:v>74.519202640000003</c:v>
                </c:pt>
                <c:pt idx="6">
                  <c:v>74.519202640000003</c:v>
                </c:pt>
                <c:pt idx="7">
                  <c:v>74.519202640000003</c:v>
                </c:pt>
                <c:pt idx="8">
                  <c:v>74.519202640000003</c:v>
                </c:pt>
                <c:pt idx="9">
                  <c:v>74.519202640000003</c:v>
                </c:pt>
                <c:pt idx="10">
                  <c:v>22.468552110000001</c:v>
                </c:pt>
                <c:pt idx="11">
                  <c:v>22.24386659</c:v>
                </c:pt>
                <c:pt idx="12">
                  <c:v>22.24386659</c:v>
                </c:pt>
                <c:pt idx="13">
                  <c:v>22.24386659</c:v>
                </c:pt>
                <c:pt idx="14">
                  <c:v>22.24386659</c:v>
                </c:pt>
                <c:pt idx="15">
                  <c:v>22.24386659</c:v>
                </c:pt>
                <c:pt idx="16">
                  <c:v>22.496721130000001</c:v>
                </c:pt>
                <c:pt idx="17">
                  <c:v>182.03433719</c:v>
                </c:pt>
                <c:pt idx="18">
                  <c:v>182.03433719</c:v>
                </c:pt>
                <c:pt idx="19">
                  <c:v>182.03433719</c:v>
                </c:pt>
                <c:pt idx="20">
                  <c:v>182.03433719</c:v>
                </c:pt>
                <c:pt idx="21">
                  <c:v>182.03433719</c:v>
                </c:pt>
                <c:pt idx="22">
                  <c:v>182.03433719</c:v>
                </c:pt>
                <c:pt idx="23">
                  <c:v>177.94366196999999</c:v>
                </c:pt>
                <c:pt idx="24">
                  <c:v>167.50990006999999</c:v>
                </c:pt>
                <c:pt idx="25">
                  <c:v>167.50990006999999</c:v>
                </c:pt>
                <c:pt idx="26">
                  <c:v>167.50990006999999</c:v>
                </c:pt>
                <c:pt idx="27">
                  <c:v>167.50990006999999</c:v>
                </c:pt>
                <c:pt idx="28">
                  <c:v>177.94445422999999</c:v>
                </c:pt>
                <c:pt idx="29">
                  <c:v>182.03433719</c:v>
                </c:pt>
                <c:pt idx="30">
                  <c:v>182.03433719</c:v>
                </c:pt>
                <c:pt idx="31">
                  <c:v>182.03433719</c:v>
                </c:pt>
                <c:pt idx="32">
                  <c:v>182.03433719</c:v>
                </c:pt>
                <c:pt idx="33">
                  <c:v>182.03433719</c:v>
                </c:pt>
                <c:pt idx="34">
                  <c:v>73.7</c:v>
                </c:pt>
                <c:pt idx="35">
                  <c:v>22.496721130000001</c:v>
                </c:pt>
                <c:pt idx="36">
                  <c:v>22.468552110000001</c:v>
                </c:pt>
                <c:pt idx="37">
                  <c:v>22.468552110000001</c:v>
                </c:pt>
                <c:pt idx="38">
                  <c:v>22.468552110000001</c:v>
                </c:pt>
                <c:pt idx="39">
                  <c:v>22.468552110000001</c:v>
                </c:pt>
                <c:pt idx="40">
                  <c:v>136.64195007000001</c:v>
                </c:pt>
                <c:pt idx="41">
                  <c:v>220.93305774999999</c:v>
                </c:pt>
                <c:pt idx="42">
                  <c:v>220.93305774999999</c:v>
                </c:pt>
                <c:pt idx="43">
                  <c:v>220.93305774999999</c:v>
                </c:pt>
                <c:pt idx="44">
                  <c:v>220.8725215</c:v>
                </c:pt>
                <c:pt idx="45">
                  <c:v>173.77873238999999</c:v>
                </c:pt>
                <c:pt idx="46">
                  <c:v>173.77873238999999</c:v>
                </c:pt>
                <c:pt idx="47">
                  <c:v>173.77873238999999</c:v>
                </c:pt>
                <c:pt idx="48">
                  <c:v>173.77464789000001</c:v>
                </c:pt>
                <c:pt idx="49">
                  <c:v>173.77464789000001</c:v>
                </c:pt>
                <c:pt idx="50">
                  <c:v>173.77464789000001</c:v>
                </c:pt>
                <c:pt idx="51">
                  <c:v>173.76964788999999</c:v>
                </c:pt>
                <c:pt idx="52">
                  <c:v>173.77464789000001</c:v>
                </c:pt>
                <c:pt idx="53">
                  <c:v>173.79873239</c:v>
                </c:pt>
                <c:pt idx="54">
                  <c:v>220.93305774999999</c:v>
                </c:pt>
                <c:pt idx="55">
                  <c:v>220.93305774999999</c:v>
                </c:pt>
                <c:pt idx="56">
                  <c:v>220.93305774999999</c:v>
                </c:pt>
                <c:pt idx="57">
                  <c:v>220.93305774999999</c:v>
                </c:pt>
                <c:pt idx="58">
                  <c:v>136.59824481000001</c:v>
                </c:pt>
                <c:pt idx="59">
                  <c:v>22.472636619999999</c:v>
                </c:pt>
                <c:pt idx="60">
                  <c:v>22.468552110000001</c:v>
                </c:pt>
                <c:pt idx="61">
                  <c:v>22.468552110000001</c:v>
                </c:pt>
                <c:pt idx="62">
                  <c:v>22.468552110000001</c:v>
                </c:pt>
                <c:pt idx="63">
                  <c:v>39.449689329999998</c:v>
                </c:pt>
                <c:pt idx="64">
                  <c:v>165.81599048999999</c:v>
                </c:pt>
                <c:pt idx="65">
                  <c:v>225.59398156</c:v>
                </c:pt>
                <c:pt idx="66">
                  <c:v>225.59398156</c:v>
                </c:pt>
                <c:pt idx="67">
                  <c:v>225.59398156</c:v>
                </c:pt>
                <c:pt idx="68">
                  <c:v>225.59398156</c:v>
                </c:pt>
                <c:pt idx="69">
                  <c:v>225.59398156</c:v>
                </c:pt>
                <c:pt idx="70">
                  <c:v>208.45516986000001</c:v>
                </c:pt>
                <c:pt idx="71">
                  <c:v>173.79873239</c:v>
                </c:pt>
                <c:pt idx="72">
                  <c:v>173.79873239</c:v>
                </c:pt>
                <c:pt idx="73">
                  <c:v>173.79873239</c:v>
                </c:pt>
                <c:pt idx="74">
                  <c:v>173.79873239</c:v>
                </c:pt>
                <c:pt idx="75">
                  <c:v>173.79873239</c:v>
                </c:pt>
                <c:pt idx="76">
                  <c:v>173.79873239</c:v>
                </c:pt>
                <c:pt idx="77">
                  <c:v>220.93305774999999</c:v>
                </c:pt>
                <c:pt idx="78">
                  <c:v>220.93305774999999</c:v>
                </c:pt>
                <c:pt idx="79">
                  <c:v>225.59398156</c:v>
                </c:pt>
                <c:pt idx="80">
                  <c:v>225.59398156</c:v>
                </c:pt>
                <c:pt idx="81">
                  <c:v>220.93305774999999</c:v>
                </c:pt>
                <c:pt idx="82">
                  <c:v>80.087987319999996</c:v>
                </c:pt>
                <c:pt idx="83">
                  <c:v>22.496721130000001</c:v>
                </c:pt>
                <c:pt idx="84">
                  <c:v>22.468552110000001</c:v>
                </c:pt>
                <c:pt idx="85">
                  <c:v>22.468552110000001</c:v>
                </c:pt>
                <c:pt idx="86">
                  <c:v>22.468552110000001</c:v>
                </c:pt>
                <c:pt idx="87">
                  <c:v>22.468552110000001</c:v>
                </c:pt>
                <c:pt idx="88">
                  <c:v>22.496721130000001</c:v>
                </c:pt>
                <c:pt idx="89">
                  <c:v>29.840698589999999</c:v>
                </c:pt>
                <c:pt idx="90">
                  <c:v>29.840698589999999</c:v>
                </c:pt>
                <c:pt idx="91">
                  <c:v>29.840698589999999</c:v>
                </c:pt>
                <c:pt idx="92">
                  <c:v>29.840698589999999</c:v>
                </c:pt>
                <c:pt idx="93">
                  <c:v>29.840698589999999</c:v>
                </c:pt>
                <c:pt idx="94">
                  <c:v>22.496721130000001</c:v>
                </c:pt>
                <c:pt idx="95">
                  <c:v>22.468552110000001</c:v>
                </c:pt>
                <c:pt idx="96">
                  <c:v>22.468552110000001</c:v>
                </c:pt>
                <c:pt idx="97">
                  <c:v>22.468552110000001</c:v>
                </c:pt>
                <c:pt idx="98">
                  <c:v>22.468552110000001</c:v>
                </c:pt>
                <c:pt idx="99">
                  <c:v>22.468552110000001</c:v>
                </c:pt>
                <c:pt idx="100">
                  <c:v>22.468552110000001</c:v>
                </c:pt>
                <c:pt idx="101">
                  <c:v>22.468552110000001</c:v>
                </c:pt>
                <c:pt idx="102">
                  <c:v>22.468552110000001</c:v>
                </c:pt>
                <c:pt idx="103">
                  <c:v>22.468552110000001</c:v>
                </c:pt>
                <c:pt idx="104">
                  <c:v>22.468552110000001</c:v>
                </c:pt>
                <c:pt idx="105">
                  <c:v>16.967611269999999</c:v>
                </c:pt>
                <c:pt idx="106">
                  <c:v>0.46478872999999998</c:v>
                </c:pt>
                <c:pt idx="107">
                  <c:v>0.46478872999999998</c:v>
                </c:pt>
                <c:pt idx="108">
                  <c:v>0.46478872999999998</c:v>
                </c:pt>
                <c:pt idx="109">
                  <c:v>0.46478872999999998</c:v>
                </c:pt>
                <c:pt idx="110">
                  <c:v>0.46478872999999998</c:v>
                </c:pt>
                <c:pt idx="111">
                  <c:v>0.46478872999999998</c:v>
                </c:pt>
                <c:pt idx="112">
                  <c:v>0.46478872999999998</c:v>
                </c:pt>
                <c:pt idx="113">
                  <c:v>22.24386659</c:v>
                </c:pt>
                <c:pt idx="114">
                  <c:v>22.468552110000001</c:v>
                </c:pt>
                <c:pt idx="115">
                  <c:v>22.468552110000001</c:v>
                </c:pt>
                <c:pt idx="116">
                  <c:v>22.468552110000001</c:v>
                </c:pt>
                <c:pt idx="117">
                  <c:v>22.468552110000001</c:v>
                </c:pt>
                <c:pt idx="118">
                  <c:v>22.468552110000001</c:v>
                </c:pt>
                <c:pt idx="119">
                  <c:v>22.468552110000001</c:v>
                </c:pt>
                <c:pt idx="120">
                  <c:v>22.205745069999999</c:v>
                </c:pt>
                <c:pt idx="121">
                  <c:v>22.205745069999999</c:v>
                </c:pt>
                <c:pt idx="122">
                  <c:v>22.205745069999999</c:v>
                </c:pt>
                <c:pt idx="123">
                  <c:v>22.205745069999999</c:v>
                </c:pt>
                <c:pt idx="124">
                  <c:v>22.205745069999999</c:v>
                </c:pt>
                <c:pt idx="125">
                  <c:v>22.205745069999999</c:v>
                </c:pt>
                <c:pt idx="126">
                  <c:v>22.205745069999999</c:v>
                </c:pt>
                <c:pt idx="127">
                  <c:v>22.205745069999999</c:v>
                </c:pt>
                <c:pt idx="128">
                  <c:v>22.205745069999999</c:v>
                </c:pt>
                <c:pt idx="129">
                  <c:v>16.77050599</c:v>
                </c:pt>
                <c:pt idx="130">
                  <c:v>0.46478872999999998</c:v>
                </c:pt>
                <c:pt idx="131">
                  <c:v>0.46478872999999998</c:v>
                </c:pt>
                <c:pt idx="132">
                  <c:v>0.46478872999999998</c:v>
                </c:pt>
                <c:pt idx="133">
                  <c:v>0.46478872999999998</c:v>
                </c:pt>
                <c:pt idx="134">
                  <c:v>0.46478872999999998</c:v>
                </c:pt>
                <c:pt idx="135">
                  <c:v>0.46478872999999998</c:v>
                </c:pt>
                <c:pt idx="136">
                  <c:v>0.46478872999999998</c:v>
                </c:pt>
                <c:pt idx="137">
                  <c:v>22.205745069999999</c:v>
                </c:pt>
                <c:pt idx="138">
                  <c:v>22.205745069999999</c:v>
                </c:pt>
                <c:pt idx="139">
                  <c:v>22.205745069999999</c:v>
                </c:pt>
                <c:pt idx="140">
                  <c:v>22.205745069999999</c:v>
                </c:pt>
                <c:pt idx="141">
                  <c:v>22.205745069999999</c:v>
                </c:pt>
                <c:pt idx="142">
                  <c:v>22.205745069999999</c:v>
                </c:pt>
                <c:pt idx="143">
                  <c:v>22.205745069999999</c:v>
                </c:pt>
                <c:pt idx="144">
                  <c:v>0.47887323999999998</c:v>
                </c:pt>
                <c:pt idx="145">
                  <c:v>0.46478872999999998</c:v>
                </c:pt>
                <c:pt idx="146">
                  <c:v>0.46478872999999998</c:v>
                </c:pt>
                <c:pt idx="147">
                  <c:v>0.46478872999999998</c:v>
                </c:pt>
                <c:pt idx="148">
                  <c:v>0.46478872999999998</c:v>
                </c:pt>
                <c:pt idx="149">
                  <c:v>0.46478872999999998</c:v>
                </c:pt>
                <c:pt idx="150">
                  <c:v>0.46478872999999998</c:v>
                </c:pt>
                <c:pt idx="151">
                  <c:v>0.46478872999999998</c:v>
                </c:pt>
                <c:pt idx="152">
                  <c:v>0.46478872999999998</c:v>
                </c:pt>
                <c:pt idx="153">
                  <c:v>0.46478872999999998</c:v>
                </c:pt>
                <c:pt idx="154">
                  <c:v>0.46478872999999998</c:v>
                </c:pt>
                <c:pt idx="155">
                  <c:v>0.46478872999999998</c:v>
                </c:pt>
                <c:pt idx="156">
                  <c:v>0.46478872999999998</c:v>
                </c:pt>
                <c:pt idx="157">
                  <c:v>0.46478872999999998</c:v>
                </c:pt>
                <c:pt idx="158">
                  <c:v>0.46478872999999998</c:v>
                </c:pt>
                <c:pt idx="159">
                  <c:v>0.46478872999999998</c:v>
                </c:pt>
                <c:pt idx="160">
                  <c:v>0.46478872999999998</c:v>
                </c:pt>
                <c:pt idx="161">
                  <c:v>0.46478872999999998</c:v>
                </c:pt>
                <c:pt idx="162">
                  <c:v>0.46478872999999998</c:v>
                </c:pt>
                <c:pt idx="163">
                  <c:v>0.46478872999999998</c:v>
                </c:pt>
                <c:pt idx="164">
                  <c:v>0.46478872999999998</c:v>
                </c:pt>
                <c:pt idx="165">
                  <c:v>0.46478872999999998</c:v>
                </c:pt>
                <c:pt idx="166">
                  <c:v>0.46478872999999998</c:v>
                </c:pt>
                <c:pt idx="167">
                  <c:v>0.46478872999999998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D-46BC-806F-26182F1CF18E}"/>
            </c:ext>
          </c:extLst>
        </c:ser>
        <c:ser>
          <c:idx val="5"/>
          <c:order val="1"/>
          <c:tx>
            <c:strRef>
              <c:f>'Comparación Precios'!$P$4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Precios'!$P$5:$P$173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D-46BC-806F-26182F1CF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Generacion'!$AU$5</c15:sqref>
                        </c15:formulaRef>
                      </c:ext>
                    </c:extLst>
                    <c:strCache>
                      <c:ptCount val="1"/>
                      <c:pt idx="0">
                        <c:v>TYNDP</c:v>
                      </c:pt>
                    </c:strCache>
                  </c:strRef>
                </c:tx>
                <c:spPr>
                  <a:solidFill>
                    <a:schemeClr val="accent2">
                      <a:alpha val="76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Generacion'!$AU$6:$AU$173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4613</c:v>
                      </c:pt>
                      <c:pt idx="1">
                        <c:v>4613</c:v>
                      </c:pt>
                      <c:pt idx="2">
                        <c:v>4613</c:v>
                      </c:pt>
                      <c:pt idx="3">
                        <c:v>4613</c:v>
                      </c:pt>
                      <c:pt idx="4">
                        <c:v>4613</c:v>
                      </c:pt>
                      <c:pt idx="5">
                        <c:v>4613</c:v>
                      </c:pt>
                      <c:pt idx="6">
                        <c:v>4613</c:v>
                      </c:pt>
                      <c:pt idx="7">
                        <c:v>4613</c:v>
                      </c:pt>
                      <c:pt idx="8">
                        <c:v>4613</c:v>
                      </c:pt>
                      <c:pt idx="9">
                        <c:v>4613</c:v>
                      </c:pt>
                      <c:pt idx="10">
                        <c:v>4613</c:v>
                      </c:pt>
                      <c:pt idx="11">
                        <c:v>3484.0037682699999</c:v>
                      </c:pt>
                      <c:pt idx="12">
                        <c:v>4613</c:v>
                      </c:pt>
                      <c:pt idx="13">
                        <c:v>4538.1274936199998</c:v>
                      </c:pt>
                      <c:pt idx="14">
                        <c:v>4479.8725723400003</c:v>
                      </c:pt>
                      <c:pt idx="15">
                        <c:v>4613</c:v>
                      </c:pt>
                      <c:pt idx="16">
                        <c:v>4613</c:v>
                      </c:pt>
                      <c:pt idx="17">
                        <c:v>4613</c:v>
                      </c:pt>
                      <c:pt idx="18">
                        <c:v>4613</c:v>
                      </c:pt>
                      <c:pt idx="19">
                        <c:v>4613</c:v>
                      </c:pt>
                      <c:pt idx="20">
                        <c:v>4613</c:v>
                      </c:pt>
                      <c:pt idx="21">
                        <c:v>4613</c:v>
                      </c:pt>
                      <c:pt idx="22">
                        <c:v>4613</c:v>
                      </c:pt>
                      <c:pt idx="23">
                        <c:v>4613</c:v>
                      </c:pt>
                      <c:pt idx="24">
                        <c:v>4613</c:v>
                      </c:pt>
                      <c:pt idx="25">
                        <c:v>4613</c:v>
                      </c:pt>
                      <c:pt idx="26">
                        <c:v>4613</c:v>
                      </c:pt>
                      <c:pt idx="27">
                        <c:v>4613</c:v>
                      </c:pt>
                      <c:pt idx="28">
                        <c:v>4613</c:v>
                      </c:pt>
                      <c:pt idx="29">
                        <c:v>4613</c:v>
                      </c:pt>
                      <c:pt idx="30">
                        <c:v>4613</c:v>
                      </c:pt>
                      <c:pt idx="31">
                        <c:v>4613</c:v>
                      </c:pt>
                      <c:pt idx="32">
                        <c:v>4613</c:v>
                      </c:pt>
                      <c:pt idx="33">
                        <c:v>4613</c:v>
                      </c:pt>
                      <c:pt idx="34">
                        <c:v>4613</c:v>
                      </c:pt>
                      <c:pt idx="35">
                        <c:v>4613</c:v>
                      </c:pt>
                      <c:pt idx="36">
                        <c:v>4613</c:v>
                      </c:pt>
                      <c:pt idx="37">
                        <c:v>4613</c:v>
                      </c:pt>
                      <c:pt idx="38">
                        <c:v>4613</c:v>
                      </c:pt>
                      <c:pt idx="39">
                        <c:v>4613</c:v>
                      </c:pt>
                      <c:pt idx="40">
                        <c:v>4613</c:v>
                      </c:pt>
                      <c:pt idx="41">
                        <c:v>4613</c:v>
                      </c:pt>
                      <c:pt idx="42">
                        <c:v>4613</c:v>
                      </c:pt>
                      <c:pt idx="43">
                        <c:v>4613</c:v>
                      </c:pt>
                      <c:pt idx="44">
                        <c:v>4613</c:v>
                      </c:pt>
                      <c:pt idx="45">
                        <c:v>4613</c:v>
                      </c:pt>
                      <c:pt idx="46">
                        <c:v>4613</c:v>
                      </c:pt>
                      <c:pt idx="47">
                        <c:v>4613</c:v>
                      </c:pt>
                      <c:pt idx="48">
                        <c:v>4613</c:v>
                      </c:pt>
                      <c:pt idx="49">
                        <c:v>4613</c:v>
                      </c:pt>
                      <c:pt idx="50">
                        <c:v>4613</c:v>
                      </c:pt>
                      <c:pt idx="51">
                        <c:v>4613</c:v>
                      </c:pt>
                      <c:pt idx="52">
                        <c:v>4613</c:v>
                      </c:pt>
                      <c:pt idx="53">
                        <c:v>4613</c:v>
                      </c:pt>
                      <c:pt idx="54">
                        <c:v>4613</c:v>
                      </c:pt>
                      <c:pt idx="55">
                        <c:v>4613</c:v>
                      </c:pt>
                      <c:pt idx="56">
                        <c:v>4613</c:v>
                      </c:pt>
                      <c:pt idx="57">
                        <c:v>4613</c:v>
                      </c:pt>
                      <c:pt idx="58">
                        <c:v>4613</c:v>
                      </c:pt>
                      <c:pt idx="59">
                        <c:v>4613</c:v>
                      </c:pt>
                      <c:pt idx="60">
                        <c:v>4613</c:v>
                      </c:pt>
                      <c:pt idx="61">
                        <c:v>4613</c:v>
                      </c:pt>
                      <c:pt idx="62">
                        <c:v>4613</c:v>
                      </c:pt>
                      <c:pt idx="63">
                        <c:v>4613</c:v>
                      </c:pt>
                      <c:pt idx="64">
                        <c:v>4613</c:v>
                      </c:pt>
                      <c:pt idx="65">
                        <c:v>4613</c:v>
                      </c:pt>
                      <c:pt idx="66">
                        <c:v>4613</c:v>
                      </c:pt>
                      <c:pt idx="67">
                        <c:v>4613</c:v>
                      </c:pt>
                      <c:pt idx="68">
                        <c:v>4613</c:v>
                      </c:pt>
                      <c:pt idx="69">
                        <c:v>4613</c:v>
                      </c:pt>
                      <c:pt idx="70">
                        <c:v>4613</c:v>
                      </c:pt>
                      <c:pt idx="71">
                        <c:v>4613</c:v>
                      </c:pt>
                      <c:pt idx="72">
                        <c:v>4613</c:v>
                      </c:pt>
                      <c:pt idx="73">
                        <c:v>4613</c:v>
                      </c:pt>
                      <c:pt idx="74">
                        <c:v>4613</c:v>
                      </c:pt>
                      <c:pt idx="75">
                        <c:v>4613</c:v>
                      </c:pt>
                      <c:pt idx="76">
                        <c:v>4613</c:v>
                      </c:pt>
                      <c:pt idx="77">
                        <c:v>4613</c:v>
                      </c:pt>
                      <c:pt idx="78">
                        <c:v>4613</c:v>
                      </c:pt>
                      <c:pt idx="79">
                        <c:v>4613</c:v>
                      </c:pt>
                      <c:pt idx="80">
                        <c:v>4613</c:v>
                      </c:pt>
                      <c:pt idx="81">
                        <c:v>4613</c:v>
                      </c:pt>
                      <c:pt idx="82">
                        <c:v>4613</c:v>
                      </c:pt>
                      <c:pt idx="83">
                        <c:v>4613</c:v>
                      </c:pt>
                      <c:pt idx="84">
                        <c:v>4613</c:v>
                      </c:pt>
                      <c:pt idx="85">
                        <c:v>4613</c:v>
                      </c:pt>
                      <c:pt idx="86">
                        <c:v>4613</c:v>
                      </c:pt>
                      <c:pt idx="87">
                        <c:v>4613</c:v>
                      </c:pt>
                      <c:pt idx="88">
                        <c:v>4613</c:v>
                      </c:pt>
                      <c:pt idx="89">
                        <c:v>4613</c:v>
                      </c:pt>
                      <c:pt idx="90">
                        <c:v>4613</c:v>
                      </c:pt>
                      <c:pt idx="91">
                        <c:v>4613</c:v>
                      </c:pt>
                      <c:pt idx="92">
                        <c:v>4613</c:v>
                      </c:pt>
                      <c:pt idx="93">
                        <c:v>4613</c:v>
                      </c:pt>
                      <c:pt idx="94">
                        <c:v>4613</c:v>
                      </c:pt>
                      <c:pt idx="95">
                        <c:v>4613</c:v>
                      </c:pt>
                      <c:pt idx="96">
                        <c:v>4613</c:v>
                      </c:pt>
                      <c:pt idx="97">
                        <c:v>4613</c:v>
                      </c:pt>
                      <c:pt idx="98">
                        <c:v>4613</c:v>
                      </c:pt>
                      <c:pt idx="99">
                        <c:v>4613</c:v>
                      </c:pt>
                      <c:pt idx="100">
                        <c:v>4613</c:v>
                      </c:pt>
                      <c:pt idx="101">
                        <c:v>4613</c:v>
                      </c:pt>
                      <c:pt idx="102">
                        <c:v>4613</c:v>
                      </c:pt>
                      <c:pt idx="103">
                        <c:v>4613</c:v>
                      </c:pt>
                      <c:pt idx="104">
                        <c:v>4613</c:v>
                      </c:pt>
                      <c:pt idx="105">
                        <c:v>2696.8141957799999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4613</c:v>
                      </c:pt>
                      <c:pt idx="114">
                        <c:v>4613</c:v>
                      </c:pt>
                      <c:pt idx="115">
                        <c:v>4613</c:v>
                      </c:pt>
                      <c:pt idx="116">
                        <c:v>4613</c:v>
                      </c:pt>
                      <c:pt idx="117">
                        <c:v>4613</c:v>
                      </c:pt>
                      <c:pt idx="118">
                        <c:v>4613</c:v>
                      </c:pt>
                      <c:pt idx="119">
                        <c:v>4613</c:v>
                      </c:pt>
                      <c:pt idx="120">
                        <c:v>4613</c:v>
                      </c:pt>
                      <c:pt idx="121">
                        <c:v>4613</c:v>
                      </c:pt>
                      <c:pt idx="122">
                        <c:v>4613</c:v>
                      </c:pt>
                      <c:pt idx="123">
                        <c:v>4613</c:v>
                      </c:pt>
                      <c:pt idx="124">
                        <c:v>4613</c:v>
                      </c:pt>
                      <c:pt idx="125">
                        <c:v>4613</c:v>
                      </c:pt>
                      <c:pt idx="126">
                        <c:v>4613</c:v>
                      </c:pt>
                      <c:pt idx="127">
                        <c:v>4613</c:v>
                      </c:pt>
                      <c:pt idx="128">
                        <c:v>4613</c:v>
                      </c:pt>
                      <c:pt idx="129">
                        <c:v>4613</c:v>
                      </c:pt>
                      <c:pt idx="130">
                        <c:v>931.99979149000001</c:v>
                      </c:pt>
                      <c:pt idx="131">
                        <c:v>4613</c:v>
                      </c:pt>
                      <c:pt idx="132">
                        <c:v>2785.1080021299999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4613</c:v>
                      </c:pt>
                      <c:pt idx="138">
                        <c:v>4613</c:v>
                      </c:pt>
                      <c:pt idx="139">
                        <c:v>4613</c:v>
                      </c:pt>
                      <c:pt idx="140">
                        <c:v>4613</c:v>
                      </c:pt>
                      <c:pt idx="141">
                        <c:v>3458.3974297899999</c:v>
                      </c:pt>
                      <c:pt idx="142">
                        <c:v>4613</c:v>
                      </c:pt>
                      <c:pt idx="143">
                        <c:v>3821.1880371500001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2064.9701558299998</c:v>
                      </c:pt>
                      <c:pt idx="163">
                        <c:v>4613</c:v>
                      </c:pt>
                      <c:pt idx="164">
                        <c:v>3999.9155957399998</c:v>
                      </c:pt>
                      <c:pt idx="165">
                        <c:v>2460.2040297899998</c:v>
                      </c:pt>
                      <c:pt idx="166">
                        <c:v>4613</c:v>
                      </c:pt>
                      <c:pt idx="167">
                        <c:v>1388.2723531900001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9CD-46BC-806F-26182F1CF18E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20000"/>
                      <a:lumOff val="80000"/>
                      <a:alpha val="82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Generacion'!$AV$6:$AV$173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2877.985924161866</c:v>
                      </c:pt>
                      <c:pt idx="1">
                        <c:v>0</c:v>
                      </c:pt>
                      <c:pt idx="2">
                        <c:v>3093.9253817630588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2815.553749976214</c:v>
                      </c:pt>
                      <c:pt idx="18">
                        <c:v>3135</c:v>
                      </c:pt>
                      <c:pt idx="19">
                        <c:v>3135</c:v>
                      </c:pt>
                      <c:pt idx="20">
                        <c:v>3135</c:v>
                      </c:pt>
                      <c:pt idx="21">
                        <c:v>3135</c:v>
                      </c:pt>
                      <c:pt idx="22">
                        <c:v>3135</c:v>
                      </c:pt>
                      <c:pt idx="23">
                        <c:v>3135</c:v>
                      </c:pt>
                      <c:pt idx="24">
                        <c:v>3135</c:v>
                      </c:pt>
                      <c:pt idx="25">
                        <c:v>3135</c:v>
                      </c:pt>
                      <c:pt idx="26">
                        <c:v>3135</c:v>
                      </c:pt>
                      <c:pt idx="27">
                        <c:v>3135</c:v>
                      </c:pt>
                      <c:pt idx="28">
                        <c:v>3135</c:v>
                      </c:pt>
                      <c:pt idx="29">
                        <c:v>3135</c:v>
                      </c:pt>
                      <c:pt idx="30">
                        <c:v>3135</c:v>
                      </c:pt>
                      <c:pt idx="31">
                        <c:v>3135</c:v>
                      </c:pt>
                      <c:pt idx="32">
                        <c:v>3135</c:v>
                      </c:pt>
                      <c:pt idx="33">
                        <c:v>3135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2631.078580369528</c:v>
                      </c:pt>
                      <c:pt idx="42">
                        <c:v>99.341100350560311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713.53502990011782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1288.694734037764</c:v>
                      </c:pt>
                      <c:pt idx="66">
                        <c:v>3135</c:v>
                      </c:pt>
                      <c:pt idx="67">
                        <c:v>3135</c:v>
                      </c:pt>
                      <c:pt idx="68">
                        <c:v>3135</c:v>
                      </c:pt>
                      <c:pt idx="69">
                        <c:v>3135</c:v>
                      </c:pt>
                      <c:pt idx="70">
                        <c:v>3135</c:v>
                      </c:pt>
                      <c:pt idx="71">
                        <c:v>3135</c:v>
                      </c:pt>
                      <c:pt idx="72">
                        <c:v>2238.3712834037642</c:v>
                      </c:pt>
                      <c:pt idx="73">
                        <c:v>2032.951083400824</c:v>
                      </c:pt>
                      <c:pt idx="74">
                        <c:v>1424.061840973884</c:v>
                      </c:pt>
                      <c:pt idx="75">
                        <c:v>1084.2574991507049</c:v>
                      </c:pt>
                      <c:pt idx="76">
                        <c:v>1247.285672769648</c:v>
                      </c:pt>
                      <c:pt idx="77">
                        <c:v>1562.411013930119</c:v>
                      </c:pt>
                      <c:pt idx="78">
                        <c:v>2042.2099974291759</c:v>
                      </c:pt>
                      <c:pt idx="79">
                        <c:v>3033.1503409267061</c:v>
                      </c:pt>
                      <c:pt idx="80">
                        <c:v>3135</c:v>
                      </c:pt>
                      <c:pt idx="81">
                        <c:v>3135</c:v>
                      </c:pt>
                      <c:pt idx="82">
                        <c:v>2316.1753997748228</c:v>
                      </c:pt>
                      <c:pt idx="83">
                        <c:v>431.45248076647158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2715.6940365545888</c:v>
                      </c:pt>
                      <c:pt idx="89">
                        <c:v>3135</c:v>
                      </c:pt>
                      <c:pt idx="90">
                        <c:v>3135</c:v>
                      </c:pt>
                      <c:pt idx="91">
                        <c:v>80.995667754879079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3135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CD-46BC-806F-26182F1CF18E}"/>
                  </c:ext>
                </c:extLst>
              </c15:ser>
            </c15:filteredAreaSeries>
            <c15:filteredArea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CD-46BC-806F-26182F1CF18E}"/>
                  </c:ext>
                </c:extLst>
              </c15:ser>
            </c15:filteredAreaSeries>
            <c15:filteredAreaSeries>
              <c15:ser>
                <c:idx val="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CD-46BC-806F-26182F1CF18E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PTh2 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TYNDP 26 vs. BenchMarking</a:t>
            </a:r>
            <a:endParaRPr lang="es-ES" b="1"/>
          </a:p>
        </c:rich>
      </c:tx>
      <c:layout>
        <c:manualLayout>
          <c:xMode val="edge"/>
          <c:yMode val="edge"/>
          <c:x val="0.32060060674233903"/>
          <c:y val="2.80865951748556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'Comparación Precios'!$S$4</c:f>
              <c:strCache>
                <c:ptCount val="1"/>
                <c:pt idx="0">
                  <c:v> TYNDP 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Precios'!$S$5:$S$173</c:f>
              <c:numCache>
                <c:formatCode>General</c:formatCode>
                <c:ptCount val="169"/>
                <c:pt idx="0">
                  <c:v>74.529202639999994</c:v>
                </c:pt>
                <c:pt idx="1">
                  <c:v>74.529202639999994</c:v>
                </c:pt>
                <c:pt idx="2">
                  <c:v>74.529202639999994</c:v>
                </c:pt>
                <c:pt idx="3">
                  <c:v>74.529202639999994</c:v>
                </c:pt>
                <c:pt idx="4">
                  <c:v>74.529202639999994</c:v>
                </c:pt>
                <c:pt idx="5">
                  <c:v>74.529202639999994</c:v>
                </c:pt>
                <c:pt idx="6">
                  <c:v>74.529202639999994</c:v>
                </c:pt>
                <c:pt idx="7">
                  <c:v>74.529202639999994</c:v>
                </c:pt>
                <c:pt idx="8">
                  <c:v>235.89461349999999</c:v>
                </c:pt>
                <c:pt idx="9">
                  <c:v>0.46478872999999998</c:v>
                </c:pt>
                <c:pt idx="10">
                  <c:v>0.46478872999999998</c:v>
                </c:pt>
                <c:pt idx="11">
                  <c:v>0.46478872999999998</c:v>
                </c:pt>
                <c:pt idx="12">
                  <c:v>0.46478872999999998</c:v>
                </c:pt>
                <c:pt idx="13">
                  <c:v>0.46478872999999998</c:v>
                </c:pt>
                <c:pt idx="14">
                  <c:v>0.46478872999999998</c:v>
                </c:pt>
                <c:pt idx="15">
                  <c:v>0.46478872999999998</c:v>
                </c:pt>
                <c:pt idx="16">
                  <c:v>0.46478872999999998</c:v>
                </c:pt>
                <c:pt idx="17">
                  <c:v>0.46478872999999998</c:v>
                </c:pt>
                <c:pt idx="18">
                  <c:v>429.18397375000001</c:v>
                </c:pt>
                <c:pt idx="19">
                  <c:v>182.04433718999999</c:v>
                </c:pt>
                <c:pt idx="20">
                  <c:v>182.04433718999999</c:v>
                </c:pt>
                <c:pt idx="21">
                  <c:v>182.04433718999999</c:v>
                </c:pt>
                <c:pt idx="22">
                  <c:v>182.04433718999999</c:v>
                </c:pt>
                <c:pt idx="23">
                  <c:v>177.95366197000001</c:v>
                </c:pt>
                <c:pt idx="24">
                  <c:v>167.51990007000001</c:v>
                </c:pt>
                <c:pt idx="25">
                  <c:v>167.51990007000001</c:v>
                </c:pt>
                <c:pt idx="26">
                  <c:v>167.51990007000001</c:v>
                </c:pt>
                <c:pt idx="27">
                  <c:v>167.51990007000001</c:v>
                </c:pt>
                <c:pt idx="28">
                  <c:v>177.95445423000001</c:v>
                </c:pt>
                <c:pt idx="29">
                  <c:v>182.04433718999999</c:v>
                </c:pt>
                <c:pt idx="30">
                  <c:v>182.04433718999999</c:v>
                </c:pt>
                <c:pt idx="31">
                  <c:v>182.04433718999999</c:v>
                </c:pt>
                <c:pt idx="32">
                  <c:v>502.87855605999999</c:v>
                </c:pt>
                <c:pt idx="33">
                  <c:v>0.46478872999999998</c:v>
                </c:pt>
                <c:pt idx="34">
                  <c:v>0.46478872999999998</c:v>
                </c:pt>
                <c:pt idx="35">
                  <c:v>0.46478872999999998</c:v>
                </c:pt>
                <c:pt idx="36">
                  <c:v>0.46478872999999998</c:v>
                </c:pt>
                <c:pt idx="37">
                  <c:v>0.46478872999999998</c:v>
                </c:pt>
                <c:pt idx="38">
                  <c:v>0.46478872999999998</c:v>
                </c:pt>
                <c:pt idx="39">
                  <c:v>0.46478872999999998</c:v>
                </c:pt>
                <c:pt idx="40">
                  <c:v>0.46478872999999998</c:v>
                </c:pt>
                <c:pt idx="41">
                  <c:v>0.46478872999999998</c:v>
                </c:pt>
                <c:pt idx="42">
                  <c:v>621.57601485999999</c:v>
                </c:pt>
                <c:pt idx="43">
                  <c:v>220.94305775000001</c:v>
                </c:pt>
                <c:pt idx="44">
                  <c:v>220.8825215</c:v>
                </c:pt>
                <c:pt idx="45">
                  <c:v>173.78873239000001</c:v>
                </c:pt>
                <c:pt idx="46">
                  <c:v>173.78873239000001</c:v>
                </c:pt>
                <c:pt idx="47">
                  <c:v>173.78873239000001</c:v>
                </c:pt>
                <c:pt idx="48">
                  <c:v>173.78464789</c:v>
                </c:pt>
                <c:pt idx="49">
                  <c:v>173.78464789</c:v>
                </c:pt>
                <c:pt idx="50">
                  <c:v>173.78464789</c:v>
                </c:pt>
                <c:pt idx="51">
                  <c:v>173.77964789000001</c:v>
                </c:pt>
                <c:pt idx="52">
                  <c:v>173.78464789</c:v>
                </c:pt>
                <c:pt idx="53">
                  <c:v>173.80873238999999</c:v>
                </c:pt>
                <c:pt idx="54">
                  <c:v>220.94305775000001</c:v>
                </c:pt>
                <c:pt idx="55">
                  <c:v>220.94305775000001</c:v>
                </c:pt>
                <c:pt idx="56">
                  <c:v>220.94305775000001</c:v>
                </c:pt>
                <c:pt idx="57">
                  <c:v>423.05188848</c:v>
                </c:pt>
                <c:pt idx="58">
                  <c:v>0.46478872999999998</c:v>
                </c:pt>
                <c:pt idx="59">
                  <c:v>0.46478872999999998</c:v>
                </c:pt>
                <c:pt idx="60">
                  <c:v>0.46478872999999998</c:v>
                </c:pt>
                <c:pt idx="61">
                  <c:v>0.46478872999999998</c:v>
                </c:pt>
                <c:pt idx="62">
                  <c:v>0.46478872999999998</c:v>
                </c:pt>
                <c:pt idx="63">
                  <c:v>0.46478872999999998</c:v>
                </c:pt>
                <c:pt idx="64">
                  <c:v>0.46478872999999998</c:v>
                </c:pt>
                <c:pt idx="65">
                  <c:v>0.46478872999999998</c:v>
                </c:pt>
                <c:pt idx="66">
                  <c:v>677.05304013</c:v>
                </c:pt>
                <c:pt idx="67">
                  <c:v>225.60398155999999</c:v>
                </c:pt>
                <c:pt idx="68">
                  <c:v>225.60398155999999</c:v>
                </c:pt>
                <c:pt idx="69">
                  <c:v>225.60398155999999</c:v>
                </c:pt>
                <c:pt idx="70">
                  <c:v>208.46516986</c:v>
                </c:pt>
                <c:pt idx="71">
                  <c:v>173.80873238999999</c:v>
                </c:pt>
                <c:pt idx="72">
                  <c:v>173.80873238999999</c:v>
                </c:pt>
                <c:pt idx="73">
                  <c:v>173.80873238999999</c:v>
                </c:pt>
                <c:pt idx="74">
                  <c:v>173.80873238999999</c:v>
                </c:pt>
                <c:pt idx="75">
                  <c:v>173.80873238999999</c:v>
                </c:pt>
                <c:pt idx="76">
                  <c:v>173.80873238999999</c:v>
                </c:pt>
                <c:pt idx="77">
                  <c:v>220.94305775000001</c:v>
                </c:pt>
                <c:pt idx="78">
                  <c:v>220.94305775000001</c:v>
                </c:pt>
                <c:pt idx="79">
                  <c:v>225.60398155999999</c:v>
                </c:pt>
                <c:pt idx="80">
                  <c:v>225.60398155999999</c:v>
                </c:pt>
                <c:pt idx="81">
                  <c:v>388.55947887000002</c:v>
                </c:pt>
                <c:pt idx="82">
                  <c:v>0.46478872999999998</c:v>
                </c:pt>
                <c:pt idx="83">
                  <c:v>0.46478872999999998</c:v>
                </c:pt>
                <c:pt idx="84">
                  <c:v>0.46478872999999998</c:v>
                </c:pt>
                <c:pt idx="85">
                  <c:v>0.46478872999999998</c:v>
                </c:pt>
                <c:pt idx="86">
                  <c:v>0.46478872999999998</c:v>
                </c:pt>
                <c:pt idx="87">
                  <c:v>0.46478872999999998</c:v>
                </c:pt>
                <c:pt idx="88">
                  <c:v>44.480484509999997</c:v>
                </c:pt>
                <c:pt idx="89">
                  <c:v>29.830698590000001</c:v>
                </c:pt>
                <c:pt idx="90">
                  <c:v>29.830698590000001</c:v>
                </c:pt>
                <c:pt idx="91">
                  <c:v>29.830698590000001</c:v>
                </c:pt>
                <c:pt idx="92">
                  <c:v>59.196608449999999</c:v>
                </c:pt>
                <c:pt idx="93">
                  <c:v>0.46478872999999998</c:v>
                </c:pt>
                <c:pt idx="94">
                  <c:v>22.486721129999999</c:v>
                </c:pt>
                <c:pt idx="95">
                  <c:v>22.458552109999999</c:v>
                </c:pt>
                <c:pt idx="96">
                  <c:v>22.458552109999999</c:v>
                </c:pt>
                <c:pt idx="97">
                  <c:v>22.458552109999999</c:v>
                </c:pt>
                <c:pt idx="98">
                  <c:v>22.458552109999999</c:v>
                </c:pt>
                <c:pt idx="99">
                  <c:v>22.458552109999999</c:v>
                </c:pt>
                <c:pt idx="100">
                  <c:v>22.458552109999999</c:v>
                </c:pt>
                <c:pt idx="101">
                  <c:v>22.458552109999999</c:v>
                </c:pt>
                <c:pt idx="102">
                  <c:v>22.458552109999999</c:v>
                </c:pt>
                <c:pt idx="103">
                  <c:v>22.458552109999999</c:v>
                </c:pt>
                <c:pt idx="104">
                  <c:v>22.458552109999999</c:v>
                </c:pt>
                <c:pt idx="105">
                  <c:v>16.92761127</c:v>
                </c:pt>
                <c:pt idx="106">
                  <c:v>0.46478872999999998</c:v>
                </c:pt>
                <c:pt idx="107">
                  <c:v>0.46478872999999998</c:v>
                </c:pt>
                <c:pt idx="108">
                  <c:v>0.46478872999999998</c:v>
                </c:pt>
                <c:pt idx="109">
                  <c:v>0.46478872999999998</c:v>
                </c:pt>
                <c:pt idx="110">
                  <c:v>0.46478872999999998</c:v>
                </c:pt>
                <c:pt idx="111">
                  <c:v>0.46478872999999998</c:v>
                </c:pt>
                <c:pt idx="112">
                  <c:v>0.46478872999999998</c:v>
                </c:pt>
                <c:pt idx="113">
                  <c:v>0.46478872999999998</c:v>
                </c:pt>
                <c:pt idx="114">
                  <c:v>44.207629969999999</c:v>
                </c:pt>
                <c:pt idx="115">
                  <c:v>22.458552109999999</c:v>
                </c:pt>
                <c:pt idx="116">
                  <c:v>22.458552109999999</c:v>
                </c:pt>
                <c:pt idx="117">
                  <c:v>22.458552109999999</c:v>
                </c:pt>
                <c:pt idx="118">
                  <c:v>22.458552109999999</c:v>
                </c:pt>
                <c:pt idx="119">
                  <c:v>22.458552109999999</c:v>
                </c:pt>
                <c:pt idx="120">
                  <c:v>3000</c:v>
                </c:pt>
                <c:pt idx="121">
                  <c:v>22.215745070000001</c:v>
                </c:pt>
                <c:pt idx="122">
                  <c:v>22.215745070000001</c:v>
                </c:pt>
                <c:pt idx="123">
                  <c:v>22.215745070000001</c:v>
                </c:pt>
                <c:pt idx="124">
                  <c:v>22.215745070000001</c:v>
                </c:pt>
                <c:pt idx="125">
                  <c:v>22.215745070000001</c:v>
                </c:pt>
                <c:pt idx="126">
                  <c:v>22.215745070000001</c:v>
                </c:pt>
                <c:pt idx="127">
                  <c:v>22.215745070000001</c:v>
                </c:pt>
                <c:pt idx="128">
                  <c:v>22.215745070000001</c:v>
                </c:pt>
                <c:pt idx="129">
                  <c:v>16.780505990000002</c:v>
                </c:pt>
                <c:pt idx="130">
                  <c:v>0.46478872999999998</c:v>
                </c:pt>
                <c:pt idx="131">
                  <c:v>0.46478872999999998</c:v>
                </c:pt>
                <c:pt idx="132">
                  <c:v>0.46478872999999998</c:v>
                </c:pt>
                <c:pt idx="133">
                  <c:v>0.46478872999999998</c:v>
                </c:pt>
                <c:pt idx="134">
                  <c:v>0.46478872999999998</c:v>
                </c:pt>
                <c:pt idx="135">
                  <c:v>0.46478872999999998</c:v>
                </c:pt>
                <c:pt idx="136">
                  <c:v>0.46478872999999998</c:v>
                </c:pt>
                <c:pt idx="137">
                  <c:v>22.16574507</c:v>
                </c:pt>
                <c:pt idx="138">
                  <c:v>22.195745070000001</c:v>
                </c:pt>
                <c:pt idx="139">
                  <c:v>22.195745070000001</c:v>
                </c:pt>
                <c:pt idx="140">
                  <c:v>22.195745070000001</c:v>
                </c:pt>
                <c:pt idx="141">
                  <c:v>22.195745070000001</c:v>
                </c:pt>
                <c:pt idx="142">
                  <c:v>22.195745070000001</c:v>
                </c:pt>
                <c:pt idx="143">
                  <c:v>22.15982958</c:v>
                </c:pt>
                <c:pt idx="144">
                  <c:v>0.46478872999999998</c:v>
                </c:pt>
                <c:pt idx="145">
                  <c:v>0.46478872999999998</c:v>
                </c:pt>
                <c:pt idx="146">
                  <c:v>0.46478872999999998</c:v>
                </c:pt>
                <c:pt idx="147">
                  <c:v>0.46478872999999998</c:v>
                </c:pt>
                <c:pt idx="148">
                  <c:v>0.46478872999999998</c:v>
                </c:pt>
                <c:pt idx="149">
                  <c:v>0.46478872999999998</c:v>
                </c:pt>
                <c:pt idx="150">
                  <c:v>0.46478872999999998</c:v>
                </c:pt>
                <c:pt idx="151">
                  <c:v>0.46478872999999998</c:v>
                </c:pt>
                <c:pt idx="152">
                  <c:v>0.46478872999999998</c:v>
                </c:pt>
                <c:pt idx="153">
                  <c:v>0.46478872999999998</c:v>
                </c:pt>
                <c:pt idx="154">
                  <c:v>0.46478872999999998</c:v>
                </c:pt>
                <c:pt idx="155">
                  <c:v>0.46478872999999998</c:v>
                </c:pt>
                <c:pt idx="156">
                  <c:v>0.46478872999999998</c:v>
                </c:pt>
                <c:pt idx="157">
                  <c:v>0.46478872999999998</c:v>
                </c:pt>
                <c:pt idx="158">
                  <c:v>0.46478872999999998</c:v>
                </c:pt>
                <c:pt idx="159">
                  <c:v>0.46478872999999998</c:v>
                </c:pt>
                <c:pt idx="160">
                  <c:v>0.46478872999999998</c:v>
                </c:pt>
                <c:pt idx="161">
                  <c:v>0.46478872999999998</c:v>
                </c:pt>
                <c:pt idx="162">
                  <c:v>0.46478872999999998</c:v>
                </c:pt>
                <c:pt idx="163">
                  <c:v>0.46478872999999998</c:v>
                </c:pt>
                <c:pt idx="164">
                  <c:v>0.46478872999999998</c:v>
                </c:pt>
                <c:pt idx="165">
                  <c:v>0.46478872999999998</c:v>
                </c:pt>
                <c:pt idx="166">
                  <c:v>0.46478872999999998</c:v>
                </c:pt>
                <c:pt idx="167">
                  <c:v>0.46478872999999998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6-40DE-9E26-64EA03F7EAD5}"/>
            </c:ext>
          </c:extLst>
        </c:ser>
        <c:ser>
          <c:idx val="5"/>
          <c:order val="1"/>
          <c:tx>
            <c:strRef>
              <c:f>'Comparación Precios'!$T$4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82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Precios'!$T$5:$T$173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6-40DE-9E26-64EA03F7E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Generacion'!$AU$5</c15:sqref>
                        </c15:formulaRef>
                      </c:ext>
                    </c:extLst>
                    <c:strCache>
                      <c:ptCount val="1"/>
                      <c:pt idx="0">
                        <c:v>TYNDP</c:v>
                      </c:pt>
                    </c:strCache>
                  </c:strRef>
                </c:tx>
                <c:spPr>
                  <a:solidFill>
                    <a:schemeClr val="accent2">
                      <a:alpha val="76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Generacion'!$AU$6:$AU$173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4613</c:v>
                      </c:pt>
                      <c:pt idx="1">
                        <c:v>4613</c:v>
                      </c:pt>
                      <c:pt idx="2">
                        <c:v>4613</c:v>
                      </c:pt>
                      <c:pt idx="3">
                        <c:v>4613</c:v>
                      </c:pt>
                      <c:pt idx="4">
                        <c:v>4613</c:v>
                      </c:pt>
                      <c:pt idx="5">
                        <c:v>4613</c:v>
                      </c:pt>
                      <c:pt idx="6">
                        <c:v>4613</c:v>
                      </c:pt>
                      <c:pt idx="7">
                        <c:v>4613</c:v>
                      </c:pt>
                      <c:pt idx="8">
                        <c:v>4613</c:v>
                      </c:pt>
                      <c:pt idx="9">
                        <c:v>4613</c:v>
                      </c:pt>
                      <c:pt idx="10">
                        <c:v>4613</c:v>
                      </c:pt>
                      <c:pt idx="11">
                        <c:v>3484.0037682699999</c:v>
                      </c:pt>
                      <c:pt idx="12">
                        <c:v>4613</c:v>
                      </c:pt>
                      <c:pt idx="13">
                        <c:v>4538.1274936199998</c:v>
                      </c:pt>
                      <c:pt idx="14">
                        <c:v>4479.8725723400003</c:v>
                      </c:pt>
                      <c:pt idx="15">
                        <c:v>4613</c:v>
                      </c:pt>
                      <c:pt idx="16">
                        <c:v>4613</c:v>
                      </c:pt>
                      <c:pt idx="17">
                        <c:v>4613</c:v>
                      </c:pt>
                      <c:pt idx="18">
                        <c:v>4613</c:v>
                      </c:pt>
                      <c:pt idx="19">
                        <c:v>4613</c:v>
                      </c:pt>
                      <c:pt idx="20">
                        <c:v>4613</c:v>
                      </c:pt>
                      <c:pt idx="21">
                        <c:v>4613</c:v>
                      </c:pt>
                      <c:pt idx="22">
                        <c:v>4613</c:v>
                      </c:pt>
                      <c:pt idx="23">
                        <c:v>4613</c:v>
                      </c:pt>
                      <c:pt idx="24">
                        <c:v>4613</c:v>
                      </c:pt>
                      <c:pt idx="25">
                        <c:v>4613</c:v>
                      </c:pt>
                      <c:pt idx="26">
                        <c:v>4613</c:v>
                      </c:pt>
                      <c:pt idx="27">
                        <c:v>4613</c:v>
                      </c:pt>
                      <c:pt idx="28">
                        <c:v>4613</c:v>
                      </c:pt>
                      <c:pt idx="29">
                        <c:v>4613</c:v>
                      </c:pt>
                      <c:pt idx="30">
                        <c:v>4613</c:v>
                      </c:pt>
                      <c:pt idx="31">
                        <c:v>4613</c:v>
                      </c:pt>
                      <c:pt idx="32">
                        <c:v>4613</c:v>
                      </c:pt>
                      <c:pt idx="33">
                        <c:v>4613</c:v>
                      </c:pt>
                      <c:pt idx="34">
                        <c:v>4613</c:v>
                      </c:pt>
                      <c:pt idx="35">
                        <c:v>4613</c:v>
                      </c:pt>
                      <c:pt idx="36">
                        <c:v>4613</c:v>
                      </c:pt>
                      <c:pt idx="37">
                        <c:v>4613</c:v>
                      </c:pt>
                      <c:pt idx="38">
                        <c:v>4613</c:v>
                      </c:pt>
                      <c:pt idx="39">
                        <c:v>4613</c:v>
                      </c:pt>
                      <c:pt idx="40">
                        <c:v>4613</c:v>
                      </c:pt>
                      <c:pt idx="41">
                        <c:v>4613</c:v>
                      </c:pt>
                      <c:pt idx="42">
                        <c:v>4613</c:v>
                      </c:pt>
                      <c:pt idx="43">
                        <c:v>4613</c:v>
                      </c:pt>
                      <c:pt idx="44">
                        <c:v>4613</c:v>
                      </c:pt>
                      <c:pt idx="45">
                        <c:v>4613</c:v>
                      </c:pt>
                      <c:pt idx="46">
                        <c:v>4613</c:v>
                      </c:pt>
                      <c:pt idx="47">
                        <c:v>4613</c:v>
                      </c:pt>
                      <c:pt idx="48">
                        <c:v>4613</c:v>
                      </c:pt>
                      <c:pt idx="49">
                        <c:v>4613</c:v>
                      </c:pt>
                      <c:pt idx="50">
                        <c:v>4613</c:v>
                      </c:pt>
                      <c:pt idx="51">
                        <c:v>4613</c:v>
                      </c:pt>
                      <c:pt idx="52">
                        <c:v>4613</c:v>
                      </c:pt>
                      <c:pt idx="53">
                        <c:v>4613</c:v>
                      </c:pt>
                      <c:pt idx="54">
                        <c:v>4613</c:v>
                      </c:pt>
                      <c:pt idx="55">
                        <c:v>4613</c:v>
                      </c:pt>
                      <c:pt idx="56">
                        <c:v>4613</c:v>
                      </c:pt>
                      <c:pt idx="57">
                        <c:v>4613</c:v>
                      </c:pt>
                      <c:pt idx="58">
                        <c:v>4613</c:v>
                      </c:pt>
                      <c:pt idx="59">
                        <c:v>4613</c:v>
                      </c:pt>
                      <c:pt idx="60">
                        <c:v>4613</c:v>
                      </c:pt>
                      <c:pt idx="61">
                        <c:v>4613</c:v>
                      </c:pt>
                      <c:pt idx="62">
                        <c:v>4613</c:v>
                      </c:pt>
                      <c:pt idx="63">
                        <c:v>4613</c:v>
                      </c:pt>
                      <c:pt idx="64">
                        <c:v>4613</c:v>
                      </c:pt>
                      <c:pt idx="65">
                        <c:v>4613</c:v>
                      </c:pt>
                      <c:pt idx="66">
                        <c:v>4613</c:v>
                      </c:pt>
                      <c:pt idx="67">
                        <c:v>4613</c:v>
                      </c:pt>
                      <c:pt idx="68">
                        <c:v>4613</c:v>
                      </c:pt>
                      <c:pt idx="69">
                        <c:v>4613</c:v>
                      </c:pt>
                      <c:pt idx="70">
                        <c:v>4613</c:v>
                      </c:pt>
                      <c:pt idx="71">
                        <c:v>4613</c:v>
                      </c:pt>
                      <c:pt idx="72">
                        <c:v>4613</c:v>
                      </c:pt>
                      <c:pt idx="73">
                        <c:v>4613</c:v>
                      </c:pt>
                      <c:pt idx="74">
                        <c:v>4613</c:v>
                      </c:pt>
                      <c:pt idx="75">
                        <c:v>4613</c:v>
                      </c:pt>
                      <c:pt idx="76">
                        <c:v>4613</c:v>
                      </c:pt>
                      <c:pt idx="77">
                        <c:v>4613</c:v>
                      </c:pt>
                      <c:pt idx="78">
                        <c:v>4613</c:v>
                      </c:pt>
                      <c:pt idx="79">
                        <c:v>4613</c:v>
                      </c:pt>
                      <c:pt idx="80">
                        <c:v>4613</c:v>
                      </c:pt>
                      <c:pt idx="81">
                        <c:v>4613</c:v>
                      </c:pt>
                      <c:pt idx="82">
                        <c:v>4613</c:v>
                      </c:pt>
                      <c:pt idx="83">
                        <c:v>4613</c:v>
                      </c:pt>
                      <c:pt idx="84">
                        <c:v>4613</c:v>
                      </c:pt>
                      <c:pt idx="85">
                        <c:v>4613</c:v>
                      </c:pt>
                      <c:pt idx="86">
                        <c:v>4613</c:v>
                      </c:pt>
                      <c:pt idx="87">
                        <c:v>4613</c:v>
                      </c:pt>
                      <c:pt idx="88">
                        <c:v>4613</c:v>
                      </c:pt>
                      <c:pt idx="89">
                        <c:v>4613</c:v>
                      </c:pt>
                      <c:pt idx="90">
                        <c:v>4613</c:v>
                      </c:pt>
                      <c:pt idx="91">
                        <c:v>4613</c:v>
                      </c:pt>
                      <c:pt idx="92">
                        <c:v>4613</c:v>
                      </c:pt>
                      <c:pt idx="93">
                        <c:v>4613</c:v>
                      </c:pt>
                      <c:pt idx="94">
                        <c:v>4613</c:v>
                      </c:pt>
                      <c:pt idx="95">
                        <c:v>4613</c:v>
                      </c:pt>
                      <c:pt idx="96">
                        <c:v>4613</c:v>
                      </c:pt>
                      <c:pt idx="97">
                        <c:v>4613</c:v>
                      </c:pt>
                      <c:pt idx="98">
                        <c:v>4613</c:v>
                      </c:pt>
                      <c:pt idx="99">
                        <c:v>4613</c:v>
                      </c:pt>
                      <c:pt idx="100">
                        <c:v>4613</c:v>
                      </c:pt>
                      <c:pt idx="101">
                        <c:v>4613</c:v>
                      </c:pt>
                      <c:pt idx="102">
                        <c:v>4613</c:v>
                      </c:pt>
                      <c:pt idx="103">
                        <c:v>4613</c:v>
                      </c:pt>
                      <c:pt idx="104">
                        <c:v>4613</c:v>
                      </c:pt>
                      <c:pt idx="105">
                        <c:v>2696.8141957799999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4613</c:v>
                      </c:pt>
                      <c:pt idx="114">
                        <c:v>4613</c:v>
                      </c:pt>
                      <c:pt idx="115">
                        <c:v>4613</c:v>
                      </c:pt>
                      <c:pt idx="116">
                        <c:v>4613</c:v>
                      </c:pt>
                      <c:pt idx="117">
                        <c:v>4613</c:v>
                      </c:pt>
                      <c:pt idx="118">
                        <c:v>4613</c:v>
                      </c:pt>
                      <c:pt idx="119">
                        <c:v>4613</c:v>
                      </c:pt>
                      <c:pt idx="120">
                        <c:v>4613</c:v>
                      </c:pt>
                      <c:pt idx="121">
                        <c:v>4613</c:v>
                      </c:pt>
                      <c:pt idx="122">
                        <c:v>4613</c:v>
                      </c:pt>
                      <c:pt idx="123">
                        <c:v>4613</c:v>
                      </c:pt>
                      <c:pt idx="124">
                        <c:v>4613</c:v>
                      </c:pt>
                      <c:pt idx="125">
                        <c:v>4613</c:v>
                      </c:pt>
                      <c:pt idx="126">
                        <c:v>4613</c:v>
                      </c:pt>
                      <c:pt idx="127">
                        <c:v>4613</c:v>
                      </c:pt>
                      <c:pt idx="128">
                        <c:v>4613</c:v>
                      </c:pt>
                      <c:pt idx="129">
                        <c:v>4613</c:v>
                      </c:pt>
                      <c:pt idx="130">
                        <c:v>931.99979149000001</c:v>
                      </c:pt>
                      <c:pt idx="131">
                        <c:v>4613</c:v>
                      </c:pt>
                      <c:pt idx="132">
                        <c:v>2785.1080021299999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4613</c:v>
                      </c:pt>
                      <c:pt idx="138">
                        <c:v>4613</c:v>
                      </c:pt>
                      <c:pt idx="139">
                        <c:v>4613</c:v>
                      </c:pt>
                      <c:pt idx="140">
                        <c:v>4613</c:v>
                      </c:pt>
                      <c:pt idx="141">
                        <c:v>3458.3974297899999</c:v>
                      </c:pt>
                      <c:pt idx="142">
                        <c:v>4613</c:v>
                      </c:pt>
                      <c:pt idx="143">
                        <c:v>3821.1880371500001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2064.9701558299998</c:v>
                      </c:pt>
                      <c:pt idx="163">
                        <c:v>4613</c:v>
                      </c:pt>
                      <c:pt idx="164">
                        <c:v>3999.9155957399998</c:v>
                      </c:pt>
                      <c:pt idx="165">
                        <c:v>2460.2040297899998</c:v>
                      </c:pt>
                      <c:pt idx="166">
                        <c:v>4613</c:v>
                      </c:pt>
                      <c:pt idx="167">
                        <c:v>1388.2723531900001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1A6-40DE-9E26-64EA03F7EAD5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20000"/>
                      <a:lumOff val="80000"/>
                      <a:alpha val="82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Generacion'!$AV$6:$AV$173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2877.985924161866</c:v>
                      </c:pt>
                      <c:pt idx="1">
                        <c:v>0</c:v>
                      </c:pt>
                      <c:pt idx="2">
                        <c:v>3093.9253817630588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2815.553749976214</c:v>
                      </c:pt>
                      <c:pt idx="18">
                        <c:v>3135</c:v>
                      </c:pt>
                      <c:pt idx="19">
                        <c:v>3135</c:v>
                      </c:pt>
                      <c:pt idx="20">
                        <c:v>3135</c:v>
                      </c:pt>
                      <c:pt idx="21">
                        <c:v>3135</c:v>
                      </c:pt>
                      <c:pt idx="22">
                        <c:v>3135</c:v>
                      </c:pt>
                      <c:pt idx="23">
                        <c:v>3135</c:v>
                      </c:pt>
                      <c:pt idx="24">
                        <c:v>3135</c:v>
                      </c:pt>
                      <c:pt idx="25">
                        <c:v>3135</c:v>
                      </c:pt>
                      <c:pt idx="26">
                        <c:v>3135</c:v>
                      </c:pt>
                      <c:pt idx="27">
                        <c:v>3135</c:v>
                      </c:pt>
                      <c:pt idx="28">
                        <c:v>3135</c:v>
                      </c:pt>
                      <c:pt idx="29">
                        <c:v>3135</c:v>
                      </c:pt>
                      <c:pt idx="30">
                        <c:v>3135</c:v>
                      </c:pt>
                      <c:pt idx="31">
                        <c:v>3135</c:v>
                      </c:pt>
                      <c:pt idx="32">
                        <c:v>3135</c:v>
                      </c:pt>
                      <c:pt idx="33">
                        <c:v>3135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2631.078580369528</c:v>
                      </c:pt>
                      <c:pt idx="42">
                        <c:v>99.341100350560311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713.53502990011782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1288.694734037764</c:v>
                      </c:pt>
                      <c:pt idx="66">
                        <c:v>3135</c:v>
                      </c:pt>
                      <c:pt idx="67">
                        <c:v>3135</c:v>
                      </c:pt>
                      <c:pt idx="68">
                        <c:v>3135</c:v>
                      </c:pt>
                      <c:pt idx="69">
                        <c:v>3135</c:v>
                      </c:pt>
                      <c:pt idx="70">
                        <c:v>3135</c:v>
                      </c:pt>
                      <c:pt idx="71">
                        <c:v>3135</c:v>
                      </c:pt>
                      <c:pt idx="72">
                        <c:v>2238.3712834037642</c:v>
                      </c:pt>
                      <c:pt idx="73">
                        <c:v>2032.951083400824</c:v>
                      </c:pt>
                      <c:pt idx="74">
                        <c:v>1424.061840973884</c:v>
                      </c:pt>
                      <c:pt idx="75">
                        <c:v>1084.2574991507049</c:v>
                      </c:pt>
                      <c:pt idx="76">
                        <c:v>1247.285672769648</c:v>
                      </c:pt>
                      <c:pt idx="77">
                        <c:v>1562.411013930119</c:v>
                      </c:pt>
                      <c:pt idx="78">
                        <c:v>2042.2099974291759</c:v>
                      </c:pt>
                      <c:pt idx="79">
                        <c:v>3033.1503409267061</c:v>
                      </c:pt>
                      <c:pt idx="80">
                        <c:v>3135</c:v>
                      </c:pt>
                      <c:pt idx="81">
                        <c:v>3135</c:v>
                      </c:pt>
                      <c:pt idx="82">
                        <c:v>2316.1753997748228</c:v>
                      </c:pt>
                      <c:pt idx="83">
                        <c:v>431.45248076647158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2715.6940365545888</c:v>
                      </c:pt>
                      <c:pt idx="89">
                        <c:v>3135</c:v>
                      </c:pt>
                      <c:pt idx="90">
                        <c:v>3135</c:v>
                      </c:pt>
                      <c:pt idx="91">
                        <c:v>80.995667754879079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3135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1A6-40DE-9E26-64EA03F7EAD5}"/>
                  </c:ext>
                </c:extLst>
              </c15:ser>
            </c15:filteredAreaSeries>
            <c15:filteredArea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1A6-40DE-9E26-64EA03F7EAD5}"/>
                  </c:ext>
                </c:extLst>
              </c15:ser>
            </c15:filteredAreaSeries>
            <c15:filteredAreaSeries>
              <c15:ser>
                <c:idx val="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1A6-40DE-9E26-64EA03F7EAD5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ESh2 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baseline="0"/>
              <a:t>TYNDP 26 vs. BenchMarking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'Comparación Precios'!$W$4</c:f>
              <c:strCache>
                <c:ptCount val="1"/>
                <c:pt idx="0">
                  <c:v> TYNDP 26</c:v>
                </c:pt>
              </c:strCache>
            </c:strRef>
          </c:tx>
          <c:spPr>
            <a:solidFill>
              <a:schemeClr val="accent2"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Precios'!$W$5:$W$173</c:f>
              <c:numCache>
                <c:formatCode>General</c:formatCode>
                <c:ptCount val="169"/>
                <c:pt idx="0">
                  <c:v>22.482636620000001</c:v>
                </c:pt>
                <c:pt idx="1">
                  <c:v>22.482636620000001</c:v>
                </c:pt>
                <c:pt idx="2">
                  <c:v>22.482636620000001</c:v>
                </c:pt>
                <c:pt idx="3">
                  <c:v>22.482636620000001</c:v>
                </c:pt>
                <c:pt idx="4">
                  <c:v>22.482636620000001</c:v>
                </c:pt>
                <c:pt idx="5">
                  <c:v>22.482636620000001</c:v>
                </c:pt>
                <c:pt idx="6">
                  <c:v>22.482636620000001</c:v>
                </c:pt>
                <c:pt idx="7">
                  <c:v>22.482636620000001</c:v>
                </c:pt>
                <c:pt idx="8">
                  <c:v>22.482636620000001</c:v>
                </c:pt>
                <c:pt idx="9">
                  <c:v>22.482636620000001</c:v>
                </c:pt>
                <c:pt idx="10">
                  <c:v>22.478552109999999</c:v>
                </c:pt>
                <c:pt idx="11">
                  <c:v>22.263866589999999</c:v>
                </c:pt>
                <c:pt idx="12">
                  <c:v>22.24386659</c:v>
                </c:pt>
                <c:pt idx="13">
                  <c:v>22.24386659</c:v>
                </c:pt>
                <c:pt idx="14">
                  <c:v>22.263866589999999</c:v>
                </c:pt>
                <c:pt idx="15">
                  <c:v>22.277951099999999</c:v>
                </c:pt>
                <c:pt idx="16">
                  <c:v>22.482636620000001</c:v>
                </c:pt>
                <c:pt idx="17">
                  <c:v>22.482636620000001</c:v>
                </c:pt>
                <c:pt idx="18">
                  <c:v>22.482636620000001</c:v>
                </c:pt>
                <c:pt idx="19">
                  <c:v>22.482636620000001</c:v>
                </c:pt>
                <c:pt idx="20">
                  <c:v>22.482636620000001</c:v>
                </c:pt>
                <c:pt idx="21">
                  <c:v>22.482636620000001</c:v>
                </c:pt>
                <c:pt idx="22">
                  <c:v>22.482636620000001</c:v>
                </c:pt>
                <c:pt idx="23">
                  <c:v>22.482636620000001</c:v>
                </c:pt>
                <c:pt idx="24">
                  <c:v>22.482636620000001</c:v>
                </c:pt>
                <c:pt idx="25">
                  <c:v>22.482636620000001</c:v>
                </c:pt>
                <c:pt idx="26">
                  <c:v>22.482636620000001</c:v>
                </c:pt>
                <c:pt idx="27">
                  <c:v>22.482636620000001</c:v>
                </c:pt>
                <c:pt idx="28">
                  <c:v>22.482636620000001</c:v>
                </c:pt>
                <c:pt idx="29">
                  <c:v>22.482636620000001</c:v>
                </c:pt>
                <c:pt idx="30">
                  <c:v>22.482636620000001</c:v>
                </c:pt>
                <c:pt idx="31">
                  <c:v>22.482636620000001</c:v>
                </c:pt>
                <c:pt idx="32">
                  <c:v>22.482636620000001</c:v>
                </c:pt>
                <c:pt idx="33">
                  <c:v>22.482636620000001</c:v>
                </c:pt>
                <c:pt idx="34">
                  <c:v>22.482636620000001</c:v>
                </c:pt>
                <c:pt idx="35">
                  <c:v>22.482636620000001</c:v>
                </c:pt>
                <c:pt idx="36">
                  <c:v>22.468552110000001</c:v>
                </c:pt>
                <c:pt idx="37">
                  <c:v>22.478552109999999</c:v>
                </c:pt>
                <c:pt idx="38">
                  <c:v>22.478552109999999</c:v>
                </c:pt>
                <c:pt idx="39">
                  <c:v>22.478552109999999</c:v>
                </c:pt>
                <c:pt idx="40">
                  <c:v>22.482636620000001</c:v>
                </c:pt>
                <c:pt idx="41">
                  <c:v>22.482636620000001</c:v>
                </c:pt>
                <c:pt idx="42">
                  <c:v>22.482636620000001</c:v>
                </c:pt>
                <c:pt idx="43">
                  <c:v>22.482636620000001</c:v>
                </c:pt>
                <c:pt idx="44">
                  <c:v>22.482636620000001</c:v>
                </c:pt>
                <c:pt idx="45">
                  <c:v>22.482636620000001</c:v>
                </c:pt>
                <c:pt idx="46">
                  <c:v>22.482636620000001</c:v>
                </c:pt>
                <c:pt idx="47">
                  <c:v>22.482636620000001</c:v>
                </c:pt>
                <c:pt idx="48">
                  <c:v>22.482636620000001</c:v>
                </c:pt>
                <c:pt idx="49">
                  <c:v>22.482636620000001</c:v>
                </c:pt>
                <c:pt idx="50">
                  <c:v>22.482636620000001</c:v>
                </c:pt>
                <c:pt idx="51">
                  <c:v>22.482636620000001</c:v>
                </c:pt>
                <c:pt idx="52">
                  <c:v>22.482636620000001</c:v>
                </c:pt>
                <c:pt idx="53">
                  <c:v>22.482636620000001</c:v>
                </c:pt>
                <c:pt idx="54">
                  <c:v>22.468552110000001</c:v>
                </c:pt>
                <c:pt idx="55">
                  <c:v>22.482636620000001</c:v>
                </c:pt>
                <c:pt idx="56">
                  <c:v>22.482636620000001</c:v>
                </c:pt>
                <c:pt idx="57">
                  <c:v>22.482636620000001</c:v>
                </c:pt>
                <c:pt idx="58">
                  <c:v>22.482636620000001</c:v>
                </c:pt>
                <c:pt idx="59">
                  <c:v>22.482636620000001</c:v>
                </c:pt>
                <c:pt idx="60">
                  <c:v>22.478552109999999</c:v>
                </c:pt>
                <c:pt idx="61">
                  <c:v>22.478552109999999</c:v>
                </c:pt>
                <c:pt idx="62">
                  <c:v>22.478552109999999</c:v>
                </c:pt>
                <c:pt idx="63">
                  <c:v>22.482636620000001</c:v>
                </c:pt>
                <c:pt idx="64">
                  <c:v>27.378736539999998</c:v>
                </c:pt>
                <c:pt idx="65">
                  <c:v>140.74557349</c:v>
                </c:pt>
                <c:pt idx="66">
                  <c:v>173.76873239</c:v>
                </c:pt>
                <c:pt idx="67">
                  <c:v>173.76873239</c:v>
                </c:pt>
                <c:pt idx="68">
                  <c:v>140.74557349</c:v>
                </c:pt>
                <c:pt idx="69">
                  <c:v>140.74557349</c:v>
                </c:pt>
                <c:pt idx="70">
                  <c:v>140.74557349</c:v>
                </c:pt>
                <c:pt idx="71">
                  <c:v>140.74557349</c:v>
                </c:pt>
                <c:pt idx="72">
                  <c:v>29.821919250000001</c:v>
                </c:pt>
                <c:pt idx="73">
                  <c:v>29.821919250000001</c:v>
                </c:pt>
                <c:pt idx="74">
                  <c:v>27.406905550000001</c:v>
                </c:pt>
                <c:pt idx="75">
                  <c:v>27.406905550000001</c:v>
                </c:pt>
                <c:pt idx="76">
                  <c:v>27.406905550000001</c:v>
                </c:pt>
                <c:pt idx="77">
                  <c:v>27.378736539999998</c:v>
                </c:pt>
                <c:pt idx="78">
                  <c:v>27.406905550000001</c:v>
                </c:pt>
                <c:pt idx="79">
                  <c:v>29.748473579999999</c:v>
                </c:pt>
                <c:pt idx="80">
                  <c:v>29.821919250000001</c:v>
                </c:pt>
                <c:pt idx="81">
                  <c:v>22.482636620000001</c:v>
                </c:pt>
                <c:pt idx="82">
                  <c:v>22.482636620000001</c:v>
                </c:pt>
                <c:pt idx="83">
                  <c:v>22.482636620000001</c:v>
                </c:pt>
                <c:pt idx="84">
                  <c:v>22.478552109999999</c:v>
                </c:pt>
                <c:pt idx="85">
                  <c:v>22.478552109999999</c:v>
                </c:pt>
                <c:pt idx="86">
                  <c:v>22.468552110000001</c:v>
                </c:pt>
                <c:pt idx="87">
                  <c:v>22.468552110000001</c:v>
                </c:pt>
                <c:pt idx="88">
                  <c:v>22.482636620000001</c:v>
                </c:pt>
                <c:pt idx="89">
                  <c:v>29.821919250000001</c:v>
                </c:pt>
                <c:pt idx="90">
                  <c:v>29.821919250000001</c:v>
                </c:pt>
                <c:pt idx="91">
                  <c:v>29.821919250000001</c:v>
                </c:pt>
                <c:pt idx="92">
                  <c:v>22.482636620000001</c:v>
                </c:pt>
                <c:pt idx="93">
                  <c:v>22.482636620000001</c:v>
                </c:pt>
                <c:pt idx="94">
                  <c:v>22.482636620000001</c:v>
                </c:pt>
                <c:pt idx="95">
                  <c:v>22.468552110000001</c:v>
                </c:pt>
                <c:pt idx="96">
                  <c:v>22.468552110000001</c:v>
                </c:pt>
                <c:pt idx="97">
                  <c:v>22.468552110000001</c:v>
                </c:pt>
                <c:pt idx="98">
                  <c:v>22.468552110000001</c:v>
                </c:pt>
                <c:pt idx="99">
                  <c:v>22.468552110000001</c:v>
                </c:pt>
                <c:pt idx="100">
                  <c:v>22.468552110000001</c:v>
                </c:pt>
                <c:pt idx="101">
                  <c:v>22.468552110000001</c:v>
                </c:pt>
                <c:pt idx="102">
                  <c:v>22.468552110000001</c:v>
                </c:pt>
                <c:pt idx="103">
                  <c:v>22.468552110000001</c:v>
                </c:pt>
                <c:pt idx="104">
                  <c:v>22.468552110000001</c:v>
                </c:pt>
                <c:pt idx="105">
                  <c:v>16.967611269999999</c:v>
                </c:pt>
                <c:pt idx="106">
                  <c:v>0.46478872999999998</c:v>
                </c:pt>
                <c:pt idx="107">
                  <c:v>0.46478872999999998</c:v>
                </c:pt>
                <c:pt idx="108">
                  <c:v>0.46478872999999998</c:v>
                </c:pt>
                <c:pt idx="109">
                  <c:v>0.46478872999999998</c:v>
                </c:pt>
                <c:pt idx="110">
                  <c:v>0.46478872999999998</c:v>
                </c:pt>
                <c:pt idx="111">
                  <c:v>0.46478872999999998</c:v>
                </c:pt>
                <c:pt idx="112">
                  <c:v>0.46478872999999998</c:v>
                </c:pt>
                <c:pt idx="113">
                  <c:v>22.24386659</c:v>
                </c:pt>
                <c:pt idx="114">
                  <c:v>22.468552110000001</c:v>
                </c:pt>
                <c:pt idx="115">
                  <c:v>22.468552110000001</c:v>
                </c:pt>
                <c:pt idx="116">
                  <c:v>22.468552110000001</c:v>
                </c:pt>
                <c:pt idx="117">
                  <c:v>22.468552110000001</c:v>
                </c:pt>
                <c:pt idx="118">
                  <c:v>22.468552110000001</c:v>
                </c:pt>
                <c:pt idx="119">
                  <c:v>22.468552110000001</c:v>
                </c:pt>
                <c:pt idx="120">
                  <c:v>22.205745069999999</c:v>
                </c:pt>
                <c:pt idx="121">
                  <c:v>22.205745069999999</c:v>
                </c:pt>
                <c:pt idx="122">
                  <c:v>22.205745069999999</c:v>
                </c:pt>
                <c:pt idx="123">
                  <c:v>22.205745069999999</c:v>
                </c:pt>
                <c:pt idx="124">
                  <c:v>22.205745069999999</c:v>
                </c:pt>
                <c:pt idx="125">
                  <c:v>22.205745069999999</c:v>
                </c:pt>
                <c:pt idx="126">
                  <c:v>22.205745069999999</c:v>
                </c:pt>
                <c:pt idx="127">
                  <c:v>22.205745069999999</c:v>
                </c:pt>
                <c:pt idx="128">
                  <c:v>22.205745069999999</c:v>
                </c:pt>
                <c:pt idx="129">
                  <c:v>16.77050599</c:v>
                </c:pt>
                <c:pt idx="130">
                  <c:v>0.46478872999999998</c:v>
                </c:pt>
                <c:pt idx="131">
                  <c:v>0.46478872999999998</c:v>
                </c:pt>
                <c:pt idx="132">
                  <c:v>0.46478872999999998</c:v>
                </c:pt>
                <c:pt idx="133">
                  <c:v>0.46478872999999998</c:v>
                </c:pt>
                <c:pt idx="134">
                  <c:v>0.46478872999999998</c:v>
                </c:pt>
                <c:pt idx="135">
                  <c:v>0.46478872999999998</c:v>
                </c:pt>
                <c:pt idx="136">
                  <c:v>0.46478872999999998</c:v>
                </c:pt>
                <c:pt idx="137">
                  <c:v>22.205745069999999</c:v>
                </c:pt>
                <c:pt idx="138">
                  <c:v>22.205745069999999</c:v>
                </c:pt>
                <c:pt idx="139">
                  <c:v>22.205745069999999</c:v>
                </c:pt>
                <c:pt idx="140">
                  <c:v>22.205745069999999</c:v>
                </c:pt>
                <c:pt idx="141">
                  <c:v>22.205745069999999</c:v>
                </c:pt>
                <c:pt idx="142">
                  <c:v>22.205745069999999</c:v>
                </c:pt>
                <c:pt idx="143">
                  <c:v>22.205745069999999</c:v>
                </c:pt>
                <c:pt idx="144">
                  <c:v>0.47887323999999998</c:v>
                </c:pt>
                <c:pt idx="145">
                  <c:v>0.46478872999999998</c:v>
                </c:pt>
                <c:pt idx="146">
                  <c:v>0.46478872999999998</c:v>
                </c:pt>
                <c:pt idx="147">
                  <c:v>0.46478872999999998</c:v>
                </c:pt>
                <c:pt idx="148">
                  <c:v>0.46478872999999998</c:v>
                </c:pt>
                <c:pt idx="149">
                  <c:v>0.46478872999999998</c:v>
                </c:pt>
                <c:pt idx="150">
                  <c:v>0.46478872999999998</c:v>
                </c:pt>
                <c:pt idx="151">
                  <c:v>0.46478872999999998</c:v>
                </c:pt>
                <c:pt idx="152">
                  <c:v>0.46478872999999998</c:v>
                </c:pt>
                <c:pt idx="153">
                  <c:v>0.46478872999999998</c:v>
                </c:pt>
                <c:pt idx="154">
                  <c:v>0.46478872999999998</c:v>
                </c:pt>
                <c:pt idx="155">
                  <c:v>0.46478872999999998</c:v>
                </c:pt>
                <c:pt idx="156">
                  <c:v>0.46478872999999998</c:v>
                </c:pt>
                <c:pt idx="157">
                  <c:v>0.46478872999999998</c:v>
                </c:pt>
                <c:pt idx="158">
                  <c:v>0.46478872999999998</c:v>
                </c:pt>
                <c:pt idx="159">
                  <c:v>0.46478872999999998</c:v>
                </c:pt>
                <c:pt idx="160">
                  <c:v>0.46478872999999998</c:v>
                </c:pt>
                <c:pt idx="161">
                  <c:v>0.46478872999999998</c:v>
                </c:pt>
                <c:pt idx="162">
                  <c:v>0.46478872999999998</c:v>
                </c:pt>
                <c:pt idx="163">
                  <c:v>0.46478872999999998</c:v>
                </c:pt>
                <c:pt idx="164">
                  <c:v>0.46478872999999998</c:v>
                </c:pt>
                <c:pt idx="165">
                  <c:v>0.46478872999999998</c:v>
                </c:pt>
                <c:pt idx="166">
                  <c:v>0.46478872999999998</c:v>
                </c:pt>
                <c:pt idx="167">
                  <c:v>0.46478872999999998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4-482D-9E4E-2209BD3C6F55}"/>
            </c:ext>
          </c:extLst>
        </c:ser>
        <c:ser>
          <c:idx val="5"/>
          <c:order val="1"/>
          <c:tx>
            <c:strRef>
              <c:f>'Comparación Precios'!$X$4</c:f>
              <c:strCache>
                <c:ptCount val="1"/>
                <c:pt idx="0">
                  <c:v>BenchMarking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76000"/>
              </a:schemeClr>
            </a:solidFill>
            <a:ln>
              <a:solidFill>
                <a:schemeClr val="tx1"/>
              </a:solidFill>
            </a:ln>
          </c:spPr>
          <c:val>
            <c:numRef>
              <c:f>'Comparación Precios'!$X$5:$X$173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4-482D-9E4E-2209BD3C6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28432"/>
        <c:axId val="1163728912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'Comparación Generacion'!$AU$5</c15:sqref>
                        </c15:formulaRef>
                      </c:ext>
                    </c:extLst>
                    <c:strCache>
                      <c:ptCount val="1"/>
                      <c:pt idx="0">
                        <c:v>TYNDP</c:v>
                      </c:pt>
                    </c:strCache>
                  </c:strRef>
                </c:tx>
                <c:spPr>
                  <a:solidFill>
                    <a:schemeClr val="accent2">
                      <a:alpha val="76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'Comparación Generacion'!$AU$6:$AU$173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4613</c:v>
                      </c:pt>
                      <c:pt idx="1">
                        <c:v>4613</c:v>
                      </c:pt>
                      <c:pt idx="2">
                        <c:v>4613</c:v>
                      </c:pt>
                      <c:pt idx="3">
                        <c:v>4613</c:v>
                      </c:pt>
                      <c:pt idx="4">
                        <c:v>4613</c:v>
                      </c:pt>
                      <c:pt idx="5">
                        <c:v>4613</c:v>
                      </c:pt>
                      <c:pt idx="6">
                        <c:v>4613</c:v>
                      </c:pt>
                      <c:pt idx="7">
                        <c:v>4613</c:v>
                      </c:pt>
                      <c:pt idx="8">
                        <c:v>4613</c:v>
                      </c:pt>
                      <c:pt idx="9">
                        <c:v>4613</c:v>
                      </c:pt>
                      <c:pt idx="10">
                        <c:v>4613</c:v>
                      </c:pt>
                      <c:pt idx="11">
                        <c:v>3484.0037682699999</c:v>
                      </c:pt>
                      <c:pt idx="12">
                        <c:v>4613</c:v>
                      </c:pt>
                      <c:pt idx="13">
                        <c:v>4538.1274936199998</c:v>
                      </c:pt>
                      <c:pt idx="14">
                        <c:v>4479.8725723400003</c:v>
                      </c:pt>
                      <c:pt idx="15">
                        <c:v>4613</c:v>
                      </c:pt>
                      <c:pt idx="16">
                        <c:v>4613</c:v>
                      </c:pt>
                      <c:pt idx="17">
                        <c:v>4613</c:v>
                      </c:pt>
                      <c:pt idx="18">
                        <c:v>4613</c:v>
                      </c:pt>
                      <c:pt idx="19">
                        <c:v>4613</c:v>
                      </c:pt>
                      <c:pt idx="20">
                        <c:v>4613</c:v>
                      </c:pt>
                      <c:pt idx="21">
                        <c:v>4613</c:v>
                      </c:pt>
                      <c:pt idx="22">
                        <c:v>4613</c:v>
                      </c:pt>
                      <c:pt idx="23">
                        <c:v>4613</c:v>
                      </c:pt>
                      <c:pt idx="24">
                        <c:v>4613</c:v>
                      </c:pt>
                      <c:pt idx="25">
                        <c:v>4613</c:v>
                      </c:pt>
                      <c:pt idx="26">
                        <c:v>4613</c:v>
                      </c:pt>
                      <c:pt idx="27">
                        <c:v>4613</c:v>
                      </c:pt>
                      <c:pt idx="28">
                        <c:v>4613</c:v>
                      </c:pt>
                      <c:pt idx="29">
                        <c:v>4613</c:v>
                      </c:pt>
                      <c:pt idx="30">
                        <c:v>4613</c:v>
                      </c:pt>
                      <c:pt idx="31">
                        <c:v>4613</c:v>
                      </c:pt>
                      <c:pt idx="32">
                        <c:v>4613</c:v>
                      </c:pt>
                      <c:pt idx="33">
                        <c:v>4613</c:v>
                      </c:pt>
                      <c:pt idx="34">
                        <c:v>4613</c:v>
                      </c:pt>
                      <c:pt idx="35">
                        <c:v>4613</c:v>
                      </c:pt>
                      <c:pt idx="36">
                        <c:v>4613</c:v>
                      </c:pt>
                      <c:pt idx="37">
                        <c:v>4613</c:v>
                      </c:pt>
                      <c:pt idx="38">
                        <c:v>4613</c:v>
                      </c:pt>
                      <c:pt idx="39">
                        <c:v>4613</c:v>
                      </c:pt>
                      <c:pt idx="40">
                        <c:v>4613</c:v>
                      </c:pt>
                      <c:pt idx="41">
                        <c:v>4613</c:v>
                      </c:pt>
                      <c:pt idx="42">
                        <c:v>4613</c:v>
                      </c:pt>
                      <c:pt idx="43">
                        <c:v>4613</c:v>
                      </c:pt>
                      <c:pt idx="44">
                        <c:v>4613</c:v>
                      </c:pt>
                      <c:pt idx="45">
                        <c:v>4613</c:v>
                      </c:pt>
                      <c:pt idx="46">
                        <c:v>4613</c:v>
                      </c:pt>
                      <c:pt idx="47">
                        <c:v>4613</c:v>
                      </c:pt>
                      <c:pt idx="48">
                        <c:v>4613</c:v>
                      </c:pt>
                      <c:pt idx="49">
                        <c:v>4613</c:v>
                      </c:pt>
                      <c:pt idx="50">
                        <c:v>4613</c:v>
                      </c:pt>
                      <c:pt idx="51">
                        <c:v>4613</c:v>
                      </c:pt>
                      <c:pt idx="52">
                        <c:v>4613</c:v>
                      </c:pt>
                      <c:pt idx="53">
                        <c:v>4613</c:v>
                      </c:pt>
                      <c:pt idx="54">
                        <c:v>4613</c:v>
                      </c:pt>
                      <c:pt idx="55">
                        <c:v>4613</c:v>
                      </c:pt>
                      <c:pt idx="56">
                        <c:v>4613</c:v>
                      </c:pt>
                      <c:pt idx="57">
                        <c:v>4613</c:v>
                      </c:pt>
                      <c:pt idx="58">
                        <c:v>4613</c:v>
                      </c:pt>
                      <c:pt idx="59">
                        <c:v>4613</c:v>
                      </c:pt>
                      <c:pt idx="60">
                        <c:v>4613</c:v>
                      </c:pt>
                      <c:pt idx="61">
                        <c:v>4613</c:v>
                      </c:pt>
                      <c:pt idx="62">
                        <c:v>4613</c:v>
                      </c:pt>
                      <c:pt idx="63">
                        <c:v>4613</c:v>
                      </c:pt>
                      <c:pt idx="64">
                        <c:v>4613</c:v>
                      </c:pt>
                      <c:pt idx="65">
                        <c:v>4613</c:v>
                      </c:pt>
                      <c:pt idx="66">
                        <c:v>4613</c:v>
                      </c:pt>
                      <c:pt idx="67">
                        <c:v>4613</c:v>
                      </c:pt>
                      <c:pt idx="68">
                        <c:v>4613</c:v>
                      </c:pt>
                      <c:pt idx="69">
                        <c:v>4613</c:v>
                      </c:pt>
                      <c:pt idx="70">
                        <c:v>4613</c:v>
                      </c:pt>
                      <c:pt idx="71">
                        <c:v>4613</c:v>
                      </c:pt>
                      <c:pt idx="72">
                        <c:v>4613</c:v>
                      </c:pt>
                      <c:pt idx="73">
                        <c:v>4613</c:v>
                      </c:pt>
                      <c:pt idx="74">
                        <c:v>4613</c:v>
                      </c:pt>
                      <c:pt idx="75">
                        <c:v>4613</c:v>
                      </c:pt>
                      <c:pt idx="76">
                        <c:v>4613</c:v>
                      </c:pt>
                      <c:pt idx="77">
                        <c:v>4613</c:v>
                      </c:pt>
                      <c:pt idx="78">
                        <c:v>4613</c:v>
                      </c:pt>
                      <c:pt idx="79">
                        <c:v>4613</c:v>
                      </c:pt>
                      <c:pt idx="80">
                        <c:v>4613</c:v>
                      </c:pt>
                      <c:pt idx="81">
                        <c:v>4613</c:v>
                      </c:pt>
                      <c:pt idx="82">
                        <c:v>4613</c:v>
                      </c:pt>
                      <c:pt idx="83">
                        <c:v>4613</c:v>
                      </c:pt>
                      <c:pt idx="84">
                        <c:v>4613</c:v>
                      </c:pt>
                      <c:pt idx="85">
                        <c:v>4613</c:v>
                      </c:pt>
                      <c:pt idx="86">
                        <c:v>4613</c:v>
                      </c:pt>
                      <c:pt idx="87">
                        <c:v>4613</c:v>
                      </c:pt>
                      <c:pt idx="88">
                        <c:v>4613</c:v>
                      </c:pt>
                      <c:pt idx="89">
                        <c:v>4613</c:v>
                      </c:pt>
                      <c:pt idx="90">
                        <c:v>4613</c:v>
                      </c:pt>
                      <c:pt idx="91">
                        <c:v>4613</c:v>
                      </c:pt>
                      <c:pt idx="92">
                        <c:v>4613</c:v>
                      </c:pt>
                      <c:pt idx="93">
                        <c:v>4613</c:v>
                      </c:pt>
                      <c:pt idx="94">
                        <c:v>4613</c:v>
                      </c:pt>
                      <c:pt idx="95">
                        <c:v>4613</c:v>
                      </c:pt>
                      <c:pt idx="96">
                        <c:v>4613</c:v>
                      </c:pt>
                      <c:pt idx="97">
                        <c:v>4613</c:v>
                      </c:pt>
                      <c:pt idx="98">
                        <c:v>4613</c:v>
                      </c:pt>
                      <c:pt idx="99">
                        <c:v>4613</c:v>
                      </c:pt>
                      <c:pt idx="100">
                        <c:v>4613</c:v>
                      </c:pt>
                      <c:pt idx="101">
                        <c:v>4613</c:v>
                      </c:pt>
                      <c:pt idx="102">
                        <c:v>4613</c:v>
                      </c:pt>
                      <c:pt idx="103">
                        <c:v>4613</c:v>
                      </c:pt>
                      <c:pt idx="104">
                        <c:v>4613</c:v>
                      </c:pt>
                      <c:pt idx="105">
                        <c:v>2696.8141957799999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4613</c:v>
                      </c:pt>
                      <c:pt idx="114">
                        <c:v>4613</c:v>
                      </c:pt>
                      <c:pt idx="115">
                        <c:v>4613</c:v>
                      </c:pt>
                      <c:pt idx="116">
                        <c:v>4613</c:v>
                      </c:pt>
                      <c:pt idx="117">
                        <c:v>4613</c:v>
                      </c:pt>
                      <c:pt idx="118">
                        <c:v>4613</c:v>
                      </c:pt>
                      <c:pt idx="119">
                        <c:v>4613</c:v>
                      </c:pt>
                      <c:pt idx="120">
                        <c:v>4613</c:v>
                      </c:pt>
                      <c:pt idx="121">
                        <c:v>4613</c:v>
                      </c:pt>
                      <c:pt idx="122">
                        <c:v>4613</c:v>
                      </c:pt>
                      <c:pt idx="123">
                        <c:v>4613</c:v>
                      </c:pt>
                      <c:pt idx="124">
                        <c:v>4613</c:v>
                      </c:pt>
                      <c:pt idx="125">
                        <c:v>4613</c:v>
                      </c:pt>
                      <c:pt idx="126">
                        <c:v>4613</c:v>
                      </c:pt>
                      <c:pt idx="127">
                        <c:v>4613</c:v>
                      </c:pt>
                      <c:pt idx="128">
                        <c:v>4613</c:v>
                      </c:pt>
                      <c:pt idx="129">
                        <c:v>4613</c:v>
                      </c:pt>
                      <c:pt idx="130">
                        <c:v>931.99979149000001</c:v>
                      </c:pt>
                      <c:pt idx="131">
                        <c:v>4613</c:v>
                      </c:pt>
                      <c:pt idx="132">
                        <c:v>2785.1080021299999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4613</c:v>
                      </c:pt>
                      <c:pt idx="138">
                        <c:v>4613</c:v>
                      </c:pt>
                      <c:pt idx="139">
                        <c:v>4613</c:v>
                      </c:pt>
                      <c:pt idx="140">
                        <c:v>4613</c:v>
                      </c:pt>
                      <c:pt idx="141">
                        <c:v>3458.3974297899999</c:v>
                      </c:pt>
                      <c:pt idx="142">
                        <c:v>4613</c:v>
                      </c:pt>
                      <c:pt idx="143">
                        <c:v>3821.1880371500001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2064.9701558299998</c:v>
                      </c:pt>
                      <c:pt idx="163">
                        <c:v>4613</c:v>
                      </c:pt>
                      <c:pt idx="164">
                        <c:v>3999.9155957399998</c:v>
                      </c:pt>
                      <c:pt idx="165">
                        <c:v>2460.2040297899998</c:v>
                      </c:pt>
                      <c:pt idx="166">
                        <c:v>4613</c:v>
                      </c:pt>
                      <c:pt idx="167">
                        <c:v>1388.2723531900001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974-482D-9E4E-2209BD3C6F55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20000"/>
                      <a:lumOff val="80000"/>
                      <a:alpha val="82000"/>
                    </a:schemeClr>
                  </a:solidFill>
                  <a:ln>
                    <a:solidFill>
                      <a:schemeClr val="tx1"/>
                    </a:solidFill>
                  </a:ln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Generacion'!$AV$6:$AV$173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2877.985924161866</c:v>
                      </c:pt>
                      <c:pt idx="1">
                        <c:v>0</c:v>
                      </c:pt>
                      <c:pt idx="2">
                        <c:v>3093.9253817630588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2815.553749976214</c:v>
                      </c:pt>
                      <c:pt idx="18">
                        <c:v>3135</c:v>
                      </c:pt>
                      <c:pt idx="19">
                        <c:v>3135</c:v>
                      </c:pt>
                      <c:pt idx="20">
                        <c:v>3135</c:v>
                      </c:pt>
                      <c:pt idx="21">
                        <c:v>3135</c:v>
                      </c:pt>
                      <c:pt idx="22">
                        <c:v>3135</c:v>
                      </c:pt>
                      <c:pt idx="23">
                        <c:v>3135</c:v>
                      </c:pt>
                      <c:pt idx="24">
                        <c:v>3135</c:v>
                      </c:pt>
                      <c:pt idx="25">
                        <c:v>3135</c:v>
                      </c:pt>
                      <c:pt idx="26">
                        <c:v>3135</c:v>
                      </c:pt>
                      <c:pt idx="27">
                        <c:v>3135</c:v>
                      </c:pt>
                      <c:pt idx="28">
                        <c:v>3135</c:v>
                      </c:pt>
                      <c:pt idx="29">
                        <c:v>3135</c:v>
                      </c:pt>
                      <c:pt idx="30">
                        <c:v>3135</c:v>
                      </c:pt>
                      <c:pt idx="31">
                        <c:v>3135</c:v>
                      </c:pt>
                      <c:pt idx="32">
                        <c:v>3135</c:v>
                      </c:pt>
                      <c:pt idx="33">
                        <c:v>3135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2631.078580369528</c:v>
                      </c:pt>
                      <c:pt idx="42">
                        <c:v>99.341100350560311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713.53502990011782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1288.694734037764</c:v>
                      </c:pt>
                      <c:pt idx="66">
                        <c:v>3135</c:v>
                      </c:pt>
                      <c:pt idx="67">
                        <c:v>3135</c:v>
                      </c:pt>
                      <c:pt idx="68">
                        <c:v>3135</c:v>
                      </c:pt>
                      <c:pt idx="69">
                        <c:v>3135</c:v>
                      </c:pt>
                      <c:pt idx="70">
                        <c:v>3135</c:v>
                      </c:pt>
                      <c:pt idx="71">
                        <c:v>3135</c:v>
                      </c:pt>
                      <c:pt idx="72">
                        <c:v>2238.3712834037642</c:v>
                      </c:pt>
                      <c:pt idx="73">
                        <c:v>2032.951083400824</c:v>
                      </c:pt>
                      <c:pt idx="74">
                        <c:v>1424.061840973884</c:v>
                      </c:pt>
                      <c:pt idx="75">
                        <c:v>1084.2574991507049</c:v>
                      </c:pt>
                      <c:pt idx="76">
                        <c:v>1247.285672769648</c:v>
                      </c:pt>
                      <c:pt idx="77">
                        <c:v>1562.411013930119</c:v>
                      </c:pt>
                      <c:pt idx="78">
                        <c:v>2042.2099974291759</c:v>
                      </c:pt>
                      <c:pt idx="79">
                        <c:v>3033.1503409267061</c:v>
                      </c:pt>
                      <c:pt idx="80">
                        <c:v>3135</c:v>
                      </c:pt>
                      <c:pt idx="81">
                        <c:v>3135</c:v>
                      </c:pt>
                      <c:pt idx="82">
                        <c:v>2316.1753997748228</c:v>
                      </c:pt>
                      <c:pt idx="83">
                        <c:v>431.45248076647158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2715.6940365545888</c:v>
                      </c:pt>
                      <c:pt idx="89">
                        <c:v>3135</c:v>
                      </c:pt>
                      <c:pt idx="90">
                        <c:v>3135</c:v>
                      </c:pt>
                      <c:pt idx="91">
                        <c:v>80.995667754879079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3135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74-482D-9E4E-2209BD3C6F55}"/>
                  </c:ext>
                </c:extLst>
              </c15:ser>
            </c15:filteredAreaSeries>
            <c15:filteredArea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Generacion'!$T$5</c15:sqref>
                        </c15:formulaRef>
                      </c:ext>
                    </c:extLst>
                    <c:strCache>
                      <c:ptCount val="1"/>
                      <c:pt idx="0">
                        <c:v>Perfil Eólico ES00 TYNDP</c:v>
                      </c:pt>
                    </c:strCache>
                  </c:strRef>
                </c:tx>
                <c:spPr>
                  <a:solidFill>
                    <a:schemeClr val="accent2">
                      <a:alpha val="48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Generacion'!$T$6:$T$173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0.28341831899415904</c:v>
                      </c:pt>
                      <c:pt idx="1">
                        <c:v>0.30360786406942064</c:v>
                      </c:pt>
                      <c:pt idx="2">
                        <c:v>0.3093093906522672</c:v>
                      </c:pt>
                      <c:pt idx="3">
                        <c:v>0.31700437909450785</c:v>
                      </c:pt>
                      <c:pt idx="4">
                        <c:v>0.33111984557700558</c:v>
                      </c:pt>
                      <c:pt idx="5">
                        <c:v>0.33260132592881464</c:v>
                      </c:pt>
                      <c:pt idx="6">
                        <c:v>0.31132681552683117</c:v>
                      </c:pt>
                      <c:pt idx="7">
                        <c:v>0.2542113490443334</c:v>
                      </c:pt>
                      <c:pt idx="8">
                        <c:v>0.20118738602916347</c:v>
                      </c:pt>
                      <c:pt idx="9">
                        <c:v>0.17515688487338751</c:v>
                      </c:pt>
                      <c:pt idx="10">
                        <c:v>0.16545535829054092</c:v>
                      </c:pt>
                      <c:pt idx="11">
                        <c:v>0.17329631437105528</c:v>
                      </c:pt>
                      <c:pt idx="12">
                        <c:v>0.19719827276312146</c:v>
                      </c:pt>
                      <c:pt idx="13">
                        <c:v>0.21334424040139521</c:v>
                      </c:pt>
                      <c:pt idx="14">
                        <c:v>0.22000872768785987</c:v>
                      </c:pt>
                      <c:pt idx="15">
                        <c:v>0.22100872768785984</c:v>
                      </c:pt>
                      <c:pt idx="16">
                        <c:v>0.21200872768785989</c:v>
                      </c:pt>
                      <c:pt idx="17">
                        <c:v>0.1787102542707065</c:v>
                      </c:pt>
                      <c:pt idx="18">
                        <c:v>0.16564925195915459</c:v>
                      </c:pt>
                      <c:pt idx="19">
                        <c:v>0.16122223577829145</c:v>
                      </c:pt>
                      <c:pt idx="20">
                        <c:v>0.16167321497432457</c:v>
                      </c:pt>
                      <c:pt idx="21">
                        <c:v>0.16721569763768548</c:v>
                      </c:pt>
                      <c:pt idx="22">
                        <c:v>0.17827669994923734</c:v>
                      </c:pt>
                      <c:pt idx="23">
                        <c:v>0.18818519648190957</c:v>
                      </c:pt>
                      <c:pt idx="24">
                        <c:v>0.19597168839147799</c:v>
                      </c:pt>
                      <c:pt idx="25">
                        <c:v>0.18991068607992609</c:v>
                      </c:pt>
                      <c:pt idx="26">
                        <c:v>0.17978868145682236</c:v>
                      </c:pt>
                      <c:pt idx="27">
                        <c:v>0.16912419417035765</c:v>
                      </c:pt>
                      <c:pt idx="28">
                        <c:v>0.1615512103512208</c:v>
                      </c:pt>
                      <c:pt idx="29">
                        <c:v>0.15388672306475612</c:v>
                      </c:pt>
                      <c:pt idx="30">
                        <c:v>0.14055774849182678</c:v>
                      </c:pt>
                      <c:pt idx="31">
                        <c:v>0.12232027738622525</c:v>
                      </c:pt>
                      <c:pt idx="32">
                        <c:v>0.12047278316510493</c:v>
                      </c:pt>
                      <c:pt idx="33">
                        <c:v>0.11089979934596808</c:v>
                      </c:pt>
                      <c:pt idx="34">
                        <c:v>9.5814834019246231E-2</c:v>
                      </c:pt>
                      <c:pt idx="35">
                        <c:v>9.1211349044333437E-2</c:v>
                      </c:pt>
                      <c:pt idx="36">
                        <c:v>9.6302852511661236E-2</c:v>
                      </c:pt>
                      <c:pt idx="37">
                        <c:v>9.8455358290540945E-2</c:v>
                      </c:pt>
                      <c:pt idx="38">
                        <c:v>9.3546861757868735E-2</c:v>
                      </c:pt>
                      <c:pt idx="39">
                        <c:v>8.8516360602092808E-2</c:v>
                      </c:pt>
                      <c:pt idx="40">
                        <c:v>8.2241850200109365E-2</c:v>
                      </c:pt>
                      <c:pt idx="41">
                        <c:v>8.1814834019246233E-2</c:v>
                      </c:pt>
                      <c:pt idx="42">
                        <c:v>0.12286276004958616</c:v>
                      </c:pt>
                      <c:pt idx="43">
                        <c:v>0.14321569763768549</c:v>
                      </c:pt>
                      <c:pt idx="44">
                        <c:v>0.13545316874328703</c:v>
                      </c:pt>
                      <c:pt idx="45">
                        <c:v>0.11762963753733667</c:v>
                      </c:pt>
                      <c:pt idx="46">
                        <c:v>0.11020262135647355</c:v>
                      </c:pt>
                      <c:pt idx="47">
                        <c:v>0.10574510401983446</c:v>
                      </c:pt>
                      <c:pt idx="48">
                        <c:v>0.11028758668319538</c:v>
                      </c:pt>
                      <c:pt idx="49">
                        <c:v>0.11304357743698788</c:v>
                      </c:pt>
                      <c:pt idx="50">
                        <c:v>0.11570806472345255</c:v>
                      </c:pt>
                      <c:pt idx="51">
                        <c:v>0.11067756356767662</c:v>
                      </c:pt>
                      <c:pt idx="52">
                        <c:v>0.10670806472345254</c:v>
                      </c:pt>
                      <c:pt idx="53">
                        <c:v>0.10252505778879691</c:v>
                      </c:pt>
                      <c:pt idx="54">
                        <c:v>9.5433554321469105E-2</c:v>
                      </c:pt>
                      <c:pt idx="55">
                        <c:v>8.2647062411900674E-2</c:v>
                      </c:pt>
                      <c:pt idx="56">
                        <c:v>7.8525057788796926E-2</c:v>
                      </c:pt>
                      <c:pt idx="57">
                        <c:v>6.5738565879228494E-2</c:v>
                      </c:pt>
                      <c:pt idx="58">
                        <c:v>3.4653600552506644E-2</c:v>
                      </c:pt>
                      <c:pt idx="59">
                        <c:v>1.8019614421817914E-2</c:v>
                      </c:pt>
                      <c:pt idx="60">
                        <c:v>1.4233122512249482E-2</c:v>
                      </c:pt>
                      <c:pt idx="61">
                        <c:v>1.3385628291129175E-2</c:v>
                      </c:pt>
                      <c:pt idx="62">
                        <c:v>1.3416129446905112E-2</c:v>
                      </c:pt>
                      <c:pt idx="63">
                        <c:v>1.4324625979577298E-2</c:v>
                      </c:pt>
                      <c:pt idx="64">
                        <c:v>1.3385628291129175E-2</c:v>
                      </c:pt>
                      <c:pt idx="65">
                        <c:v>2.1202621356473543E-2</c:v>
                      </c:pt>
                      <c:pt idx="66">
                        <c:v>3.4897609798714153E-2</c:v>
                      </c:pt>
                      <c:pt idx="67">
                        <c:v>3.6141619044921663E-2</c:v>
                      </c:pt>
                      <c:pt idx="68">
                        <c:v>2.5965150250872007E-2</c:v>
                      </c:pt>
                      <c:pt idx="69">
                        <c:v>2.1758180301046409E-2</c:v>
                      </c:pt>
                      <c:pt idx="70">
                        <c:v>2.4612212662772685E-2</c:v>
                      </c:pt>
                      <c:pt idx="71">
                        <c:v>2.5740755426482409E-2</c:v>
                      </c:pt>
                      <c:pt idx="72">
                        <c:v>3.0930300501744012E-2</c:v>
                      </c:pt>
                      <c:pt idx="73">
                        <c:v>3.6241850200109366E-2</c:v>
                      </c:pt>
                      <c:pt idx="74">
                        <c:v>4.3492397586922846E-2</c:v>
                      </c:pt>
                      <c:pt idx="75">
                        <c:v>5.2468434571752882E-2</c:v>
                      </c:pt>
                      <c:pt idx="76">
                        <c:v>6.2895450752616017E-2</c:v>
                      </c:pt>
                      <c:pt idx="77">
                        <c:v>7.110895884304759E-2</c:v>
                      </c:pt>
                      <c:pt idx="78">
                        <c:v>7.8474972712358843E-2</c:v>
                      </c:pt>
                      <c:pt idx="79">
                        <c:v>8.3054494672101686E-2</c:v>
                      </c:pt>
                      <c:pt idx="80">
                        <c:v>9.2542513164516699E-2</c:v>
                      </c:pt>
                      <c:pt idx="81">
                        <c:v>0.10493902818960389</c:v>
                      </c:pt>
                      <c:pt idx="82">
                        <c:v>0.11561005361667454</c:v>
                      </c:pt>
                      <c:pt idx="83">
                        <c:v>0.13022007673219332</c:v>
                      </c:pt>
                      <c:pt idx="84">
                        <c:v>0.15337258251107302</c:v>
                      </c:pt>
                      <c:pt idx="85">
                        <c:v>0.17840308366684893</c:v>
                      </c:pt>
                      <c:pt idx="86">
                        <c:v>0.20358609060150459</c:v>
                      </c:pt>
                      <c:pt idx="87">
                        <c:v>0.22404360793814365</c:v>
                      </c:pt>
                      <c:pt idx="88">
                        <c:v>0.22889764029986995</c:v>
                      </c:pt>
                      <c:pt idx="89">
                        <c:v>0.22281267497314808</c:v>
                      </c:pt>
                      <c:pt idx="90">
                        <c:v>0.24069067035004432</c:v>
                      </c:pt>
                      <c:pt idx="91">
                        <c:v>0.27205014607874961</c:v>
                      </c:pt>
                      <c:pt idx="92">
                        <c:v>0.29168413220943834</c:v>
                      </c:pt>
                      <c:pt idx="93">
                        <c:v>0.30450112527478274</c:v>
                      </c:pt>
                      <c:pt idx="94">
                        <c:v>0.3347995986919361</c:v>
                      </c:pt>
                      <c:pt idx="95">
                        <c:v>0.36888456401865793</c:v>
                      </c:pt>
                      <c:pt idx="96">
                        <c:v>0.38157955246089859</c:v>
                      </c:pt>
                      <c:pt idx="97">
                        <c:v>0.35849458713417681</c:v>
                      </c:pt>
                      <c:pt idx="98">
                        <c:v>0.35086060100348804</c:v>
                      </c:pt>
                      <c:pt idx="99">
                        <c:v>0.37212857326486548</c:v>
                      </c:pt>
                      <c:pt idx="100">
                        <c:v>0.42860351547606862</c:v>
                      </c:pt>
                      <c:pt idx="101">
                        <c:v>0.48320046231037544</c:v>
                      </c:pt>
                      <c:pt idx="102">
                        <c:v>0.50965144150640851</c:v>
                      </c:pt>
                      <c:pt idx="103">
                        <c:v>0.52552943688330467</c:v>
                      </c:pt>
                      <c:pt idx="104">
                        <c:v>0.55404141839088972</c:v>
                      </c:pt>
                      <c:pt idx="105">
                        <c:v>0.58618738602916343</c:v>
                      </c:pt>
                      <c:pt idx="106">
                        <c:v>0.62478433286347024</c:v>
                      </c:pt>
                      <c:pt idx="107">
                        <c:v>0.65168629125553657</c:v>
                      </c:pt>
                      <c:pt idx="108">
                        <c:v>0.64956422563012117</c:v>
                      </c:pt>
                      <c:pt idx="109">
                        <c:v>0.69378868145682238</c:v>
                      </c:pt>
                      <c:pt idx="110">
                        <c:v>0.67574069442417084</c:v>
                      </c:pt>
                      <c:pt idx="111">
                        <c:v>0.66604570598193025</c:v>
                      </c:pt>
                      <c:pt idx="112">
                        <c:v>0.67522658437164351</c:v>
                      </c:pt>
                      <c:pt idx="113">
                        <c:v>0.61323312251224948</c:v>
                      </c:pt>
                      <c:pt idx="114">
                        <c:v>0.53903269070302984</c:v>
                      </c:pt>
                      <c:pt idx="115">
                        <c:v>0.48916123346673962</c:v>
                      </c:pt>
                      <c:pt idx="116">
                        <c:v>0.47610023115518774</c:v>
                      </c:pt>
                      <c:pt idx="117">
                        <c:v>0.47582572075320428</c:v>
                      </c:pt>
                      <c:pt idx="118">
                        <c:v>0.47418519648190949</c:v>
                      </c:pt>
                      <c:pt idx="119">
                        <c:v>0.48372767914527037</c:v>
                      </c:pt>
                      <c:pt idx="120">
                        <c:v>0.49727016180863143</c:v>
                      </c:pt>
                      <c:pt idx="121">
                        <c:v>0.49836166527595915</c:v>
                      </c:pt>
                      <c:pt idx="122">
                        <c:v>0.49184968376837424</c:v>
                      </c:pt>
                      <c:pt idx="123">
                        <c:v>0.49109369301458178</c:v>
                      </c:pt>
                      <c:pt idx="124">
                        <c:v>0.48939870457234114</c:v>
                      </c:pt>
                      <c:pt idx="125">
                        <c:v>0.48488672306475605</c:v>
                      </c:pt>
                      <c:pt idx="126">
                        <c:v>0.4794052427129471</c:v>
                      </c:pt>
                      <c:pt idx="127">
                        <c:v>0.46438127969777709</c:v>
                      </c:pt>
                      <c:pt idx="128">
                        <c:v>0.44541831899415907</c:v>
                      </c:pt>
                      <c:pt idx="129">
                        <c:v>0.43984533517502222</c:v>
                      </c:pt>
                      <c:pt idx="130">
                        <c:v>0.44781483401924621</c:v>
                      </c:pt>
                      <c:pt idx="131">
                        <c:v>0.45954032361726282</c:v>
                      </c:pt>
                      <c:pt idx="132">
                        <c:v>0.47911330743639963</c:v>
                      </c:pt>
                      <c:pt idx="133">
                        <c:v>0.48323531205950337</c:v>
                      </c:pt>
                      <c:pt idx="134">
                        <c:v>0.46993683864234992</c:v>
                      </c:pt>
                      <c:pt idx="135">
                        <c:v>0.44388237447140411</c:v>
                      </c:pt>
                      <c:pt idx="136">
                        <c:v>0.42349239758692281</c:v>
                      </c:pt>
                      <c:pt idx="137">
                        <c:v>0.35744447155658299</c:v>
                      </c:pt>
                      <c:pt idx="138">
                        <c:v>0.35823096346615124</c:v>
                      </c:pt>
                      <c:pt idx="139">
                        <c:v>0.39516342301399343</c:v>
                      </c:pt>
                      <c:pt idx="140">
                        <c:v>0.42437039296381907</c:v>
                      </c:pt>
                      <c:pt idx="141">
                        <c:v>0.44224838834071534</c:v>
                      </c:pt>
                      <c:pt idx="142">
                        <c:v>0.46797387793873191</c:v>
                      </c:pt>
                      <c:pt idx="143">
                        <c:v>0.49572986869252439</c:v>
                      </c:pt>
                      <c:pt idx="144">
                        <c:v>0.53336385482321313</c:v>
                      </c:pt>
                      <c:pt idx="145">
                        <c:v>0.57263182708459048</c:v>
                      </c:pt>
                      <c:pt idx="146">
                        <c:v>0.61180829587864027</c:v>
                      </c:pt>
                      <c:pt idx="147">
                        <c:v>0.65392376236113803</c:v>
                      </c:pt>
                      <c:pt idx="148">
                        <c:v>0.69500872768785993</c:v>
                      </c:pt>
                      <c:pt idx="149">
                        <c:v>0.7146427138185486</c:v>
                      </c:pt>
                      <c:pt idx="150">
                        <c:v>0.70306972999941175</c:v>
                      </c:pt>
                      <c:pt idx="151">
                        <c:v>0.67810676929579361</c:v>
                      </c:pt>
                      <c:pt idx="152">
                        <c:v>0.64829631437105528</c:v>
                      </c:pt>
                      <c:pt idx="153">
                        <c:v>0.6153638548232131</c:v>
                      </c:pt>
                      <c:pt idx="154">
                        <c:v>0.61236385482321309</c:v>
                      </c:pt>
                      <c:pt idx="155">
                        <c:v>0.62690633748657398</c:v>
                      </c:pt>
                      <c:pt idx="156">
                        <c:v>0.66577779472286436</c:v>
                      </c:pt>
                      <c:pt idx="157">
                        <c:v>0.70277125658225836</c:v>
                      </c:pt>
                      <c:pt idx="158">
                        <c:v>0.72710023115518763</c:v>
                      </c:pt>
                      <c:pt idx="159">
                        <c:v>0.59127533280769673</c:v>
                      </c:pt>
                      <c:pt idx="160">
                        <c:v>0.7533006019620957</c:v>
                      </c:pt>
                      <c:pt idx="161">
                        <c:v>0.77078868145682222</c:v>
                      </c:pt>
                      <c:pt idx="162">
                        <c:v>0.72322223577829148</c:v>
                      </c:pt>
                      <c:pt idx="163">
                        <c:v>0.70389326120536211</c:v>
                      </c:pt>
                      <c:pt idx="164">
                        <c:v>0.70980175773803433</c:v>
                      </c:pt>
                      <c:pt idx="165">
                        <c:v>0.72346624502449886</c:v>
                      </c:pt>
                      <c:pt idx="166">
                        <c:v>0.74000872768785986</c:v>
                      </c:pt>
                      <c:pt idx="167">
                        <c:v>0.75867321497432461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74-482D-9E4E-2209BD3C6F55}"/>
                  </c:ext>
                </c:extLst>
              </c15:ser>
            </c15:filteredAreaSeries>
            <c15:filteredAreaSeries>
              <c15:ser>
                <c:idx val="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Generacion'!$V$5</c15:sqref>
                        </c15:formulaRef>
                      </c:ext>
                    </c:extLst>
                    <c:strCache>
                      <c:ptCount val="1"/>
                      <c:pt idx="0">
                        <c:v>BenchMarking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  <a:alpha val="83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'Comparación Generacion'!$V$6:$V$173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0.27513819939576217</c:v>
                      </c:pt>
                      <c:pt idx="1">
                        <c:v>0.29443185923141452</c:v>
                      </c:pt>
                      <c:pt idx="2">
                        <c:v>0.29945536192825256</c:v>
                      </c:pt>
                      <c:pt idx="3">
                        <c:v>0.30697121547468043</c:v>
                      </c:pt>
                      <c:pt idx="4">
                        <c:v>0.32181365957895791</c:v>
                      </c:pt>
                      <c:pt idx="5">
                        <c:v>0.3237431354625166</c:v>
                      </c:pt>
                      <c:pt idx="6">
                        <c:v>0.30273458373035572</c:v>
                      </c:pt>
                      <c:pt idx="7">
                        <c:v>0.24533327319445131</c:v>
                      </c:pt>
                      <c:pt idx="8">
                        <c:v>0.19145562344589845</c:v>
                      </c:pt>
                      <c:pt idx="9">
                        <c:v>0.16467229406223804</c:v>
                      </c:pt>
                      <c:pt idx="10">
                        <c:v>0.15553495061366493</c:v>
                      </c:pt>
                      <c:pt idx="11">
                        <c:v>0.1648144200536609</c:v>
                      </c:pt>
                      <c:pt idx="12">
                        <c:v>0.18996266653599647</c:v>
                      </c:pt>
                      <c:pt idx="13">
                        <c:v>0.20713522749965435</c:v>
                      </c:pt>
                      <c:pt idx="14">
                        <c:v>0.21409617707956999</c:v>
                      </c:pt>
                      <c:pt idx="15">
                        <c:v>0.21472034404190238</c:v>
                      </c:pt>
                      <c:pt idx="16">
                        <c:v>0.20648647953880553</c:v>
                      </c:pt>
                      <c:pt idx="17">
                        <c:v>0.17191645562506214</c:v>
                      </c:pt>
                      <c:pt idx="18">
                        <c:v>0.15897326940616688</c:v>
                      </c:pt>
                      <c:pt idx="19">
                        <c:v>0.15493873364964594</c:v>
                      </c:pt>
                      <c:pt idx="20">
                        <c:v>0.15646372555761462</c:v>
                      </c:pt>
                      <c:pt idx="21">
                        <c:v>0.16174562723885857</c:v>
                      </c:pt>
                      <c:pt idx="22">
                        <c:v>0.17293220756376276</c:v>
                      </c:pt>
                      <c:pt idx="23">
                        <c:v>0.18310456194987426</c:v>
                      </c:pt>
                      <c:pt idx="24">
                        <c:v>0.19130815645479785</c:v>
                      </c:pt>
                      <c:pt idx="25">
                        <c:v>0.18462988985782267</c:v>
                      </c:pt>
                      <c:pt idx="26">
                        <c:v>0.17520330542670495</c:v>
                      </c:pt>
                      <c:pt idx="27">
                        <c:v>0.16408779509751176</c:v>
                      </c:pt>
                      <c:pt idx="28">
                        <c:v>0.15585539059432688</c:v>
                      </c:pt>
                      <c:pt idx="29">
                        <c:v>0.14814172205983683</c:v>
                      </c:pt>
                      <c:pt idx="30">
                        <c:v>0.1337881849260544</c:v>
                      </c:pt>
                      <c:pt idx="31">
                        <c:v>0.11525754504435479</c:v>
                      </c:pt>
                      <c:pt idx="32">
                        <c:v>0.11344062815400338</c:v>
                      </c:pt>
                      <c:pt idx="33">
                        <c:v>0.10305219278093219</c:v>
                      </c:pt>
                      <c:pt idx="34">
                        <c:v>8.6513134779043155E-2</c:v>
                      </c:pt>
                      <c:pt idx="35">
                        <c:v>8.167246407117143E-2</c:v>
                      </c:pt>
                      <c:pt idx="36">
                        <c:v>8.7381505726638067E-2</c:v>
                      </c:pt>
                      <c:pt idx="37">
                        <c:v>8.9404027604581465E-2</c:v>
                      </c:pt>
                      <c:pt idx="38">
                        <c:v>8.3889891937352509E-2</c:v>
                      </c:pt>
                      <c:pt idx="39">
                        <c:v>7.8523665261197403E-2</c:v>
                      </c:pt>
                      <c:pt idx="40">
                        <c:v>7.2706807612237301E-2</c:v>
                      </c:pt>
                      <c:pt idx="41">
                        <c:v>7.3486634565175762E-2</c:v>
                      </c:pt>
                      <c:pt idx="42">
                        <c:v>0.11561111602301725</c:v>
                      </c:pt>
                      <c:pt idx="43">
                        <c:v>0.13827660665518401</c:v>
                      </c:pt>
                      <c:pt idx="44">
                        <c:v>0.13061771111738849</c:v>
                      </c:pt>
                      <c:pt idx="45">
                        <c:v>0.11403062711839775</c:v>
                      </c:pt>
                      <c:pt idx="46">
                        <c:v>0.10739481651886042</c:v>
                      </c:pt>
                      <c:pt idx="47">
                        <c:v>0.10342495075843673</c:v>
                      </c:pt>
                      <c:pt idx="48">
                        <c:v>0.10774976249743988</c:v>
                      </c:pt>
                      <c:pt idx="49">
                        <c:v>0.11149651127132836</c:v>
                      </c:pt>
                      <c:pt idx="50">
                        <c:v>0.11350844814991057</c:v>
                      </c:pt>
                      <c:pt idx="51">
                        <c:v>0.10916307341214838</c:v>
                      </c:pt>
                      <c:pt idx="52">
                        <c:v>0.10474235967893281</c:v>
                      </c:pt>
                      <c:pt idx="53">
                        <c:v>0.10133546788453433</c:v>
                      </c:pt>
                      <c:pt idx="54">
                        <c:v>9.3626613349753834E-2</c:v>
                      </c:pt>
                      <c:pt idx="55">
                        <c:v>8.0518058140838358E-2</c:v>
                      </c:pt>
                      <c:pt idx="56">
                        <c:v>7.7173863342656232E-2</c:v>
                      </c:pt>
                      <c:pt idx="57">
                        <c:v>6.3607418161373802E-2</c:v>
                      </c:pt>
                      <c:pt idx="58">
                        <c:v>3.2033385066826257E-2</c:v>
                      </c:pt>
                      <c:pt idx="59">
                        <c:v>1.5442122068087717E-2</c:v>
                      </c:pt>
                      <c:pt idx="60">
                        <c:v>1.1414298311161723E-2</c:v>
                      </c:pt>
                      <c:pt idx="61">
                        <c:v>1.0335404376271588E-2</c:v>
                      </c:pt>
                      <c:pt idx="62">
                        <c:v>1.0208370383937926E-2</c:v>
                      </c:pt>
                      <c:pt idx="63">
                        <c:v>1.1060390332519614E-2</c:v>
                      </c:pt>
                      <c:pt idx="64">
                        <c:v>9.8989424026115092E-3</c:v>
                      </c:pt>
                      <c:pt idx="65">
                        <c:v>1.7780220926986442E-2</c:v>
                      </c:pt>
                      <c:pt idx="66">
                        <c:v>3.2348741047794928E-2</c:v>
                      </c:pt>
                      <c:pt idx="67">
                        <c:v>3.3034014006439585E-2</c:v>
                      </c:pt>
                      <c:pt idx="68">
                        <c:v>2.1762910686636223E-2</c:v>
                      </c:pt>
                      <c:pt idx="69">
                        <c:v>1.74869709446837E-2</c:v>
                      </c:pt>
                      <c:pt idx="70">
                        <c:v>1.8721865870159379E-2</c:v>
                      </c:pt>
                      <c:pt idx="71">
                        <c:v>1.9438407826916998E-2</c:v>
                      </c:pt>
                      <c:pt idx="72">
                        <c:v>2.2797541624197577E-2</c:v>
                      </c:pt>
                      <c:pt idx="73">
                        <c:v>2.6731526386786626E-2</c:v>
                      </c:pt>
                      <c:pt idx="74">
                        <c:v>3.2651091029548496E-2</c:v>
                      </c:pt>
                      <c:pt idx="75">
                        <c:v>4.0581735550944249E-2</c:v>
                      </c:pt>
                      <c:pt idx="76">
                        <c:v>5.0982280923284669E-2</c:v>
                      </c:pt>
                      <c:pt idx="77">
                        <c:v>5.937375941686969E-2</c:v>
                      </c:pt>
                      <c:pt idx="78">
                        <c:v>6.6060949013306364E-2</c:v>
                      </c:pt>
                      <c:pt idx="79">
                        <c:v>6.9969822777410831E-2</c:v>
                      </c:pt>
                      <c:pt idx="80">
                        <c:v>7.8754290247279493E-2</c:v>
                      </c:pt>
                      <c:pt idx="81">
                        <c:v>9.0938502511977895E-2</c:v>
                      </c:pt>
                      <c:pt idx="82">
                        <c:v>0.10059799892903966</c:v>
                      </c:pt>
                      <c:pt idx="83">
                        <c:v>0.11549853702981128</c:v>
                      </c:pt>
                      <c:pt idx="84">
                        <c:v>0.13827718365514913</c:v>
                      </c:pt>
                      <c:pt idx="85">
                        <c:v>0.16269358818165039</c:v>
                      </c:pt>
                      <c:pt idx="86">
                        <c:v>0.18848292862529667</c:v>
                      </c:pt>
                      <c:pt idx="87">
                        <c:v>0.20757708547298881</c:v>
                      </c:pt>
                      <c:pt idx="88">
                        <c:v>0.21244670217911368</c:v>
                      </c:pt>
                      <c:pt idx="89">
                        <c:v>0.20457369765423944</c:v>
                      </c:pt>
                      <c:pt idx="90">
                        <c:v>0.22267503956184667</c:v>
                      </c:pt>
                      <c:pt idx="91">
                        <c:v>0.25473775162690299</c:v>
                      </c:pt>
                      <c:pt idx="92">
                        <c:v>0.2750155344031649</c:v>
                      </c:pt>
                      <c:pt idx="93">
                        <c:v>0.28818689160829031</c:v>
                      </c:pt>
                      <c:pt idx="94">
                        <c:v>0.31947299172021421</c:v>
                      </c:pt>
                      <c:pt idx="95">
                        <c:v>0.35398291563758449</c:v>
                      </c:pt>
                      <c:pt idx="96">
                        <c:v>0.36701986785082119</c:v>
                      </c:pt>
                      <c:pt idx="97">
                        <c:v>0.34250826133006518</c:v>
                      </c:pt>
                      <c:pt idx="98">
                        <c:v>0.33470189480116946</c:v>
                      </c:pt>
                      <c:pt idx="99">
                        <c:v>0.35738880743204338</c:v>
                      </c:pt>
                      <c:pt idx="100">
                        <c:v>0.41485717196390121</c:v>
                      </c:pt>
                      <c:pt idx="101">
                        <c:v>0.47076274659007128</c:v>
                      </c:pt>
                      <c:pt idx="102">
                        <c:v>0.49756943397232212</c:v>
                      </c:pt>
                      <c:pt idx="103">
                        <c:v>0.51359010000549543</c:v>
                      </c:pt>
                      <c:pt idx="104">
                        <c:v>0.54317547422005596</c:v>
                      </c:pt>
                      <c:pt idx="105">
                        <c:v>0.57570686625682821</c:v>
                      </c:pt>
                      <c:pt idx="106">
                        <c:v>0.61551763585429931</c:v>
                      </c:pt>
                      <c:pt idx="107">
                        <c:v>0.64408789313012094</c:v>
                      </c:pt>
                      <c:pt idx="108">
                        <c:v>0.67036327354443537</c:v>
                      </c:pt>
                      <c:pt idx="109">
                        <c:v>0.68859965844389293</c:v>
                      </c:pt>
                      <c:pt idx="110">
                        <c:v>0.69667432295659715</c:v>
                      </c:pt>
                      <c:pt idx="111">
                        <c:v>0.68744842451336829</c:v>
                      </c:pt>
                      <c:pt idx="112">
                        <c:v>0.67320852137272824</c:v>
                      </c:pt>
                      <c:pt idx="113">
                        <c:v>0.61049660515731197</c:v>
                      </c:pt>
                      <c:pt idx="114">
                        <c:v>0.53394368977718243</c:v>
                      </c:pt>
                      <c:pt idx="115">
                        <c:v>0.48341004882682292</c:v>
                      </c:pt>
                      <c:pt idx="116">
                        <c:v>0.46995058263908446</c:v>
                      </c:pt>
                      <c:pt idx="117">
                        <c:v>0.47026382862018046</c:v>
                      </c:pt>
                      <c:pt idx="118">
                        <c:v>0.46934742567548415</c:v>
                      </c:pt>
                      <c:pt idx="119">
                        <c:v>0.47874162510855628</c:v>
                      </c:pt>
                      <c:pt idx="120">
                        <c:v>0.49302265624671432</c:v>
                      </c:pt>
                      <c:pt idx="121">
                        <c:v>0.4938622261960473</c:v>
                      </c:pt>
                      <c:pt idx="122">
                        <c:v>0.48728852859276156</c:v>
                      </c:pt>
                      <c:pt idx="123">
                        <c:v>0.48603132366863239</c:v>
                      </c:pt>
                      <c:pt idx="124">
                        <c:v>0.48435209376997174</c:v>
                      </c:pt>
                      <c:pt idx="125">
                        <c:v>0.47883979810263166</c:v>
                      </c:pt>
                      <c:pt idx="126">
                        <c:v>0.47275229247000478</c:v>
                      </c:pt>
                      <c:pt idx="127">
                        <c:v>0.45748426039141099</c:v>
                      </c:pt>
                      <c:pt idx="128">
                        <c:v>0.43651179265707257</c:v>
                      </c:pt>
                      <c:pt idx="129">
                        <c:v>0.43123138797573823</c:v>
                      </c:pt>
                      <c:pt idx="130">
                        <c:v>0.43856396553322652</c:v>
                      </c:pt>
                      <c:pt idx="131">
                        <c:v>0.4509053437884401</c:v>
                      </c:pt>
                      <c:pt idx="132">
                        <c:v>0.47123204056175017</c:v>
                      </c:pt>
                      <c:pt idx="133">
                        <c:v>0.47521057832165048</c:v>
                      </c:pt>
                      <c:pt idx="134">
                        <c:v>0.46109749317335702</c:v>
                      </c:pt>
                      <c:pt idx="135">
                        <c:v>0.43415104179954089</c:v>
                      </c:pt>
                      <c:pt idx="136">
                        <c:v>0.41252640710455979</c:v>
                      </c:pt>
                      <c:pt idx="137">
                        <c:v>0.34461739720278156</c:v>
                      </c:pt>
                      <c:pt idx="138">
                        <c:v>0.34607709511469076</c:v>
                      </c:pt>
                      <c:pt idx="139">
                        <c:v>0.38436774580389899</c:v>
                      </c:pt>
                      <c:pt idx="140">
                        <c:v>0.41364259403719944</c:v>
                      </c:pt>
                      <c:pt idx="141">
                        <c:v>0.43220437191701999</c:v>
                      </c:pt>
                      <c:pt idx="142">
                        <c:v>0.4584762983315428</c:v>
                      </c:pt>
                      <c:pt idx="143">
                        <c:v>0.48614240466192871</c:v>
                      </c:pt>
                      <c:pt idx="144">
                        <c:v>0.52357055040318801</c:v>
                      </c:pt>
                      <c:pt idx="145">
                        <c:v>0.56404711396047935</c:v>
                      </c:pt>
                      <c:pt idx="146">
                        <c:v>0.5748165915809369</c:v>
                      </c:pt>
                      <c:pt idx="147">
                        <c:v>0.57715532638199307</c:v>
                      </c:pt>
                      <c:pt idx="148">
                        <c:v>0.57860242549996499</c:v>
                      </c:pt>
                      <c:pt idx="149">
                        <c:v>0.58272954038823277</c:v>
                      </c:pt>
                      <c:pt idx="150">
                        <c:v>0.600721311062134</c:v>
                      </c:pt>
                      <c:pt idx="151">
                        <c:v>0.64557382215840775</c:v>
                      </c:pt>
                      <c:pt idx="152">
                        <c:v>0.63980305738870513</c:v>
                      </c:pt>
                      <c:pt idx="153">
                        <c:v>0.60584824243783475</c:v>
                      </c:pt>
                      <c:pt idx="154">
                        <c:v>0.60256060363623953</c:v>
                      </c:pt>
                      <c:pt idx="155">
                        <c:v>0.61838276568139239</c:v>
                      </c:pt>
                      <c:pt idx="156">
                        <c:v>0.61770589754629901</c:v>
                      </c:pt>
                      <c:pt idx="157">
                        <c:v>0.59011559380965195</c:v>
                      </c:pt>
                      <c:pt idx="158">
                        <c:v>0.72059703551289223</c:v>
                      </c:pt>
                      <c:pt idx="159">
                        <c:v>0.73931284938341679</c:v>
                      </c:pt>
                      <c:pt idx="160">
                        <c:v>0.77701196410832341</c:v>
                      </c:pt>
                      <c:pt idx="161">
                        <c:v>0.76608120876798058</c:v>
                      </c:pt>
                      <c:pt idx="162">
                        <c:v>0.71677548674351776</c:v>
                      </c:pt>
                      <c:pt idx="163">
                        <c:v>0.69716502092698418</c:v>
                      </c:pt>
                      <c:pt idx="164">
                        <c:v>0.70264441459630977</c:v>
                      </c:pt>
                      <c:pt idx="165">
                        <c:v>0.71687942273724525</c:v>
                      </c:pt>
                      <c:pt idx="166">
                        <c:v>0.73354007373179642</c:v>
                      </c:pt>
                      <c:pt idx="167">
                        <c:v>0.75291920456229067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74-482D-9E4E-2209BD3C6F55}"/>
                  </c:ext>
                </c:extLst>
              </c15:ser>
            </c15:filteredAreaSeries>
          </c:ext>
        </c:extLst>
      </c:areaChart>
      <c:catAx>
        <c:axId val="116372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912"/>
        <c:crosses val="autoZero"/>
        <c:auto val="1"/>
        <c:lblAlgn val="ctr"/>
        <c:lblOffset val="100"/>
        <c:noMultiLvlLbl val="0"/>
      </c:catAx>
      <c:valAx>
        <c:axId val="11637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37284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143061</xdr:colOff>
      <xdr:row>12</xdr:row>
      <xdr:rowOff>24185</xdr:rowOff>
    </xdr:from>
    <xdr:to>
      <xdr:col>11</xdr:col>
      <xdr:colOff>761999</xdr:colOff>
      <xdr:row>36</xdr:row>
      <xdr:rowOff>97679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85C052-2F8B-2152-1DC6-F4AAFCE55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421822</xdr:colOff>
      <xdr:row>13</xdr:row>
      <xdr:rowOff>74614</xdr:rowOff>
    </xdr:from>
    <xdr:to>
      <xdr:col>22</xdr:col>
      <xdr:colOff>56202</xdr:colOff>
      <xdr:row>36</xdr:row>
      <xdr:rowOff>79871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30D942-401B-EC93-F71C-342945BA9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142929</xdr:colOff>
      <xdr:row>5</xdr:row>
      <xdr:rowOff>136929</xdr:rowOff>
    </xdr:from>
    <xdr:to>
      <xdr:col>30</xdr:col>
      <xdr:colOff>621688</xdr:colOff>
      <xdr:row>29</xdr:row>
      <xdr:rowOff>1073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D2BC45-80E5-A380-1941-28D0670E7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151670</xdr:colOff>
      <xdr:row>30</xdr:row>
      <xdr:rowOff>9830</xdr:rowOff>
    </xdr:from>
    <xdr:to>
      <xdr:col>30</xdr:col>
      <xdr:colOff>646304</xdr:colOff>
      <xdr:row>57</xdr:row>
      <xdr:rowOff>49480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73B38B-C970-42E9-8C1C-CD030E65F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188870</xdr:colOff>
      <xdr:row>57</xdr:row>
      <xdr:rowOff>115722</xdr:rowOff>
    </xdr:from>
    <xdr:to>
      <xdr:col>30</xdr:col>
      <xdr:colOff>677154</xdr:colOff>
      <xdr:row>80</xdr:row>
      <xdr:rowOff>156224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746EA9-6085-4B39-9248-EE7365567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792441</xdr:colOff>
      <xdr:row>6</xdr:row>
      <xdr:rowOff>123266</xdr:rowOff>
    </xdr:from>
    <xdr:to>
      <xdr:col>34</xdr:col>
      <xdr:colOff>1075764</xdr:colOff>
      <xdr:row>26</xdr:row>
      <xdr:rowOff>11206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20E23A0-B62D-4DED-B4A9-AFF2DFADC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1772584</xdr:colOff>
      <xdr:row>6</xdr:row>
      <xdr:rowOff>142502</xdr:rowOff>
    </xdr:from>
    <xdr:to>
      <xdr:col>38</xdr:col>
      <xdr:colOff>1064560</xdr:colOff>
      <xdr:row>22</xdr:row>
      <xdr:rowOff>56030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9E7F106-5A24-4419-853F-901723950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470646</xdr:colOff>
      <xdr:row>6</xdr:row>
      <xdr:rowOff>11206</xdr:rowOff>
    </xdr:from>
    <xdr:to>
      <xdr:col>43</xdr:col>
      <xdr:colOff>1434351</xdr:colOff>
      <xdr:row>23</xdr:row>
      <xdr:rowOff>153707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032E508-CD89-46BF-9B46-A7E276F0B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414617</xdr:colOff>
      <xdr:row>6</xdr:row>
      <xdr:rowOff>44824</xdr:rowOff>
    </xdr:from>
    <xdr:to>
      <xdr:col>48</xdr:col>
      <xdr:colOff>770031</xdr:colOff>
      <xdr:row>23</xdr:row>
      <xdr:rowOff>100854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33AD1DE-C0C9-40F7-A3FA-BCB437225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145677</xdr:colOff>
      <xdr:row>7</xdr:row>
      <xdr:rowOff>11206</xdr:rowOff>
    </xdr:from>
    <xdr:to>
      <xdr:col>54</xdr:col>
      <xdr:colOff>81617</xdr:colOff>
      <xdr:row>24</xdr:row>
      <xdr:rowOff>67236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7ECBD1B-6B33-432D-B9D0-7E9291A9F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262778</xdr:colOff>
      <xdr:row>4</xdr:row>
      <xdr:rowOff>26987</xdr:rowOff>
    </xdr:from>
    <xdr:to>
      <xdr:col>6</xdr:col>
      <xdr:colOff>1625600</xdr:colOff>
      <xdr:row>27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AB3CFE-6681-ED73-9443-49011BE46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212912</xdr:colOff>
      <xdr:row>4</xdr:row>
      <xdr:rowOff>78441</xdr:rowOff>
    </xdr:from>
    <xdr:to>
      <xdr:col>13</xdr:col>
      <xdr:colOff>1684058</xdr:colOff>
      <xdr:row>28</xdr:row>
      <xdr:rowOff>56030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7FC8E5-1AFC-49C7-8754-A59F1438B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585107</xdr:colOff>
      <xdr:row>4</xdr:row>
      <xdr:rowOff>30389</xdr:rowOff>
    </xdr:from>
    <xdr:to>
      <xdr:col>21</xdr:col>
      <xdr:colOff>200932</xdr:colOff>
      <xdr:row>28</xdr:row>
      <xdr:rowOff>13607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17478E-50EB-4730-98B4-0A5EFAA02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204107</xdr:colOff>
      <xdr:row>4</xdr:row>
      <xdr:rowOff>40821</xdr:rowOff>
    </xdr:from>
    <xdr:to>
      <xdr:col>30</xdr:col>
      <xdr:colOff>568325</xdr:colOff>
      <xdr:row>28</xdr:row>
      <xdr:rowOff>27214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47017D-8C20-40BC-B7FA-C79379E53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8</xdr:row>
      <xdr:rowOff>26987</xdr:rowOff>
    </xdr:from>
    <xdr:to>
      <xdr:col>4</xdr:col>
      <xdr:colOff>104775</xdr:colOff>
      <xdr:row>23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EE7F0A-1D01-1CBE-E292-4D63B537E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587375</xdr:colOff>
      <xdr:row>8</xdr:row>
      <xdr:rowOff>66675</xdr:rowOff>
    </xdr:from>
    <xdr:to>
      <xdr:col>8</xdr:col>
      <xdr:colOff>34925</xdr:colOff>
      <xdr:row>23</xdr:row>
      <xdr:rowOff>55563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0D683C-178B-425E-A578-955E910CC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704850</xdr:colOff>
      <xdr:row>8</xdr:row>
      <xdr:rowOff>76200</xdr:rowOff>
    </xdr:from>
    <xdr:to>
      <xdr:col>12</xdr:col>
      <xdr:colOff>133350</xdr:colOff>
      <xdr:row>23</xdr:row>
      <xdr:rowOff>65088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180C53-5D35-4387-8F4E-147B53E21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73025</xdr:colOff>
      <xdr:row>8</xdr:row>
      <xdr:rowOff>111125</xdr:rowOff>
    </xdr:from>
    <xdr:to>
      <xdr:col>16</xdr:col>
      <xdr:colOff>263525</xdr:colOff>
      <xdr:row>23</xdr:row>
      <xdr:rowOff>103188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5D85FE-0716-44B9-9A6B-69CE3356E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581025</xdr:colOff>
      <xdr:row>7</xdr:row>
      <xdr:rowOff>123824</xdr:rowOff>
    </xdr:from>
    <xdr:to>
      <xdr:col>20</xdr:col>
      <xdr:colOff>9525</xdr:colOff>
      <xdr:row>30</xdr:row>
      <xdr:rowOff>114299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72872ED-3378-4844-8299-02661068D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752475</xdr:colOff>
      <xdr:row>10</xdr:row>
      <xdr:rowOff>114300</xdr:rowOff>
    </xdr:from>
    <xdr:to>
      <xdr:col>24</xdr:col>
      <xdr:colOff>180975</xdr:colOff>
      <xdr:row>25</xdr:row>
      <xdr:rowOff>112713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E096FD7-98F8-4AD4-9ADB-4112D70B2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hojas_de_datos\ResultadosBenchMarking.xlsx" TargetMode="External"/><Relationship Id="rId1" Type="http://schemas.openxmlformats.org/officeDocument/2006/relationships/externalLinkPath" Target="ResultadosBenchMa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generators-p_set"/>
      <sheetName val="buses-p"/>
      <sheetName val="links-p0"/>
      <sheetName val="links-p1"/>
      <sheetName val="stores-p"/>
      <sheetName val="stores-e"/>
      <sheetName val="storage_units-p"/>
      <sheetName val="storage_units-p_dispatch"/>
      <sheetName val="storage_units-p_store"/>
      <sheetName val="storage_units-state_of_charge"/>
      <sheetName val="loads-p"/>
      <sheetName val="sub_networks"/>
      <sheetName val="generators-p"/>
      <sheetName val="links-status"/>
      <sheetName val="links-start_up"/>
      <sheetName val="links-shut_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E1" t="str">
            <v>ES_electrolyzer</v>
          </cell>
          <cell r="M1" t="str">
            <v>ES_PT_interconexion_electricidad</v>
          </cell>
          <cell r="N1" t="str">
            <v>ES_PT_interconexion_hidrogeno</v>
          </cell>
          <cell r="O1" t="str">
            <v>PT_ES_interconexion_electricidad</v>
          </cell>
          <cell r="P1" t="str">
            <v>PT_ES_interconexion_hidrogeno</v>
          </cell>
          <cell r="Q1" t="str">
            <v>ES_FR_interconexion_electricidad</v>
          </cell>
          <cell r="R1" t="str">
            <v>FR_ES_interconexion_electricidad</v>
          </cell>
          <cell r="Y1" t="str">
            <v>MA_ES_interconexion_hidrogeno</v>
          </cell>
        </row>
        <row r="2">
          <cell r="B2">
            <v>4911.9279999999999</v>
          </cell>
          <cell r="C2">
            <v>0</v>
          </cell>
          <cell r="D2">
            <v>0</v>
          </cell>
          <cell r="E2">
            <v>5897.7667191245882</v>
          </cell>
          <cell r="H2">
            <v>499.98665</v>
          </cell>
          <cell r="I2">
            <v>2877.985924161866</v>
          </cell>
          <cell r="M2">
            <v>0</v>
          </cell>
          <cell r="N2">
            <v>667.71211683537592</v>
          </cell>
          <cell r="O2">
            <v>2444.6961297099861</v>
          </cell>
          <cell r="P2">
            <v>0</v>
          </cell>
          <cell r="Q2">
            <v>0</v>
          </cell>
          <cell r="R2">
            <v>5000</v>
          </cell>
          <cell r="Y2">
            <v>2618.1735915726958</v>
          </cell>
        </row>
        <row r="3">
          <cell r="B3">
            <v>4911.9279999999999</v>
          </cell>
          <cell r="C3">
            <v>0</v>
          </cell>
          <cell r="D3">
            <v>0</v>
          </cell>
          <cell r="E3">
            <v>2815.594175088976</v>
          </cell>
          <cell r="H3">
            <v>499.98665</v>
          </cell>
          <cell r="I3">
            <v>0</v>
          </cell>
          <cell r="M3">
            <v>0</v>
          </cell>
          <cell r="N3">
            <v>721.37420311672702</v>
          </cell>
          <cell r="O3">
            <v>2143.0083277280419</v>
          </cell>
          <cell r="P3">
            <v>0</v>
          </cell>
          <cell r="Q3">
            <v>0</v>
          </cell>
          <cell r="R3">
            <v>5000</v>
          </cell>
          <cell r="Y3">
            <v>2618.1735915726958</v>
          </cell>
        </row>
        <row r="4">
          <cell r="B4">
            <v>4911.9279999999999</v>
          </cell>
          <cell r="C4">
            <v>0</v>
          </cell>
          <cell r="D4">
            <v>0</v>
          </cell>
          <cell r="E4">
            <v>2612.2990073832329</v>
          </cell>
          <cell r="H4">
            <v>499.98665</v>
          </cell>
          <cell r="I4">
            <v>3093.9253817630588</v>
          </cell>
          <cell r="M4">
            <v>0</v>
          </cell>
          <cell r="N4">
            <v>756.9483509365773</v>
          </cell>
          <cell r="O4">
            <v>3500</v>
          </cell>
          <cell r="P4">
            <v>0</v>
          </cell>
          <cell r="Q4">
            <v>0</v>
          </cell>
          <cell r="R4">
            <v>5000</v>
          </cell>
          <cell r="Y4">
            <v>2618.1735915726958</v>
          </cell>
        </row>
        <row r="5">
          <cell r="B5">
            <v>0</v>
          </cell>
          <cell r="C5">
            <v>0</v>
          </cell>
          <cell r="D5">
            <v>7065.7329251074016</v>
          </cell>
          <cell r="E5">
            <v>2279.704235108677</v>
          </cell>
          <cell r="H5">
            <v>0</v>
          </cell>
          <cell r="I5">
            <v>0</v>
          </cell>
          <cell r="M5">
            <v>0</v>
          </cell>
          <cell r="N5">
            <v>790.26619216048653</v>
          </cell>
          <cell r="O5">
            <v>3500</v>
          </cell>
          <cell r="P5">
            <v>0</v>
          </cell>
          <cell r="Q5">
            <v>0</v>
          </cell>
          <cell r="R5">
            <v>5000</v>
          </cell>
          <cell r="Y5">
            <v>2618.1735915726958</v>
          </cell>
        </row>
        <row r="6">
          <cell r="B6">
            <v>0</v>
          </cell>
          <cell r="C6">
            <v>0</v>
          </cell>
          <cell r="D6">
            <v>8597.891380286339</v>
          </cell>
          <cell r="E6">
            <v>1585.312830893602</v>
          </cell>
          <cell r="H6">
            <v>0</v>
          </cell>
          <cell r="I6">
            <v>0</v>
          </cell>
          <cell r="M6">
            <v>0</v>
          </cell>
          <cell r="N6">
            <v>814.04882562178477</v>
          </cell>
          <cell r="O6">
            <v>3500</v>
          </cell>
          <cell r="P6">
            <v>0</v>
          </cell>
          <cell r="Q6">
            <v>0</v>
          </cell>
          <cell r="R6">
            <v>5000</v>
          </cell>
          <cell r="Y6">
            <v>2618.1735915726958</v>
          </cell>
        </row>
        <row r="7">
          <cell r="B7">
            <v>0</v>
          </cell>
          <cell r="C7">
            <v>0</v>
          </cell>
          <cell r="D7">
            <v>2241.2887393551368</v>
          </cell>
          <cell r="E7">
            <v>1691.5462530038301</v>
          </cell>
          <cell r="H7">
            <v>0</v>
          </cell>
          <cell r="I7">
            <v>0</v>
          </cell>
          <cell r="M7">
            <v>0</v>
          </cell>
          <cell r="N7">
            <v>925.31438933628283</v>
          </cell>
          <cell r="O7">
            <v>190.04872886950031</v>
          </cell>
          <cell r="P7">
            <v>0</v>
          </cell>
          <cell r="Q7">
            <v>0</v>
          </cell>
          <cell r="R7">
            <v>5000</v>
          </cell>
          <cell r="Y7">
            <v>2618.1735915726958</v>
          </cell>
        </row>
        <row r="8">
          <cell r="B8">
            <v>0</v>
          </cell>
          <cell r="C8">
            <v>0</v>
          </cell>
          <cell r="D8">
            <v>1758.205171427413</v>
          </cell>
          <cell r="E8">
            <v>2939.977224246009</v>
          </cell>
          <cell r="H8">
            <v>0</v>
          </cell>
          <cell r="I8">
            <v>0</v>
          </cell>
          <cell r="M8">
            <v>0</v>
          </cell>
          <cell r="N8">
            <v>1039.599380252673</v>
          </cell>
          <cell r="O8">
            <v>3500</v>
          </cell>
          <cell r="P8">
            <v>0</v>
          </cell>
          <cell r="Q8">
            <v>0</v>
          </cell>
          <cell r="R8">
            <v>5000</v>
          </cell>
          <cell r="Y8">
            <v>2618.1735915726958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5995.6977744932656</v>
          </cell>
          <cell r="H9">
            <v>0</v>
          </cell>
          <cell r="I9">
            <v>0</v>
          </cell>
          <cell r="M9">
            <v>0</v>
          </cell>
          <cell r="N9">
            <v>1130.330102459563</v>
          </cell>
          <cell r="O9">
            <v>3500</v>
          </cell>
          <cell r="P9">
            <v>0</v>
          </cell>
          <cell r="Q9">
            <v>0</v>
          </cell>
          <cell r="R9">
            <v>5000</v>
          </cell>
          <cell r="Y9">
            <v>2618.1735915726958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8381.4217210371316</v>
          </cell>
          <cell r="H10">
            <v>0</v>
          </cell>
          <cell r="I10">
            <v>0</v>
          </cell>
          <cell r="M10">
            <v>0</v>
          </cell>
          <cell r="N10">
            <v>1228.513711358954</v>
          </cell>
          <cell r="O10">
            <v>3500</v>
          </cell>
          <cell r="P10">
            <v>0</v>
          </cell>
          <cell r="Q10">
            <v>0</v>
          </cell>
          <cell r="R10">
            <v>5000</v>
          </cell>
          <cell r="Y10">
            <v>2618.1735915726958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H11">
            <v>0</v>
          </cell>
          <cell r="I11">
            <v>0</v>
          </cell>
          <cell r="M11">
            <v>0</v>
          </cell>
          <cell r="N11">
            <v>582.76006835875774</v>
          </cell>
          <cell r="O11">
            <v>1300.3325433995999</v>
          </cell>
          <cell r="P11">
            <v>0</v>
          </cell>
          <cell r="Q11">
            <v>0</v>
          </cell>
          <cell r="R11">
            <v>5000</v>
          </cell>
          <cell r="Y11">
            <v>1517.8</v>
          </cell>
        </row>
        <row r="12">
          <cell r="B12">
            <v>0</v>
          </cell>
          <cell r="C12">
            <v>0</v>
          </cell>
          <cell r="D12">
            <v>13320.750632965201</v>
          </cell>
          <cell r="E12">
            <v>0</v>
          </cell>
          <cell r="H12">
            <v>0</v>
          </cell>
          <cell r="I12">
            <v>0</v>
          </cell>
          <cell r="M12">
            <v>0</v>
          </cell>
          <cell r="N12">
            <v>0</v>
          </cell>
          <cell r="O12">
            <v>3500</v>
          </cell>
          <cell r="P12">
            <v>0</v>
          </cell>
          <cell r="Q12">
            <v>578.16100895</v>
          </cell>
          <cell r="R12">
            <v>0</v>
          </cell>
          <cell r="Y12">
            <v>1517.8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H13">
            <v>0</v>
          </cell>
          <cell r="I13">
            <v>0</v>
          </cell>
          <cell r="M13">
            <v>0</v>
          </cell>
          <cell r="N13">
            <v>0</v>
          </cell>
          <cell r="O13">
            <v>3500</v>
          </cell>
          <cell r="P13">
            <v>0</v>
          </cell>
          <cell r="Q13">
            <v>5000</v>
          </cell>
          <cell r="R13">
            <v>0</v>
          </cell>
          <cell r="Y13">
            <v>1517.8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H14">
            <v>0</v>
          </cell>
          <cell r="I14">
            <v>0</v>
          </cell>
          <cell r="M14">
            <v>0</v>
          </cell>
          <cell r="N14">
            <v>0</v>
          </cell>
          <cell r="O14">
            <v>3500</v>
          </cell>
          <cell r="P14">
            <v>0</v>
          </cell>
          <cell r="Q14">
            <v>5000</v>
          </cell>
          <cell r="R14">
            <v>0</v>
          </cell>
          <cell r="Y14">
            <v>1517.8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H15">
            <v>0</v>
          </cell>
          <cell r="I15">
            <v>0</v>
          </cell>
          <cell r="M15">
            <v>0</v>
          </cell>
          <cell r="N15">
            <v>0</v>
          </cell>
          <cell r="O15">
            <v>3500</v>
          </cell>
          <cell r="P15">
            <v>0</v>
          </cell>
          <cell r="Q15">
            <v>5000</v>
          </cell>
          <cell r="R15">
            <v>0</v>
          </cell>
          <cell r="Y15">
            <v>1517.8</v>
          </cell>
        </row>
        <row r="16">
          <cell r="B16">
            <v>0</v>
          </cell>
          <cell r="C16">
            <v>0</v>
          </cell>
          <cell r="D16">
            <v>13320.750632965201</v>
          </cell>
          <cell r="E16">
            <v>0</v>
          </cell>
          <cell r="H16">
            <v>0</v>
          </cell>
          <cell r="I16">
            <v>0</v>
          </cell>
          <cell r="M16">
            <v>0</v>
          </cell>
          <cell r="N16">
            <v>0</v>
          </cell>
          <cell r="O16">
            <v>3500</v>
          </cell>
          <cell r="P16">
            <v>0</v>
          </cell>
          <cell r="Q16">
            <v>5000</v>
          </cell>
          <cell r="R16">
            <v>0</v>
          </cell>
          <cell r="Y16">
            <v>1517.8</v>
          </cell>
        </row>
        <row r="17">
          <cell r="B17">
            <v>0</v>
          </cell>
          <cell r="C17">
            <v>0</v>
          </cell>
          <cell r="D17">
            <v>13320.750632965201</v>
          </cell>
          <cell r="E17">
            <v>0</v>
          </cell>
          <cell r="H17">
            <v>0</v>
          </cell>
          <cell r="I17">
            <v>0</v>
          </cell>
          <cell r="M17">
            <v>0</v>
          </cell>
          <cell r="N17">
            <v>0</v>
          </cell>
          <cell r="O17">
            <v>3500</v>
          </cell>
          <cell r="P17">
            <v>0</v>
          </cell>
          <cell r="Q17">
            <v>5000</v>
          </cell>
          <cell r="R17">
            <v>0</v>
          </cell>
          <cell r="Y17">
            <v>1517.8</v>
          </cell>
        </row>
        <row r="18">
          <cell r="B18">
            <v>0</v>
          </cell>
          <cell r="C18">
            <v>0</v>
          </cell>
          <cell r="D18">
            <v>13320.750632965201</v>
          </cell>
          <cell r="E18">
            <v>0</v>
          </cell>
          <cell r="H18">
            <v>0</v>
          </cell>
          <cell r="I18">
            <v>0</v>
          </cell>
          <cell r="M18">
            <v>0</v>
          </cell>
          <cell r="N18">
            <v>0</v>
          </cell>
          <cell r="O18">
            <v>3500</v>
          </cell>
          <cell r="P18">
            <v>0</v>
          </cell>
          <cell r="Q18">
            <v>0</v>
          </cell>
          <cell r="R18">
            <v>0</v>
          </cell>
          <cell r="Y18">
            <v>1517.8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H19">
            <v>0</v>
          </cell>
          <cell r="I19">
            <v>2815.553749976214</v>
          </cell>
          <cell r="M19">
            <v>0</v>
          </cell>
          <cell r="N19">
            <v>96.817269199139218</v>
          </cell>
          <cell r="O19">
            <v>3500</v>
          </cell>
          <cell r="P19">
            <v>0</v>
          </cell>
          <cell r="Q19">
            <v>0</v>
          </cell>
          <cell r="R19">
            <v>5000</v>
          </cell>
          <cell r="Y19">
            <v>2209.3621904054771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5330.2284278857096</v>
          </cell>
          <cell r="H20">
            <v>0</v>
          </cell>
          <cell r="I20">
            <v>3135</v>
          </cell>
          <cell r="M20">
            <v>0</v>
          </cell>
          <cell r="N20">
            <v>1054.2675555941</v>
          </cell>
          <cell r="O20">
            <v>3500</v>
          </cell>
          <cell r="P20">
            <v>0</v>
          </cell>
          <cell r="Q20">
            <v>0</v>
          </cell>
          <cell r="R20">
            <v>5000</v>
          </cell>
          <cell r="Y20">
            <v>2618.1735915726958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3762.1553947207899</v>
          </cell>
          <cell r="H21">
            <v>0</v>
          </cell>
          <cell r="I21">
            <v>3135</v>
          </cell>
          <cell r="M21">
            <v>0</v>
          </cell>
          <cell r="N21">
            <v>873.6133942525953</v>
          </cell>
          <cell r="O21">
            <v>3500</v>
          </cell>
          <cell r="P21">
            <v>0</v>
          </cell>
          <cell r="Q21">
            <v>0</v>
          </cell>
          <cell r="R21">
            <v>5000</v>
          </cell>
          <cell r="Y21">
            <v>2618.1735915726958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1994.4548655542981</v>
          </cell>
          <cell r="H22">
            <v>0</v>
          </cell>
          <cell r="I22">
            <v>3135</v>
          </cell>
          <cell r="M22">
            <v>0</v>
          </cell>
          <cell r="N22">
            <v>750.37267056972189</v>
          </cell>
          <cell r="O22">
            <v>3500</v>
          </cell>
          <cell r="P22">
            <v>0</v>
          </cell>
          <cell r="Q22">
            <v>0</v>
          </cell>
          <cell r="R22">
            <v>5000</v>
          </cell>
          <cell r="Y22">
            <v>2618.1735915726958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84.135196621420434</v>
          </cell>
          <cell r="H23">
            <v>0</v>
          </cell>
          <cell r="I23">
            <v>3135</v>
          </cell>
          <cell r="M23">
            <v>0</v>
          </cell>
          <cell r="N23">
            <v>660.32961828724342</v>
          </cell>
          <cell r="O23">
            <v>3500</v>
          </cell>
          <cell r="P23">
            <v>0</v>
          </cell>
          <cell r="Q23">
            <v>0</v>
          </cell>
          <cell r="R23">
            <v>5000</v>
          </cell>
          <cell r="Y23">
            <v>2618.1735915726958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680.47741834644648</v>
          </cell>
          <cell r="H24">
            <v>0</v>
          </cell>
          <cell r="I24">
            <v>3135</v>
          </cell>
          <cell r="M24">
            <v>0</v>
          </cell>
          <cell r="N24">
            <v>634.48046958019836</v>
          </cell>
          <cell r="O24">
            <v>3500</v>
          </cell>
          <cell r="P24">
            <v>0</v>
          </cell>
          <cell r="Q24">
            <v>0</v>
          </cell>
          <cell r="R24">
            <v>5000</v>
          </cell>
          <cell r="Y24">
            <v>2618.1735915726958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1707.964109455336</v>
          </cell>
          <cell r="H25">
            <v>0</v>
          </cell>
          <cell r="I25">
            <v>3135</v>
          </cell>
          <cell r="M25">
            <v>0</v>
          </cell>
          <cell r="N25">
            <v>669.02125504385629</v>
          </cell>
          <cell r="O25">
            <v>3500</v>
          </cell>
          <cell r="P25">
            <v>0</v>
          </cell>
          <cell r="Q25">
            <v>0</v>
          </cell>
          <cell r="R25">
            <v>5000</v>
          </cell>
          <cell r="Y25">
            <v>2618.1735915726958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2661.0693722572541</v>
          </cell>
          <cell r="H26">
            <v>0</v>
          </cell>
          <cell r="I26">
            <v>3135</v>
          </cell>
          <cell r="M26">
            <v>0</v>
          </cell>
          <cell r="N26">
            <v>674.58755651502406</v>
          </cell>
          <cell r="O26">
            <v>3500</v>
          </cell>
          <cell r="P26">
            <v>0</v>
          </cell>
          <cell r="Q26">
            <v>0</v>
          </cell>
          <cell r="R26">
            <v>5000</v>
          </cell>
          <cell r="Y26">
            <v>2710.9803065799151</v>
          </cell>
        </row>
        <row r="27">
          <cell r="B27">
            <v>0</v>
          </cell>
          <cell r="C27">
            <v>10325.407011859719</v>
          </cell>
          <cell r="D27">
            <v>0</v>
          </cell>
          <cell r="E27">
            <v>4544.6985941644343</v>
          </cell>
          <cell r="H27">
            <v>0</v>
          </cell>
          <cell r="I27">
            <v>3135</v>
          </cell>
          <cell r="M27">
            <v>0</v>
          </cell>
          <cell r="N27">
            <v>711.75253960239093</v>
          </cell>
          <cell r="O27">
            <v>3500</v>
          </cell>
          <cell r="P27">
            <v>0</v>
          </cell>
          <cell r="Q27">
            <v>0</v>
          </cell>
          <cell r="R27">
            <v>5000</v>
          </cell>
          <cell r="Y27">
            <v>2710.9803065799151</v>
          </cell>
        </row>
        <row r="28">
          <cell r="B28">
            <v>0</v>
          </cell>
          <cell r="C28">
            <v>11724.8561489536</v>
          </cell>
          <cell r="D28">
            <v>0</v>
          </cell>
          <cell r="E28">
            <v>5368.8137193744969</v>
          </cell>
          <cell r="H28">
            <v>0</v>
          </cell>
          <cell r="I28">
            <v>3135</v>
          </cell>
          <cell r="M28">
            <v>0</v>
          </cell>
          <cell r="N28">
            <v>754.58062959829988</v>
          </cell>
          <cell r="O28">
            <v>3500</v>
          </cell>
          <cell r="P28">
            <v>0</v>
          </cell>
          <cell r="Q28">
            <v>0</v>
          </cell>
          <cell r="R28">
            <v>5000</v>
          </cell>
          <cell r="Y28">
            <v>2710.9803065799151</v>
          </cell>
        </row>
        <row r="29">
          <cell r="B29">
            <v>0</v>
          </cell>
          <cell r="C29">
            <v>12463.63268173</v>
          </cell>
          <cell r="D29">
            <v>0</v>
          </cell>
          <cell r="E29">
            <v>4492.4223739965801</v>
          </cell>
          <cell r="H29">
            <v>0</v>
          </cell>
          <cell r="I29">
            <v>3135</v>
          </cell>
          <cell r="M29">
            <v>0</v>
          </cell>
          <cell r="N29">
            <v>792.40970930638764</v>
          </cell>
          <cell r="O29">
            <v>3500</v>
          </cell>
          <cell r="P29">
            <v>0</v>
          </cell>
          <cell r="Q29">
            <v>0</v>
          </cell>
          <cell r="R29">
            <v>5000</v>
          </cell>
          <cell r="Y29">
            <v>2710.9803065799151</v>
          </cell>
        </row>
        <row r="30">
          <cell r="B30">
            <v>0</v>
          </cell>
          <cell r="C30">
            <v>13454.923146792369</v>
          </cell>
          <cell r="D30">
            <v>0</v>
          </cell>
          <cell r="E30">
            <v>3483.2751004981069</v>
          </cell>
          <cell r="H30">
            <v>0</v>
          </cell>
          <cell r="I30">
            <v>3135</v>
          </cell>
          <cell r="M30">
            <v>0</v>
          </cell>
          <cell r="N30">
            <v>824.14945757986607</v>
          </cell>
          <cell r="O30">
            <v>3500</v>
          </cell>
          <cell r="P30">
            <v>0</v>
          </cell>
          <cell r="Q30">
            <v>0</v>
          </cell>
          <cell r="R30">
            <v>5000</v>
          </cell>
          <cell r="Y30">
            <v>2710.9803065799151</v>
          </cell>
        </row>
        <row r="31">
          <cell r="B31">
            <v>0</v>
          </cell>
          <cell r="C31">
            <v>16141.3867910638</v>
          </cell>
          <cell r="D31">
            <v>0</v>
          </cell>
          <cell r="E31">
            <v>2615.8324174263571</v>
          </cell>
          <cell r="H31">
            <v>0</v>
          </cell>
          <cell r="I31">
            <v>3135</v>
          </cell>
          <cell r="M31">
            <v>0</v>
          </cell>
          <cell r="N31">
            <v>958.20058041595519</v>
          </cell>
          <cell r="O31">
            <v>3500</v>
          </cell>
          <cell r="P31">
            <v>0</v>
          </cell>
          <cell r="Q31">
            <v>0</v>
          </cell>
          <cell r="R31">
            <v>5000</v>
          </cell>
          <cell r="Y31">
            <v>2710.9803065799151</v>
          </cell>
        </row>
        <row r="32">
          <cell r="B32">
            <v>0</v>
          </cell>
          <cell r="C32">
            <v>23375.405530030392</v>
          </cell>
          <cell r="D32">
            <v>0</v>
          </cell>
          <cell r="E32">
            <v>3510.9837976641552</v>
          </cell>
          <cell r="H32">
            <v>0</v>
          </cell>
          <cell r="I32">
            <v>3135</v>
          </cell>
          <cell r="M32">
            <v>0</v>
          </cell>
          <cell r="N32">
            <v>1071.3151122388899</v>
          </cell>
          <cell r="O32">
            <v>3500</v>
          </cell>
          <cell r="P32">
            <v>0</v>
          </cell>
          <cell r="Q32">
            <v>0</v>
          </cell>
          <cell r="R32">
            <v>5000</v>
          </cell>
          <cell r="Y32">
            <v>2710.9803065799151</v>
          </cell>
        </row>
        <row r="33">
          <cell r="B33">
            <v>0</v>
          </cell>
          <cell r="C33">
            <v>25140.2664733333</v>
          </cell>
          <cell r="D33">
            <v>0</v>
          </cell>
          <cell r="E33">
            <v>6078.1607525603094</v>
          </cell>
          <cell r="H33">
            <v>0</v>
          </cell>
          <cell r="I33">
            <v>3135</v>
          </cell>
          <cell r="M33">
            <v>0</v>
          </cell>
          <cell r="N33">
            <v>1152.0243094777879</v>
          </cell>
          <cell r="O33">
            <v>3500</v>
          </cell>
          <cell r="P33">
            <v>0</v>
          </cell>
          <cell r="Q33">
            <v>0</v>
          </cell>
          <cell r="R33">
            <v>5000</v>
          </cell>
          <cell r="Y33">
            <v>2710.9803065799151</v>
          </cell>
        </row>
        <row r="34">
          <cell r="B34">
            <v>0</v>
          </cell>
          <cell r="C34">
            <v>25140.2664733333</v>
          </cell>
          <cell r="D34">
            <v>0</v>
          </cell>
          <cell r="E34">
            <v>7375.5273244896634</v>
          </cell>
          <cell r="H34">
            <v>0</v>
          </cell>
          <cell r="I34">
            <v>3135</v>
          </cell>
          <cell r="M34">
            <v>0</v>
          </cell>
          <cell r="N34">
            <v>1231.863563242305</v>
          </cell>
          <cell r="O34">
            <v>3500</v>
          </cell>
          <cell r="P34">
            <v>0</v>
          </cell>
          <cell r="Q34">
            <v>0</v>
          </cell>
          <cell r="R34">
            <v>5000</v>
          </cell>
          <cell r="Y34">
            <v>2710.9803065799151</v>
          </cell>
        </row>
        <row r="35">
          <cell r="B35">
            <v>0</v>
          </cell>
          <cell r="C35">
            <v>13251.288631535839</v>
          </cell>
          <cell r="D35">
            <v>0</v>
          </cell>
          <cell r="E35">
            <v>0</v>
          </cell>
          <cell r="H35">
            <v>0</v>
          </cell>
          <cell r="I35">
            <v>3135</v>
          </cell>
          <cell r="M35">
            <v>0</v>
          </cell>
          <cell r="N35">
            <v>612.91791140973532</v>
          </cell>
          <cell r="O35">
            <v>3500</v>
          </cell>
          <cell r="P35">
            <v>0</v>
          </cell>
          <cell r="Q35">
            <v>0</v>
          </cell>
          <cell r="R35">
            <v>5000</v>
          </cell>
          <cell r="Y35">
            <v>1517.8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M36">
            <v>0</v>
          </cell>
          <cell r="N36">
            <v>0</v>
          </cell>
          <cell r="O36">
            <v>3500</v>
          </cell>
          <cell r="P36">
            <v>0</v>
          </cell>
          <cell r="Q36">
            <v>0</v>
          </cell>
          <cell r="R36">
            <v>5000</v>
          </cell>
          <cell r="Y36">
            <v>1497.1759999999999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M37">
            <v>0</v>
          </cell>
          <cell r="N37">
            <v>0</v>
          </cell>
          <cell r="O37">
            <v>3500</v>
          </cell>
          <cell r="P37">
            <v>0</v>
          </cell>
          <cell r="Q37">
            <v>0</v>
          </cell>
          <cell r="R37">
            <v>0</v>
          </cell>
          <cell r="Y37">
            <v>1517.8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M38">
            <v>0</v>
          </cell>
          <cell r="N38">
            <v>0</v>
          </cell>
          <cell r="O38">
            <v>3500</v>
          </cell>
          <cell r="P38">
            <v>0</v>
          </cell>
          <cell r="Q38">
            <v>0</v>
          </cell>
          <cell r="R38">
            <v>0</v>
          </cell>
          <cell r="Y38">
            <v>1517.8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M39">
            <v>0</v>
          </cell>
          <cell r="N39">
            <v>0</v>
          </cell>
          <cell r="O39">
            <v>3500</v>
          </cell>
          <cell r="P39">
            <v>0</v>
          </cell>
          <cell r="Q39">
            <v>0</v>
          </cell>
          <cell r="R39">
            <v>1024.6925293199999</v>
          </cell>
          <cell r="Y39">
            <v>1517.8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H40">
            <v>0</v>
          </cell>
          <cell r="I40">
            <v>0</v>
          </cell>
          <cell r="M40">
            <v>0</v>
          </cell>
          <cell r="N40">
            <v>0</v>
          </cell>
          <cell r="O40">
            <v>3500</v>
          </cell>
          <cell r="P40">
            <v>0</v>
          </cell>
          <cell r="Q40">
            <v>0</v>
          </cell>
          <cell r="R40">
            <v>2020.1101721099999</v>
          </cell>
          <cell r="Y40">
            <v>1517.8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H41">
            <v>0</v>
          </cell>
          <cell r="I41">
            <v>0</v>
          </cell>
          <cell r="M41">
            <v>0</v>
          </cell>
          <cell r="N41">
            <v>0</v>
          </cell>
          <cell r="O41">
            <v>3500</v>
          </cell>
          <cell r="P41">
            <v>0</v>
          </cell>
          <cell r="Q41">
            <v>0</v>
          </cell>
          <cell r="R41">
            <v>3682.2798601</v>
          </cell>
          <cell r="Y41">
            <v>1517.8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M42">
            <v>0</v>
          </cell>
          <cell r="N42">
            <v>0</v>
          </cell>
          <cell r="O42">
            <v>3500</v>
          </cell>
          <cell r="P42">
            <v>0</v>
          </cell>
          <cell r="Q42">
            <v>0</v>
          </cell>
          <cell r="R42">
            <v>5000</v>
          </cell>
          <cell r="Y42">
            <v>1497.1759999999999</v>
          </cell>
        </row>
        <row r="43">
          <cell r="B43">
            <v>11093.70761049073</v>
          </cell>
          <cell r="C43">
            <v>20857.674687178351</v>
          </cell>
          <cell r="D43">
            <v>0</v>
          </cell>
          <cell r="E43">
            <v>1407.3810854159531</v>
          </cell>
          <cell r="H43">
            <v>0</v>
          </cell>
          <cell r="I43">
            <v>2631.078580369528</v>
          </cell>
          <cell r="M43">
            <v>0</v>
          </cell>
          <cell r="N43">
            <v>103.3628285416733</v>
          </cell>
          <cell r="O43">
            <v>3500</v>
          </cell>
          <cell r="P43">
            <v>0</v>
          </cell>
          <cell r="Q43">
            <v>0</v>
          </cell>
          <cell r="R43">
            <v>5000</v>
          </cell>
          <cell r="Y43">
            <v>2710.9803065799151</v>
          </cell>
        </row>
        <row r="44">
          <cell r="B44">
            <v>11936.067610490731</v>
          </cell>
          <cell r="C44">
            <v>25140.2664733333</v>
          </cell>
          <cell r="D44">
            <v>0</v>
          </cell>
          <cell r="E44">
            <v>4742.8457819962023</v>
          </cell>
          <cell r="H44">
            <v>0</v>
          </cell>
          <cell r="I44">
            <v>99.341100350560311</v>
          </cell>
          <cell r="M44">
            <v>0</v>
          </cell>
          <cell r="N44">
            <v>1035.0455584578799</v>
          </cell>
          <cell r="O44">
            <v>3500</v>
          </cell>
          <cell r="P44">
            <v>0</v>
          </cell>
          <cell r="Q44">
            <v>0</v>
          </cell>
          <cell r="R44">
            <v>5000</v>
          </cell>
          <cell r="Y44">
            <v>2710.9803065799151</v>
          </cell>
        </row>
        <row r="45">
          <cell r="B45">
            <v>12778.427610490729</v>
          </cell>
          <cell r="C45">
            <v>21949.10289212066</v>
          </cell>
          <cell r="D45">
            <v>0</v>
          </cell>
          <cell r="E45">
            <v>1742.0705994352491</v>
          </cell>
          <cell r="H45">
            <v>0</v>
          </cell>
          <cell r="I45">
            <v>0</v>
          </cell>
          <cell r="M45">
            <v>0</v>
          </cell>
          <cell r="N45">
            <v>796.6472007011389</v>
          </cell>
          <cell r="O45">
            <v>3500</v>
          </cell>
          <cell r="P45">
            <v>0</v>
          </cell>
          <cell r="Q45">
            <v>0</v>
          </cell>
          <cell r="R45">
            <v>5000</v>
          </cell>
          <cell r="Y45">
            <v>2710.9803065799151</v>
          </cell>
        </row>
        <row r="46">
          <cell r="B46">
            <v>13620.78761049073</v>
          </cell>
          <cell r="C46">
            <v>18418.241401717401</v>
          </cell>
          <cell r="D46">
            <v>0</v>
          </cell>
          <cell r="E46">
            <v>418.25348292196662</v>
          </cell>
          <cell r="H46">
            <v>0</v>
          </cell>
          <cell r="I46">
            <v>0</v>
          </cell>
          <cell r="M46">
            <v>0</v>
          </cell>
          <cell r="N46">
            <v>658.92609022464114</v>
          </cell>
          <cell r="O46">
            <v>3500</v>
          </cell>
          <cell r="P46">
            <v>0</v>
          </cell>
          <cell r="Q46">
            <v>0</v>
          </cell>
          <cell r="R46">
            <v>5000</v>
          </cell>
          <cell r="Y46">
            <v>2710.9803065799151</v>
          </cell>
        </row>
        <row r="47">
          <cell r="B47">
            <v>14463.147610490731</v>
          </cell>
          <cell r="C47">
            <v>16516.255056023419</v>
          </cell>
          <cell r="D47">
            <v>0</v>
          </cell>
          <cell r="E47">
            <v>623.3058242915273</v>
          </cell>
          <cell r="H47">
            <v>0</v>
          </cell>
          <cell r="I47">
            <v>0</v>
          </cell>
          <cell r="M47">
            <v>0</v>
          </cell>
          <cell r="N47">
            <v>575.27214984524699</v>
          </cell>
          <cell r="O47">
            <v>3500</v>
          </cell>
          <cell r="P47">
            <v>0</v>
          </cell>
          <cell r="Q47">
            <v>0</v>
          </cell>
          <cell r="R47">
            <v>5000</v>
          </cell>
          <cell r="Y47">
            <v>2710.9803065799151</v>
          </cell>
        </row>
        <row r="48">
          <cell r="B48">
            <v>15305.50761049074</v>
          </cell>
          <cell r="C48">
            <v>13669.90212387989</v>
          </cell>
          <cell r="D48">
            <v>0</v>
          </cell>
          <cell r="E48">
            <v>709.53737981412814</v>
          </cell>
          <cell r="H48">
            <v>0</v>
          </cell>
          <cell r="I48">
            <v>0</v>
          </cell>
          <cell r="M48">
            <v>0</v>
          </cell>
          <cell r="N48">
            <v>516.00739792889692</v>
          </cell>
          <cell r="O48">
            <v>3500</v>
          </cell>
          <cell r="P48">
            <v>0</v>
          </cell>
          <cell r="Q48">
            <v>0</v>
          </cell>
          <cell r="R48">
            <v>5000</v>
          </cell>
          <cell r="Y48">
            <v>2710.9803065799151</v>
          </cell>
        </row>
        <row r="49">
          <cell r="B49">
            <v>16147.86761049073</v>
          </cell>
          <cell r="C49">
            <v>10257.10289297198</v>
          </cell>
          <cell r="D49">
            <v>0</v>
          </cell>
          <cell r="E49">
            <v>732.30510963865788</v>
          </cell>
          <cell r="H49">
            <v>0</v>
          </cell>
          <cell r="I49">
            <v>0</v>
          </cell>
          <cell r="M49">
            <v>0</v>
          </cell>
          <cell r="N49">
            <v>550.10275018037862</v>
          </cell>
          <cell r="O49">
            <v>3500</v>
          </cell>
          <cell r="P49">
            <v>0</v>
          </cell>
          <cell r="Q49">
            <v>0</v>
          </cell>
          <cell r="R49">
            <v>5000</v>
          </cell>
          <cell r="Y49">
            <v>2710.9803065799151</v>
          </cell>
        </row>
        <row r="50">
          <cell r="B50">
            <v>16990.22761049074</v>
          </cell>
          <cell r="C50">
            <v>5125.4270119922103</v>
          </cell>
          <cell r="D50">
            <v>0</v>
          </cell>
          <cell r="E50">
            <v>417.81766775399842</v>
          </cell>
          <cell r="H50">
            <v>0</v>
          </cell>
          <cell r="I50">
            <v>713.53502990011782</v>
          </cell>
          <cell r="M50">
            <v>0</v>
          </cell>
          <cell r="N50">
            <v>460.03973877269942</v>
          </cell>
          <cell r="O50">
            <v>3500</v>
          </cell>
          <cell r="P50">
            <v>0</v>
          </cell>
          <cell r="Q50">
            <v>0</v>
          </cell>
          <cell r="R50">
            <v>5000</v>
          </cell>
          <cell r="Y50">
            <v>2698.4436953367831</v>
          </cell>
        </row>
        <row r="51">
          <cell r="B51">
            <v>17832.58761049074</v>
          </cell>
          <cell r="C51">
            <v>1349.086532691525</v>
          </cell>
          <cell r="D51">
            <v>0</v>
          </cell>
          <cell r="E51">
            <v>367.95807953163597</v>
          </cell>
          <cell r="H51">
            <v>0</v>
          </cell>
          <cell r="I51">
            <v>0</v>
          </cell>
          <cell r="M51">
            <v>0</v>
          </cell>
          <cell r="N51">
            <v>466.49052822943997</v>
          </cell>
          <cell r="O51">
            <v>3500</v>
          </cell>
          <cell r="P51">
            <v>0</v>
          </cell>
          <cell r="Q51">
            <v>0</v>
          </cell>
          <cell r="R51">
            <v>5000</v>
          </cell>
          <cell r="Y51">
            <v>2698.4436953367831</v>
          </cell>
        </row>
        <row r="52">
          <cell r="B52">
            <v>18674.947610490741</v>
          </cell>
          <cell r="C52">
            <v>0</v>
          </cell>
          <cell r="D52">
            <v>0</v>
          </cell>
          <cell r="E52">
            <v>362.21732732030421</v>
          </cell>
          <cell r="H52">
            <v>0</v>
          </cell>
          <cell r="I52">
            <v>0</v>
          </cell>
          <cell r="M52">
            <v>0</v>
          </cell>
          <cell r="N52">
            <v>441.31682969998138</v>
          </cell>
          <cell r="O52">
            <v>3500</v>
          </cell>
          <cell r="P52">
            <v>0</v>
          </cell>
          <cell r="Q52">
            <v>0</v>
          </cell>
          <cell r="R52">
            <v>5000</v>
          </cell>
          <cell r="Y52">
            <v>2698.4436953367831</v>
          </cell>
        </row>
        <row r="53">
          <cell r="B53">
            <v>19517.307610490741</v>
          </cell>
          <cell r="C53">
            <v>0</v>
          </cell>
          <cell r="D53">
            <v>0</v>
          </cell>
          <cell r="E53">
            <v>425.36636218752022</v>
          </cell>
          <cell r="H53">
            <v>0</v>
          </cell>
          <cell r="I53">
            <v>0</v>
          </cell>
          <cell r="M53">
            <v>0</v>
          </cell>
          <cell r="N53">
            <v>426.58467212417878</v>
          </cell>
          <cell r="O53">
            <v>3500</v>
          </cell>
          <cell r="P53">
            <v>0</v>
          </cell>
          <cell r="Q53">
            <v>0</v>
          </cell>
          <cell r="R53">
            <v>5000</v>
          </cell>
          <cell r="Y53">
            <v>2698.4436953367831</v>
          </cell>
        </row>
        <row r="54">
          <cell r="B54">
            <v>20359.667610490738</v>
          </cell>
          <cell r="C54">
            <v>1748.0666074250239</v>
          </cell>
          <cell r="D54">
            <v>0</v>
          </cell>
          <cell r="E54">
            <v>482.7518903235075</v>
          </cell>
          <cell r="H54">
            <v>0</v>
          </cell>
          <cell r="I54">
            <v>0</v>
          </cell>
          <cell r="M54">
            <v>0</v>
          </cell>
          <cell r="N54">
            <v>420.04238074277822</v>
          </cell>
          <cell r="O54">
            <v>3500</v>
          </cell>
          <cell r="P54">
            <v>0</v>
          </cell>
          <cell r="Q54">
            <v>0</v>
          </cell>
          <cell r="R54">
            <v>5000</v>
          </cell>
          <cell r="Y54">
            <v>2698.4436953367831</v>
          </cell>
        </row>
        <row r="55">
          <cell r="B55">
            <v>21202.027610490739</v>
          </cell>
          <cell r="C55">
            <v>0</v>
          </cell>
          <cell r="D55">
            <v>0</v>
          </cell>
          <cell r="E55">
            <v>530.18283125373148</v>
          </cell>
          <cell r="H55">
            <v>0</v>
          </cell>
          <cell r="I55">
            <v>0</v>
          </cell>
          <cell r="M55">
            <v>0</v>
          </cell>
          <cell r="N55">
            <v>507.49227670404821</v>
          </cell>
          <cell r="O55">
            <v>3500</v>
          </cell>
          <cell r="P55">
            <v>0</v>
          </cell>
          <cell r="Q55">
            <v>0</v>
          </cell>
          <cell r="R55">
            <v>5000</v>
          </cell>
          <cell r="Y55">
            <v>2698.4436953367831</v>
          </cell>
        </row>
        <row r="56">
          <cell r="B56">
            <v>22044.387610490739</v>
          </cell>
          <cell r="C56">
            <v>11148.18619673176</v>
          </cell>
          <cell r="D56">
            <v>0</v>
          </cell>
          <cell r="E56">
            <v>1936.5356585548641</v>
          </cell>
          <cell r="H56">
            <v>0</v>
          </cell>
          <cell r="I56">
            <v>0</v>
          </cell>
          <cell r="M56">
            <v>0</v>
          </cell>
          <cell r="N56">
            <v>617.24333431669834</v>
          </cell>
          <cell r="O56">
            <v>3500</v>
          </cell>
          <cell r="P56">
            <v>0</v>
          </cell>
          <cell r="Q56">
            <v>0</v>
          </cell>
          <cell r="R56">
            <v>5000</v>
          </cell>
          <cell r="Y56">
            <v>2698.4436953367831</v>
          </cell>
        </row>
        <row r="57">
          <cell r="B57">
            <v>21813.15191546077</v>
          </cell>
          <cell r="C57">
            <v>17837.082550562409</v>
          </cell>
          <cell r="D57">
            <v>0</v>
          </cell>
          <cell r="E57">
            <v>4294.5566972955539</v>
          </cell>
          <cell r="H57">
            <v>0</v>
          </cell>
          <cell r="I57">
            <v>0</v>
          </cell>
          <cell r="M57">
            <v>0</v>
          </cell>
          <cell r="N57">
            <v>743.53782696844814</v>
          </cell>
          <cell r="O57">
            <v>3500</v>
          </cell>
          <cell r="P57">
            <v>0</v>
          </cell>
          <cell r="Q57">
            <v>0</v>
          </cell>
          <cell r="R57">
            <v>5000</v>
          </cell>
          <cell r="Y57">
            <v>2698.4436953367831</v>
          </cell>
        </row>
        <row r="58">
          <cell r="B58">
            <v>22655.511915460771</v>
          </cell>
          <cell r="C58">
            <v>22871.23391404151</v>
          </cell>
          <cell r="D58">
            <v>0</v>
          </cell>
          <cell r="E58">
            <v>5656.9829420492197</v>
          </cell>
          <cell r="H58">
            <v>0</v>
          </cell>
          <cell r="I58">
            <v>0</v>
          </cell>
          <cell r="M58">
            <v>0</v>
          </cell>
          <cell r="N58">
            <v>892.61304414069855</v>
          </cell>
          <cell r="O58">
            <v>3500</v>
          </cell>
          <cell r="P58">
            <v>0</v>
          </cell>
          <cell r="Q58">
            <v>0</v>
          </cell>
          <cell r="R58">
            <v>5000</v>
          </cell>
          <cell r="Y58">
            <v>2698.4436953367831</v>
          </cell>
        </row>
        <row r="59">
          <cell r="B59">
            <v>21602.56191546085</v>
          </cell>
          <cell r="C59">
            <v>2117.4328376220128</v>
          </cell>
          <cell r="D59">
            <v>0</v>
          </cell>
          <cell r="E59">
            <v>0</v>
          </cell>
          <cell r="H59">
            <v>0</v>
          </cell>
          <cell r="I59">
            <v>0</v>
          </cell>
          <cell r="M59">
            <v>0</v>
          </cell>
          <cell r="N59">
            <v>424.60178766589928</v>
          </cell>
          <cell r="O59">
            <v>3500</v>
          </cell>
          <cell r="P59">
            <v>0</v>
          </cell>
          <cell r="Q59">
            <v>0</v>
          </cell>
          <cell r="R59">
            <v>5000</v>
          </cell>
          <cell r="Y59">
            <v>1517.8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H60">
            <v>0</v>
          </cell>
          <cell r="I60">
            <v>0</v>
          </cell>
          <cell r="M60">
            <v>0</v>
          </cell>
          <cell r="N60">
            <v>0</v>
          </cell>
          <cell r="O60">
            <v>3500</v>
          </cell>
          <cell r="P60">
            <v>0</v>
          </cell>
          <cell r="Q60">
            <v>0</v>
          </cell>
          <cell r="R60">
            <v>5000</v>
          </cell>
          <cell r="Y60">
            <v>1497.1759999999999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H61">
            <v>0</v>
          </cell>
          <cell r="I61">
            <v>0</v>
          </cell>
          <cell r="M61">
            <v>0</v>
          </cell>
          <cell r="N61">
            <v>0</v>
          </cell>
          <cell r="O61">
            <v>3500</v>
          </cell>
          <cell r="P61">
            <v>0</v>
          </cell>
          <cell r="Q61">
            <v>0</v>
          </cell>
          <cell r="R61">
            <v>5000</v>
          </cell>
          <cell r="Y61">
            <v>1517.8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H62">
            <v>0</v>
          </cell>
          <cell r="I62">
            <v>0</v>
          </cell>
          <cell r="M62">
            <v>0</v>
          </cell>
          <cell r="N62">
            <v>0</v>
          </cell>
          <cell r="O62">
            <v>3500</v>
          </cell>
          <cell r="P62">
            <v>0</v>
          </cell>
          <cell r="Q62">
            <v>0</v>
          </cell>
          <cell r="R62">
            <v>5000</v>
          </cell>
          <cell r="Y62">
            <v>1517.8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  <cell r="I63">
            <v>0</v>
          </cell>
          <cell r="M63">
            <v>0</v>
          </cell>
          <cell r="N63">
            <v>0</v>
          </cell>
          <cell r="O63">
            <v>3500</v>
          </cell>
          <cell r="P63">
            <v>0</v>
          </cell>
          <cell r="Q63">
            <v>0</v>
          </cell>
          <cell r="R63">
            <v>5000</v>
          </cell>
          <cell r="Y63">
            <v>1517.8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H64">
            <v>0</v>
          </cell>
          <cell r="I64">
            <v>0</v>
          </cell>
          <cell r="M64">
            <v>0</v>
          </cell>
          <cell r="N64">
            <v>0</v>
          </cell>
          <cell r="O64">
            <v>3500</v>
          </cell>
          <cell r="P64">
            <v>0</v>
          </cell>
          <cell r="Q64">
            <v>0</v>
          </cell>
          <cell r="R64">
            <v>5000</v>
          </cell>
          <cell r="Y64">
            <v>1517.8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H65">
            <v>0</v>
          </cell>
          <cell r="I65">
            <v>0</v>
          </cell>
          <cell r="M65">
            <v>0</v>
          </cell>
          <cell r="N65">
            <v>0</v>
          </cell>
          <cell r="O65">
            <v>3500</v>
          </cell>
          <cell r="P65">
            <v>0</v>
          </cell>
          <cell r="Q65">
            <v>0</v>
          </cell>
          <cell r="R65">
            <v>5000</v>
          </cell>
          <cell r="Y65">
            <v>1517.8</v>
          </cell>
        </row>
        <row r="66">
          <cell r="B66">
            <v>0</v>
          </cell>
          <cell r="C66">
            <v>5991.9213903708614</v>
          </cell>
          <cell r="D66">
            <v>0</v>
          </cell>
          <cell r="E66">
            <v>0</v>
          </cell>
          <cell r="H66">
            <v>0</v>
          </cell>
          <cell r="I66">
            <v>0</v>
          </cell>
          <cell r="M66">
            <v>0</v>
          </cell>
          <cell r="N66">
            <v>0</v>
          </cell>
          <cell r="O66">
            <v>3500</v>
          </cell>
          <cell r="P66">
            <v>0</v>
          </cell>
          <cell r="Q66">
            <v>0</v>
          </cell>
          <cell r="R66">
            <v>5000</v>
          </cell>
          <cell r="Y66">
            <v>1497.1759999999999</v>
          </cell>
        </row>
        <row r="67">
          <cell r="B67">
            <v>0</v>
          </cell>
          <cell r="C67">
            <v>25140.2664733333</v>
          </cell>
          <cell r="D67">
            <v>0</v>
          </cell>
          <cell r="E67">
            <v>2799.3162629788221</v>
          </cell>
          <cell r="H67">
            <v>0</v>
          </cell>
          <cell r="I67">
            <v>1288.694734037764</v>
          </cell>
          <cell r="M67">
            <v>0</v>
          </cell>
          <cell r="N67">
            <v>0</v>
          </cell>
          <cell r="O67">
            <v>3500</v>
          </cell>
          <cell r="P67">
            <v>155.68140620669101</v>
          </cell>
          <cell r="Q67">
            <v>0</v>
          </cell>
          <cell r="R67">
            <v>5000</v>
          </cell>
          <cell r="Y67">
            <v>2698.4436953367831</v>
          </cell>
        </row>
        <row r="68">
          <cell r="B68">
            <v>0</v>
          </cell>
          <cell r="C68">
            <v>25140.2664733333</v>
          </cell>
          <cell r="D68">
            <v>0</v>
          </cell>
          <cell r="E68">
            <v>6853.3319201023214</v>
          </cell>
          <cell r="H68">
            <v>0</v>
          </cell>
          <cell r="I68">
            <v>3135</v>
          </cell>
          <cell r="M68">
            <v>0</v>
          </cell>
          <cell r="N68">
            <v>824.63048961049583</v>
          </cell>
          <cell r="O68">
            <v>3500</v>
          </cell>
          <cell r="P68">
            <v>0</v>
          </cell>
          <cell r="Q68">
            <v>0</v>
          </cell>
          <cell r="R68">
            <v>5000</v>
          </cell>
          <cell r="Y68">
            <v>2698.4436953367831</v>
          </cell>
        </row>
        <row r="69">
          <cell r="B69">
            <v>0</v>
          </cell>
          <cell r="C69">
            <v>25140.2664733333</v>
          </cell>
          <cell r="D69">
            <v>0</v>
          </cell>
          <cell r="E69">
            <v>5040.1024098485341</v>
          </cell>
          <cell r="H69">
            <v>0</v>
          </cell>
          <cell r="I69">
            <v>3135</v>
          </cell>
          <cell r="M69">
            <v>0</v>
          </cell>
          <cell r="N69">
            <v>638.42553338727021</v>
          </cell>
          <cell r="O69">
            <v>3500</v>
          </cell>
          <cell r="P69">
            <v>0</v>
          </cell>
          <cell r="Q69">
            <v>0</v>
          </cell>
          <cell r="R69">
            <v>5000</v>
          </cell>
          <cell r="Y69">
            <v>2698.4436953367831</v>
          </cell>
        </row>
        <row r="70">
          <cell r="B70">
            <v>0</v>
          </cell>
          <cell r="C70">
            <v>25140.2664733333</v>
          </cell>
          <cell r="D70">
            <v>0</v>
          </cell>
          <cell r="E70">
            <v>4415.7207956081347</v>
          </cell>
          <cell r="H70">
            <v>0</v>
          </cell>
          <cell r="I70">
            <v>3135</v>
          </cell>
          <cell r="M70">
            <v>0</v>
          </cell>
          <cell r="N70">
            <v>532.40205056827756</v>
          </cell>
          <cell r="O70">
            <v>3500</v>
          </cell>
          <cell r="P70">
            <v>0</v>
          </cell>
          <cell r="Q70">
            <v>0</v>
          </cell>
          <cell r="R70">
            <v>5000</v>
          </cell>
          <cell r="Y70">
            <v>2698.4436953367831</v>
          </cell>
        </row>
        <row r="71">
          <cell r="B71">
            <v>0</v>
          </cell>
          <cell r="C71">
            <v>25140.2664733333</v>
          </cell>
          <cell r="D71">
            <v>0</v>
          </cell>
          <cell r="E71">
            <v>3079.1895938597081</v>
          </cell>
          <cell r="H71">
            <v>0</v>
          </cell>
          <cell r="I71">
            <v>3135</v>
          </cell>
          <cell r="M71">
            <v>0</v>
          </cell>
          <cell r="N71">
            <v>505.5705483899892</v>
          </cell>
          <cell r="O71">
            <v>3500</v>
          </cell>
          <cell r="P71">
            <v>0</v>
          </cell>
          <cell r="Q71">
            <v>0</v>
          </cell>
          <cell r="R71">
            <v>5000</v>
          </cell>
          <cell r="Y71">
            <v>2698.4436953367831</v>
          </cell>
        </row>
        <row r="72">
          <cell r="B72">
            <v>0</v>
          </cell>
          <cell r="C72">
            <v>16155.528234543441</v>
          </cell>
          <cell r="D72">
            <v>0</v>
          </cell>
          <cell r="E72">
            <v>1472.0376519617089</v>
          </cell>
          <cell r="H72">
            <v>0</v>
          </cell>
          <cell r="I72">
            <v>3135</v>
          </cell>
          <cell r="M72">
            <v>0</v>
          </cell>
          <cell r="N72">
            <v>484.44157626196647</v>
          </cell>
          <cell r="O72">
            <v>3500</v>
          </cell>
          <cell r="P72">
            <v>0</v>
          </cell>
          <cell r="Q72">
            <v>0</v>
          </cell>
          <cell r="R72">
            <v>5000</v>
          </cell>
          <cell r="Y72">
            <v>2698.4436953367831</v>
          </cell>
        </row>
        <row r="73">
          <cell r="B73">
            <v>0</v>
          </cell>
          <cell r="C73">
            <v>25140.2664733333</v>
          </cell>
          <cell r="D73">
            <v>0</v>
          </cell>
          <cell r="E73">
            <v>1539.385391191666</v>
          </cell>
          <cell r="H73">
            <v>0</v>
          </cell>
          <cell r="I73">
            <v>3135</v>
          </cell>
          <cell r="M73">
            <v>0</v>
          </cell>
          <cell r="N73">
            <v>517.02518104028843</v>
          </cell>
          <cell r="O73">
            <v>3500</v>
          </cell>
          <cell r="P73">
            <v>0</v>
          </cell>
          <cell r="Q73">
            <v>0</v>
          </cell>
          <cell r="R73">
            <v>5000</v>
          </cell>
          <cell r="Y73">
            <v>2940.16732</v>
          </cell>
        </row>
        <row r="74">
          <cell r="B74">
            <v>0</v>
          </cell>
          <cell r="C74">
            <v>25140.2664733333</v>
          </cell>
          <cell r="D74">
            <v>0</v>
          </cell>
          <cell r="E74">
            <v>1582.27754300215</v>
          </cell>
          <cell r="H74">
            <v>0</v>
          </cell>
          <cell r="I74">
            <v>2238.3712834037642</v>
          </cell>
          <cell r="M74">
            <v>0</v>
          </cell>
          <cell r="N74">
            <v>543.25874864986747</v>
          </cell>
          <cell r="O74">
            <v>3500</v>
          </cell>
          <cell r="P74">
            <v>0</v>
          </cell>
          <cell r="Q74">
            <v>0</v>
          </cell>
          <cell r="R74">
            <v>5000</v>
          </cell>
          <cell r="Y74">
            <v>2940.16732</v>
          </cell>
        </row>
        <row r="75">
          <cell r="B75">
            <v>0</v>
          </cell>
          <cell r="C75">
            <v>24037.914365964429</v>
          </cell>
          <cell r="D75">
            <v>0</v>
          </cell>
          <cell r="E75">
            <v>1506.170775425006</v>
          </cell>
          <cell r="H75">
            <v>0</v>
          </cell>
          <cell r="I75">
            <v>2032.951083400824</v>
          </cell>
          <cell r="M75">
            <v>0</v>
          </cell>
          <cell r="N75">
            <v>582.38053430418904</v>
          </cell>
          <cell r="O75">
            <v>3500</v>
          </cell>
          <cell r="P75">
            <v>0</v>
          </cell>
          <cell r="Q75">
            <v>0</v>
          </cell>
          <cell r="R75">
            <v>5000</v>
          </cell>
          <cell r="Y75">
            <v>2940.16732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1430.8251544428499</v>
          </cell>
          <cell r="H76">
            <v>0</v>
          </cell>
          <cell r="I76">
            <v>1424.061840973884</v>
          </cell>
          <cell r="M76">
            <v>0</v>
          </cell>
          <cell r="N76">
            <v>587.90505696774392</v>
          </cell>
          <cell r="O76">
            <v>3500</v>
          </cell>
          <cell r="P76">
            <v>0</v>
          </cell>
          <cell r="Q76">
            <v>0</v>
          </cell>
          <cell r="R76">
            <v>5000</v>
          </cell>
          <cell r="Y76">
            <v>2940.16732</v>
          </cell>
        </row>
        <row r="77">
          <cell r="B77">
            <v>0</v>
          </cell>
          <cell r="C77">
            <v>22388.276699878039</v>
          </cell>
          <cell r="D77">
            <v>0</v>
          </cell>
          <cell r="E77">
            <v>1338.4564645494161</v>
          </cell>
          <cell r="H77">
            <v>0</v>
          </cell>
          <cell r="I77">
            <v>1084.2574991507049</v>
          </cell>
          <cell r="M77">
            <v>0</v>
          </cell>
          <cell r="N77">
            <v>583.63153329368265</v>
          </cell>
          <cell r="O77">
            <v>3500</v>
          </cell>
          <cell r="P77">
            <v>0</v>
          </cell>
          <cell r="Q77">
            <v>0</v>
          </cell>
          <cell r="R77">
            <v>5000</v>
          </cell>
          <cell r="Y77">
            <v>2940.16732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1226.4072097973101</v>
          </cell>
          <cell r="H78">
            <v>0</v>
          </cell>
          <cell r="I78">
            <v>1247.285672769648</v>
          </cell>
          <cell r="M78">
            <v>0</v>
          </cell>
          <cell r="N78">
            <v>564.75990567708868</v>
          </cell>
          <cell r="O78">
            <v>3500</v>
          </cell>
          <cell r="P78">
            <v>0</v>
          </cell>
          <cell r="Q78">
            <v>0</v>
          </cell>
          <cell r="R78">
            <v>5000</v>
          </cell>
          <cell r="Y78">
            <v>2940.16732</v>
          </cell>
        </row>
        <row r="79">
          <cell r="B79">
            <v>0</v>
          </cell>
          <cell r="C79">
            <v>25140.2664733333</v>
          </cell>
          <cell r="D79">
            <v>0</v>
          </cell>
          <cell r="E79">
            <v>2185.3383620061932</v>
          </cell>
          <cell r="H79">
            <v>0</v>
          </cell>
          <cell r="I79">
            <v>1562.411013930119</v>
          </cell>
          <cell r="M79">
            <v>0</v>
          </cell>
          <cell r="N79">
            <v>635.54440340144299</v>
          </cell>
          <cell r="O79">
            <v>3500</v>
          </cell>
          <cell r="P79">
            <v>0</v>
          </cell>
          <cell r="Q79">
            <v>0</v>
          </cell>
          <cell r="R79">
            <v>5000</v>
          </cell>
          <cell r="Y79">
            <v>2940.16732</v>
          </cell>
        </row>
        <row r="80">
          <cell r="B80">
            <v>0</v>
          </cell>
          <cell r="C80">
            <v>25140.2664733333</v>
          </cell>
          <cell r="D80">
            <v>0</v>
          </cell>
          <cell r="E80">
            <v>3455.6157879584448</v>
          </cell>
          <cell r="H80">
            <v>0</v>
          </cell>
          <cell r="I80">
            <v>2042.2099974291759</v>
          </cell>
          <cell r="M80">
            <v>0</v>
          </cell>
          <cell r="N80">
            <v>701.37991653390702</v>
          </cell>
          <cell r="O80">
            <v>3500</v>
          </cell>
          <cell r="P80">
            <v>0</v>
          </cell>
          <cell r="Q80">
            <v>0</v>
          </cell>
          <cell r="R80">
            <v>5000</v>
          </cell>
          <cell r="Y80">
            <v>2940.16732</v>
          </cell>
        </row>
        <row r="81">
          <cell r="B81">
            <v>0</v>
          </cell>
          <cell r="C81">
            <v>25140.2664733333</v>
          </cell>
          <cell r="D81">
            <v>0</v>
          </cell>
          <cell r="E81">
            <v>4893.0028024290459</v>
          </cell>
          <cell r="H81">
            <v>0</v>
          </cell>
          <cell r="I81">
            <v>3033.1503409267061</v>
          </cell>
          <cell r="M81">
            <v>0</v>
          </cell>
          <cell r="N81">
            <v>785.81278840981349</v>
          </cell>
          <cell r="O81">
            <v>3500</v>
          </cell>
          <cell r="P81">
            <v>0</v>
          </cell>
          <cell r="Q81">
            <v>0</v>
          </cell>
          <cell r="R81">
            <v>5000</v>
          </cell>
          <cell r="Y81">
            <v>2940.16732</v>
          </cell>
        </row>
        <row r="82">
          <cell r="B82">
            <v>0</v>
          </cell>
          <cell r="C82">
            <v>25140.2664733333</v>
          </cell>
          <cell r="D82">
            <v>0</v>
          </cell>
          <cell r="E82">
            <v>5711.1268785196216</v>
          </cell>
          <cell r="H82">
            <v>0</v>
          </cell>
          <cell r="I82">
            <v>3135</v>
          </cell>
          <cell r="M82">
            <v>0</v>
          </cell>
          <cell r="N82">
            <v>867.57114536745348</v>
          </cell>
          <cell r="O82">
            <v>3500</v>
          </cell>
          <cell r="P82">
            <v>0</v>
          </cell>
          <cell r="Q82">
            <v>0</v>
          </cell>
          <cell r="R82">
            <v>5000</v>
          </cell>
          <cell r="Y82">
            <v>2940.16732</v>
          </cell>
        </row>
        <row r="83">
          <cell r="B83">
            <v>0</v>
          </cell>
          <cell r="C83">
            <v>20709.92081004403</v>
          </cell>
          <cell r="D83">
            <v>0</v>
          </cell>
          <cell r="E83">
            <v>0</v>
          </cell>
          <cell r="H83">
            <v>0</v>
          </cell>
          <cell r="I83">
            <v>3135</v>
          </cell>
          <cell r="M83">
            <v>0</v>
          </cell>
          <cell r="N83">
            <v>553.12983412326503</v>
          </cell>
          <cell r="O83">
            <v>3500</v>
          </cell>
          <cell r="P83">
            <v>0</v>
          </cell>
          <cell r="Q83">
            <v>0</v>
          </cell>
          <cell r="R83">
            <v>5000</v>
          </cell>
          <cell r="Y83">
            <v>2207.1494596687498</v>
          </cell>
        </row>
        <row r="84">
          <cell r="B84">
            <v>0</v>
          </cell>
          <cell r="C84">
            <v>4319.1571583064024</v>
          </cell>
          <cell r="D84">
            <v>0</v>
          </cell>
          <cell r="E84">
            <v>0</v>
          </cell>
          <cell r="H84">
            <v>0</v>
          </cell>
          <cell r="I84">
            <v>2316.1753997748228</v>
          </cell>
          <cell r="M84">
            <v>0</v>
          </cell>
          <cell r="N84">
            <v>0</v>
          </cell>
          <cell r="O84">
            <v>3500</v>
          </cell>
          <cell r="P84">
            <v>0</v>
          </cell>
          <cell r="Q84">
            <v>0</v>
          </cell>
          <cell r="R84">
            <v>5000</v>
          </cell>
          <cell r="Y84">
            <v>1497.1759999999999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H85">
            <v>0</v>
          </cell>
          <cell r="I85">
            <v>431.45248076647158</v>
          </cell>
          <cell r="M85">
            <v>0</v>
          </cell>
          <cell r="N85">
            <v>0</v>
          </cell>
          <cell r="O85">
            <v>3500</v>
          </cell>
          <cell r="P85">
            <v>0</v>
          </cell>
          <cell r="Q85">
            <v>0</v>
          </cell>
          <cell r="R85">
            <v>0</v>
          </cell>
          <cell r="Y85">
            <v>1517.8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H86">
            <v>0</v>
          </cell>
          <cell r="I86">
            <v>0</v>
          </cell>
          <cell r="M86">
            <v>0</v>
          </cell>
          <cell r="N86">
            <v>0</v>
          </cell>
          <cell r="O86">
            <v>3500</v>
          </cell>
          <cell r="P86">
            <v>0</v>
          </cell>
          <cell r="Q86">
            <v>0</v>
          </cell>
          <cell r="R86">
            <v>0</v>
          </cell>
          <cell r="Y86">
            <v>1517.8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H87">
            <v>0</v>
          </cell>
          <cell r="I87">
            <v>0</v>
          </cell>
          <cell r="M87">
            <v>0</v>
          </cell>
          <cell r="N87">
            <v>0</v>
          </cell>
          <cell r="O87">
            <v>3500</v>
          </cell>
          <cell r="P87">
            <v>0</v>
          </cell>
          <cell r="Q87">
            <v>0</v>
          </cell>
          <cell r="R87">
            <v>0</v>
          </cell>
          <cell r="Y87">
            <v>1517.8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H88">
            <v>0</v>
          </cell>
          <cell r="I88">
            <v>0</v>
          </cell>
          <cell r="M88">
            <v>0</v>
          </cell>
          <cell r="N88">
            <v>0</v>
          </cell>
          <cell r="O88">
            <v>3500</v>
          </cell>
          <cell r="P88">
            <v>0</v>
          </cell>
          <cell r="Q88">
            <v>0</v>
          </cell>
          <cell r="R88">
            <v>0</v>
          </cell>
          <cell r="Y88">
            <v>1517.8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H89">
            <v>0</v>
          </cell>
          <cell r="I89">
            <v>0</v>
          </cell>
          <cell r="M89">
            <v>0</v>
          </cell>
          <cell r="N89">
            <v>0</v>
          </cell>
          <cell r="O89">
            <v>3500</v>
          </cell>
          <cell r="P89">
            <v>0</v>
          </cell>
          <cell r="Q89">
            <v>0</v>
          </cell>
          <cell r="R89">
            <v>3139.1474637299998</v>
          </cell>
          <cell r="Y89">
            <v>1517.8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H90">
            <v>0</v>
          </cell>
          <cell r="I90">
            <v>2715.6940365545888</v>
          </cell>
          <cell r="M90">
            <v>0</v>
          </cell>
          <cell r="N90">
            <v>0</v>
          </cell>
          <cell r="O90">
            <v>3500</v>
          </cell>
          <cell r="P90">
            <v>0</v>
          </cell>
          <cell r="Q90">
            <v>0</v>
          </cell>
          <cell r="R90">
            <v>0</v>
          </cell>
          <cell r="Y90">
            <v>1517.8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2084.760852969142</v>
          </cell>
          <cell r="H91">
            <v>0</v>
          </cell>
          <cell r="I91">
            <v>3135</v>
          </cell>
          <cell r="M91">
            <v>0</v>
          </cell>
          <cell r="N91">
            <v>0</v>
          </cell>
          <cell r="O91">
            <v>3500</v>
          </cell>
          <cell r="P91">
            <v>489.08560350706921</v>
          </cell>
          <cell r="Q91">
            <v>0</v>
          </cell>
          <cell r="R91">
            <v>5000</v>
          </cell>
          <cell r="Y91">
            <v>1517.8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6840.5337988800075</v>
          </cell>
          <cell r="H92">
            <v>0</v>
          </cell>
          <cell r="I92">
            <v>3135</v>
          </cell>
          <cell r="M92">
            <v>0</v>
          </cell>
          <cell r="N92">
            <v>0</v>
          </cell>
          <cell r="O92">
            <v>3500</v>
          </cell>
          <cell r="P92">
            <v>162.53962755622501</v>
          </cell>
          <cell r="Q92">
            <v>0</v>
          </cell>
          <cell r="R92">
            <v>5000</v>
          </cell>
          <cell r="Y92">
            <v>1517.8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4837.7281242147728</v>
          </cell>
          <cell r="H93">
            <v>0</v>
          </cell>
          <cell r="I93">
            <v>80.995667754879079</v>
          </cell>
          <cell r="M93">
            <v>0</v>
          </cell>
          <cell r="N93">
            <v>0</v>
          </cell>
          <cell r="O93">
            <v>3500</v>
          </cell>
          <cell r="P93">
            <v>416.19240616171442</v>
          </cell>
          <cell r="Q93">
            <v>0</v>
          </cell>
          <cell r="R93">
            <v>5000</v>
          </cell>
          <cell r="Y93">
            <v>1517.8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3368.3741749267551</v>
          </cell>
          <cell r="H94">
            <v>0</v>
          </cell>
          <cell r="I94">
            <v>0</v>
          </cell>
          <cell r="M94">
            <v>0</v>
          </cell>
          <cell r="N94">
            <v>0</v>
          </cell>
          <cell r="O94">
            <v>3500</v>
          </cell>
          <cell r="P94">
            <v>710.99978728411679</v>
          </cell>
          <cell r="Q94">
            <v>0</v>
          </cell>
          <cell r="R94">
            <v>5000</v>
          </cell>
          <cell r="Y94">
            <v>1517.8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2172.6419265040581</v>
          </cell>
          <cell r="H95">
            <v>0</v>
          </cell>
          <cell r="I95">
            <v>0</v>
          </cell>
          <cell r="M95">
            <v>0</v>
          </cell>
          <cell r="N95">
            <v>0</v>
          </cell>
          <cell r="O95">
            <v>3500</v>
          </cell>
          <cell r="P95">
            <v>1065.9084444358889</v>
          </cell>
          <cell r="Q95">
            <v>0</v>
          </cell>
          <cell r="R95">
            <v>5000</v>
          </cell>
          <cell r="Y95">
            <v>1517.8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1777.9189263892649</v>
          </cell>
          <cell r="H96">
            <v>0</v>
          </cell>
          <cell r="I96">
            <v>3135</v>
          </cell>
          <cell r="M96">
            <v>0</v>
          </cell>
          <cell r="N96">
            <v>0</v>
          </cell>
          <cell r="O96">
            <v>3500</v>
          </cell>
          <cell r="P96">
            <v>1264.032747153994</v>
          </cell>
          <cell r="Q96">
            <v>0</v>
          </cell>
          <cell r="R96">
            <v>746.27792890000001</v>
          </cell>
          <cell r="Y96">
            <v>1517.8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1266.2949556981521</v>
          </cell>
          <cell r="H97">
            <v>0</v>
          </cell>
          <cell r="I97">
            <v>0</v>
          </cell>
          <cell r="M97">
            <v>0</v>
          </cell>
          <cell r="N97">
            <v>0</v>
          </cell>
          <cell r="O97">
            <v>3500</v>
          </cell>
          <cell r="P97">
            <v>1316.426507046212</v>
          </cell>
          <cell r="Q97">
            <v>0</v>
          </cell>
          <cell r="R97">
            <v>0</v>
          </cell>
          <cell r="Y97">
            <v>1517.8</v>
          </cell>
        </row>
        <row r="98">
          <cell r="B98">
            <v>0</v>
          </cell>
          <cell r="C98">
            <v>0</v>
          </cell>
          <cell r="D98">
            <v>316.0060293980988</v>
          </cell>
          <cell r="E98">
            <v>123.97413014557191</v>
          </cell>
          <cell r="H98">
            <v>0</v>
          </cell>
          <cell r="I98">
            <v>0</v>
          </cell>
          <cell r="M98">
            <v>0</v>
          </cell>
          <cell r="N98">
            <v>0</v>
          </cell>
          <cell r="O98">
            <v>0</v>
          </cell>
          <cell r="P98">
            <v>1251.728783117743</v>
          </cell>
          <cell r="Q98">
            <v>0</v>
          </cell>
          <cell r="R98">
            <v>0</v>
          </cell>
          <cell r="Y98">
            <v>1517.8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1321.3994476243131</v>
          </cell>
          <cell r="H99">
            <v>0</v>
          </cell>
          <cell r="I99">
            <v>0</v>
          </cell>
          <cell r="M99">
            <v>0</v>
          </cell>
          <cell r="N99">
            <v>0</v>
          </cell>
          <cell r="O99">
            <v>418.99449976307869</v>
          </cell>
          <cell r="P99">
            <v>1281.4798981108329</v>
          </cell>
          <cell r="Q99">
            <v>353.90529597</v>
          </cell>
          <cell r="R99">
            <v>0</v>
          </cell>
          <cell r="Y99">
            <v>1517.8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2359.2680196905781</v>
          </cell>
          <cell r="H100">
            <v>0</v>
          </cell>
          <cell r="I100">
            <v>0</v>
          </cell>
          <cell r="M100">
            <v>0</v>
          </cell>
          <cell r="N100">
            <v>0</v>
          </cell>
          <cell r="O100">
            <v>3500</v>
          </cell>
          <cell r="P100">
            <v>1296.7197551914121</v>
          </cell>
          <cell r="Q100">
            <v>2858.6637063200001</v>
          </cell>
          <cell r="R100">
            <v>0</v>
          </cell>
          <cell r="Y100">
            <v>1517.8</v>
          </cell>
        </row>
        <row r="101">
          <cell r="B101">
            <v>0</v>
          </cell>
          <cell r="C101">
            <v>0</v>
          </cell>
          <cell r="D101">
            <v>1065.4878922070859</v>
          </cell>
          <cell r="E101">
            <v>1583.8223389465199</v>
          </cell>
          <cell r="H101">
            <v>0</v>
          </cell>
          <cell r="I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1230.8680771486449</v>
          </cell>
          <cell r="Q101">
            <v>0</v>
          </cell>
          <cell r="R101">
            <v>0</v>
          </cell>
          <cell r="Y101">
            <v>1517.8</v>
          </cell>
        </row>
        <row r="102">
          <cell r="B102">
            <v>0</v>
          </cell>
          <cell r="C102">
            <v>0</v>
          </cell>
          <cell r="D102">
            <v>6857.0334255452472</v>
          </cell>
          <cell r="E102">
            <v>0</v>
          </cell>
          <cell r="H102">
            <v>0</v>
          </cell>
          <cell r="I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1138.6904063716941</v>
          </cell>
          <cell r="Q102">
            <v>0</v>
          </cell>
          <cell r="R102">
            <v>0</v>
          </cell>
          <cell r="Y102">
            <v>1517.8</v>
          </cell>
        </row>
        <row r="103">
          <cell r="B103">
            <v>0</v>
          </cell>
          <cell r="C103">
            <v>0</v>
          </cell>
          <cell r="D103">
            <v>8305.1438078327574</v>
          </cell>
          <cell r="E103">
            <v>0</v>
          </cell>
          <cell r="H103">
            <v>0</v>
          </cell>
          <cell r="I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769.51525406051042</v>
          </cell>
          <cell r="Q103">
            <v>1329.8327752099999</v>
          </cell>
          <cell r="R103">
            <v>0</v>
          </cell>
          <cell r="Y103">
            <v>1517.8</v>
          </cell>
        </row>
        <row r="104">
          <cell r="B104">
            <v>0</v>
          </cell>
          <cell r="C104">
            <v>0</v>
          </cell>
          <cell r="D104">
            <v>5219.1889548658928</v>
          </cell>
          <cell r="E104">
            <v>0</v>
          </cell>
          <cell r="H104">
            <v>0</v>
          </cell>
          <cell r="I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496.46815487778622</v>
          </cell>
          <cell r="Q104">
            <v>3030.0808235099998</v>
          </cell>
          <cell r="R104">
            <v>0</v>
          </cell>
          <cell r="Y104">
            <v>1517.8</v>
          </cell>
        </row>
        <row r="105">
          <cell r="B105">
            <v>0</v>
          </cell>
          <cell r="C105">
            <v>0</v>
          </cell>
          <cell r="D105">
            <v>6332.2951380279856</v>
          </cell>
          <cell r="E105">
            <v>0</v>
          </cell>
          <cell r="H105">
            <v>0</v>
          </cell>
          <cell r="I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197.61554663999999</v>
          </cell>
          <cell r="R105">
            <v>0</v>
          </cell>
          <cell r="Y105">
            <v>1517.8</v>
          </cell>
        </row>
        <row r="106">
          <cell r="B106">
            <v>0</v>
          </cell>
          <cell r="C106">
            <v>0</v>
          </cell>
          <cell r="D106">
            <v>6739.603684719812</v>
          </cell>
          <cell r="E106">
            <v>0</v>
          </cell>
          <cell r="H106">
            <v>0</v>
          </cell>
          <cell r="I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843.23938495000004</v>
          </cell>
          <cell r="R106">
            <v>0</v>
          </cell>
          <cell r="Y106">
            <v>1517.8</v>
          </cell>
        </row>
        <row r="107">
          <cell r="B107">
            <v>0</v>
          </cell>
          <cell r="C107">
            <v>0</v>
          </cell>
          <cell r="D107">
            <v>13223.43965244709</v>
          </cell>
          <cell r="E107">
            <v>0</v>
          </cell>
          <cell r="H107">
            <v>0</v>
          </cell>
          <cell r="I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5000</v>
          </cell>
          <cell r="R107">
            <v>0</v>
          </cell>
          <cell r="Y107">
            <v>1517.8</v>
          </cell>
        </row>
        <row r="108">
          <cell r="B108">
            <v>0</v>
          </cell>
          <cell r="C108">
            <v>0</v>
          </cell>
          <cell r="D108">
            <v>13320.750632965201</v>
          </cell>
          <cell r="E108">
            <v>0</v>
          </cell>
          <cell r="H108">
            <v>0</v>
          </cell>
          <cell r="I108">
            <v>0</v>
          </cell>
          <cell r="M108">
            <v>4200</v>
          </cell>
          <cell r="N108">
            <v>0</v>
          </cell>
          <cell r="O108">
            <v>0</v>
          </cell>
          <cell r="P108">
            <v>0</v>
          </cell>
          <cell r="Q108">
            <v>5000</v>
          </cell>
          <cell r="R108">
            <v>0</v>
          </cell>
          <cell r="Y108">
            <v>1517.8</v>
          </cell>
        </row>
        <row r="109">
          <cell r="B109">
            <v>0</v>
          </cell>
          <cell r="C109">
            <v>0</v>
          </cell>
          <cell r="D109">
            <v>13320.750632965201</v>
          </cell>
          <cell r="E109">
            <v>0</v>
          </cell>
          <cell r="H109">
            <v>0</v>
          </cell>
          <cell r="I109">
            <v>0</v>
          </cell>
          <cell r="M109">
            <v>4200</v>
          </cell>
          <cell r="N109">
            <v>0</v>
          </cell>
          <cell r="O109">
            <v>0</v>
          </cell>
          <cell r="P109">
            <v>0</v>
          </cell>
          <cell r="Q109">
            <v>5000</v>
          </cell>
          <cell r="R109">
            <v>0</v>
          </cell>
          <cell r="Y109">
            <v>1517.8</v>
          </cell>
        </row>
        <row r="110">
          <cell r="B110">
            <v>0</v>
          </cell>
          <cell r="C110">
            <v>0</v>
          </cell>
          <cell r="D110">
            <v>13320.750632965201</v>
          </cell>
          <cell r="E110">
            <v>0</v>
          </cell>
          <cell r="H110">
            <v>0</v>
          </cell>
          <cell r="I110">
            <v>0</v>
          </cell>
          <cell r="M110">
            <v>4200</v>
          </cell>
          <cell r="N110">
            <v>0</v>
          </cell>
          <cell r="O110">
            <v>0</v>
          </cell>
          <cell r="P110">
            <v>0</v>
          </cell>
          <cell r="Q110">
            <v>5000</v>
          </cell>
          <cell r="R110">
            <v>0</v>
          </cell>
          <cell r="Y110">
            <v>1517.8</v>
          </cell>
        </row>
        <row r="111">
          <cell r="B111">
            <v>0</v>
          </cell>
          <cell r="C111">
            <v>0</v>
          </cell>
          <cell r="D111">
            <v>13320.750632965201</v>
          </cell>
          <cell r="E111">
            <v>0</v>
          </cell>
          <cell r="H111">
            <v>0</v>
          </cell>
          <cell r="I111">
            <v>0</v>
          </cell>
          <cell r="M111">
            <v>4200</v>
          </cell>
          <cell r="N111">
            <v>0</v>
          </cell>
          <cell r="O111">
            <v>0</v>
          </cell>
          <cell r="P111">
            <v>0</v>
          </cell>
          <cell r="Q111">
            <v>5000</v>
          </cell>
          <cell r="R111">
            <v>0</v>
          </cell>
          <cell r="Y111">
            <v>1517.8</v>
          </cell>
        </row>
        <row r="112">
          <cell r="B112">
            <v>0</v>
          </cell>
          <cell r="C112">
            <v>0</v>
          </cell>
          <cell r="D112">
            <v>13320.750632965201</v>
          </cell>
          <cell r="E112">
            <v>0</v>
          </cell>
          <cell r="H112">
            <v>0</v>
          </cell>
          <cell r="I112">
            <v>0</v>
          </cell>
          <cell r="M112">
            <v>4200</v>
          </cell>
          <cell r="N112">
            <v>0</v>
          </cell>
          <cell r="O112">
            <v>0</v>
          </cell>
          <cell r="P112">
            <v>0</v>
          </cell>
          <cell r="Q112">
            <v>5000</v>
          </cell>
          <cell r="R112">
            <v>0</v>
          </cell>
          <cell r="Y112">
            <v>1517.8</v>
          </cell>
        </row>
        <row r="113">
          <cell r="B113">
            <v>0</v>
          </cell>
          <cell r="C113">
            <v>0</v>
          </cell>
          <cell r="D113">
            <v>13320.750632965201</v>
          </cell>
          <cell r="E113">
            <v>0</v>
          </cell>
          <cell r="H113">
            <v>0</v>
          </cell>
          <cell r="I113">
            <v>0</v>
          </cell>
          <cell r="M113">
            <v>4200</v>
          </cell>
          <cell r="N113">
            <v>0</v>
          </cell>
          <cell r="O113">
            <v>0</v>
          </cell>
          <cell r="P113">
            <v>0</v>
          </cell>
          <cell r="Q113">
            <v>5000</v>
          </cell>
          <cell r="R113">
            <v>0</v>
          </cell>
          <cell r="Y113">
            <v>1517.8</v>
          </cell>
        </row>
        <row r="114">
          <cell r="B114">
            <v>0</v>
          </cell>
          <cell r="C114">
            <v>0</v>
          </cell>
          <cell r="D114">
            <v>13320.750632965201</v>
          </cell>
          <cell r="E114">
            <v>0</v>
          </cell>
          <cell r="H114">
            <v>0</v>
          </cell>
          <cell r="I114">
            <v>0</v>
          </cell>
          <cell r="M114">
            <v>4200</v>
          </cell>
          <cell r="N114">
            <v>0</v>
          </cell>
          <cell r="O114">
            <v>0</v>
          </cell>
          <cell r="P114">
            <v>0</v>
          </cell>
          <cell r="Q114">
            <v>5000</v>
          </cell>
          <cell r="R114">
            <v>0</v>
          </cell>
          <cell r="Y114">
            <v>1517.8</v>
          </cell>
        </row>
        <row r="115">
          <cell r="B115">
            <v>0</v>
          </cell>
          <cell r="C115">
            <v>0</v>
          </cell>
          <cell r="D115">
            <v>13320.750632965201</v>
          </cell>
          <cell r="E115">
            <v>0</v>
          </cell>
          <cell r="H115">
            <v>0</v>
          </cell>
          <cell r="I115">
            <v>0</v>
          </cell>
          <cell r="M115">
            <v>4200</v>
          </cell>
          <cell r="N115">
            <v>0</v>
          </cell>
          <cell r="O115">
            <v>0</v>
          </cell>
          <cell r="P115">
            <v>0</v>
          </cell>
          <cell r="Q115">
            <v>5000</v>
          </cell>
          <cell r="R115">
            <v>0</v>
          </cell>
          <cell r="Y115">
            <v>1517.8</v>
          </cell>
        </row>
        <row r="116">
          <cell r="B116">
            <v>0</v>
          </cell>
          <cell r="C116">
            <v>0</v>
          </cell>
          <cell r="D116">
            <v>13320.750632965201</v>
          </cell>
          <cell r="E116">
            <v>0</v>
          </cell>
          <cell r="H116">
            <v>0</v>
          </cell>
          <cell r="I116">
            <v>0</v>
          </cell>
          <cell r="M116">
            <v>4200</v>
          </cell>
          <cell r="N116">
            <v>68.968892944310255</v>
          </cell>
          <cell r="O116">
            <v>0</v>
          </cell>
          <cell r="P116">
            <v>0</v>
          </cell>
          <cell r="Q116">
            <v>5000</v>
          </cell>
          <cell r="R116">
            <v>0</v>
          </cell>
          <cell r="Y116">
            <v>1517.8</v>
          </cell>
        </row>
        <row r="117">
          <cell r="B117">
            <v>0</v>
          </cell>
          <cell r="C117">
            <v>0</v>
          </cell>
          <cell r="D117">
            <v>13320.750632965201</v>
          </cell>
          <cell r="E117">
            <v>0</v>
          </cell>
          <cell r="H117">
            <v>0</v>
          </cell>
          <cell r="I117">
            <v>0</v>
          </cell>
          <cell r="M117">
            <v>4200</v>
          </cell>
          <cell r="N117">
            <v>44.428200599221327</v>
          </cell>
          <cell r="O117">
            <v>0</v>
          </cell>
          <cell r="P117">
            <v>0</v>
          </cell>
          <cell r="Q117">
            <v>5000</v>
          </cell>
          <cell r="R117">
            <v>0</v>
          </cell>
          <cell r="Y117">
            <v>1517.8</v>
          </cell>
        </row>
        <row r="118">
          <cell r="B118">
            <v>0</v>
          </cell>
          <cell r="C118">
            <v>0</v>
          </cell>
          <cell r="D118">
            <v>13320.750632965201</v>
          </cell>
          <cell r="E118">
            <v>0</v>
          </cell>
          <cell r="H118">
            <v>0</v>
          </cell>
          <cell r="I118">
            <v>0</v>
          </cell>
          <cell r="M118">
            <v>4200</v>
          </cell>
          <cell r="N118">
            <v>42.121460234433471</v>
          </cell>
          <cell r="O118">
            <v>0</v>
          </cell>
          <cell r="P118">
            <v>0</v>
          </cell>
          <cell r="Q118">
            <v>2797.6247696400001</v>
          </cell>
          <cell r="R118">
            <v>0</v>
          </cell>
          <cell r="Y118">
            <v>1517.8</v>
          </cell>
        </row>
        <row r="119">
          <cell r="B119">
            <v>0</v>
          </cell>
          <cell r="C119">
            <v>0</v>
          </cell>
          <cell r="D119">
            <v>13320.750632965201</v>
          </cell>
          <cell r="E119">
            <v>0</v>
          </cell>
          <cell r="H119">
            <v>0</v>
          </cell>
          <cell r="I119">
            <v>0</v>
          </cell>
          <cell r="M119">
            <v>4200</v>
          </cell>
          <cell r="N119">
            <v>92.576243111843041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Y119">
            <v>1517.8</v>
          </cell>
        </row>
        <row r="120">
          <cell r="B120">
            <v>0</v>
          </cell>
          <cell r="C120">
            <v>0</v>
          </cell>
          <cell r="D120">
            <v>13320.750632965201</v>
          </cell>
          <cell r="E120">
            <v>0</v>
          </cell>
          <cell r="H120">
            <v>0</v>
          </cell>
          <cell r="I120">
            <v>0</v>
          </cell>
          <cell r="M120">
            <v>4200</v>
          </cell>
          <cell r="N120">
            <v>205.94494927517229</v>
          </cell>
          <cell r="O120">
            <v>0</v>
          </cell>
          <cell r="P120">
            <v>0</v>
          </cell>
          <cell r="Q120">
            <v>29.88274315</v>
          </cell>
          <cell r="R120">
            <v>0</v>
          </cell>
          <cell r="Y120">
            <v>1517.8</v>
          </cell>
        </row>
        <row r="121">
          <cell r="B121">
            <v>0</v>
          </cell>
          <cell r="C121">
            <v>0</v>
          </cell>
          <cell r="D121">
            <v>13320.750632965201</v>
          </cell>
          <cell r="E121">
            <v>0</v>
          </cell>
          <cell r="H121">
            <v>0</v>
          </cell>
          <cell r="I121">
            <v>0</v>
          </cell>
          <cell r="M121">
            <v>4200</v>
          </cell>
          <cell r="N121">
            <v>348.04703655017119</v>
          </cell>
          <cell r="O121">
            <v>0</v>
          </cell>
          <cell r="P121">
            <v>0</v>
          </cell>
          <cell r="Q121">
            <v>2244.1603927199999</v>
          </cell>
          <cell r="R121">
            <v>0</v>
          </cell>
          <cell r="Y121">
            <v>1517.8</v>
          </cell>
        </row>
        <row r="122">
          <cell r="B122">
            <v>0</v>
          </cell>
          <cell r="C122">
            <v>0</v>
          </cell>
          <cell r="D122">
            <v>13320.750632965201</v>
          </cell>
          <cell r="E122">
            <v>0</v>
          </cell>
          <cell r="H122">
            <v>0</v>
          </cell>
          <cell r="I122">
            <v>0</v>
          </cell>
          <cell r="M122">
            <v>4200</v>
          </cell>
          <cell r="N122">
            <v>885.4665873364105</v>
          </cell>
          <cell r="O122">
            <v>0</v>
          </cell>
          <cell r="P122">
            <v>0</v>
          </cell>
          <cell r="Q122">
            <v>5000</v>
          </cell>
          <cell r="R122">
            <v>0</v>
          </cell>
          <cell r="Y122">
            <v>1517.8</v>
          </cell>
        </row>
        <row r="123">
          <cell r="B123">
            <v>0</v>
          </cell>
          <cell r="C123">
            <v>0</v>
          </cell>
          <cell r="D123">
            <v>13320.750632965201</v>
          </cell>
          <cell r="E123">
            <v>0</v>
          </cell>
          <cell r="H123">
            <v>0</v>
          </cell>
          <cell r="I123">
            <v>0</v>
          </cell>
          <cell r="M123">
            <v>4200</v>
          </cell>
          <cell r="N123">
            <v>1010.474303021752</v>
          </cell>
          <cell r="O123">
            <v>0</v>
          </cell>
          <cell r="P123">
            <v>0</v>
          </cell>
          <cell r="Q123">
            <v>5000</v>
          </cell>
          <cell r="R123">
            <v>0</v>
          </cell>
          <cell r="Y123">
            <v>1517.8</v>
          </cell>
        </row>
        <row r="124">
          <cell r="B124">
            <v>0</v>
          </cell>
          <cell r="C124">
            <v>0</v>
          </cell>
          <cell r="D124">
            <v>13320.750632965201</v>
          </cell>
          <cell r="E124">
            <v>0</v>
          </cell>
          <cell r="H124">
            <v>0</v>
          </cell>
          <cell r="I124">
            <v>0</v>
          </cell>
          <cell r="M124">
            <v>4200</v>
          </cell>
          <cell r="N124">
            <v>1092.585778433574</v>
          </cell>
          <cell r="O124">
            <v>0</v>
          </cell>
          <cell r="P124">
            <v>0</v>
          </cell>
          <cell r="Q124">
            <v>5000</v>
          </cell>
          <cell r="R124">
            <v>0</v>
          </cell>
          <cell r="Y124">
            <v>1517.8</v>
          </cell>
        </row>
        <row r="125">
          <cell r="B125">
            <v>0</v>
          </cell>
          <cell r="C125">
            <v>0</v>
          </cell>
          <cell r="D125">
            <v>13320.750632965201</v>
          </cell>
          <cell r="E125">
            <v>574.98382196449768</v>
          </cell>
          <cell r="H125">
            <v>0</v>
          </cell>
          <cell r="I125">
            <v>0</v>
          </cell>
          <cell r="M125">
            <v>4200</v>
          </cell>
          <cell r="N125">
            <v>1142.889807629201</v>
          </cell>
          <cell r="O125">
            <v>0</v>
          </cell>
          <cell r="P125">
            <v>0</v>
          </cell>
          <cell r="Q125">
            <v>5000</v>
          </cell>
          <cell r="R125">
            <v>0</v>
          </cell>
          <cell r="Y125">
            <v>1517.8</v>
          </cell>
        </row>
        <row r="126">
          <cell r="B126">
            <v>0</v>
          </cell>
          <cell r="C126">
            <v>0</v>
          </cell>
          <cell r="D126">
            <v>13320.750632965201</v>
          </cell>
          <cell r="E126">
            <v>2911.2362064599201</v>
          </cell>
          <cell r="H126">
            <v>0</v>
          </cell>
          <cell r="I126">
            <v>0</v>
          </cell>
          <cell r="M126">
            <v>4200</v>
          </cell>
          <cell r="N126">
            <v>1158.1854319508559</v>
          </cell>
          <cell r="O126">
            <v>0</v>
          </cell>
          <cell r="P126">
            <v>0</v>
          </cell>
          <cell r="Q126">
            <v>5000</v>
          </cell>
          <cell r="R126">
            <v>0</v>
          </cell>
          <cell r="Y126">
            <v>1517.8</v>
          </cell>
        </row>
        <row r="127">
          <cell r="B127">
            <v>0</v>
          </cell>
          <cell r="C127">
            <v>0</v>
          </cell>
          <cell r="D127">
            <v>13320.750632965201</v>
          </cell>
          <cell r="E127">
            <v>0</v>
          </cell>
          <cell r="H127">
            <v>0</v>
          </cell>
          <cell r="I127">
            <v>0</v>
          </cell>
          <cell r="M127">
            <v>4200</v>
          </cell>
          <cell r="N127">
            <v>1130.2045827878139</v>
          </cell>
          <cell r="O127">
            <v>0</v>
          </cell>
          <cell r="P127">
            <v>0</v>
          </cell>
          <cell r="Q127">
            <v>5000</v>
          </cell>
          <cell r="R127">
            <v>0</v>
          </cell>
          <cell r="Y127">
            <v>1517.8</v>
          </cell>
        </row>
        <row r="128">
          <cell r="B128">
            <v>0</v>
          </cell>
          <cell r="C128">
            <v>0</v>
          </cell>
          <cell r="D128">
            <v>13320.750632965201</v>
          </cell>
          <cell r="E128">
            <v>1338.2019531674071</v>
          </cell>
          <cell r="H128">
            <v>0</v>
          </cell>
          <cell r="I128">
            <v>0</v>
          </cell>
          <cell r="M128">
            <v>4200</v>
          </cell>
          <cell r="N128">
            <v>1125.3858732341171</v>
          </cell>
          <cell r="O128">
            <v>0</v>
          </cell>
          <cell r="P128">
            <v>0</v>
          </cell>
          <cell r="Q128">
            <v>5000</v>
          </cell>
          <cell r="R128">
            <v>0</v>
          </cell>
          <cell r="Y128">
            <v>1517.8</v>
          </cell>
        </row>
        <row r="129">
          <cell r="B129">
            <v>0</v>
          </cell>
          <cell r="C129">
            <v>0</v>
          </cell>
          <cell r="D129">
            <v>13320.750632965201</v>
          </cell>
          <cell r="E129">
            <v>2488.6766087403971</v>
          </cell>
          <cell r="H129">
            <v>0</v>
          </cell>
          <cell r="I129">
            <v>0</v>
          </cell>
          <cell r="M129">
            <v>4200</v>
          </cell>
          <cell r="N129">
            <v>1136.0578076637159</v>
          </cell>
          <cell r="O129">
            <v>0</v>
          </cell>
          <cell r="P129">
            <v>0</v>
          </cell>
          <cell r="Q129">
            <v>5000</v>
          </cell>
          <cell r="R129">
            <v>0</v>
          </cell>
          <cell r="Y129">
            <v>1517.8</v>
          </cell>
        </row>
        <row r="130">
          <cell r="B130">
            <v>0</v>
          </cell>
          <cell r="C130">
            <v>0</v>
          </cell>
          <cell r="D130">
            <v>13320.750632965201</v>
          </cell>
          <cell r="E130">
            <v>1769.573203784706</v>
          </cell>
          <cell r="H130">
            <v>0</v>
          </cell>
          <cell r="I130">
            <v>0</v>
          </cell>
          <cell r="M130">
            <v>4200</v>
          </cell>
          <cell r="N130">
            <v>1147.723996541283</v>
          </cell>
          <cell r="O130">
            <v>0</v>
          </cell>
          <cell r="P130">
            <v>0</v>
          </cell>
          <cell r="Q130">
            <v>5000</v>
          </cell>
          <cell r="R130">
            <v>0</v>
          </cell>
          <cell r="Y130">
            <v>1517.8</v>
          </cell>
        </row>
        <row r="131">
          <cell r="B131">
            <v>0</v>
          </cell>
          <cell r="C131">
            <v>0</v>
          </cell>
          <cell r="D131">
            <v>13320.750632965201</v>
          </cell>
          <cell r="E131">
            <v>0</v>
          </cell>
          <cell r="H131">
            <v>0</v>
          </cell>
          <cell r="I131">
            <v>0</v>
          </cell>
          <cell r="M131">
            <v>4200</v>
          </cell>
          <cell r="N131">
            <v>633.31063714070342</v>
          </cell>
          <cell r="O131">
            <v>0</v>
          </cell>
          <cell r="P131">
            <v>0</v>
          </cell>
          <cell r="Q131">
            <v>5000</v>
          </cell>
          <cell r="R131">
            <v>0</v>
          </cell>
          <cell r="Y131">
            <v>1517.8</v>
          </cell>
        </row>
        <row r="132">
          <cell r="B132">
            <v>0</v>
          </cell>
          <cell r="C132">
            <v>0</v>
          </cell>
          <cell r="D132">
            <v>13320.750632965201</v>
          </cell>
          <cell r="E132">
            <v>0</v>
          </cell>
          <cell r="H132">
            <v>0</v>
          </cell>
          <cell r="I132">
            <v>0</v>
          </cell>
          <cell r="M132">
            <v>4200</v>
          </cell>
          <cell r="N132">
            <v>0</v>
          </cell>
          <cell r="O132">
            <v>0</v>
          </cell>
          <cell r="P132">
            <v>0</v>
          </cell>
          <cell r="Q132">
            <v>5000</v>
          </cell>
          <cell r="R132">
            <v>0</v>
          </cell>
          <cell r="Y132">
            <v>1517.8</v>
          </cell>
        </row>
        <row r="133">
          <cell r="B133">
            <v>0</v>
          </cell>
          <cell r="C133">
            <v>0</v>
          </cell>
          <cell r="D133">
            <v>13320.750632965201</v>
          </cell>
          <cell r="E133">
            <v>0</v>
          </cell>
          <cell r="H133">
            <v>0</v>
          </cell>
          <cell r="I133">
            <v>0</v>
          </cell>
          <cell r="M133">
            <v>4200</v>
          </cell>
          <cell r="N133">
            <v>0</v>
          </cell>
          <cell r="O133">
            <v>0</v>
          </cell>
          <cell r="P133">
            <v>0</v>
          </cell>
          <cell r="Q133">
            <v>5000</v>
          </cell>
          <cell r="R133">
            <v>0</v>
          </cell>
          <cell r="Y133">
            <v>1517.8</v>
          </cell>
        </row>
        <row r="134">
          <cell r="B134">
            <v>0</v>
          </cell>
          <cell r="C134">
            <v>0</v>
          </cell>
          <cell r="D134">
            <v>13320.750632965201</v>
          </cell>
          <cell r="E134">
            <v>0</v>
          </cell>
          <cell r="H134">
            <v>0</v>
          </cell>
          <cell r="I134">
            <v>0</v>
          </cell>
          <cell r="M134">
            <v>4200</v>
          </cell>
          <cell r="N134">
            <v>0</v>
          </cell>
          <cell r="O134">
            <v>0</v>
          </cell>
          <cell r="P134">
            <v>0</v>
          </cell>
          <cell r="Q134">
            <v>5000</v>
          </cell>
          <cell r="R134">
            <v>0</v>
          </cell>
          <cell r="Y134">
            <v>1517.8</v>
          </cell>
        </row>
        <row r="135">
          <cell r="B135">
            <v>0</v>
          </cell>
          <cell r="C135">
            <v>0</v>
          </cell>
          <cell r="D135">
            <v>13320.750632965201</v>
          </cell>
          <cell r="E135">
            <v>0</v>
          </cell>
          <cell r="H135">
            <v>0</v>
          </cell>
          <cell r="I135">
            <v>0</v>
          </cell>
          <cell r="M135">
            <v>4200</v>
          </cell>
          <cell r="N135">
            <v>0</v>
          </cell>
          <cell r="O135">
            <v>0</v>
          </cell>
          <cell r="P135">
            <v>0</v>
          </cell>
          <cell r="Q135">
            <v>5000</v>
          </cell>
          <cell r="R135">
            <v>0</v>
          </cell>
          <cell r="Y135">
            <v>1517.8</v>
          </cell>
        </row>
        <row r="136">
          <cell r="B136">
            <v>0</v>
          </cell>
          <cell r="C136">
            <v>0</v>
          </cell>
          <cell r="D136">
            <v>13320.750632965201</v>
          </cell>
          <cell r="E136">
            <v>0</v>
          </cell>
          <cell r="H136">
            <v>0</v>
          </cell>
          <cell r="I136">
            <v>0</v>
          </cell>
          <cell r="M136">
            <v>4200</v>
          </cell>
          <cell r="N136">
            <v>0</v>
          </cell>
          <cell r="O136">
            <v>0</v>
          </cell>
          <cell r="P136">
            <v>0</v>
          </cell>
          <cell r="Q136">
            <v>5000</v>
          </cell>
          <cell r="R136">
            <v>0</v>
          </cell>
          <cell r="Y136">
            <v>1517.8</v>
          </cell>
        </row>
        <row r="137">
          <cell r="B137">
            <v>0</v>
          </cell>
          <cell r="C137">
            <v>0</v>
          </cell>
          <cell r="D137">
            <v>13320.750632965201</v>
          </cell>
          <cell r="E137">
            <v>0</v>
          </cell>
          <cell r="H137">
            <v>0</v>
          </cell>
          <cell r="I137">
            <v>0</v>
          </cell>
          <cell r="M137">
            <v>4200</v>
          </cell>
          <cell r="N137">
            <v>0</v>
          </cell>
          <cell r="O137">
            <v>0</v>
          </cell>
          <cell r="P137">
            <v>0</v>
          </cell>
          <cell r="Q137">
            <v>5000</v>
          </cell>
          <cell r="R137">
            <v>0</v>
          </cell>
          <cell r="Y137">
            <v>1517.8</v>
          </cell>
        </row>
        <row r="138">
          <cell r="B138">
            <v>0</v>
          </cell>
          <cell r="C138">
            <v>0</v>
          </cell>
          <cell r="D138">
            <v>13320.750632965201</v>
          </cell>
          <cell r="E138">
            <v>0</v>
          </cell>
          <cell r="H138">
            <v>0</v>
          </cell>
          <cell r="I138">
            <v>0</v>
          </cell>
          <cell r="M138">
            <v>4200</v>
          </cell>
          <cell r="N138">
            <v>0</v>
          </cell>
          <cell r="O138">
            <v>0</v>
          </cell>
          <cell r="P138">
            <v>0</v>
          </cell>
          <cell r="Q138">
            <v>5000</v>
          </cell>
          <cell r="R138">
            <v>0</v>
          </cell>
          <cell r="Y138">
            <v>1517.8</v>
          </cell>
        </row>
        <row r="139">
          <cell r="B139">
            <v>0</v>
          </cell>
          <cell r="C139">
            <v>0</v>
          </cell>
          <cell r="D139">
            <v>13320.750632965201</v>
          </cell>
          <cell r="E139">
            <v>630.36182420107434</v>
          </cell>
          <cell r="H139">
            <v>0</v>
          </cell>
          <cell r="I139">
            <v>0</v>
          </cell>
          <cell r="M139">
            <v>4200</v>
          </cell>
          <cell r="N139">
            <v>0</v>
          </cell>
          <cell r="O139">
            <v>0</v>
          </cell>
          <cell r="P139">
            <v>668.38662590592253</v>
          </cell>
          <cell r="Q139">
            <v>5000</v>
          </cell>
          <cell r="R139">
            <v>0</v>
          </cell>
          <cell r="Y139">
            <v>1517.8</v>
          </cell>
        </row>
        <row r="140">
          <cell r="B140">
            <v>0</v>
          </cell>
          <cell r="C140">
            <v>0</v>
          </cell>
          <cell r="D140">
            <v>13320.750632965201</v>
          </cell>
          <cell r="E140">
            <v>7867.7514835802431</v>
          </cell>
          <cell r="H140">
            <v>0</v>
          </cell>
          <cell r="I140">
            <v>0</v>
          </cell>
          <cell r="M140">
            <v>4200</v>
          </cell>
          <cell r="N140">
            <v>0</v>
          </cell>
          <cell r="O140">
            <v>0</v>
          </cell>
          <cell r="P140">
            <v>309.26000250606558</v>
          </cell>
          <cell r="Q140">
            <v>5000</v>
          </cell>
          <cell r="R140">
            <v>0</v>
          </cell>
          <cell r="Y140">
            <v>1517.8</v>
          </cell>
        </row>
        <row r="141">
          <cell r="B141">
            <v>0</v>
          </cell>
          <cell r="C141">
            <v>0</v>
          </cell>
          <cell r="D141">
            <v>13320.750632965201</v>
          </cell>
          <cell r="E141">
            <v>4747.8701763673571</v>
          </cell>
          <cell r="H141">
            <v>0</v>
          </cell>
          <cell r="I141">
            <v>0</v>
          </cell>
          <cell r="M141">
            <v>4200</v>
          </cell>
          <cell r="N141">
            <v>0</v>
          </cell>
          <cell r="O141">
            <v>0</v>
          </cell>
          <cell r="P141">
            <v>469.20738055248808</v>
          </cell>
          <cell r="Q141">
            <v>5000</v>
          </cell>
          <cell r="R141">
            <v>0</v>
          </cell>
          <cell r="Y141">
            <v>1517.8</v>
          </cell>
        </row>
        <row r="142">
          <cell r="B142">
            <v>0</v>
          </cell>
          <cell r="C142">
            <v>0</v>
          </cell>
          <cell r="D142">
            <v>13320.750632965201</v>
          </cell>
          <cell r="E142">
            <v>3936.4541379544239</v>
          </cell>
          <cell r="H142">
            <v>0</v>
          </cell>
          <cell r="I142">
            <v>0</v>
          </cell>
          <cell r="M142">
            <v>4200</v>
          </cell>
          <cell r="N142">
            <v>0</v>
          </cell>
          <cell r="O142">
            <v>0</v>
          </cell>
          <cell r="P142">
            <v>644.2747735790324</v>
          </cell>
          <cell r="Q142">
            <v>5000</v>
          </cell>
          <cell r="R142">
            <v>0</v>
          </cell>
          <cell r="Y142">
            <v>1517.8</v>
          </cell>
        </row>
        <row r="143">
          <cell r="B143">
            <v>0</v>
          </cell>
          <cell r="C143">
            <v>0</v>
          </cell>
          <cell r="D143">
            <v>13320.750632965201</v>
          </cell>
          <cell r="E143">
            <v>1815.7159001995969</v>
          </cell>
          <cell r="H143">
            <v>0</v>
          </cell>
          <cell r="I143">
            <v>0</v>
          </cell>
          <cell r="M143">
            <v>4200</v>
          </cell>
          <cell r="N143">
            <v>0</v>
          </cell>
          <cell r="O143">
            <v>0</v>
          </cell>
          <cell r="P143">
            <v>795.21440252803654</v>
          </cell>
          <cell r="Q143">
            <v>5000</v>
          </cell>
          <cell r="R143">
            <v>0</v>
          </cell>
          <cell r="Y143">
            <v>1517.8</v>
          </cell>
        </row>
        <row r="144">
          <cell r="B144">
            <v>0</v>
          </cell>
          <cell r="C144">
            <v>0</v>
          </cell>
          <cell r="D144">
            <v>13320.750632965201</v>
          </cell>
          <cell r="E144">
            <v>8.0253155818697266</v>
          </cell>
          <cell r="H144">
            <v>0</v>
          </cell>
          <cell r="I144">
            <v>0</v>
          </cell>
          <cell r="M144">
            <v>4200</v>
          </cell>
          <cell r="N144">
            <v>0</v>
          </cell>
          <cell r="O144">
            <v>0</v>
          </cell>
          <cell r="P144">
            <v>939.69655663312619</v>
          </cell>
          <cell r="Q144">
            <v>5000</v>
          </cell>
          <cell r="R144">
            <v>0</v>
          </cell>
          <cell r="Y144">
            <v>1517.8</v>
          </cell>
        </row>
        <row r="145">
          <cell r="B145">
            <v>0</v>
          </cell>
          <cell r="C145">
            <v>0</v>
          </cell>
          <cell r="D145">
            <v>13320.750632965201</v>
          </cell>
          <cell r="E145">
            <v>0</v>
          </cell>
          <cell r="H145">
            <v>0</v>
          </cell>
          <cell r="I145">
            <v>0</v>
          </cell>
          <cell r="M145">
            <v>4200</v>
          </cell>
          <cell r="N145">
            <v>0</v>
          </cell>
          <cell r="O145">
            <v>0</v>
          </cell>
          <cell r="P145">
            <v>1084.6110634602051</v>
          </cell>
          <cell r="Q145">
            <v>5000</v>
          </cell>
          <cell r="R145">
            <v>0</v>
          </cell>
          <cell r="Y145">
            <v>1517.8</v>
          </cell>
        </row>
        <row r="146">
          <cell r="B146">
            <v>0</v>
          </cell>
          <cell r="C146">
            <v>0</v>
          </cell>
          <cell r="D146">
            <v>13320.750632965201</v>
          </cell>
          <cell r="E146">
            <v>0</v>
          </cell>
          <cell r="H146">
            <v>0</v>
          </cell>
          <cell r="I146">
            <v>0</v>
          </cell>
          <cell r="M146">
            <v>4200</v>
          </cell>
          <cell r="N146">
            <v>0</v>
          </cell>
          <cell r="O146">
            <v>0</v>
          </cell>
          <cell r="P146">
            <v>986.34481266051148</v>
          </cell>
          <cell r="Q146">
            <v>5000</v>
          </cell>
          <cell r="R146">
            <v>0</v>
          </cell>
          <cell r="Y146">
            <v>1517.8</v>
          </cell>
        </row>
        <row r="147">
          <cell r="B147">
            <v>0</v>
          </cell>
          <cell r="C147">
            <v>0</v>
          </cell>
          <cell r="D147">
            <v>13320.750632965201</v>
          </cell>
          <cell r="E147">
            <v>0</v>
          </cell>
          <cell r="H147">
            <v>0</v>
          </cell>
          <cell r="I147">
            <v>0</v>
          </cell>
          <cell r="M147">
            <v>4200</v>
          </cell>
          <cell r="N147">
            <v>0</v>
          </cell>
          <cell r="O147">
            <v>0</v>
          </cell>
          <cell r="P147">
            <v>0</v>
          </cell>
          <cell r="Q147">
            <v>5000</v>
          </cell>
          <cell r="R147">
            <v>0</v>
          </cell>
          <cell r="Y147">
            <v>1517.8</v>
          </cell>
        </row>
        <row r="148">
          <cell r="B148">
            <v>0</v>
          </cell>
          <cell r="C148">
            <v>0</v>
          </cell>
          <cell r="D148">
            <v>13320.750632965201</v>
          </cell>
          <cell r="E148">
            <v>0</v>
          </cell>
          <cell r="H148">
            <v>0</v>
          </cell>
          <cell r="I148">
            <v>0</v>
          </cell>
          <cell r="M148">
            <v>4200</v>
          </cell>
          <cell r="N148">
            <v>0</v>
          </cell>
          <cell r="O148">
            <v>0</v>
          </cell>
          <cell r="P148">
            <v>0</v>
          </cell>
          <cell r="Q148">
            <v>5000</v>
          </cell>
          <cell r="R148">
            <v>0</v>
          </cell>
          <cell r="Y148">
            <v>1517.8</v>
          </cell>
        </row>
        <row r="149">
          <cell r="B149">
            <v>0</v>
          </cell>
          <cell r="C149">
            <v>0</v>
          </cell>
          <cell r="D149">
            <v>13320.750632965201</v>
          </cell>
          <cell r="E149">
            <v>0</v>
          </cell>
          <cell r="H149">
            <v>0</v>
          </cell>
          <cell r="I149">
            <v>0</v>
          </cell>
          <cell r="M149">
            <v>4200</v>
          </cell>
          <cell r="N149">
            <v>0</v>
          </cell>
          <cell r="O149">
            <v>0</v>
          </cell>
          <cell r="P149">
            <v>0</v>
          </cell>
          <cell r="Q149">
            <v>5000</v>
          </cell>
          <cell r="R149">
            <v>0</v>
          </cell>
          <cell r="Y149">
            <v>1517.8</v>
          </cell>
        </row>
        <row r="150">
          <cell r="B150">
            <v>0</v>
          </cell>
          <cell r="C150">
            <v>0</v>
          </cell>
          <cell r="D150">
            <v>13320.750632965201</v>
          </cell>
          <cell r="E150">
            <v>0</v>
          </cell>
          <cell r="H150">
            <v>0</v>
          </cell>
          <cell r="I150">
            <v>0</v>
          </cell>
          <cell r="M150">
            <v>4200</v>
          </cell>
          <cell r="N150">
            <v>0</v>
          </cell>
          <cell r="O150">
            <v>0</v>
          </cell>
          <cell r="P150">
            <v>0</v>
          </cell>
          <cell r="Q150">
            <v>5000</v>
          </cell>
          <cell r="R150">
            <v>0</v>
          </cell>
          <cell r="Y150">
            <v>1517.8</v>
          </cell>
        </row>
        <row r="151">
          <cell r="B151">
            <v>0</v>
          </cell>
          <cell r="C151">
            <v>0</v>
          </cell>
          <cell r="D151">
            <v>13320.750632965201</v>
          </cell>
          <cell r="E151">
            <v>0</v>
          </cell>
          <cell r="H151">
            <v>0</v>
          </cell>
          <cell r="I151">
            <v>0</v>
          </cell>
          <cell r="M151">
            <v>4200</v>
          </cell>
          <cell r="N151">
            <v>0</v>
          </cell>
          <cell r="O151">
            <v>0</v>
          </cell>
          <cell r="P151">
            <v>0</v>
          </cell>
          <cell r="Q151">
            <v>5000</v>
          </cell>
          <cell r="R151">
            <v>0</v>
          </cell>
          <cell r="Y151">
            <v>1517.8</v>
          </cell>
        </row>
        <row r="152">
          <cell r="B152">
            <v>0</v>
          </cell>
          <cell r="C152">
            <v>0</v>
          </cell>
          <cell r="D152">
            <v>13320.750632965201</v>
          </cell>
          <cell r="E152">
            <v>0</v>
          </cell>
          <cell r="H152">
            <v>0</v>
          </cell>
          <cell r="I152">
            <v>0</v>
          </cell>
          <cell r="M152">
            <v>4200</v>
          </cell>
          <cell r="N152">
            <v>0</v>
          </cell>
          <cell r="O152">
            <v>0</v>
          </cell>
          <cell r="P152">
            <v>0</v>
          </cell>
          <cell r="Q152">
            <v>5000</v>
          </cell>
          <cell r="R152">
            <v>0</v>
          </cell>
          <cell r="Y152">
            <v>1517.8</v>
          </cell>
        </row>
        <row r="153">
          <cell r="B153">
            <v>0</v>
          </cell>
          <cell r="C153">
            <v>0</v>
          </cell>
          <cell r="D153">
            <v>13320.750632965201</v>
          </cell>
          <cell r="E153">
            <v>0</v>
          </cell>
          <cell r="H153">
            <v>0</v>
          </cell>
          <cell r="I153">
            <v>0</v>
          </cell>
          <cell r="M153">
            <v>4200</v>
          </cell>
          <cell r="N153">
            <v>0</v>
          </cell>
          <cell r="O153">
            <v>0</v>
          </cell>
          <cell r="P153">
            <v>0</v>
          </cell>
          <cell r="Q153">
            <v>5000</v>
          </cell>
          <cell r="R153">
            <v>0</v>
          </cell>
          <cell r="Y153">
            <v>1517.8</v>
          </cell>
        </row>
        <row r="154">
          <cell r="B154">
            <v>0</v>
          </cell>
          <cell r="C154">
            <v>0</v>
          </cell>
          <cell r="D154">
            <v>13320.750632965201</v>
          </cell>
          <cell r="E154">
            <v>0</v>
          </cell>
          <cell r="H154">
            <v>0</v>
          </cell>
          <cell r="I154">
            <v>0</v>
          </cell>
          <cell r="M154">
            <v>4200</v>
          </cell>
          <cell r="N154">
            <v>0</v>
          </cell>
          <cell r="O154">
            <v>0</v>
          </cell>
          <cell r="P154">
            <v>0</v>
          </cell>
          <cell r="Q154">
            <v>5000</v>
          </cell>
          <cell r="R154">
            <v>0</v>
          </cell>
          <cell r="Y154">
            <v>1517.8</v>
          </cell>
        </row>
        <row r="155">
          <cell r="B155">
            <v>0</v>
          </cell>
          <cell r="C155">
            <v>0</v>
          </cell>
          <cell r="D155">
            <v>13320.750632965201</v>
          </cell>
          <cell r="E155">
            <v>0</v>
          </cell>
          <cell r="H155">
            <v>0</v>
          </cell>
          <cell r="I155">
            <v>0</v>
          </cell>
          <cell r="M155">
            <v>4200</v>
          </cell>
          <cell r="N155">
            <v>0</v>
          </cell>
          <cell r="O155">
            <v>0</v>
          </cell>
          <cell r="P155">
            <v>0</v>
          </cell>
          <cell r="Q155">
            <v>5000</v>
          </cell>
          <cell r="R155">
            <v>0</v>
          </cell>
          <cell r="Y155">
            <v>1517.8</v>
          </cell>
        </row>
        <row r="156">
          <cell r="B156">
            <v>0</v>
          </cell>
          <cell r="C156">
            <v>0</v>
          </cell>
          <cell r="D156">
            <v>13320.750632965201</v>
          </cell>
          <cell r="E156">
            <v>0</v>
          </cell>
          <cell r="H156">
            <v>0</v>
          </cell>
          <cell r="I156">
            <v>0</v>
          </cell>
          <cell r="M156">
            <v>4200</v>
          </cell>
          <cell r="N156">
            <v>0</v>
          </cell>
          <cell r="O156">
            <v>0</v>
          </cell>
          <cell r="P156">
            <v>0</v>
          </cell>
          <cell r="Q156">
            <v>5000</v>
          </cell>
          <cell r="R156">
            <v>0</v>
          </cell>
          <cell r="Y156">
            <v>1517.8</v>
          </cell>
        </row>
        <row r="157">
          <cell r="B157">
            <v>0</v>
          </cell>
          <cell r="C157">
            <v>0</v>
          </cell>
          <cell r="D157">
            <v>13320.750632965201</v>
          </cell>
          <cell r="E157">
            <v>0</v>
          </cell>
          <cell r="H157">
            <v>0</v>
          </cell>
          <cell r="I157">
            <v>0</v>
          </cell>
          <cell r="M157">
            <v>4200</v>
          </cell>
          <cell r="N157">
            <v>0</v>
          </cell>
          <cell r="O157">
            <v>0</v>
          </cell>
          <cell r="P157">
            <v>0</v>
          </cell>
          <cell r="Q157">
            <v>5000</v>
          </cell>
          <cell r="R157">
            <v>0</v>
          </cell>
          <cell r="Y157">
            <v>1517.8</v>
          </cell>
        </row>
        <row r="158">
          <cell r="B158">
            <v>0</v>
          </cell>
          <cell r="C158">
            <v>0</v>
          </cell>
          <cell r="D158">
            <v>13320.750632965201</v>
          </cell>
          <cell r="E158">
            <v>0</v>
          </cell>
          <cell r="H158">
            <v>0</v>
          </cell>
          <cell r="I158">
            <v>0</v>
          </cell>
          <cell r="M158">
            <v>4200</v>
          </cell>
          <cell r="N158">
            <v>0</v>
          </cell>
          <cell r="O158">
            <v>0</v>
          </cell>
          <cell r="P158">
            <v>0</v>
          </cell>
          <cell r="Q158">
            <v>5000</v>
          </cell>
          <cell r="R158">
            <v>0</v>
          </cell>
          <cell r="Y158">
            <v>1517.8</v>
          </cell>
        </row>
        <row r="159">
          <cell r="B159">
            <v>0</v>
          </cell>
          <cell r="C159">
            <v>0</v>
          </cell>
          <cell r="D159">
            <v>13320.750632965201</v>
          </cell>
          <cell r="E159">
            <v>0</v>
          </cell>
          <cell r="H159">
            <v>0</v>
          </cell>
          <cell r="I159">
            <v>0</v>
          </cell>
          <cell r="M159">
            <v>4200</v>
          </cell>
          <cell r="N159">
            <v>0</v>
          </cell>
          <cell r="O159">
            <v>0</v>
          </cell>
          <cell r="P159">
            <v>0</v>
          </cell>
          <cell r="Q159">
            <v>5000</v>
          </cell>
          <cell r="R159">
            <v>0</v>
          </cell>
          <cell r="Y159">
            <v>1517.8</v>
          </cell>
        </row>
        <row r="160">
          <cell r="B160">
            <v>0</v>
          </cell>
          <cell r="C160">
            <v>0</v>
          </cell>
          <cell r="D160">
            <v>13320.750632965201</v>
          </cell>
          <cell r="E160">
            <v>0</v>
          </cell>
          <cell r="H160">
            <v>0</v>
          </cell>
          <cell r="I160">
            <v>0</v>
          </cell>
          <cell r="M160">
            <v>4200</v>
          </cell>
          <cell r="N160">
            <v>0</v>
          </cell>
          <cell r="O160">
            <v>0</v>
          </cell>
          <cell r="P160">
            <v>0</v>
          </cell>
          <cell r="Q160">
            <v>5000</v>
          </cell>
          <cell r="R160">
            <v>0</v>
          </cell>
          <cell r="Y160">
            <v>1517.8</v>
          </cell>
        </row>
        <row r="161">
          <cell r="B161">
            <v>0</v>
          </cell>
          <cell r="C161">
            <v>0</v>
          </cell>
          <cell r="D161">
            <v>13320.750632965201</v>
          </cell>
          <cell r="E161">
            <v>0</v>
          </cell>
          <cell r="H161">
            <v>0</v>
          </cell>
          <cell r="I161">
            <v>0</v>
          </cell>
          <cell r="M161">
            <v>4200</v>
          </cell>
          <cell r="N161">
            <v>0</v>
          </cell>
          <cell r="O161">
            <v>0</v>
          </cell>
          <cell r="P161">
            <v>0</v>
          </cell>
          <cell r="Q161">
            <v>5000</v>
          </cell>
          <cell r="R161">
            <v>0</v>
          </cell>
          <cell r="Y161">
            <v>1517.8</v>
          </cell>
        </row>
        <row r="162">
          <cell r="B162">
            <v>0</v>
          </cell>
          <cell r="C162">
            <v>0</v>
          </cell>
          <cell r="D162">
            <v>13320.750632965201</v>
          </cell>
          <cell r="E162">
            <v>0</v>
          </cell>
          <cell r="H162">
            <v>0</v>
          </cell>
          <cell r="I162">
            <v>0</v>
          </cell>
          <cell r="M162">
            <v>4200</v>
          </cell>
          <cell r="N162">
            <v>0</v>
          </cell>
          <cell r="O162">
            <v>0</v>
          </cell>
          <cell r="P162">
            <v>0</v>
          </cell>
          <cell r="Q162">
            <v>5000</v>
          </cell>
          <cell r="R162">
            <v>0</v>
          </cell>
          <cell r="Y162">
            <v>1517.8</v>
          </cell>
        </row>
        <row r="163">
          <cell r="B163">
            <v>0</v>
          </cell>
          <cell r="C163">
            <v>0</v>
          </cell>
          <cell r="D163">
            <v>13320.750632965201</v>
          </cell>
          <cell r="E163">
            <v>0</v>
          </cell>
          <cell r="H163">
            <v>0</v>
          </cell>
          <cell r="I163">
            <v>0</v>
          </cell>
          <cell r="M163">
            <v>4200</v>
          </cell>
          <cell r="N163">
            <v>871.64071416100194</v>
          </cell>
          <cell r="O163">
            <v>0</v>
          </cell>
          <cell r="P163">
            <v>0</v>
          </cell>
          <cell r="Q163">
            <v>5000</v>
          </cell>
          <cell r="R163">
            <v>0</v>
          </cell>
          <cell r="Y163">
            <v>1517.8</v>
          </cell>
        </row>
        <row r="164">
          <cell r="B164">
            <v>0</v>
          </cell>
          <cell r="C164">
            <v>0</v>
          </cell>
          <cell r="D164">
            <v>13320.750632965201</v>
          </cell>
          <cell r="E164">
            <v>0</v>
          </cell>
          <cell r="H164">
            <v>0</v>
          </cell>
          <cell r="I164">
            <v>0</v>
          </cell>
          <cell r="M164">
            <v>4200</v>
          </cell>
          <cell r="N164">
            <v>1619.9172304409151</v>
          </cell>
          <cell r="O164">
            <v>0</v>
          </cell>
          <cell r="P164">
            <v>0</v>
          </cell>
          <cell r="Q164">
            <v>5000</v>
          </cell>
          <cell r="R164">
            <v>0</v>
          </cell>
          <cell r="Y164">
            <v>1517.8</v>
          </cell>
        </row>
        <row r="165">
          <cell r="B165">
            <v>0</v>
          </cell>
          <cell r="C165">
            <v>0</v>
          </cell>
          <cell r="D165">
            <v>13320.750632965201</v>
          </cell>
          <cell r="E165">
            <v>0</v>
          </cell>
          <cell r="H165">
            <v>0</v>
          </cell>
          <cell r="I165">
            <v>0</v>
          </cell>
          <cell r="M165">
            <v>4200</v>
          </cell>
          <cell r="N165">
            <v>1669.6811791784889</v>
          </cell>
          <cell r="O165">
            <v>0</v>
          </cell>
          <cell r="P165">
            <v>0</v>
          </cell>
          <cell r="Q165">
            <v>5000</v>
          </cell>
          <cell r="R165">
            <v>0</v>
          </cell>
          <cell r="Y165">
            <v>1517.8</v>
          </cell>
        </row>
        <row r="166">
          <cell r="B166">
            <v>0</v>
          </cell>
          <cell r="C166">
            <v>0</v>
          </cell>
          <cell r="D166">
            <v>13320.750632965201</v>
          </cell>
          <cell r="E166">
            <v>0</v>
          </cell>
          <cell r="H166">
            <v>0</v>
          </cell>
          <cell r="I166">
            <v>0</v>
          </cell>
          <cell r="M166">
            <v>4200</v>
          </cell>
          <cell r="N166">
            <v>1668.1681073831489</v>
          </cell>
          <cell r="O166">
            <v>0</v>
          </cell>
          <cell r="P166">
            <v>0</v>
          </cell>
          <cell r="Q166">
            <v>5000</v>
          </cell>
          <cell r="R166">
            <v>0</v>
          </cell>
          <cell r="Y166">
            <v>1517.8</v>
          </cell>
        </row>
        <row r="167">
          <cell r="B167">
            <v>0</v>
          </cell>
          <cell r="C167">
            <v>0</v>
          </cell>
          <cell r="D167">
            <v>13320.750632965201</v>
          </cell>
          <cell r="E167">
            <v>0</v>
          </cell>
          <cell r="H167">
            <v>0</v>
          </cell>
          <cell r="I167">
            <v>0</v>
          </cell>
          <cell r="M167">
            <v>4200</v>
          </cell>
          <cell r="N167">
            <v>1671.249542956868</v>
          </cell>
          <cell r="O167">
            <v>0</v>
          </cell>
          <cell r="P167">
            <v>0</v>
          </cell>
          <cell r="Q167">
            <v>5000</v>
          </cell>
          <cell r="R167">
            <v>0</v>
          </cell>
          <cell r="Y167">
            <v>1517.8</v>
          </cell>
        </row>
        <row r="168">
          <cell r="B168">
            <v>0</v>
          </cell>
          <cell r="C168">
            <v>0</v>
          </cell>
          <cell r="D168">
            <v>13320.750632965201</v>
          </cell>
          <cell r="E168">
            <v>0</v>
          </cell>
          <cell r="H168">
            <v>0</v>
          </cell>
          <cell r="I168">
            <v>0</v>
          </cell>
          <cell r="M168">
            <v>4200</v>
          </cell>
          <cell r="N168">
            <v>1670.777409730011</v>
          </cell>
          <cell r="O168">
            <v>0</v>
          </cell>
          <cell r="P168">
            <v>0</v>
          </cell>
          <cell r="Q168">
            <v>5000</v>
          </cell>
          <cell r="R168">
            <v>0</v>
          </cell>
          <cell r="Y168">
            <v>1517.8</v>
          </cell>
        </row>
        <row r="169">
          <cell r="B169">
            <v>0</v>
          </cell>
          <cell r="C169">
            <v>0</v>
          </cell>
          <cell r="D169">
            <v>13320.750632965201</v>
          </cell>
          <cell r="E169">
            <v>0</v>
          </cell>
          <cell r="H169">
            <v>0</v>
          </cell>
          <cell r="I169">
            <v>0</v>
          </cell>
          <cell r="M169">
            <v>4200</v>
          </cell>
          <cell r="N169">
            <v>1667.681246604224</v>
          </cell>
          <cell r="O169">
            <v>0</v>
          </cell>
          <cell r="P169">
            <v>0</v>
          </cell>
          <cell r="Q169">
            <v>5000</v>
          </cell>
          <cell r="R169">
            <v>0</v>
          </cell>
          <cell r="Y169">
            <v>1517.8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B1" t="str">
            <v>ES_solar_pv</v>
          </cell>
          <cell r="C1" t="str">
            <v>ES_solar_csp</v>
          </cell>
          <cell r="D1" t="str">
            <v>ES_solar_rooftop</v>
          </cell>
          <cell r="E1" t="str">
            <v>ES_wind</v>
          </cell>
          <cell r="J1" t="str">
            <v>ES_SRES_electrolyzer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25257.631676891091</v>
          </cell>
          <cell r="J2">
            <v>13917.947695536381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27028.785791072009</v>
          </cell>
          <cell r="J3">
            <v>14893.923219973931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27489.942333941199</v>
          </cell>
          <cell r="J4">
            <v>15148.038598850881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28179.896186332571</v>
          </cell>
          <cell r="J5">
            <v>15528.230287159589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29542.429586616421</v>
          </cell>
          <cell r="J6">
            <v>16279.039739176529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29719.55508683193</v>
          </cell>
          <cell r="J7">
            <v>16376.64285094415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27790.974239529911</v>
          </cell>
          <cell r="J8">
            <v>15313.919009582531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22521.545412595991</v>
          </cell>
          <cell r="J9">
            <v>12410.25663391655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17575.587941208789</v>
          </cell>
          <cell r="J10">
            <v>10164.794985800379</v>
          </cell>
        </row>
        <row r="11">
          <cell r="B11">
            <v>10126</v>
          </cell>
          <cell r="C11">
            <v>341.15499999999997</v>
          </cell>
          <cell r="D11">
            <v>3930</v>
          </cell>
          <cell r="E11">
            <v>15116.88366045464</v>
          </cell>
          <cell r="J11">
            <v>21144.868611023448</v>
          </cell>
        </row>
        <row r="12">
          <cell r="B12">
            <v>25979</v>
          </cell>
          <cell r="C12">
            <v>903.34</v>
          </cell>
          <cell r="D12">
            <v>9150</v>
          </cell>
          <cell r="E12">
            <v>14278.077359344319</v>
          </cell>
          <cell r="J12">
            <v>26441.11981</v>
          </cell>
        </row>
        <row r="13">
          <cell r="B13">
            <v>31457.000000000011</v>
          </cell>
          <cell r="C13">
            <v>1489.55</v>
          </cell>
          <cell r="D13">
            <v>13260</v>
          </cell>
          <cell r="E13">
            <v>15129.93079804206</v>
          </cell>
          <cell r="J13">
            <v>27047.51517488571</v>
          </cell>
        </row>
        <row r="14">
          <cell r="B14">
            <v>32453</v>
          </cell>
          <cell r="C14">
            <v>1869.145</v>
          </cell>
          <cell r="D14">
            <v>15300</v>
          </cell>
          <cell r="E14">
            <v>17438.534795471169</v>
          </cell>
          <cell r="J14">
            <v>27967.27248644286</v>
          </cell>
        </row>
        <row r="15">
          <cell r="B15">
            <v>32286.999999999989</v>
          </cell>
          <cell r="C15">
            <v>1917.1949999999999</v>
          </cell>
          <cell r="D15">
            <v>15330</v>
          </cell>
          <cell r="E15">
            <v>19014.972457422769</v>
          </cell>
          <cell r="J15">
            <v>27843.519810000009</v>
          </cell>
        </row>
        <row r="16">
          <cell r="B16">
            <v>31374</v>
          </cell>
          <cell r="C16">
            <v>1672.14</v>
          </cell>
          <cell r="D16">
            <v>13530</v>
          </cell>
          <cell r="E16">
            <v>19653.986236669109</v>
          </cell>
          <cell r="J16">
            <v>27865.96266714286</v>
          </cell>
        </row>
        <row r="17">
          <cell r="B17">
            <v>29465</v>
          </cell>
          <cell r="C17">
            <v>1215.665</v>
          </cell>
          <cell r="D17">
            <v>10470</v>
          </cell>
          <cell r="E17">
            <v>19711.284638977831</v>
          </cell>
          <cell r="J17">
            <v>25623.329291900009</v>
          </cell>
        </row>
        <row r="18">
          <cell r="B18">
            <v>20916</v>
          </cell>
          <cell r="C18">
            <v>615.04</v>
          </cell>
          <cell r="D18">
            <v>6210</v>
          </cell>
          <cell r="E18">
            <v>18955.417524366439</v>
          </cell>
          <cell r="J18">
            <v>22728.873678571432</v>
          </cell>
        </row>
        <row r="19">
          <cell r="B19">
            <v>4565</v>
          </cell>
          <cell r="C19">
            <v>62.465000000000003</v>
          </cell>
          <cell r="D19">
            <v>1560</v>
          </cell>
          <cell r="E19">
            <v>15781.896243089581</v>
          </cell>
          <cell r="J19">
            <v>14103.08521970523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14593.714336832239</v>
          </cell>
          <cell r="J20">
            <v>8042.1264591591525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14223.344761290769</v>
          </cell>
          <cell r="J21">
            <v>7837.6219502933509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14363.338713443911</v>
          </cell>
          <cell r="J22">
            <v>7914.7641197843104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14848.21623140177</v>
          </cell>
          <cell r="J23">
            <v>8181.9506881850766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15875.142067911909</v>
          </cell>
          <cell r="J24">
            <v>8747.8271829642708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16808.962166086068</v>
          </cell>
          <cell r="J25">
            <v>9262.3987568034645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17562.050500919151</v>
          </cell>
          <cell r="J26">
            <v>9677.38002616433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16948.98696297015</v>
          </cell>
          <cell r="J27">
            <v>9339.5579229533887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16083.628397510431</v>
          </cell>
          <cell r="J28">
            <v>8862.7113442231966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15063.22677239256</v>
          </cell>
          <cell r="J29">
            <v>8300.4299463269526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14307.493685481089</v>
          </cell>
          <cell r="J30">
            <v>7883.9913146303934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13599.38045674861</v>
          </cell>
          <cell r="J31">
            <v>7493.793096282272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12281.728618574811</v>
          </cell>
          <cell r="J32">
            <v>6767.7151488629506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10580.61958356276</v>
          </cell>
          <cell r="J33">
            <v>5830.3372158652246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10413.82697641188</v>
          </cell>
          <cell r="J34">
            <v>6139.7410064566093</v>
          </cell>
        </row>
        <row r="35">
          <cell r="B35">
            <v>8881.0000000000018</v>
          </cell>
          <cell r="C35">
            <v>317.13</v>
          </cell>
          <cell r="D35">
            <v>3390</v>
          </cell>
          <cell r="E35">
            <v>9460.1706868510191</v>
          </cell>
          <cell r="J35">
            <v>16333.235205017119</v>
          </cell>
        </row>
        <row r="36">
          <cell r="B36">
            <v>23323.000000000011</v>
          </cell>
          <cell r="C36">
            <v>816.85</v>
          </cell>
          <cell r="D36">
            <v>8219.9999999999982</v>
          </cell>
          <cell r="E36">
            <v>7941.8884700892058</v>
          </cell>
          <cell r="J36">
            <v>24506.43981</v>
          </cell>
        </row>
        <row r="37">
          <cell r="B37">
            <v>29215.999999999989</v>
          </cell>
          <cell r="C37">
            <v>1359.8149999999951</v>
          </cell>
          <cell r="D37">
            <v>12180</v>
          </cell>
          <cell r="E37">
            <v>7497.5158672407233</v>
          </cell>
          <cell r="J37">
            <v>24199.8020813</v>
          </cell>
        </row>
        <row r="38">
          <cell r="B38">
            <v>31789</v>
          </cell>
          <cell r="C38">
            <v>1773.0450000000001</v>
          </cell>
          <cell r="D38">
            <v>14700</v>
          </cell>
          <cell r="E38">
            <v>8021.6047494042296</v>
          </cell>
          <cell r="J38">
            <v>25485.618461714279</v>
          </cell>
        </row>
        <row r="39">
          <cell r="B39">
            <v>32702</v>
          </cell>
          <cell r="C39">
            <v>1922</v>
          </cell>
          <cell r="D39">
            <v>15330</v>
          </cell>
          <cell r="E39">
            <v>8207.2718532950585</v>
          </cell>
          <cell r="J39">
            <v>26674.948381428581</v>
          </cell>
        </row>
        <row r="40">
          <cell r="B40">
            <v>33034</v>
          </cell>
          <cell r="C40">
            <v>1744.2149999999999</v>
          </cell>
          <cell r="D40">
            <v>14100</v>
          </cell>
          <cell r="E40">
            <v>7701.0753018705727</v>
          </cell>
          <cell r="J40">
            <v>23530.331447671429</v>
          </cell>
        </row>
        <row r="41">
          <cell r="B41">
            <v>31125</v>
          </cell>
          <cell r="C41">
            <v>1273.325</v>
          </cell>
          <cell r="D41">
            <v>10859.999999999971</v>
          </cell>
          <cell r="E41">
            <v>7208.4567662448699</v>
          </cell>
          <cell r="J41">
            <v>22060.060019100001</v>
          </cell>
        </row>
        <row r="42">
          <cell r="B42">
            <v>21912</v>
          </cell>
          <cell r="C42">
            <v>639.06500000000005</v>
          </cell>
          <cell r="D42">
            <v>6390</v>
          </cell>
          <cell r="E42">
            <v>6674.4703974418626</v>
          </cell>
          <cell r="J42">
            <v>21886.029088700001</v>
          </cell>
        </row>
        <row r="43">
          <cell r="B43">
            <v>4814</v>
          </cell>
          <cell r="C43">
            <v>62.465000000000003</v>
          </cell>
          <cell r="D43">
            <v>1620</v>
          </cell>
          <cell r="E43">
            <v>6746.0583557562222</v>
          </cell>
          <cell r="J43">
            <v>9368.0469032294168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10613.07732868978</v>
          </cell>
          <cell r="J44">
            <v>5849.0573664008898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12693.764835624561</v>
          </cell>
          <cell r="J45">
            <v>6994.7632977522144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11990.67975703404</v>
          </cell>
          <cell r="J46">
            <v>6607.3357877419276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10467.98876334349</v>
          </cell>
          <cell r="J47">
            <v>5768.2732074589476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9858.8226774680825</v>
          </cell>
          <cell r="J48">
            <v>5432.5987535129889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9494.3897946343404</v>
          </cell>
          <cell r="J49">
            <v>5231.7819126191453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9891.4066473124822</v>
          </cell>
          <cell r="J50">
            <v>5450.5538014687399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10235.357435405689</v>
          </cell>
          <cell r="J51">
            <v>5640.0842032007313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10420.05283847216</v>
          </cell>
          <cell r="J52">
            <v>5741.8586289414079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10021.14830662054</v>
          </cell>
          <cell r="J53">
            <v>5522.0465546801879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9615.3276700540955</v>
          </cell>
          <cell r="J54">
            <v>5298.4234349136304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9302.575684706675</v>
          </cell>
          <cell r="J55">
            <v>5126.0847996280772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8594.9043801847329</v>
          </cell>
          <cell r="J56">
            <v>4736.130098887872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7391.5416337173328</v>
          </cell>
          <cell r="J57">
            <v>4073.0299326353961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7084.5452200831733</v>
          </cell>
          <cell r="J58">
            <v>4416.2825695563743</v>
          </cell>
        </row>
        <row r="59">
          <cell r="B59">
            <v>9379</v>
          </cell>
          <cell r="C59">
            <v>312.32499999999999</v>
          </cell>
          <cell r="D59">
            <v>3840</v>
          </cell>
          <cell r="E59">
            <v>5839.1482657304832</v>
          </cell>
          <cell r="J59">
            <v>15396.34587537936</v>
          </cell>
        </row>
        <row r="60">
          <cell r="B60">
            <v>23240</v>
          </cell>
          <cell r="C60">
            <v>807.24</v>
          </cell>
          <cell r="D60">
            <v>8729.9999999999691</v>
          </cell>
          <cell r="E60">
            <v>2940.658342457637</v>
          </cell>
          <cell r="J60">
            <v>21531.171144742861</v>
          </cell>
        </row>
        <row r="61">
          <cell r="B61">
            <v>28717.999999999989</v>
          </cell>
          <cell r="C61">
            <v>1316.57</v>
          </cell>
          <cell r="D61">
            <v>12540</v>
          </cell>
          <cell r="E61">
            <v>1417.5837174260389</v>
          </cell>
          <cell r="J61">
            <v>21224.533416042861</v>
          </cell>
        </row>
        <row r="62">
          <cell r="B62">
            <v>30793</v>
          </cell>
          <cell r="C62">
            <v>1648.115</v>
          </cell>
          <cell r="D62">
            <v>14670</v>
          </cell>
          <cell r="E62">
            <v>1047.830302104984</v>
          </cell>
          <cell r="J62">
            <v>23153.02923794285</v>
          </cell>
        </row>
        <row r="63">
          <cell r="B63">
            <v>31374</v>
          </cell>
          <cell r="C63">
            <v>1696.165</v>
          </cell>
          <cell r="D63">
            <v>14940</v>
          </cell>
          <cell r="E63">
            <v>948.78805466085657</v>
          </cell>
          <cell r="J63">
            <v>25416.41991611429</v>
          </cell>
        </row>
        <row r="64">
          <cell r="B64">
            <v>30876</v>
          </cell>
          <cell r="C64">
            <v>1460.72</v>
          </cell>
          <cell r="D64">
            <v>13410</v>
          </cell>
          <cell r="E64">
            <v>937.12635957142493</v>
          </cell>
          <cell r="J64">
            <v>22184.18406098571</v>
          </cell>
        </row>
        <row r="65">
          <cell r="B65">
            <v>28635</v>
          </cell>
          <cell r="C65">
            <v>1013.854999999995</v>
          </cell>
          <cell r="D65">
            <v>10290</v>
          </cell>
          <cell r="E65">
            <v>1015.341620447234</v>
          </cell>
          <cell r="J65">
            <v>22003.13453922858</v>
          </cell>
        </row>
        <row r="66">
          <cell r="B66">
            <v>20003</v>
          </cell>
          <cell r="C66">
            <v>480.5</v>
          </cell>
          <cell r="D66">
            <v>6000</v>
          </cell>
          <cell r="E66">
            <v>908.720932771256</v>
          </cell>
          <cell r="J66">
            <v>16874.05555065714</v>
          </cell>
        </row>
        <row r="67">
          <cell r="B67">
            <v>4565.0000000000009</v>
          </cell>
          <cell r="C67">
            <v>0</v>
          </cell>
          <cell r="D67">
            <v>1560</v>
          </cell>
          <cell r="E67">
            <v>1632.2207250531701</v>
          </cell>
          <cell r="J67">
            <v>6277.8119997590729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2969.6079584393651</v>
          </cell>
          <cell r="J68">
            <v>1638.3131679601249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3032.5158789883531</v>
          </cell>
          <cell r="J69">
            <v>1671.0354291950191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1997.8308484510681</v>
          </cell>
          <cell r="J70">
            <v>1100.8833135654299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1605.3004353277749</v>
          </cell>
          <cell r="J71">
            <v>884.58362923058723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1718.6635425074569</v>
          </cell>
          <cell r="J72">
            <v>947.05115653140899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1784.441950829415</v>
          </cell>
          <cell r="J73">
            <v>983.29764465160167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2092.8097615930128</v>
          </cell>
          <cell r="J74">
            <v>1153.2204274405181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2453.948776001735</v>
          </cell>
          <cell r="J75">
            <v>1352.2222173809771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2997.363626294346</v>
          </cell>
          <cell r="J76">
            <v>1651.6651564539261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3725.395207229572</v>
          </cell>
          <cell r="J77">
            <v>2052.839169670131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4680.1631923013483</v>
          </cell>
          <cell r="J78">
            <v>2578.9538524556742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5450.4992397167543</v>
          </cell>
          <cell r="J79">
            <v>3003.439289295869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6064.3819072317219</v>
          </cell>
          <cell r="J80">
            <v>3341.712765089992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6423.2157370017594</v>
          </cell>
          <cell r="J81">
            <v>3539.4443076992588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7229.6280938422078</v>
          </cell>
          <cell r="J82">
            <v>4330.8321701195982</v>
          </cell>
        </row>
        <row r="83">
          <cell r="B83">
            <v>5560.9999999999973</v>
          </cell>
          <cell r="C83">
            <v>110.515</v>
          </cell>
          <cell r="D83">
            <v>2460</v>
          </cell>
          <cell r="E83">
            <v>8348.136342899068</v>
          </cell>
          <cell r="J83">
            <v>12132.63983304931</v>
          </cell>
        </row>
        <row r="84">
          <cell r="B84">
            <v>14110</v>
          </cell>
          <cell r="C84">
            <v>259.47000000000003</v>
          </cell>
          <cell r="D84">
            <v>5819.9999999999991</v>
          </cell>
          <cell r="E84">
            <v>9234.8761820860545</v>
          </cell>
          <cell r="J84">
            <v>21880.95828668572</v>
          </cell>
        </row>
        <row r="85">
          <cell r="B85">
            <v>19671</v>
          </cell>
          <cell r="C85">
            <v>413.23</v>
          </cell>
          <cell r="D85">
            <v>8549.9999999999709</v>
          </cell>
          <cell r="E85">
            <v>10602.74259962927</v>
          </cell>
          <cell r="J85">
            <v>21574.320557999999</v>
          </cell>
        </row>
        <row r="86">
          <cell r="B86">
            <v>23323</v>
          </cell>
          <cell r="C86">
            <v>538.16</v>
          </cell>
          <cell r="D86">
            <v>10200</v>
          </cell>
          <cell r="E86">
            <v>12693.81780410596</v>
          </cell>
          <cell r="J86">
            <v>25264.780806442861</v>
          </cell>
        </row>
        <row r="87">
          <cell r="B87">
            <v>24402</v>
          </cell>
          <cell r="C87">
            <v>586.21</v>
          </cell>
          <cell r="D87">
            <v>10379.999999999971</v>
          </cell>
          <cell r="E87">
            <v>14935.23885635787</v>
          </cell>
          <cell r="J87">
            <v>26674.948381428581</v>
          </cell>
        </row>
        <row r="88">
          <cell r="B88">
            <v>23406</v>
          </cell>
          <cell r="C88">
            <v>547.77</v>
          </cell>
          <cell r="D88">
            <v>9210</v>
          </cell>
          <cell r="E88">
            <v>17302.695151216511</v>
          </cell>
          <cell r="J88">
            <v>24936.082377528572</v>
          </cell>
        </row>
        <row r="89">
          <cell r="B89">
            <v>21165</v>
          </cell>
          <cell r="C89">
            <v>432.45</v>
          </cell>
          <cell r="D89">
            <v>7350</v>
          </cell>
          <cell r="E89">
            <v>19055.53493100328</v>
          </cell>
          <cell r="J89">
            <v>24959.182208828581</v>
          </cell>
        </row>
        <row r="90">
          <cell r="B90">
            <v>15687</v>
          </cell>
          <cell r="C90">
            <v>245.05500000000001</v>
          </cell>
          <cell r="D90">
            <v>4710</v>
          </cell>
          <cell r="E90">
            <v>19502.5647707022</v>
          </cell>
          <cell r="J90">
            <v>24500.302250000001</v>
          </cell>
        </row>
        <row r="91">
          <cell r="B91">
            <v>4316</v>
          </cell>
          <cell r="C91">
            <v>0</v>
          </cell>
          <cell r="D91">
            <v>1530</v>
          </cell>
          <cell r="E91">
            <v>18779.82452991965</v>
          </cell>
          <cell r="J91">
            <v>15579.704820592189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20441.524096769612</v>
          </cell>
          <cell r="J92">
            <v>11267.983268896811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23384.874651799371</v>
          </cell>
          <cell r="J93">
            <v>12885.98497412564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25246.37105510366</v>
          </cell>
          <cell r="J94">
            <v>13911.74265038165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26455.499012262731</v>
          </cell>
          <cell r="J95">
            <v>14578.01967430182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29327.556745317321</v>
          </cell>
          <cell r="J96">
            <v>16160.636358976461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32495.56085894713</v>
          </cell>
          <cell r="J97">
            <v>17906.331130235831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33692.350464731819</v>
          </cell>
          <cell r="J98">
            <v>18565.809237643371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31442.18988844772</v>
          </cell>
          <cell r="J99">
            <v>17325.882327317351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30725.5670023684</v>
          </cell>
          <cell r="J100">
            <v>16930.99495333598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32808.221044500096</v>
          </cell>
          <cell r="J101">
            <v>18078.61918022684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38083.80541485174</v>
          </cell>
          <cell r="J102">
            <v>20985.673502232901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43215.925984419227</v>
          </cell>
          <cell r="J103">
            <v>23813.67363178499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45676.77452477238</v>
          </cell>
          <cell r="J104">
            <v>25169.697890488871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47147.468462484481</v>
          </cell>
          <cell r="J105">
            <v>25980.108049409169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49863.399898306299</v>
          </cell>
          <cell r="J106">
            <v>26867.11981</v>
          </cell>
        </row>
        <row r="107">
          <cell r="B107">
            <v>5229.0000000000018</v>
          </cell>
          <cell r="C107">
            <v>91.295000000000002</v>
          </cell>
          <cell r="D107">
            <v>2159.9999999999968</v>
          </cell>
          <cell r="E107">
            <v>52849.775181003577</v>
          </cell>
          <cell r="J107">
            <v>28013.466514471431</v>
          </cell>
        </row>
        <row r="108">
          <cell r="B108">
            <v>5.9009857488490516</v>
          </cell>
          <cell r="C108">
            <v>240.25</v>
          </cell>
          <cell r="D108">
            <v>5880</v>
          </cell>
          <cell r="E108">
            <v>56504.39586789751</v>
          </cell>
          <cell r="J108">
            <v>28013.466514471431</v>
          </cell>
        </row>
        <row r="109">
          <cell r="B109">
            <v>10730.355800765459</v>
          </cell>
          <cell r="C109">
            <v>446.86500000000012</v>
          </cell>
          <cell r="D109">
            <v>9390</v>
          </cell>
          <cell r="E109">
            <v>59127.139771766473</v>
          </cell>
          <cell r="J109">
            <v>27990.366683171429</v>
          </cell>
        </row>
        <row r="110">
          <cell r="B110">
            <v>26726</v>
          </cell>
          <cell r="C110">
            <v>677.50499999999522</v>
          </cell>
          <cell r="D110">
            <v>12180</v>
          </cell>
          <cell r="E110">
            <v>61539.214438724463</v>
          </cell>
          <cell r="J110">
            <v>27967.266851871431</v>
          </cell>
        </row>
        <row r="111">
          <cell r="B111">
            <v>28634.999999999989</v>
          </cell>
          <cell r="C111">
            <v>855.29000000000008</v>
          </cell>
          <cell r="D111">
            <v>13470</v>
          </cell>
          <cell r="E111">
            <v>63213.31092521768</v>
          </cell>
          <cell r="J111">
            <v>27967.266851871431</v>
          </cell>
        </row>
        <row r="112">
          <cell r="B112">
            <v>29050</v>
          </cell>
          <cell r="C112">
            <v>884.12</v>
          </cell>
          <cell r="D112">
            <v>12960</v>
          </cell>
          <cell r="E112">
            <v>63954.563512551031</v>
          </cell>
          <cell r="J112">
            <v>27990.366683171429</v>
          </cell>
        </row>
        <row r="113">
          <cell r="B113">
            <v>26643</v>
          </cell>
          <cell r="C113">
            <v>715.94499999999528</v>
          </cell>
          <cell r="D113">
            <v>10050</v>
          </cell>
          <cell r="E113">
            <v>63107.627880642307</v>
          </cell>
          <cell r="J113">
            <v>28013.466514471431</v>
          </cell>
        </row>
        <row r="114">
          <cell r="B114">
            <v>18924</v>
          </cell>
          <cell r="C114">
            <v>403.62</v>
          </cell>
          <cell r="D114">
            <v>6000</v>
          </cell>
          <cell r="E114">
            <v>61800.40762031218</v>
          </cell>
          <cell r="J114">
            <v>28013.466514471431</v>
          </cell>
        </row>
        <row r="115">
          <cell r="B115">
            <v>4813.9999999999964</v>
          </cell>
          <cell r="C115">
            <v>52.854999999999521</v>
          </cell>
          <cell r="D115">
            <v>1680</v>
          </cell>
          <cell r="E115">
            <v>56043.466254120212</v>
          </cell>
          <cell r="J115">
            <v>27070.60937161429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49015.923932807389</v>
          </cell>
          <cell r="J116">
            <v>27016.556978251469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44376.945800292582</v>
          </cell>
          <cell r="J117">
            <v>24453.441179175061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43141.369496151427</v>
          </cell>
          <cell r="J118">
            <v>23772.590076630298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43170.125414566843</v>
          </cell>
          <cell r="J119">
            <v>23788.435717803739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43085.999807524313</v>
          </cell>
          <cell r="J120">
            <v>23742.07920213151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43948.385436640448</v>
          </cell>
          <cell r="J121">
            <v>24217.287576098021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45259.381238917129</v>
          </cell>
          <cell r="J122">
            <v>24939.697786151439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45336.453592351907</v>
          </cell>
          <cell r="J123">
            <v>24982.167681888281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44732.989467109794</v>
          </cell>
          <cell r="J124">
            <v>24649.63523234208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44617.578306515723</v>
          </cell>
          <cell r="J125">
            <v>24586.039147120071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44463.425337664652</v>
          </cell>
          <cell r="J126">
            <v>24501.094802969881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43957.397697861968</v>
          </cell>
          <cell r="J127">
            <v>24222.25368621889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43398.565898287947</v>
          </cell>
          <cell r="J128">
            <v>23914.315402195622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41996.963607079451</v>
          </cell>
          <cell r="J129">
            <v>23141.977455846059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40071.69526356073</v>
          </cell>
          <cell r="J130">
            <v>22548.698603502839</v>
          </cell>
        </row>
        <row r="131">
          <cell r="B131">
            <v>9960.0000000000018</v>
          </cell>
          <cell r="C131">
            <v>389.20499999999998</v>
          </cell>
          <cell r="D131">
            <v>3810</v>
          </cell>
          <cell r="E131">
            <v>39586.955169895176</v>
          </cell>
          <cell r="J131">
            <v>28891.967008143871</v>
          </cell>
        </row>
        <row r="132">
          <cell r="B132">
            <v>25398</v>
          </cell>
          <cell r="C132">
            <v>1037.8800000000001</v>
          </cell>
          <cell r="D132">
            <v>8910</v>
          </cell>
          <cell r="E132">
            <v>40260.084323157091</v>
          </cell>
          <cell r="J132">
            <v>27987.237526514291</v>
          </cell>
        </row>
        <row r="133">
          <cell r="B133">
            <v>30959</v>
          </cell>
          <cell r="C133">
            <v>1729.8</v>
          </cell>
          <cell r="D133">
            <v>12960</v>
          </cell>
          <cell r="E133">
            <v>41393.020378710047</v>
          </cell>
          <cell r="J133">
            <v>28010.537536457141</v>
          </cell>
        </row>
        <row r="134">
          <cell r="B134">
            <v>31872.000000000011</v>
          </cell>
          <cell r="C134">
            <v>2200.69</v>
          </cell>
          <cell r="D134">
            <v>14880</v>
          </cell>
          <cell r="E134">
            <v>43259.007077160553</v>
          </cell>
          <cell r="J134">
            <v>27987.237526514291</v>
          </cell>
        </row>
        <row r="135">
          <cell r="B135">
            <v>31623.000000000011</v>
          </cell>
          <cell r="C135">
            <v>2306.4</v>
          </cell>
          <cell r="D135">
            <v>14880</v>
          </cell>
          <cell r="E135">
            <v>43624.23604781185</v>
          </cell>
          <cell r="J135">
            <v>27987.237526514291</v>
          </cell>
        </row>
        <row r="136">
          <cell r="B136">
            <v>30627.000000000011</v>
          </cell>
          <cell r="C136">
            <v>2003.6849999999949</v>
          </cell>
          <cell r="D136">
            <v>13140</v>
          </cell>
          <cell r="E136">
            <v>42328.657653815542</v>
          </cell>
          <cell r="J136">
            <v>28010.537536457141</v>
          </cell>
        </row>
        <row r="137">
          <cell r="B137">
            <v>28137</v>
          </cell>
          <cell r="C137">
            <v>1388.645</v>
          </cell>
          <cell r="D137">
            <v>10050</v>
          </cell>
          <cell r="E137">
            <v>39854.978806989493</v>
          </cell>
          <cell r="J137">
            <v>27987.237526514291</v>
          </cell>
        </row>
        <row r="138">
          <cell r="B138">
            <v>19837</v>
          </cell>
          <cell r="C138">
            <v>658.28499999999997</v>
          </cell>
          <cell r="D138">
            <v>5940</v>
          </cell>
          <cell r="E138">
            <v>37869.841666917171</v>
          </cell>
          <cell r="J138">
            <v>27987.237526514291</v>
          </cell>
        </row>
        <row r="139">
          <cell r="B139">
            <v>4647.9999999999973</v>
          </cell>
          <cell r="C139">
            <v>81.685000000000002</v>
          </cell>
          <cell r="D139">
            <v>1650</v>
          </cell>
          <cell r="E139">
            <v>31635.808139735909</v>
          </cell>
          <cell r="J139">
            <v>23074.12026775318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31769.808116109591</v>
          </cell>
          <cell r="J140">
            <v>17518.12890643967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35284.882191248769</v>
          </cell>
          <cell r="J141">
            <v>19443.35680650052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37972.3074040961</v>
          </cell>
          <cell r="J142">
            <v>20924.23371636125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39676.274901108052</v>
          </cell>
          <cell r="J143">
            <v>21863.18677426035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42088.032491575963</v>
          </cell>
          <cell r="J144">
            <v>23192.159990270811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44627.775519484123</v>
          </cell>
          <cell r="J145">
            <v>24591.658212222861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48063.671812902583</v>
          </cell>
          <cell r="J146">
            <v>26484.972102884982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51779.41225214921</v>
          </cell>
          <cell r="J147">
            <v>27894.036120971428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52768.048143811691</v>
          </cell>
          <cell r="J148">
            <v>27894.036120971428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52982.743530801687</v>
          </cell>
          <cell r="J149">
            <v>27894.036120971428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53115.586940411689</v>
          </cell>
          <cell r="J150">
            <v>27940.63612657144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53494.455261731688</v>
          </cell>
          <cell r="J151">
            <v>27987.236117871431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55146.096211241689</v>
          </cell>
          <cell r="J152">
            <v>28010.536127814288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59263.547759377398</v>
          </cell>
          <cell r="J153">
            <v>27987.236117871431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58733.792707671659</v>
          </cell>
          <cell r="J154">
            <v>27987.236117871431</v>
          </cell>
        </row>
        <row r="155">
          <cell r="B155">
            <v>2490.0000000000032</v>
          </cell>
          <cell r="C155">
            <v>0</v>
          </cell>
          <cell r="D155">
            <v>1109.999999999997</v>
          </cell>
          <cell r="E155">
            <v>55616.747486144748</v>
          </cell>
          <cell r="J155">
            <v>27987.236117871431</v>
          </cell>
        </row>
        <row r="156">
          <cell r="B156">
            <v>1925.1691948856219</v>
          </cell>
          <cell r="C156">
            <v>81.685000000000002</v>
          </cell>
          <cell r="D156">
            <v>3210</v>
          </cell>
          <cell r="E156">
            <v>55314.942901686067</v>
          </cell>
          <cell r="J156">
            <v>27987.236117871431</v>
          </cell>
        </row>
        <row r="157">
          <cell r="B157">
            <v>0</v>
          </cell>
          <cell r="C157">
            <v>0</v>
          </cell>
          <cell r="D157">
            <v>3020.1951357934672</v>
          </cell>
          <cell r="E157">
            <v>56767.414212998687</v>
          </cell>
          <cell r="J157">
            <v>28010.536127814288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56705.27785357074</v>
          </cell>
          <cell r="J158">
            <v>27987.236117871431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54172.493488607288</v>
          </cell>
          <cell r="J159">
            <v>27987.236117871431</v>
          </cell>
        </row>
        <row r="160">
          <cell r="B160">
            <v>12431.76995275785</v>
          </cell>
          <cell r="C160">
            <v>163.37</v>
          </cell>
          <cell r="D160">
            <v>7920</v>
          </cell>
          <cell r="E160">
            <v>66150.663740676406</v>
          </cell>
          <cell r="J160">
            <v>28010.536127814288</v>
          </cell>
        </row>
        <row r="161">
          <cell r="B161">
            <v>14442.000000000009</v>
          </cell>
          <cell r="C161">
            <v>105.7099999999995</v>
          </cell>
          <cell r="D161">
            <v>6120</v>
          </cell>
          <cell r="E161">
            <v>67868.771710827787</v>
          </cell>
          <cell r="J161">
            <v>27987.236117871431</v>
          </cell>
        </row>
        <row r="162">
          <cell r="B162">
            <v>9296</v>
          </cell>
          <cell r="C162">
            <v>0</v>
          </cell>
          <cell r="D162">
            <v>3569.99999999997</v>
          </cell>
          <cell r="E162">
            <v>71329.542902751273</v>
          </cell>
          <cell r="J162">
            <v>27987.236117871431</v>
          </cell>
        </row>
        <row r="163">
          <cell r="B163">
            <v>2324</v>
          </cell>
          <cell r="C163">
            <v>0</v>
          </cell>
          <cell r="D163">
            <v>960</v>
          </cell>
          <cell r="E163">
            <v>70326.101748658868</v>
          </cell>
          <cell r="J163">
            <v>29232.437138101439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65799.846327957581</v>
          </cell>
          <cell r="J164">
            <v>30324.703599872741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63999.609488092967</v>
          </cell>
          <cell r="J165">
            <v>30372.494945269271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64502.616731058319</v>
          </cell>
          <cell r="J166">
            <v>30347.03341847593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65809.387631394566</v>
          </cell>
          <cell r="J167">
            <v>30328.135473652681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67338.832060564164</v>
          </cell>
          <cell r="J168">
            <v>30280.860992014299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69117.832394977377</v>
          </cell>
          <cell r="J169">
            <v>30276.437901834612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2B7B-CACB-4FA4-A9A3-46076ABA16D1}">
  <sheetPr>
    <tabColor rgb="FFFFFFCC"/>
  </sheetPr>
  <dimension ref="A1:BB8765"/>
  <sheetViews>
    <sheetView tabSelected="1" topLeftCell="AM1" zoomScale="85" zoomScaleNormal="85" workbookViewId="0">
      <selection activeCell="AS31" sqref="AS31"/>
    </sheetView>
  </sheetViews>
  <sheetFormatPr baseColWidth="10" defaultRowHeight="14.5" x14ac:dyDescent="0.35"/>
  <cols>
    <col min="1" max="1" width="10.90625" style="23"/>
    <col min="2" max="2" width="17.90625" style="25" customWidth="1"/>
    <col min="3" max="3" width="17.81640625" style="23" bestFit="1" customWidth="1"/>
    <col min="4" max="4" width="11.1796875" style="23" bestFit="1" customWidth="1"/>
    <col min="5" max="5" width="11.81640625" style="23" customWidth="1"/>
    <col min="6" max="6" width="16.36328125" style="23" bestFit="1" customWidth="1"/>
    <col min="7" max="7" width="16.453125" style="23" bestFit="1" customWidth="1"/>
    <col min="8" max="8" width="20.08984375" style="23" bestFit="1" customWidth="1"/>
    <col min="9" max="12" width="11.6328125" style="23" customWidth="1"/>
    <col min="13" max="13" width="12.453125" style="23" customWidth="1"/>
    <col min="14" max="14" width="10.90625" style="23"/>
    <col min="15" max="15" width="17.54296875" style="25" bestFit="1" customWidth="1"/>
    <col min="16" max="16" width="12.453125" style="23" bestFit="1" customWidth="1"/>
    <col min="17" max="17" width="11.1796875" style="23" bestFit="1" customWidth="1"/>
    <col min="18" max="18" width="11" style="23" bestFit="1" customWidth="1"/>
    <col min="19" max="19" width="12.453125" style="23" bestFit="1" customWidth="1"/>
    <col min="20" max="20" width="11" style="23" bestFit="1" customWidth="1"/>
    <col min="21" max="21" width="15" style="23" bestFit="1" customWidth="1"/>
    <col min="22" max="22" width="25.1796875" style="23" bestFit="1" customWidth="1"/>
    <col min="23" max="23" width="10.90625" style="23"/>
    <col min="24" max="24" width="5" style="25" bestFit="1" customWidth="1"/>
    <col min="25" max="25" width="27.08984375" style="23" bestFit="1" customWidth="1"/>
    <col min="26" max="26" width="18.7265625" style="23" bestFit="1" customWidth="1"/>
    <col min="27" max="27" width="14.7265625" style="23" bestFit="1" customWidth="1"/>
    <col min="28" max="28" width="17.54296875" style="23" customWidth="1"/>
    <col min="29" max="29" width="15.36328125" style="23" bestFit="1" customWidth="1"/>
    <col min="30" max="30" width="24.54296875" style="23" customWidth="1"/>
    <col min="31" max="31" width="29.36328125" style="23" customWidth="1"/>
    <col min="32" max="32" width="8.453125" style="23" customWidth="1"/>
    <col min="33" max="34" width="20.36328125" style="23" bestFit="1" customWidth="1"/>
    <col min="35" max="35" width="29.36328125" style="23" customWidth="1"/>
    <col min="36" max="36" width="8.453125" style="23" customWidth="1"/>
    <col min="37" max="37" width="15.6328125" style="23" bestFit="1" customWidth="1"/>
    <col min="38" max="38" width="20.36328125" style="23" bestFit="1" customWidth="1"/>
    <col min="39" max="39" width="29.36328125" style="23" customWidth="1"/>
    <col min="40" max="40" width="8.453125" style="23" customWidth="1"/>
    <col min="41" max="41" width="15.6328125" style="23" bestFit="1" customWidth="1"/>
    <col min="42" max="42" width="20.36328125" style="23" bestFit="1" customWidth="1"/>
    <col min="43" max="43" width="15.08984375" style="23" bestFit="1" customWidth="1"/>
    <col min="44" max="44" width="21.54296875" style="23" bestFit="1" customWidth="1"/>
    <col min="45" max="45" width="29.36328125" style="23" customWidth="1"/>
    <col min="46" max="46" width="8.453125" style="23" customWidth="1"/>
    <col min="47" max="47" width="15.6328125" style="23" bestFit="1" customWidth="1"/>
    <col min="48" max="48" width="21.54296875" style="23" bestFit="1" customWidth="1"/>
    <col min="49" max="49" width="29.36328125" style="23" customWidth="1"/>
    <col min="50" max="50" width="8.453125" style="23" customWidth="1"/>
    <col min="51" max="51" width="15.6328125" style="23" bestFit="1" customWidth="1"/>
    <col min="52" max="52" width="20.36328125" style="23" bestFit="1" customWidth="1"/>
    <col min="53" max="53" width="15.08984375" style="23" bestFit="1" customWidth="1"/>
    <col min="54" max="54" width="21.54296875" style="23" bestFit="1" customWidth="1"/>
    <col min="55" max="16384" width="10.90625" style="23"/>
  </cols>
  <sheetData>
    <row r="1" spans="1:54" s="1" customFormat="1" ht="30.5" x14ac:dyDescent="0.55000000000000004">
      <c r="B1" s="20" t="s">
        <v>38</v>
      </c>
      <c r="H1" s="21"/>
      <c r="O1" s="20" t="s">
        <v>35</v>
      </c>
      <c r="X1" s="22"/>
      <c r="Y1" s="20" t="s">
        <v>32</v>
      </c>
      <c r="AF1" s="20" t="s">
        <v>36</v>
      </c>
      <c r="AG1" s="20"/>
      <c r="AH1" s="23"/>
      <c r="AJ1" s="20" t="s">
        <v>37</v>
      </c>
      <c r="AL1" s="20"/>
      <c r="AN1" s="20" t="s">
        <v>39</v>
      </c>
      <c r="AP1" s="20"/>
      <c r="AT1" s="20" t="s">
        <v>42</v>
      </c>
      <c r="AX1" s="20" t="s">
        <v>44</v>
      </c>
      <c r="AZ1" s="20"/>
    </row>
    <row r="2" spans="1:54" x14ac:dyDescent="0.35">
      <c r="B2" s="26" t="s">
        <v>8</v>
      </c>
      <c r="C2" s="27">
        <v>83000</v>
      </c>
      <c r="D2" s="27">
        <v>4805</v>
      </c>
      <c r="E2" s="27">
        <v>30000</v>
      </c>
      <c r="F2" s="27">
        <f>E2+D2+C2</f>
        <v>117805</v>
      </c>
      <c r="H2" s="26" t="s">
        <v>8</v>
      </c>
      <c r="I2" s="27">
        <f>117805</f>
        <v>117805</v>
      </c>
      <c r="M2" s="27" t="s">
        <v>19</v>
      </c>
      <c r="O2" s="28" t="s">
        <v>8</v>
      </c>
      <c r="P2" s="27">
        <v>88999.8</v>
      </c>
      <c r="Q2" s="27">
        <v>2300</v>
      </c>
      <c r="R2" s="27">
        <v>500</v>
      </c>
      <c r="S2" s="27">
        <f>P2+Q2+R2</f>
        <v>91799.8</v>
      </c>
      <c r="U2" s="27">
        <v>91799.8</v>
      </c>
      <c r="V2" s="29" t="s">
        <v>19</v>
      </c>
    </row>
    <row r="3" spans="1:54" x14ac:dyDescent="0.35">
      <c r="B3" s="26" t="s">
        <v>33</v>
      </c>
      <c r="C3" s="30">
        <f>SUM(C6:C173)</f>
        <v>1245527.00269555</v>
      </c>
      <c r="D3" s="30">
        <f>SUM(D6:D173)</f>
        <v>44181.975000000013</v>
      </c>
      <c r="E3" s="30">
        <f>SUM(E6:E173)</f>
        <v>509139.996736</v>
      </c>
      <c r="F3" s="30">
        <f>SUM(F6:F173)</f>
        <v>1798848.9744315499</v>
      </c>
      <c r="H3" s="26" t="s">
        <v>33</v>
      </c>
      <c r="I3" s="30">
        <f>SUM(L6:L173)</f>
        <v>1757366.131069951</v>
      </c>
      <c r="M3" s="31">
        <f>F3-I3</f>
        <v>41482.843361598905</v>
      </c>
      <c r="O3" s="28" t="s">
        <v>9</v>
      </c>
      <c r="P3" s="30">
        <f>SUM(P6:P173)</f>
        <v>4659395.6086966805</v>
      </c>
      <c r="Q3" s="30">
        <f>SUM(Q6:Q173)</f>
        <v>210868.59999999998</v>
      </c>
      <c r="R3" s="30">
        <f>SUM(R6:R173)</f>
        <v>45841</v>
      </c>
      <c r="S3" s="30">
        <f>P3+Q3+R3</f>
        <v>4916105.2086966801</v>
      </c>
      <c r="U3" s="30">
        <f>SUM(U6:U173)</f>
        <v>4762362.9993083719</v>
      </c>
      <c r="V3" s="27">
        <f>S3-U3</f>
        <v>153742.20938830823</v>
      </c>
      <c r="AF3" s="66" t="s">
        <v>43</v>
      </c>
    </row>
    <row r="4" spans="1:54" ht="14.5" customHeight="1" x14ac:dyDescent="0.35">
      <c r="C4" s="75" t="s">
        <v>10</v>
      </c>
      <c r="D4" s="75"/>
      <c r="E4" s="75"/>
      <c r="F4" s="75"/>
      <c r="G4" s="75"/>
      <c r="H4" s="72" t="s">
        <v>14</v>
      </c>
      <c r="I4" s="73"/>
      <c r="J4" s="73"/>
      <c r="K4" s="73"/>
      <c r="L4" s="73"/>
      <c r="M4" s="74"/>
      <c r="P4" s="75" t="s">
        <v>10</v>
      </c>
      <c r="Q4" s="75"/>
      <c r="R4" s="75"/>
      <c r="S4" s="75"/>
      <c r="T4" s="75"/>
      <c r="U4" s="75" t="s">
        <v>14</v>
      </c>
      <c r="V4" s="75"/>
      <c r="Y4" s="75" t="s">
        <v>20</v>
      </c>
      <c r="Z4" s="75"/>
      <c r="AA4" s="75"/>
      <c r="AB4" s="72" t="s">
        <v>31</v>
      </c>
      <c r="AC4" s="73"/>
      <c r="AD4" s="74"/>
      <c r="AG4" s="32" t="s">
        <v>7</v>
      </c>
      <c r="AH4" s="32" t="s">
        <v>34</v>
      </c>
      <c r="AL4" s="32" t="s">
        <v>34</v>
      </c>
      <c r="AO4" s="72" t="s">
        <v>7</v>
      </c>
      <c r="AP4" s="73"/>
      <c r="AQ4" s="74"/>
      <c r="AR4" s="64" t="s">
        <v>41</v>
      </c>
      <c r="AU4" s="60" t="s">
        <v>7</v>
      </c>
      <c r="AV4" s="64" t="s">
        <v>41</v>
      </c>
      <c r="AY4" s="72" t="s">
        <v>7</v>
      </c>
      <c r="AZ4" s="73"/>
      <c r="BA4" s="74"/>
      <c r="BB4" s="64" t="s">
        <v>41</v>
      </c>
    </row>
    <row r="5" spans="1:54" x14ac:dyDescent="0.35">
      <c r="A5" s="33"/>
      <c r="B5" s="34" t="s">
        <v>0</v>
      </c>
      <c r="C5" s="35" t="s">
        <v>13</v>
      </c>
      <c r="D5" s="36" t="s">
        <v>12</v>
      </c>
      <c r="E5" s="36" t="s">
        <v>21</v>
      </c>
      <c r="F5" s="35" t="s">
        <v>11</v>
      </c>
      <c r="G5" s="61" t="s">
        <v>20</v>
      </c>
      <c r="H5" s="37" t="str">
        <f>'[1]generators-p'!B1</f>
        <v>ES_solar_pv</v>
      </c>
      <c r="I5" s="36" t="str">
        <f>'[1]generators-p'!C1</f>
        <v>ES_solar_csp</v>
      </c>
      <c r="J5" s="36" t="str">
        <f>'[1]generators-p'!D1</f>
        <v>ES_solar_rooftop</v>
      </c>
      <c r="K5" s="35" t="s">
        <v>6</v>
      </c>
      <c r="L5" s="35" t="s">
        <v>11</v>
      </c>
      <c r="M5" s="61" t="s">
        <v>31</v>
      </c>
      <c r="N5" s="33" t="s">
        <v>5</v>
      </c>
      <c r="O5" s="38" t="s">
        <v>0</v>
      </c>
      <c r="P5" s="35" t="s">
        <v>15</v>
      </c>
      <c r="Q5" s="35" t="s">
        <v>16</v>
      </c>
      <c r="R5" s="35" t="s">
        <v>17</v>
      </c>
      <c r="S5" s="35" t="s">
        <v>11</v>
      </c>
      <c r="T5" s="35" t="s">
        <v>18</v>
      </c>
      <c r="U5" s="35" t="str">
        <f>'[1]generators-p'!E1</f>
        <v>ES_wind</v>
      </c>
      <c r="V5" s="61" t="s">
        <v>31</v>
      </c>
      <c r="W5" s="33" t="s">
        <v>5</v>
      </c>
      <c r="X5" s="34" t="s">
        <v>0</v>
      </c>
      <c r="Y5" s="36" t="s">
        <v>29</v>
      </c>
      <c r="Z5" s="35" t="s">
        <v>30</v>
      </c>
      <c r="AA5" s="61" t="s">
        <v>20</v>
      </c>
      <c r="AB5" s="35" t="str">
        <f>'[1]generators-p'!J1</f>
        <v>ES_SRES_electrolyzer</v>
      </c>
      <c r="AC5" s="35" t="str">
        <f>'[1]links-p0'!E1</f>
        <v>ES_electrolyzer</v>
      </c>
      <c r="AD5" s="61" t="s">
        <v>31</v>
      </c>
      <c r="AE5" s="33" t="s">
        <v>5</v>
      </c>
      <c r="AF5" s="39" t="s">
        <v>0</v>
      </c>
      <c r="AG5" s="61" t="s">
        <v>20</v>
      </c>
      <c r="AH5" s="61" t="s">
        <v>31</v>
      </c>
      <c r="AI5" s="33"/>
      <c r="AJ5" s="34" t="s">
        <v>0</v>
      </c>
      <c r="AK5" s="61" t="s">
        <v>20</v>
      </c>
      <c r="AL5" s="61" t="s">
        <v>31</v>
      </c>
      <c r="AM5" s="33"/>
      <c r="AN5" s="34" t="s">
        <v>0</v>
      </c>
      <c r="AO5" s="61" t="s">
        <v>1</v>
      </c>
      <c r="AP5" s="61" t="s">
        <v>2</v>
      </c>
      <c r="AQ5" s="61" t="s">
        <v>20</v>
      </c>
      <c r="AR5" s="61" t="s">
        <v>31</v>
      </c>
      <c r="AS5" s="33"/>
      <c r="AT5" s="34" t="s">
        <v>0</v>
      </c>
      <c r="AU5" s="61" t="s">
        <v>20</v>
      </c>
      <c r="AV5" s="61" t="s">
        <v>31</v>
      </c>
      <c r="AW5" s="33"/>
      <c r="AX5" s="34" t="s">
        <v>0</v>
      </c>
      <c r="AY5" s="67" t="s">
        <v>45</v>
      </c>
      <c r="AZ5" s="68" t="s">
        <v>46</v>
      </c>
      <c r="BA5" s="61" t="s">
        <v>40</v>
      </c>
      <c r="BB5" s="61" t="s">
        <v>31</v>
      </c>
    </row>
    <row r="6" spans="1:54" x14ac:dyDescent="0.35">
      <c r="A6" s="33"/>
      <c r="B6" s="40">
        <f>0</f>
        <v>0</v>
      </c>
      <c r="C6" s="41">
        <v>0</v>
      </c>
      <c r="D6" s="23">
        <v>0</v>
      </c>
      <c r="E6" s="23">
        <v>0</v>
      </c>
      <c r="F6" s="23">
        <f t="shared" ref="F6:F37" si="0">C6+D6+E6</f>
        <v>0</v>
      </c>
      <c r="G6" s="42">
        <f>F6/$F$2</f>
        <v>0</v>
      </c>
      <c r="H6" s="23">
        <f>'[1]generators-p'!B2</f>
        <v>0</v>
      </c>
      <c r="I6" s="23">
        <f>'[1]generators-p'!C2</f>
        <v>0</v>
      </c>
      <c r="J6" s="23">
        <f>'[1]generators-p'!D2</f>
        <v>0</v>
      </c>
      <c r="K6" s="43">
        <v>0</v>
      </c>
      <c r="L6" s="23">
        <f>I6+J6+H6</f>
        <v>0</v>
      </c>
      <c r="M6" s="42">
        <f t="shared" ref="M6:M37" si="1">L6/$I$2</f>
        <v>0</v>
      </c>
      <c r="N6" s="33"/>
      <c r="O6" s="44">
        <f>0</f>
        <v>0</v>
      </c>
      <c r="P6" s="23">
        <v>24474.945</v>
      </c>
      <c r="Q6" s="23">
        <v>1267.3</v>
      </c>
      <c r="R6" s="23">
        <v>275.5</v>
      </c>
      <c r="S6" s="23">
        <f>P6+Q6+R6</f>
        <v>26017.744999999999</v>
      </c>
      <c r="T6" s="42">
        <f>S6/$S$2</f>
        <v>0.28341831899415904</v>
      </c>
      <c r="U6" s="41">
        <f>'[1]generators-p'!E2</f>
        <v>25257.631676891091</v>
      </c>
      <c r="V6" s="42">
        <f>U6/$U$2</f>
        <v>0.27513819939576217</v>
      </c>
      <c r="W6" s="33"/>
      <c r="X6" s="40">
        <v>0</v>
      </c>
      <c r="Y6" s="54">
        <v>3552.0932227899998</v>
      </c>
      <c r="Z6" s="54">
        <v>7423.1664400000009</v>
      </c>
      <c r="AA6" s="55">
        <f>Z6+Y6</f>
        <v>10975.25966279</v>
      </c>
      <c r="AB6" s="56">
        <f>'[1]generators-p'!J2</f>
        <v>13917.947695536381</v>
      </c>
      <c r="AC6" s="54">
        <f>'[1]links-p0'!E2</f>
        <v>5897.7667191245882</v>
      </c>
      <c r="AD6" s="54">
        <f>(AB6+AC6)*0.7</f>
        <v>13871.000090262676</v>
      </c>
      <c r="AE6" s="33"/>
      <c r="AF6" s="45">
        <v>0</v>
      </c>
      <c r="AG6" s="52">
        <v>0</v>
      </c>
      <c r="AH6" s="52">
        <f>'[1]links-p0'!B2</f>
        <v>4911.9279999999999</v>
      </c>
      <c r="AI6" s="33"/>
      <c r="AJ6" s="40">
        <v>0</v>
      </c>
      <c r="AK6" s="23">
        <v>0</v>
      </c>
      <c r="AL6" s="52">
        <f>'[1]links-p0'!H2</f>
        <v>499.98665</v>
      </c>
      <c r="AM6" s="33"/>
      <c r="AN6" s="40">
        <v>0</v>
      </c>
      <c r="AO6" s="23">
        <v>3156.57</v>
      </c>
      <c r="AP6" s="52">
        <v>0</v>
      </c>
      <c r="AQ6" s="62">
        <f>AO6+AP6</f>
        <v>3156.57</v>
      </c>
      <c r="AR6" s="33">
        <f>'[1]links-p0'!C2</f>
        <v>0</v>
      </c>
      <c r="AS6" s="33"/>
      <c r="AT6" s="40">
        <v>0</v>
      </c>
      <c r="AU6" s="23">
        <v>4613</v>
      </c>
      <c r="AV6" s="33">
        <f>'[1]links-p0'!I2</f>
        <v>2877.985924161866</v>
      </c>
      <c r="AW6" s="33"/>
      <c r="AX6" s="40">
        <v>0</v>
      </c>
      <c r="AY6" s="23">
        <v>0</v>
      </c>
      <c r="AZ6" s="52">
        <v>0</v>
      </c>
      <c r="BA6" s="62">
        <f>AY6+AZ6</f>
        <v>0</v>
      </c>
      <c r="BB6" s="33">
        <f>'[1]links-p0'!D2</f>
        <v>0</v>
      </c>
    </row>
    <row r="7" spans="1:54" x14ac:dyDescent="0.35">
      <c r="A7" s="33"/>
      <c r="B7" s="40">
        <f>B6+1</f>
        <v>1</v>
      </c>
      <c r="C7" s="41">
        <v>0</v>
      </c>
      <c r="D7" s="23">
        <v>0</v>
      </c>
      <c r="E7" s="23">
        <v>0</v>
      </c>
      <c r="F7" s="23">
        <f t="shared" si="0"/>
        <v>0</v>
      </c>
      <c r="G7" s="42">
        <f t="shared" ref="G7:G70" si="2">F7/$F$2</f>
        <v>0</v>
      </c>
      <c r="H7" s="23">
        <f>'[1]generators-p'!B3</f>
        <v>0</v>
      </c>
      <c r="I7" s="23">
        <f>'[1]generators-p'!C3</f>
        <v>0</v>
      </c>
      <c r="J7" s="23">
        <f>'[1]generators-p'!D3</f>
        <v>0</v>
      </c>
      <c r="K7" s="23">
        <v>0</v>
      </c>
      <c r="L7" s="23">
        <f t="shared" ref="L7:L70" si="3">I7+J7+H7</f>
        <v>0</v>
      </c>
      <c r="M7" s="42">
        <f t="shared" si="1"/>
        <v>0</v>
      </c>
      <c r="N7" s="33"/>
      <c r="O7" s="44">
        <f>O6+1</f>
        <v>1</v>
      </c>
      <c r="P7" s="23">
        <v>26165.941200000001</v>
      </c>
      <c r="Q7" s="23">
        <v>1400.7</v>
      </c>
      <c r="R7" s="23">
        <v>304.5</v>
      </c>
      <c r="S7" s="23">
        <f t="shared" ref="S7:S70" si="4">P7+Q7+R7</f>
        <v>27871.141200000002</v>
      </c>
      <c r="T7" s="42">
        <f t="shared" ref="T7:T70" si="5">S7/$S$2</f>
        <v>0.30360786406942064</v>
      </c>
      <c r="U7" s="41">
        <f>'[1]generators-p'!E3</f>
        <v>27028.785791072009</v>
      </c>
      <c r="V7" s="42">
        <f t="shared" ref="V7:V70" si="6">U7/$U$2</f>
        <v>0.29443185923141452</v>
      </c>
      <c r="W7" s="33"/>
      <c r="X7" s="40">
        <v>1</v>
      </c>
      <c r="Y7" s="54">
        <v>3112.8034427900002</v>
      </c>
      <c r="Z7" s="54">
        <v>7943.7050699999991</v>
      </c>
      <c r="AA7" s="55">
        <f t="shared" ref="AA7:AA70" si="7">Z7+Y7</f>
        <v>11056.508512789998</v>
      </c>
      <c r="AB7" s="56">
        <f>'[1]generators-p'!J3</f>
        <v>14893.923219973931</v>
      </c>
      <c r="AC7" s="54">
        <f>'[1]links-p0'!E3</f>
        <v>2815.594175088976</v>
      </c>
      <c r="AD7" s="54">
        <f t="shared" ref="AD7:AD70" si="8">(AB7+AC7)*0.7</f>
        <v>12396.662176544034</v>
      </c>
      <c r="AE7" s="33"/>
      <c r="AF7" s="45">
        <v>1</v>
      </c>
      <c r="AG7" s="52">
        <v>0</v>
      </c>
      <c r="AH7" s="52">
        <f>'[1]links-p0'!B3</f>
        <v>4911.9279999999999</v>
      </c>
      <c r="AI7" s="33"/>
      <c r="AJ7" s="40">
        <v>1</v>
      </c>
      <c r="AK7" s="23">
        <v>0</v>
      </c>
      <c r="AL7" s="52">
        <f>'[1]links-p0'!H3</f>
        <v>499.98665</v>
      </c>
      <c r="AM7" s="33"/>
      <c r="AN7" s="40">
        <v>1</v>
      </c>
      <c r="AO7" s="23">
        <v>3156.57</v>
      </c>
      <c r="AP7" s="52">
        <v>0</v>
      </c>
      <c r="AQ7" s="62">
        <f t="shared" ref="AQ7:AQ70" si="9">AO7+AP7</f>
        <v>3156.57</v>
      </c>
      <c r="AR7" s="33">
        <f>'[1]links-p0'!C3</f>
        <v>0</v>
      </c>
      <c r="AS7" s="33"/>
      <c r="AT7" s="40">
        <v>1</v>
      </c>
      <c r="AU7" s="23">
        <v>4613</v>
      </c>
      <c r="AV7" s="33">
        <f>'[1]links-p0'!I3</f>
        <v>0</v>
      </c>
      <c r="AW7" s="33"/>
      <c r="AX7" s="40">
        <v>1</v>
      </c>
      <c r="AY7" s="23">
        <v>0</v>
      </c>
      <c r="AZ7" s="52">
        <v>6233.0945069600002</v>
      </c>
      <c r="BA7" s="62">
        <f t="shared" ref="BA7:BA70" si="10">AY7+AZ7</f>
        <v>6233.0945069600002</v>
      </c>
      <c r="BB7" s="33">
        <f>'[1]links-p0'!D3</f>
        <v>0</v>
      </c>
    </row>
    <row r="8" spans="1:54" x14ac:dyDescent="0.35">
      <c r="A8" s="33"/>
      <c r="B8" s="40">
        <f t="shared" ref="B8:B71" si="11">B7+1</f>
        <v>2</v>
      </c>
      <c r="C8" s="41">
        <v>0</v>
      </c>
      <c r="D8" s="23">
        <v>0</v>
      </c>
      <c r="E8" s="23">
        <v>0</v>
      </c>
      <c r="F8" s="23">
        <f t="shared" si="0"/>
        <v>0</v>
      </c>
      <c r="G8" s="42">
        <f t="shared" si="2"/>
        <v>0</v>
      </c>
      <c r="H8" s="23">
        <f>'[1]generators-p'!B4</f>
        <v>0</v>
      </c>
      <c r="I8" s="23">
        <f>'[1]generators-p'!C4</f>
        <v>0</v>
      </c>
      <c r="J8" s="23">
        <f>'[1]generators-p'!D4</f>
        <v>0</v>
      </c>
      <c r="K8" s="23">
        <v>0</v>
      </c>
      <c r="L8" s="23">
        <f t="shared" si="3"/>
        <v>0</v>
      </c>
      <c r="M8" s="42">
        <f t="shared" si="1"/>
        <v>0</v>
      </c>
      <c r="N8" s="33"/>
      <c r="O8" s="44">
        <f t="shared" ref="O8:O71" si="12">O7+1</f>
        <v>2</v>
      </c>
      <c r="P8" s="23">
        <v>26610.940200000001</v>
      </c>
      <c r="Q8" s="23">
        <v>1465.1</v>
      </c>
      <c r="R8" s="23">
        <v>318.5</v>
      </c>
      <c r="S8" s="23">
        <f t="shared" si="4"/>
        <v>28394.540199999999</v>
      </c>
      <c r="T8" s="42">
        <f t="shared" si="5"/>
        <v>0.3093093906522672</v>
      </c>
      <c r="U8" s="41">
        <f>'[1]generators-p'!E4</f>
        <v>27489.942333941199</v>
      </c>
      <c r="V8" s="42">
        <f t="shared" si="6"/>
        <v>0.29945536192825256</v>
      </c>
      <c r="W8" s="33"/>
      <c r="X8" s="40">
        <v>2</v>
      </c>
      <c r="Y8" s="54">
        <v>3031.1321427900002</v>
      </c>
      <c r="Z8" s="54">
        <v>8079.2383900000004</v>
      </c>
      <c r="AA8" s="55">
        <f t="shared" si="7"/>
        <v>11110.370532790001</v>
      </c>
      <c r="AB8" s="56">
        <f>'[1]generators-p'!J4</f>
        <v>15148.038598850881</v>
      </c>
      <c r="AC8" s="54">
        <f>'[1]links-p0'!E4</f>
        <v>2612.2990073832329</v>
      </c>
      <c r="AD8" s="54">
        <f t="shared" si="8"/>
        <v>12432.236324363877</v>
      </c>
      <c r="AE8" s="33"/>
      <c r="AF8" s="45">
        <v>2</v>
      </c>
      <c r="AG8" s="52">
        <v>0</v>
      </c>
      <c r="AH8" s="52">
        <f>'[1]links-p0'!B4</f>
        <v>4911.9279999999999</v>
      </c>
      <c r="AI8" s="33"/>
      <c r="AJ8" s="40">
        <v>2</v>
      </c>
      <c r="AK8" s="23">
        <v>0</v>
      </c>
      <c r="AL8" s="52">
        <f>'[1]links-p0'!H4</f>
        <v>499.98665</v>
      </c>
      <c r="AM8" s="33"/>
      <c r="AN8" s="40">
        <v>2</v>
      </c>
      <c r="AO8" s="23">
        <v>3156.57</v>
      </c>
      <c r="AP8" s="52">
        <v>0</v>
      </c>
      <c r="AQ8" s="62">
        <f t="shared" si="9"/>
        <v>3156.57</v>
      </c>
      <c r="AR8" s="33">
        <f>'[1]links-p0'!C4</f>
        <v>0</v>
      </c>
      <c r="AS8" s="33"/>
      <c r="AT8" s="40">
        <v>2</v>
      </c>
      <c r="AU8" s="23">
        <v>4613</v>
      </c>
      <c r="AV8" s="33">
        <f>'[1]links-p0'!I4</f>
        <v>3093.9253817630588</v>
      </c>
      <c r="AW8" s="33"/>
      <c r="AX8" s="40">
        <v>2</v>
      </c>
      <c r="AY8" s="23">
        <v>0</v>
      </c>
      <c r="AZ8" s="52">
        <v>2389.78039446</v>
      </c>
      <c r="BA8" s="62">
        <f t="shared" si="10"/>
        <v>2389.78039446</v>
      </c>
      <c r="BB8" s="33">
        <f>'[1]links-p0'!D4</f>
        <v>0</v>
      </c>
    </row>
    <row r="9" spans="1:54" x14ac:dyDescent="0.35">
      <c r="A9" s="33"/>
      <c r="B9" s="40">
        <f t="shared" si="11"/>
        <v>3</v>
      </c>
      <c r="C9" s="41">
        <v>0</v>
      </c>
      <c r="D9" s="23">
        <v>0</v>
      </c>
      <c r="E9" s="23">
        <v>0</v>
      </c>
      <c r="F9" s="23">
        <f t="shared" si="0"/>
        <v>0</v>
      </c>
      <c r="G9" s="42">
        <f t="shared" si="2"/>
        <v>0</v>
      </c>
      <c r="H9" s="23">
        <f>'[1]generators-p'!B5</f>
        <v>0</v>
      </c>
      <c r="I9" s="23">
        <f>'[1]generators-p'!C5</f>
        <v>0</v>
      </c>
      <c r="J9" s="23">
        <f>'[1]generators-p'!D5</f>
        <v>0</v>
      </c>
      <c r="K9" s="23">
        <v>0</v>
      </c>
      <c r="L9" s="23">
        <f t="shared" si="3"/>
        <v>0</v>
      </c>
      <c r="M9" s="42">
        <f t="shared" si="1"/>
        <v>0</v>
      </c>
      <c r="N9" s="33"/>
      <c r="O9" s="44">
        <f t="shared" si="12"/>
        <v>3</v>
      </c>
      <c r="P9" s="23">
        <v>27322.938600000001</v>
      </c>
      <c r="Q9" s="23">
        <v>1460.5</v>
      </c>
      <c r="R9" s="23">
        <v>317.5</v>
      </c>
      <c r="S9" s="23">
        <f t="shared" si="4"/>
        <v>29100.938600000001</v>
      </c>
      <c r="T9" s="42">
        <f t="shared" si="5"/>
        <v>0.31700437909450785</v>
      </c>
      <c r="U9" s="41">
        <f>'[1]generators-p'!E5</f>
        <v>28179.896186332571</v>
      </c>
      <c r="V9" s="42">
        <f t="shared" si="6"/>
        <v>0.30697121547468043</v>
      </c>
      <c r="W9" s="33"/>
      <c r="X9" s="40">
        <v>3</v>
      </c>
      <c r="Y9" s="54">
        <v>2878.80235279</v>
      </c>
      <c r="Z9" s="54">
        <v>8282.0143900000003</v>
      </c>
      <c r="AA9" s="55">
        <f t="shared" si="7"/>
        <v>11160.816742790001</v>
      </c>
      <c r="AB9" s="56">
        <f>'[1]generators-p'!J5</f>
        <v>15528.230287159589</v>
      </c>
      <c r="AC9" s="54">
        <f>'[1]links-p0'!E5</f>
        <v>2279.704235108677</v>
      </c>
      <c r="AD9" s="54">
        <f t="shared" si="8"/>
        <v>12465.554165587786</v>
      </c>
      <c r="AE9" s="33"/>
      <c r="AF9" s="45">
        <v>3</v>
      </c>
      <c r="AG9" s="52">
        <v>0</v>
      </c>
      <c r="AH9" s="52">
        <f>'[1]links-p0'!B5</f>
        <v>0</v>
      </c>
      <c r="AI9" s="33"/>
      <c r="AJ9" s="40">
        <v>3</v>
      </c>
      <c r="AK9" s="23">
        <v>0</v>
      </c>
      <c r="AL9" s="52">
        <f>'[1]links-p0'!H5</f>
        <v>0</v>
      </c>
      <c r="AM9" s="33"/>
      <c r="AN9" s="40">
        <v>3</v>
      </c>
      <c r="AO9" s="23">
        <v>3156.57</v>
      </c>
      <c r="AP9" s="52">
        <v>0</v>
      </c>
      <c r="AQ9" s="62">
        <f t="shared" si="9"/>
        <v>3156.57</v>
      </c>
      <c r="AR9" s="33">
        <f>'[1]links-p0'!C5</f>
        <v>0</v>
      </c>
      <c r="AS9" s="33"/>
      <c r="AT9" s="40">
        <v>3</v>
      </c>
      <c r="AU9" s="23">
        <v>4613</v>
      </c>
      <c r="AV9" s="33">
        <f>'[1]links-p0'!I5</f>
        <v>0</v>
      </c>
      <c r="AW9" s="33"/>
      <c r="AX9" s="40">
        <v>3</v>
      </c>
      <c r="AY9" s="23">
        <v>0</v>
      </c>
      <c r="AZ9" s="52">
        <v>1486.2995510200001</v>
      </c>
      <c r="BA9" s="62">
        <f t="shared" si="10"/>
        <v>1486.2995510200001</v>
      </c>
      <c r="BB9" s="33">
        <f>'[1]links-p0'!D5</f>
        <v>7065.7329251074016</v>
      </c>
    </row>
    <row r="10" spans="1:54" x14ac:dyDescent="0.35">
      <c r="A10" s="33"/>
      <c r="B10" s="40">
        <f t="shared" si="11"/>
        <v>4</v>
      </c>
      <c r="C10" s="41">
        <v>0</v>
      </c>
      <c r="D10" s="23">
        <v>0</v>
      </c>
      <c r="E10" s="23">
        <v>0</v>
      </c>
      <c r="F10" s="23">
        <f t="shared" si="0"/>
        <v>0</v>
      </c>
      <c r="G10" s="42">
        <f t="shared" si="2"/>
        <v>0</v>
      </c>
      <c r="H10" s="23">
        <f>'[1]generators-p'!B6</f>
        <v>0</v>
      </c>
      <c r="I10" s="23">
        <f>'[1]generators-p'!C6</f>
        <v>0</v>
      </c>
      <c r="J10" s="23">
        <f>'[1]generators-p'!D6</f>
        <v>0</v>
      </c>
      <c r="K10" s="23">
        <v>0</v>
      </c>
      <c r="L10" s="23">
        <f t="shared" si="3"/>
        <v>0</v>
      </c>
      <c r="M10" s="42">
        <f t="shared" si="1"/>
        <v>0</v>
      </c>
      <c r="N10" s="33"/>
      <c r="O10" s="44">
        <f t="shared" si="12"/>
        <v>4</v>
      </c>
      <c r="P10" s="23">
        <v>28657.935600000001</v>
      </c>
      <c r="Q10" s="23">
        <v>1428.3</v>
      </c>
      <c r="R10" s="23">
        <v>310.5</v>
      </c>
      <c r="S10" s="23">
        <f t="shared" si="4"/>
        <v>30396.7356</v>
      </c>
      <c r="T10" s="42">
        <f t="shared" si="5"/>
        <v>0.33111984557700558</v>
      </c>
      <c r="U10" s="41">
        <f>'[1]generators-p'!E6</f>
        <v>29542.429586616421</v>
      </c>
      <c r="V10" s="42">
        <f t="shared" si="6"/>
        <v>0.32181365957895791</v>
      </c>
      <c r="W10" s="33"/>
      <c r="X10" s="40">
        <v>4</v>
      </c>
      <c r="Y10" s="54">
        <v>2530.53562556</v>
      </c>
      <c r="Z10" s="54">
        <v>8682.4600699999992</v>
      </c>
      <c r="AA10" s="55">
        <f t="shared" si="7"/>
        <v>11212.995695559999</v>
      </c>
      <c r="AB10" s="56">
        <f>'[1]generators-p'!J6</f>
        <v>16279.039739176529</v>
      </c>
      <c r="AC10" s="54">
        <f>'[1]links-p0'!E6</f>
        <v>1585.312830893602</v>
      </c>
      <c r="AD10" s="54">
        <f t="shared" si="8"/>
        <v>12505.046799049092</v>
      </c>
      <c r="AE10" s="33"/>
      <c r="AF10" s="45">
        <v>4</v>
      </c>
      <c r="AG10" s="52">
        <v>0</v>
      </c>
      <c r="AH10" s="52">
        <f>'[1]links-p0'!B6</f>
        <v>0</v>
      </c>
      <c r="AI10" s="33"/>
      <c r="AJ10" s="40">
        <v>4</v>
      </c>
      <c r="AK10" s="23">
        <v>0</v>
      </c>
      <c r="AL10" s="52">
        <f>'[1]links-p0'!H6</f>
        <v>0</v>
      </c>
      <c r="AM10" s="33"/>
      <c r="AN10" s="40">
        <v>4</v>
      </c>
      <c r="AO10" s="23">
        <v>3156.57</v>
      </c>
      <c r="AP10" s="52">
        <v>0</v>
      </c>
      <c r="AQ10" s="62">
        <f t="shared" si="9"/>
        <v>3156.57</v>
      </c>
      <c r="AR10" s="33">
        <f>'[1]links-p0'!C6</f>
        <v>0</v>
      </c>
      <c r="AS10" s="33"/>
      <c r="AT10" s="40">
        <v>4</v>
      </c>
      <c r="AU10" s="23">
        <v>4613</v>
      </c>
      <c r="AV10" s="33">
        <f>'[1]links-p0'!I6</f>
        <v>0</v>
      </c>
      <c r="AW10" s="33"/>
      <c r="AX10" s="40">
        <v>4</v>
      </c>
      <c r="AY10" s="23">
        <v>0</v>
      </c>
      <c r="AZ10" s="52">
        <v>7040.3117086499997</v>
      </c>
      <c r="BA10" s="62">
        <f t="shared" si="10"/>
        <v>7040.3117086499997</v>
      </c>
      <c r="BB10" s="33">
        <f>'[1]links-p0'!D6</f>
        <v>8597.891380286339</v>
      </c>
    </row>
    <row r="11" spans="1:54" x14ac:dyDescent="0.35">
      <c r="A11" s="33"/>
      <c r="B11" s="40">
        <f t="shared" si="11"/>
        <v>5</v>
      </c>
      <c r="C11" s="41">
        <v>0</v>
      </c>
      <c r="D11" s="23">
        <v>0</v>
      </c>
      <c r="E11" s="23">
        <v>0</v>
      </c>
      <c r="F11" s="23">
        <f t="shared" si="0"/>
        <v>0</v>
      </c>
      <c r="G11" s="42">
        <f t="shared" si="2"/>
        <v>0</v>
      </c>
      <c r="H11" s="23">
        <f>'[1]generators-p'!B7</f>
        <v>0</v>
      </c>
      <c r="I11" s="23">
        <f>'[1]generators-p'!C7</f>
        <v>0</v>
      </c>
      <c r="J11" s="23">
        <f>'[1]generators-p'!D7</f>
        <v>0</v>
      </c>
      <c r="K11" s="23">
        <v>0</v>
      </c>
      <c r="L11" s="23">
        <f t="shared" si="3"/>
        <v>0</v>
      </c>
      <c r="M11" s="42">
        <f t="shared" si="1"/>
        <v>0</v>
      </c>
      <c r="N11" s="33"/>
      <c r="O11" s="44">
        <f t="shared" si="12"/>
        <v>5</v>
      </c>
      <c r="P11" s="23">
        <v>28835.9352</v>
      </c>
      <c r="Q11" s="23">
        <v>1393.8</v>
      </c>
      <c r="R11" s="23">
        <v>303</v>
      </c>
      <c r="S11" s="23">
        <f t="shared" si="4"/>
        <v>30532.735199999999</v>
      </c>
      <c r="T11" s="42">
        <f t="shared" si="5"/>
        <v>0.33260132592881464</v>
      </c>
      <c r="U11" s="41">
        <f>'[1]generators-p'!E7</f>
        <v>29719.55508683193</v>
      </c>
      <c r="V11" s="42">
        <f t="shared" si="6"/>
        <v>0.3237431354625166</v>
      </c>
      <c r="W11" s="33"/>
      <c r="X11" s="40">
        <v>5</v>
      </c>
      <c r="Y11" s="54">
        <v>2628.9265975500002</v>
      </c>
      <c r="Z11" s="54">
        <v>8734.51656</v>
      </c>
      <c r="AA11" s="55">
        <f t="shared" si="7"/>
        <v>11363.44315755</v>
      </c>
      <c r="AB11" s="56">
        <f>'[1]generators-p'!J7</f>
        <v>16376.64285094415</v>
      </c>
      <c r="AC11" s="54">
        <f>'[1]links-p0'!E7</f>
        <v>1691.5462530038301</v>
      </c>
      <c r="AD11" s="54">
        <f t="shared" si="8"/>
        <v>12647.732372763587</v>
      </c>
      <c r="AE11" s="33"/>
      <c r="AF11" s="45">
        <v>5</v>
      </c>
      <c r="AG11" s="52">
        <v>0</v>
      </c>
      <c r="AH11" s="52">
        <f>'[1]links-p0'!B7</f>
        <v>0</v>
      </c>
      <c r="AI11" s="33"/>
      <c r="AJ11" s="40">
        <v>5</v>
      </c>
      <c r="AK11" s="23">
        <v>0</v>
      </c>
      <c r="AL11" s="52">
        <f>'[1]links-p0'!H7</f>
        <v>0</v>
      </c>
      <c r="AM11" s="33"/>
      <c r="AN11" s="40">
        <v>5</v>
      </c>
      <c r="AO11" s="23">
        <v>3156.57</v>
      </c>
      <c r="AP11" s="52">
        <v>0</v>
      </c>
      <c r="AQ11" s="62">
        <f t="shared" si="9"/>
        <v>3156.57</v>
      </c>
      <c r="AR11" s="33">
        <f>'[1]links-p0'!C7</f>
        <v>0</v>
      </c>
      <c r="AS11" s="33"/>
      <c r="AT11" s="40">
        <v>5</v>
      </c>
      <c r="AU11" s="23">
        <v>4613</v>
      </c>
      <c r="AV11" s="33">
        <f>'[1]links-p0'!I7</f>
        <v>0</v>
      </c>
      <c r="AW11" s="33"/>
      <c r="AX11" s="40">
        <v>5</v>
      </c>
      <c r="AY11" s="23">
        <v>0</v>
      </c>
      <c r="AZ11" s="52">
        <v>10423.35</v>
      </c>
      <c r="BA11" s="62">
        <f t="shared" si="10"/>
        <v>10423.35</v>
      </c>
      <c r="BB11" s="33">
        <f>'[1]links-p0'!D7</f>
        <v>2241.2887393551368</v>
      </c>
    </row>
    <row r="12" spans="1:54" x14ac:dyDescent="0.35">
      <c r="A12" s="33"/>
      <c r="B12" s="40">
        <f t="shared" si="11"/>
        <v>6</v>
      </c>
      <c r="C12" s="41">
        <v>0</v>
      </c>
      <c r="D12" s="23">
        <v>0</v>
      </c>
      <c r="E12" s="23">
        <v>0</v>
      </c>
      <c r="F12" s="23">
        <f t="shared" si="0"/>
        <v>0</v>
      </c>
      <c r="G12" s="42">
        <f t="shared" si="2"/>
        <v>0</v>
      </c>
      <c r="H12" s="23">
        <f>'[1]generators-p'!B8</f>
        <v>0</v>
      </c>
      <c r="I12" s="23">
        <f>'[1]generators-p'!C8</f>
        <v>0</v>
      </c>
      <c r="J12" s="23">
        <f>'[1]generators-p'!D8</f>
        <v>0</v>
      </c>
      <c r="K12" s="23">
        <v>0</v>
      </c>
      <c r="L12" s="23">
        <f t="shared" si="3"/>
        <v>0</v>
      </c>
      <c r="M12" s="42">
        <f t="shared" si="1"/>
        <v>0</v>
      </c>
      <c r="N12" s="33"/>
      <c r="O12" s="44">
        <f t="shared" si="12"/>
        <v>6</v>
      </c>
      <c r="P12" s="23">
        <v>26966.939399999999</v>
      </c>
      <c r="Q12" s="23">
        <v>1324.8</v>
      </c>
      <c r="R12" s="23">
        <v>288</v>
      </c>
      <c r="S12" s="23">
        <f t="shared" si="4"/>
        <v>28579.739399999999</v>
      </c>
      <c r="T12" s="42">
        <f t="shared" si="5"/>
        <v>0.31132681552683117</v>
      </c>
      <c r="U12" s="41">
        <f>'[1]generators-p'!E8</f>
        <v>27790.974239529911</v>
      </c>
      <c r="V12" s="42">
        <f t="shared" si="6"/>
        <v>0.30273458373035572</v>
      </c>
      <c r="W12" s="33"/>
      <c r="X12" s="40">
        <v>6</v>
      </c>
      <c r="Y12" s="54">
        <v>3334.5816467999998</v>
      </c>
      <c r="Z12" s="54">
        <v>8167.7107799999994</v>
      </c>
      <c r="AA12" s="55">
        <f t="shared" si="7"/>
        <v>11502.292426799999</v>
      </c>
      <c r="AB12" s="56">
        <f>'[1]generators-p'!J8</f>
        <v>15313.919009582531</v>
      </c>
      <c r="AC12" s="54">
        <f>'[1]links-p0'!E8</f>
        <v>2939.977224246009</v>
      </c>
      <c r="AD12" s="54">
        <f t="shared" si="8"/>
        <v>12777.727363679976</v>
      </c>
      <c r="AE12" s="33"/>
      <c r="AF12" s="45">
        <v>6</v>
      </c>
      <c r="AG12" s="52">
        <v>0</v>
      </c>
      <c r="AH12" s="52">
        <f>'[1]links-p0'!B8</f>
        <v>0</v>
      </c>
      <c r="AI12" s="33"/>
      <c r="AJ12" s="40">
        <v>6</v>
      </c>
      <c r="AK12" s="23">
        <v>0</v>
      </c>
      <c r="AL12" s="52">
        <f>'[1]links-p0'!H8</f>
        <v>0</v>
      </c>
      <c r="AM12" s="33"/>
      <c r="AN12" s="40">
        <v>6</v>
      </c>
      <c r="AO12" s="23">
        <v>3156.57</v>
      </c>
      <c r="AP12" s="52">
        <v>0</v>
      </c>
      <c r="AQ12" s="62">
        <f t="shared" si="9"/>
        <v>3156.57</v>
      </c>
      <c r="AR12" s="33">
        <f>'[1]links-p0'!C8</f>
        <v>0</v>
      </c>
      <c r="AS12" s="33"/>
      <c r="AT12" s="40">
        <v>6</v>
      </c>
      <c r="AU12" s="23">
        <v>4613</v>
      </c>
      <c r="AV12" s="33">
        <f>'[1]links-p0'!I8</f>
        <v>0</v>
      </c>
      <c r="AW12" s="33"/>
      <c r="AX12" s="40">
        <v>6</v>
      </c>
      <c r="AY12" s="23">
        <v>0</v>
      </c>
      <c r="AZ12" s="52">
        <v>8697.2256123299994</v>
      </c>
      <c r="BA12" s="62">
        <f t="shared" si="10"/>
        <v>8697.2256123299994</v>
      </c>
      <c r="BB12" s="33">
        <f>'[1]links-p0'!D8</f>
        <v>1758.205171427413</v>
      </c>
    </row>
    <row r="13" spans="1:54" x14ac:dyDescent="0.35">
      <c r="A13" s="33"/>
      <c r="B13" s="40">
        <f t="shared" si="11"/>
        <v>7</v>
      </c>
      <c r="C13" s="41">
        <v>0</v>
      </c>
      <c r="D13" s="23">
        <v>0</v>
      </c>
      <c r="E13" s="23">
        <v>0</v>
      </c>
      <c r="F13" s="23">
        <f t="shared" si="0"/>
        <v>0</v>
      </c>
      <c r="G13" s="42">
        <f t="shared" si="2"/>
        <v>0</v>
      </c>
      <c r="H13" s="23">
        <f>'[1]generators-p'!B9</f>
        <v>0</v>
      </c>
      <c r="I13" s="23">
        <f>'[1]generators-p'!C9</f>
        <v>0</v>
      </c>
      <c r="J13" s="23">
        <f>'[1]generators-p'!D9</f>
        <v>0</v>
      </c>
      <c r="K13" s="23">
        <v>0</v>
      </c>
      <c r="L13" s="23">
        <f t="shared" si="3"/>
        <v>0</v>
      </c>
      <c r="M13" s="42">
        <f t="shared" si="1"/>
        <v>0</v>
      </c>
      <c r="N13" s="33"/>
      <c r="O13" s="44">
        <f t="shared" si="12"/>
        <v>7</v>
      </c>
      <c r="P13" s="23">
        <v>21804.951000000001</v>
      </c>
      <c r="Q13" s="23">
        <v>1258.0999999999999</v>
      </c>
      <c r="R13" s="23">
        <v>273.5</v>
      </c>
      <c r="S13" s="23">
        <f t="shared" si="4"/>
        <v>23336.550999999999</v>
      </c>
      <c r="T13" s="42">
        <f t="shared" si="5"/>
        <v>0.2542113490443334</v>
      </c>
      <c r="U13" s="41">
        <f>'[1]generators-p'!E9</f>
        <v>22521.545412595991</v>
      </c>
      <c r="V13" s="42">
        <f t="shared" si="6"/>
        <v>0.24533327319445131</v>
      </c>
      <c r="W13" s="33"/>
      <c r="X13" s="40">
        <v>7</v>
      </c>
      <c r="Y13" s="54">
        <v>4989.0924720100002</v>
      </c>
      <c r="Z13" s="54">
        <v>6619.0360599999995</v>
      </c>
      <c r="AA13" s="55">
        <f t="shared" si="7"/>
        <v>11608.12853201</v>
      </c>
      <c r="AB13" s="56">
        <f>'[1]generators-p'!J9</f>
        <v>12410.25663391655</v>
      </c>
      <c r="AC13" s="54">
        <f>'[1]links-p0'!E9</f>
        <v>5995.6977744932656</v>
      </c>
      <c r="AD13" s="54">
        <f t="shared" si="8"/>
        <v>12884.168085886871</v>
      </c>
      <c r="AE13" s="33"/>
      <c r="AF13" s="45">
        <v>7</v>
      </c>
      <c r="AG13" s="52">
        <v>0</v>
      </c>
      <c r="AH13" s="52">
        <f>'[1]links-p0'!B9</f>
        <v>0</v>
      </c>
      <c r="AI13" s="33"/>
      <c r="AJ13" s="40">
        <v>7</v>
      </c>
      <c r="AK13" s="23">
        <v>0</v>
      </c>
      <c r="AL13" s="52">
        <f>'[1]links-p0'!H9</f>
        <v>0</v>
      </c>
      <c r="AM13" s="33"/>
      <c r="AN13" s="40">
        <v>7</v>
      </c>
      <c r="AO13" s="23">
        <v>3156.57</v>
      </c>
      <c r="AP13" s="52">
        <v>0</v>
      </c>
      <c r="AQ13" s="62">
        <f t="shared" si="9"/>
        <v>3156.57</v>
      </c>
      <c r="AR13" s="33">
        <f>'[1]links-p0'!C9</f>
        <v>0</v>
      </c>
      <c r="AS13" s="33"/>
      <c r="AT13" s="40">
        <v>7</v>
      </c>
      <c r="AU13" s="23">
        <v>4613</v>
      </c>
      <c r="AV13" s="33">
        <f>'[1]links-p0'!I9</f>
        <v>0</v>
      </c>
      <c r="AW13" s="33"/>
      <c r="AX13" s="40">
        <v>7</v>
      </c>
      <c r="AY13" s="23">
        <v>0</v>
      </c>
      <c r="AZ13" s="52">
        <v>0</v>
      </c>
      <c r="BA13" s="62">
        <f t="shared" si="10"/>
        <v>0</v>
      </c>
      <c r="BB13" s="33">
        <f>'[1]links-p0'!D9</f>
        <v>0</v>
      </c>
    </row>
    <row r="14" spans="1:54" x14ac:dyDescent="0.35">
      <c r="A14" s="33"/>
      <c r="B14" s="40">
        <f t="shared" si="11"/>
        <v>8</v>
      </c>
      <c r="C14" s="41">
        <v>0</v>
      </c>
      <c r="D14" s="23">
        <v>0</v>
      </c>
      <c r="E14" s="23">
        <v>0</v>
      </c>
      <c r="F14" s="23">
        <f t="shared" si="0"/>
        <v>0</v>
      </c>
      <c r="G14" s="42">
        <f t="shared" si="2"/>
        <v>0</v>
      </c>
      <c r="H14" s="23">
        <f>'[1]generators-p'!B10</f>
        <v>0</v>
      </c>
      <c r="I14" s="23">
        <f>'[1]generators-p'!C10</f>
        <v>0</v>
      </c>
      <c r="J14" s="23">
        <f>'[1]generators-p'!D10</f>
        <v>0</v>
      </c>
      <c r="K14" s="23">
        <v>0</v>
      </c>
      <c r="L14" s="23">
        <f t="shared" si="3"/>
        <v>0</v>
      </c>
      <c r="M14" s="42">
        <f t="shared" si="1"/>
        <v>0</v>
      </c>
      <c r="N14" s="33"/>
      <c r="O14" s="44">
        <f t="shared" si="12"/>
        <v>8</v>
      </c>
      <c r="P14" s="23">
        <v>16998.961800000001</v>
      </c>
      <c r="Q14" s="23">
        <v>1207.5</v>
      </c>
      <c r="R14" s="23">
        <v>262.5</v>
      </c>
      <c r="S14" s="23">
        <f t="shared" si="4"/>
        <v>18468.961800000001</v>
      </c>
      <c r="T14" s="42">
        <f t="shared" si="5"/>
        <v>0.20118738602916347</v>
      </c>
      <c r="U14" s="41">
        <f>'[1]generators-p'!E10</f>
        <v>17575.587941208789</v>
      </c>
      <c r="V14" s="42">
        <f t="shared" si="6"/>
        <v>0.19145562344589845</v>
      </c>
      <c r="W14" s="33"/>
      <c r="X14" s="40">
        <v>8</v>
      </c>
      <c r="Y14" s="54">
        <v>6413.0960684899992</v>
      </c>
      <c r="Z14" s="54">
        <v>5293.4220400000004</v>
      </c>
      <c r="AA14" s="55">
        <f t="shared" si="7"/>
        <v>11706.51810849</v>
      </c>
      <c r="AB14" s="56">
        <f>'[1]generators-p'!J10</f>
        <v>10164.794985800379</v>
      </c>
      <c r="AC14" s="54">
        <f>'[1]links-p0'!E10</f>
        <v>8381.4217210371316</v>
      </c>
      <c r="AD14" s="54">
        <f t="shared" si="8"/>
        <v>12982.351694786259</v>
      </c>
      <c r="AE14" s="33"/>
      <c r="AF14" s="45">
        <v>8</v>
      </c>
      <c r="AG14" s="52">
        <v>0</v>
      </c>
      <c r="AH14" s="52">
        <f>'[1]links-p0'!B10</f>
        <v>0</v>
      </c>
      <c r="AI14" s="33"/>
      <c r="AJ14" s="40">
        <v>8</v>
      </c>
      <c r="AK14" s="23">
        <v>0</v>
      </c>
      <c r="AL14" s="52">
        <f>'[1]links-p0'!H10</f>
        <v>0</v>
      </c>
      <c r="AM14" s="33"/>
      <c r="AN14" s="40">
        <v>8</v>
      </c>
      <c r="AO14" s="23">
        <v>3156.57</v>
      </c>
      <c r="AP14" s="52">
        <v>0</v>
      </c>
      <c r="AQ14" s="62">
        <f t="shared" si="9"/>
        <v>3156.57</v>
      </c>
      <c r="AR14" s="33">
        <f>'[1]links-p0'!C10</f>
        <v>0</v>
      </c>
      <c r="AS14" s="33"/>
      <c r="AT14" s="40">
        <v>8</v>
      </c>
      <c r="AU14" s="23">
        <v>4613</v>
      </c>
      <c r="AV14" s="33">
        <f>'[1]links-p0'!I10</f>
        <v>0</v>
      </c>
      <c r="AW14" s="33"/>
      <c r="AX14" s="40">
        <v>8</v>
      </c>
      <c r="AY14" s="23">
        <v>0</v>
      </c>
      <c r="AZ14" s="52">
        <v>0</v>
      </c>
      <c r="BA14" s="62">
        <f t="shared" si="10"/>
        <v>0</v>
      </c>
      <c r="BB14" s="33">
        <f>'[1]links-p0'!D10</f>
        <v>0</v>
      </c>
    </row>
    <row r="15" spans="1:54" x14ac:dyDescent="0.35">
      <c r="A15" s="33"/>
      <c r="B15" s="40">
        <f t="shared" si="11"/>
        <v>9</v>
      </c>
      <c r="C15" s="41">
        <v>10126</v>
      </c>
      <c r="D15" s="23">
        <v>341.15499999999997</v>
      </c>
      <c r="E15" s="23">
        <v>3930</v>
      </c>
      <c r="F15" s="23">
        <f t="shared" si="0"/>
        <v>14397.155000000001</v>
      </c>
      <c r="G15" s="42">
        <f t="shared" si="2"/>
        <v>0.12221174822800392</v>
      </c>
      <c r="H15" s="23">
        <f>'[1]generators-p'!B11</f>
        <v>10126</v>
      </c>
      <c r="I15" s="23">
        <f>'[1]generators-p'!C11</f>
        <v>341.15499999999997</v>
      </c>
      <c r="J15" s="23">
        <f>'[1]generators-p'!D11</f>
        <v>3930</v>
      </c>
      <c r="K15" s="23">
        <v>0</v>
      </c>
      <c r="L15" s="23">
        <f t="shared" si="3"/>
        <v>14397.154999999999</v>
      </c>
      <c r="M15" s="42">
        <f t="shared" si="1"/>
        <v>0.12221174822800389</v>
      </c>
      <c r="N15" s="33"/>
      <c r="O15" s="44">
        <f t="shared" si="12"/>
        <v>9</v>
      </c>
      <c r="P15" s="23">
        <v>14684.967000000001</v>
      </c>
      <c r="Q15" s="23">
        <v>1145.4000000000001</v>
      </c>
      <c r="R15" s="23">
        <v>249</v>
      </c>
      <c r="S15" s="23">
        <f t="shared" si="4"/>
        <v>16079.367</v>
      </c>
      <c r="T15" s="42">
        <f t="shared" si="5"/>
        <v>0.17515688487338751</v>
      </c>
      <c r="U15" s="41">
        <f>'[1]generators-p'!E11</f>
        <v>15116.88366045464</v>
      </c>
      <c r="V15" s="42">
        <f t="shared" si="6"/>
        <v>0.16467229406223804</v>
      </c>
      <c r="W15" s="33"/>
      <c r="X15" s="40">
        <v>9</v>
      </c>
      <c r="Y15" s="54">
        <v>3411.5177984900001</v>
      </c>
      <c r="Z15" s="54">
        <v>7860.240310000001</v>
      </c>
      <c r="AA15" s="55">
        <f t="shared" si="7"/>
        <v>11271.758108490001</v>
      </c>
      <c r="AB15" s="56">
        <f>'[1]generators-p'!J11</f>
        <v>21144.868611023448</v>
      </c>
      <c r="AC15" s="54">
        <f>'[1]links-p0'!E11</f>
        <v>0</v>
      </c>
      <c r="AD15" s="54">
        <f t="shared" si="8"/>
        <v>14801.408027716412</v>
      </c>
      <c r="AE15" s="33"/>
      <c r="AF15" s="45">
        <v>9</v>
      </c>
      <c r="AG15" s="52">
        <v>0</v>
      </c>
      <c r="AH15" s="52">
        <f>'[1]links-p0'!B11</f>
        <v>0</v>
      </c>
      <c r="AI15" s="33"/>
      <c r="AJ15" s="40">
        <v>9</v>
      </c>
      <c r="AK15" s="23">
        <v>0</v>
      </c>
      <c r="AL15" s="52">
        <f>'[1]links-p0'!H11</f>
        <v>0</v>
      </c>
      <c r="AM15" s="33"/>
      <c r="AN15" s="40">
        <v>9</v>
      </c>
      <c r="AO15" s="23">
        <v>3156.57</v>
      </c>
      <c r="AP15" s="52">
        <v>0</v>
      </c>
      <c r="AQ15" s="62">
        <f t="shared" si="9"/>
        <v>3156.57</v>
      </c>
      <c r="AR15" s="33">
        <f>'[1]links-p0'!C11</f>
        <v>0</v>
      </c>
      <c r="AS15" s="33"/>
      <c r="AT15" s="40">
        <v>9</v>
      </c>
      <c r="AU15" s="23">
        <v>4613</v>
      </c>
      <c r="AV15" s="33">
        <f>'[1]links-p0'!I11</f>
        <v>0</v>
      </c>
      <c r="AW15" s="33"/>
      <c r="AX15" s="40">
        <v>9</v>
      </c>
      <c r="AY15" s="23">
        <v>0</v>
      </c>
      <c r="AZ15" s="52">
        <v>4059.8215599199998</v>
      </c>
      <c r="BA15" s="62">
        <f t="shared" si="10"/>
        <v>4059.8215599199998</v>
      </c>
      <c r="BB15" s="33">
        <f>'[1]links-p0'!D11</f>
        <v>0</v>
      </c>
    </row>
    <row r="16" spans="1:54" x14ac:dyDescent="0.35">
      <c r="A16" s="33"/>
      <c r="B16" s="40">
        <f t="shared" si="11"/>
        <v>10</v>
      </c>
      <c r="C16" s="41">
        <v>25979</v>
      </c>
      <c r="D16" s="23">
        <v>903.34</v>
      </c>
      <c r="E16" s="23">
        <v>9150</v>
      </c>
      <c r="F16" s="23">
        <f t="shared" si="0"/>
        <v>36032.339999999997</v>
      </c>
      <c r="G16" s="42">
        <f t="shared" si="2"/>
        <v>0.30586426722125543</v>
      </c>
      <c r="H16" s="23">
        <f>'[1]generators-p'!B12</f>
        <v>25979</v>
      </c>
      <c r="I16" s="23">
        <f>'[1]generators-p'!C12</f>
        <v>903.34</v>
      </c>
      <c r="J16" s="23">
        <f>'[1]generators-p'!D12</f>
        <v>9150</v>
      </c>
      <c r="K16" s="23">
        <v>0</v>
      </c>
      <c r="L16" s="23">
        <f t="shared" si="3"/>
        <v>36032.339999999997</v>
      </c>
      <c r="M16" s="42">
        <f t="shared" si="1"/>
        <v>0.30586426722125543</v>
      </c>
      <c r="N16" s="33"/>
      <c r="O16" s="44">
        <f t="shared" si="12"/>
        <v>10</v>
      </c>
      <c r="P16" s="23">
        <v>13883.968800000001</v>
      </c>
      <c r="Q16" s="23">
        <v>1071.8</v>
      </c>
      <c r="R16" s="23">
        <v>233</v>
      </c>
      <c r="S16" s="23">
        <f t="shared" si="4"/>
        <v>15188.7688</v>
      </c>
      <c r="T16" s="42">
        <f t="shared" si="5"/>
        <v>0.16545535829054092</v>
      </c>
      <c r="U16" s="41">
        <f>'[1]generators-p'!E12</f>
        <v>14278.077359344319</v>
      </c>
      <c r="V16" s="42">
        <f t="shared" si="6"/>
        <v>0.15553495061366493</v>
      </c>
      <c r="W16" s="33"/>
      <c r="X16" s="40">
        <v>10</v>
      </c>
      <c r="Y16" s="54">
        <v>1739.0362161600001</v>
      </c>
      <c r="Z16" s="54">
        <v>12534.34</v>
      </c>
      <c r="AA16" s="55">
        <f t="shared" si="7"/>
        <v>14273.376216160001</v>
      </c>
      <c r="AB16" s="56">
        <f>'[1]generators-p'!J12</f>
        <v>26441.11981</v>
      </c>
      <c r="AC16" s="54">
        <f>'[1]links-p0'!E12</f>
        <v>0</v>
      </c>
      <c r="AD16" s="54">
        <f t="shared" si="8"/>
        <v>18508.783866999998</v>
      </c>
      <c r="AE16" s="33"/>
      <c r="AF16" s="45">
        <v>10</v>
      </c>
      <c r="AG16" s="52">
        <v>0</v>
      </c>
      <c r="AH16" s="52">
        <f>'[1]links-p0'!B12</f>
        <v>0</v>
      </c>
      <c r="AI16" s="33"/>
      <c r="AJ16" s="40">
        <v>10</v>
      </c>
      <c r="AK16" s="23">
        <v>0</v>
      </c>
      <c r="AL16" s="52">
        <f>'[1]links-p0'!H12</f>
        <v>0</v>
      </c>
      <c r="AM16" s="33"/>
      <c r="AN16" s="40">
        <v>10</v>
      </c>
      <c r="AO16" s="23">
        <v>0</v>
      </c>
      <c r="AP16" s="52">
        <v>0</v>
      </c>
      <c r="AQ16" s="62">
        <f t="shared" si="9"/>
        <v>0</v>
      </c>
      <c r="AR16" s="33">
        <f>'[1]links-p0'!C12</f>
        <v>0</v>
      </c>
      <c r="AS16" s="33"/>
      <c r="AT16" s="40">
        <v>10</v>
      </c>
      <c r="AU16" s="23">
        <v>4613</v>
      </c>
      <c r="AV16" s="33">
        <f>'[1]links-p0'!I12</f>
        <v>0</v>
      </c>
      <c r="AW16" s="33"/>
      <c r="AX16" s="40">
        <v>10</v>
      </c>
      <c r="AY16" s="23">
        <v>0</v>
      </c>
      <c r="AZ16" s="52">
        <v>10423.35</v>
      </c>
      <c r="BA16" s="62">
        <f t="shared" si="10"/>
        <v>10423.35</v>
      </c>
      <c r="BB16" s="33">
        <f>'[1]links-p0'!D12</f>
        <v>13320.750632965201</v>
      </c>
    </row>
    <row r="17" spans="1:54" x14ac:dyDescent="0.35">
      <c r="A17" s="33"/>
      <c r="B17" s="40">
        <f t="shared" si="11"/>
        <v>11</v>
      </c>
      <c r="C17" s="41">
        <v>31457</v>
      </c>
      <c r="D17" s="23">
        <v>1489.55</v>
      </c>
      <c r="E17" s="23">
        <v>13260</v>
      </c>
      <c r="F17" s="23">
        <f t="shared" si="0"/>
        <v>46206.55</v>
      </c>
      <c r="G17" s="42">
        <f t="shared" si="2"/>
        <v>0.39222910742328426</v>
      </c>
      <c r="H17" s="23">
        <f>'[1]generators-p'!B13</f>
        <v>31457.000000000011</v>
      </c>
      <c r="I17" s="23">
        <f>'[1]generators-p'!C13</f>
        <v>1489.55</v>
      </c>
      <c r="J17" s="23">
        <f>'[1]generators-p'!D13</f>
        <v>13260</v>
      </c>
      <c r="K17" s="23">
        <v>3641.374366647251</v>
      </c>
      <c r="L17" s="23">
        <f t="shared" si="3"/>
        <v>46206.55000000001</v>
      </c>
      <c r="M17" s="42">
        <f t="shared" si="1"/>
        <v>0.39222910742328432</v>
      </c>
      <c r="N17" s="33"/>
      <c r="O17" s="44">
        <f t="shared" si="12"/>
        <v>11</v>
      </c>
      <c r="P17" s="23">
        <v>14684.967000000001</v>
      </c>
      <c r="Q17" s="23">
        <v>1005.1</v>
      </c>
      <c r="R17" s="23">
        <v>218.5</v>
      </c>
      <c r="S17" s="23">
        <f t="shared" si="4"/>
        <v>15908.567000000001</v>
      </c>
      <c r="T17" s="42">
        <f t="shared" si="5"/>
        <v>0.17329631437105528</v>
      </c>
      <c r="U17" s="41">
        <f>'[1]generators-p'!E13</f>
        <v>15129.93079804206</v>
      </c>
      <c r="V17" s="42">
        <f t="shared" si="6"/>
        <v>0.1648144200536609</v>
      </c>
      <c r="W17" s="33"/>
      <c r="X17" s="40">
        <v>11</v>
      </c>
      <c r="Y17" s="54">
        <v>1590.77385357</v>
      </c>
      <c r="Z17" s="54">
        <v>15517.427009999999</v>
      </c>
      <c r="AA17" s="55">
        <f t="shared" si="7"/>
        <v>17108.20086357</v>
      </c>
      <c r="AB17" s="56">
        <f>'[1]generators-p'!J13</f>
        <v>27047.51517488571</v>
      </c>
      <c r="AC17" s="54">
        <f>'[1]links-p0'!E13</f>
        <v>0</v>
      </c>
      <c r="AD17" s="54">
        <f t="shared" si="8"/>
        <v>18933.260622419995</v>
      </c>
      <c r="AE17" s="33"/>
      <c r="AF17" s="45">
        <v>11</v>
      </c>
      <c r="AG17" s="52">
        <v>0</v>
      </c>
      <c r="AH17" s="52">
        <f>'[1]links-p0'!B13</f>
        <v>0</v>
      </c>
      <c r="AI17" s="33"/>
      <c r="AJ17" s="40">
        <v>11</v>
      </c>
      <c r="AK17" s="23">
        <v>0</v>
      </c>
      <c r="AL17" s="52">
        <f>'[1]links-p0'!H13</f>
        <v>0</v>
      </c>
      <c r="AM17" s="33"/>
      <c r="AN17" s="40">
        <v>11</v>
      </c>
      <c r="AO17" s="23">
        <v>0</v>
      </c>
      <c r="AP17" s="52">
        <v>0</v>
      </c>
      <c r="AQ17" s="62">
        <f t="shared" si="9"/>
        <v>0</v>
      </c>
      <c r="AR17" s="33">
        <f>'[1]links-p0'!C13</f>
        <v>0</v>
      </c>
      <c r="AS17" s="33"/>
      <c r="AT17" s="40">
        <v>11</v>
      </c>
      <c r="AU17" s="23">
        <v>3484.0037682699999</v>
      </c>
      <c r="AV17" s="33">
        <f>'[1]links-p0'!I13</f>
        <v>0</v>
      </c>
      <c r="AW17" s="33"/>
      <c r="AX17" s="40">
        <v>11</v>
      </c>
      <c r="AY17" s="23">
        <v>0</v>
      </c>
      <c r="AZ17" s="52">
        <v>10423.35</v>
      </c>
      <c r="BA17" s="62">
        <f t="shared" si="10"/>
        <v>10423.35</v>
      </c>
      <c r="BB17" s="33">
        <f>'[1]links-p0'!D13</f>
        <v>0</v>
      </c>
    </row>
    <row r="18" spans="1:54" x14ac:dyDescent="0.35">
      <c r="A18" s="33"/>
      <c r="B18" s="40">
        <f t="shared" si="11"/>
        <v>12</v>
      </c>
      <c r="C18" s="41">
        <v>32453</v>
      </c>
      <c r="D18" s="23">
        <v>1869.145</v>
      </c>
      <c r="E18" s="23">
        <v>15300</v>
      </c>
      <c r="F18" s="23">
        <f t="shared" si="0"/>
        <v>49622.144999999997</v>
      </c>
      <c r="G18" s="42">
        <f t="shared" si="2"/>
        <v>0.42122274097024742</v>
      </c>
      <c r="H18" s="23">
        <f>'[1]generators-p'!B14</f>
        <v>32453</v>
      </c>
      <c r="I18" s="23">
        <f>'[1]generators-p'!C14</f>
        <v>1869.145</v>
      </c>
      <c r="J18" s="23">
        <f>'[1]generators-p'!D14</f>
        <v>15300</v>
      </c>
      <c r="K18" s="23">
        <v>6640.5503851871827</v>
      </c>
      <c r="L18" s="23">
        <f t="shared" si="3"/>
        <v>49622.145000000004</v>
      </c>
      <c r="M18" s="42">
        <f t="shared" si="1"/>
        <v>0.42122274097024748</v>
      </c>
      <c r="N18" s="33"/>
      <c r="O18" s="44">
        <f t="shared" si="12"/>
        <v>12</v>
      </c>
      <c r="P18" s="23">
        <v>16909.962</v>
      </c>
      <c r="Q18" s="23">
        <v>979.8</v>
      </c>
      <c r="R18" s="23">
        <v>213</v>
      </c>
      <c r="S18" s="23">
        <f t="shared" si="4"/>
        <v>18102.761999999999</v>
      </c>
      <c r="T18" s="42">
        <f t="shared" si="5"/>
        <v>0.19719827276312146</v>
      </c>
      <c r="U18" s="41">
        <f>'[1]generators-p'!E14</f>
        <v>17438.534795471169</v>
      </c>
      <c r="V18" s="42">
        <f t="shared" si="6"/>
        <v>0.18996266653599647</v>
      </c>
      <c r="W18" s="33"/>
      <c r="X18" s="40">
        <v>12</v>
      </c>
      <c r="Y18" s="54">
        <v>0</v>
      </c>
      <c r="Z18" s="54">
        <v>17274.066409999999</v>
      </c>
      <c r="AA18" s="55">
        <f t="shared" si="7"/>
        <v>17274.066409999999</v>
      </c>
      <c r="AB18" s="56">
        <f>'[1]generators-p'!J14</f>
        <v>27967.27248644286</v>
      </c>
      <c r="AC18" s="54">
        <f>'[1]links-p0'!E14</f>
        <v>0</v>
      </c>
      <c r="AD18" s="54">
        <f t="shared" si="8"/>
        <v>19577.090740510001</v>
      </c>
      <c r="AE18" s="33"/>
      <c r="AF18" s="45">
        <v>12</v>
      </c>
      <c r="AG18" s="52">
        <v>0</v>
      </c>
      <c r="AH18" s="52">
        <f>'[1]links-p0'!B14</f>
        <v>0</v>
      </c>
      <c r="AI18" s="33"/>
      <c r="AJ18" s="40">
        <v>12</v>
      </c>
      <c r="AK18" s="23">
        <v>0</v>
      </c>
      <c r="AL18" s="52">
        <f>'[1]links-p0'!H14</f>
        <v>0</v>
      </c>
      <c r="AM18" s="33"/>
      <c r="AN18" s="40">
        <v>12</v>
      </c>
      <c r="AO18" s="23">
        <v>0</v>
      </c>
      <c r="AP18" s="52">
        <v>0</v>
      </c>
      <c r="AQ18" s="62">
        <f t="shared" si="9"/>
        <v>0</v>
      </c>
      <c r="AR18" s="33">
        <f>'[1]links-p0'!C14</f>
        <v>0</v>
      </c>
      <c r="AS18" s="33"/>
      <c r="AT18" s="40">
        <v>12</v>
      </c>
      <c r="AU18" s="23">
        <v>4613</v>
      </c>
      <c r="AV18" s="33">
        <f>'[1]links-p0'!I14</f>
        <v>0</v>
      </c>
      <c r="AW18" s="33"/>
      <c r="AX18" s="40">
        <v>12</v>
      </c>
      <c r="AY18" s="23">
        <v>0</v>
      </c>
      <c r="AZ18" s="52">
        <v>10423.35</v>
      </c>
      <c r="BA18" s="62">
        <f t="shared" si="10"/>
        <v>10423.35</v>
      </c>
      <c r="BB18" s="33">
        <f>'[1]links-p0'!D14</f>
        <v>0</v>
      </c>
    </row>
    <row r="19" spans="1:54" x14ac:dyDescent="0.35">
      <c r="A19" s="33"/>
      <c r="B19" s="40">
        <f t="shared" si="11"/>
        <v>13</v>
      </c>
      <c r="C19" s="41">
        <v>32287</v>
      </c>
      <c r="D19" s="23">
        <v>1917.1949999999999</v>
      </c>
      <c r="E19" s="23">
        <v>15330</v>
      </c>
      <c r="F19" s="23">
        <f t="shared" si="0"/>
        <v>49534.195</v>
      </c>
      <c r="G19" s="42">
        <f t="shared" si="2"/>
        <v>0.42047616824413225</v>
      </c>
      <c r="H19" s="23">
        <f>'[1]generators-p'!B15</f>
        <v>32286.999999999989</v>
      </c>
      <c r="I19" s="23">
        <f>'[1]generators-p'!C15</f>
        <v>1917.1949999999999</v>
      </c>
      <c r="J19" s="23">
        <f>'[1]generators-p'!D15</f>
        <v>15330</v>
      </c>
      <c r="K19" s="23">
        <v>7128.661077735891</v>
      </c>
      <c r="L19" s="23">
        <f t="shared" si="3"/>
        <v>49534.194999999992</v>
      </c>
      <c r="M19" s="42">
        <f t="shared" si="1"/>
        <v>0.4204761682441322</v>
      </c>
      <c r="N19" s="33"/>
      <c r="O19" s="44">
        <f t="shared" si="12"/>
        <v>13</v>
      </c>
      <c r="P19" s="23">
        <v>18422.958600000002</v>
      </c>
      <c r="Q19" s="23">
        <v>954.5</v>
      </c>
      <c r="R19" s="23">
        <v>207.5</v>
      </c>
      <c r="S19" s="23">
        <f t="shared" si="4"/>
        <v>19584.958600000002</v>
      </c>
      <c r="T19" s="42">
        <f t="shared" si="5"/>
        <v>0.21334424040139521</v>
      </c>
      <c r="U19" s="41">
        <f>'[1]generators-p'!E15</f>
        <v>19014.972457422769</v>
      </c>
      <c r="V19" s="42">
        <f t="shared" si="6"/>
        <v>0.20713522749965435</v>
      </c>
      <c r="W19" s="33"/>
      <c r="X19" s="40">
        <v>13</v>
      </c>
      <c r="Y19" s="54">
        <v>0</v>
      </c>
      <c r="Z19" s="54">
        <v>17736.400659999999</v>
      </c>
      <c r="AA19" s="55">
        <f t="shared" si="7"/>
        <v>17736.400659999999</v>
      </c>
      <c r="AB19" s="56">
        <f>'[1]generators-p'!J15</f>
        <v>27843.519810000009</v>
      </c>
      <c r="AC19" s="54">
        <f>'[1]links-p0'!E15</f>
        <v>0</v>
      </c>
      <c r="AD19" s="54">
        <f t="shared" si="8"/>
        <v>19490.463867000006</v>
      </c>
      <c r="AE19" s="33"/>
      <c r="AF19" s="45">
        <v>13</v>
      </c>
      <c r="AG19" s="52">
        <v>0</v>
      </c>
      <c r="AH19" s="52">
        <f>'[1]links-p0'!B15</f>
        <v>0</v>
      </c>
      <c r="AI19" s="33"/>
      <c r="AJ19" s="40">
        <v>13</v>
      </c>
      <c r="AK19" s="23">
        <v>0</v>
      </c>
      <c r="AL19" s="52">
        <f>'[1]links-p0'!H15</f>
        <v>0</v>
      </c>
      <c r="AM19" s="33"/>
      <c r="AN19" s="40">
        <v>13</v>
      </c>
      <c r="AO19" s="23">
        <v>0</v>
      </c>
      <c r="AP19" s="52">
        <v>0</v>
      </c>
      <c r="AQ19" s="62">
        <f t="shared" si="9"/>
        <v>0</v>
      </c>
      <c r="AR19" s="33">
        <f>'[1]links-p0'!C15</f>
        <v>0</v>
      </c>
      <c r="AS19" s="33"/>
      <c r="AT19" s="40">
        <v>13</v>
      </c>
      <c r="AU19" s="23">
        <v>4538.1274936199998</v>
      </c>
      <c r="AV19" s="33">
        <f>'[1]links-p0'!I15</f>
        <v>0</v>
      </c>
      <c r="AW19" s="33"/>
      <c r="AX19" s="40">
        <v>13</v>
      </c>
      <c r="AY19" s="23">
        <v>0</v>
      </c>
      <c r="AZ19" s="52">
        <v>10423.35</v>
      </c>
      <c r="BA19" s="62">
        <f t="shared" si="10"/>
        <v>10423.35</v>
      </c>
      <c r="BB19" s="33">
        <f>'[1]links-p0'!D15</f>
        <v>0</v>
      </c>
    </row>
    <row r="20" spans="1:54" x14ac:dyDescent="0.35">
      <c r="A20" s="33"/>
      <c r="B20" s="40">
        <f t="shared" si="11"/>
        <v>14</v>
      </c>
      <c r="C20" s="41">
        <v>31374</v>
      </c>
      <c r="D20" s="23">
        <v>1672.14</v>
      </c>
      <c r="E20" s="23">
        <v>13530</v>
      </c>
      <c r="F20" s="23">
        <f t="shared" si="0"/>
        <v>46576.14</v>
      </c>
      <c r="G20" s="42">
        <f t="shared" si="2"/>
        <v>0.39536641059377786</v>
      </c>
      <c r="H20" s="23">
        <f>'[1]generators-p'!B16</f>
        <v>31374</v>
      </c>
      <c r="I20" s="23">
        <f>'[1]generators-p'!C16</f>
        <v>1672.14</v>
      </c>
      <c r="J20" s="23">
        <f>'[1]generators-p'!D16</f>
        <v>13530</v>
      </c>
      <c r="K20" s="23">
        <v>5296.4253011645706</v>
      </c>
      <c r="L20" s="23">
        <f t="shared" si="3"/>
        <v>46576.14</v>
      </c>
      <c r="M20" s="42">
        <f t="shared" si="1"/>
        <v>0.39536641059377786</v>
      </c>
      <c r="N20" s="33"/>
      <c r="O20" s="44">
        <f t="shared" si="12"/>
        <v>14</v>
      </c>
      <c r="P20" s="23">
        <v>19045.957200000001</v>
      </c>
      <c r="Q20" s="23">
        <v>945.3</v>
      </c>
      <c r="R20" s="23">
        <v>205.5</v>
      </c>
      <c r="S20" s="23">
        <f t="shared" si="4"/>
        <v>20196.7572</v>
      </c>
      <c r="T20" s="42">
        <f t="shared" si="5"/>
        <v>0.22000872768785987</v>
      </c>
      <c r="U20" s="41">
        <f>'[1]generators-p'!E16</f>
        <v>19653.986236669109</v>
      </c>
      <c r="V20" s="42">
        <f t="shared" si="6"/>
        <v>0.21409617707956999</v>
      </c>
      <c r="W20" s="33"/>
      <c r="X20" s="40">
        <v>14</v>
      </c>
      <c r="Y20" s="54">
        <v>0</v>
      </c>
      <c r="Z20" s="54">
        <v>16964.3992</v>
      </c>
      <c r="AA20" s="55">
        <f t="shared" si="7"/>
        <v>16964.3992</v>
      </c>
      <c r="AB20" s="56">
        <f>'[1]generators-p'!J16</f>
        <v>27865.96266714286</v>
      </c>
      <c r="AC20" s="54">
        <f>'[1]links-p0'!E16</f>
        <v>0</v>
      </c>
      <c r="AD20" s="54">
        <f t="shared" si="8"/>
        <v>19506.173867000001</v>
      </c>
      <c r="AE20" s="33"/>
      <c r="AF20" s="45">
        <v>14</v>
      </c>
      <c r="AG20" s="52">
        <v>0</v>
      </c>
      <c r="AH20" s="52">
        <f>'[1]links-p0'!B16</f>
        <v>0</v>
      </c>
      <c r="AI20" s="33"/>
      <c r="AJ20" s="40">
        <v>14</v>
      </c>
      <c r="AK20" s="23">
        <v>0</v>
      </c>
      <c r="AL20" s="52">
        <f>'[1]links-p0'!H16</f>
        <v>0</v>
      </c>
      <c r="AM20" s="33"/>
      <c r="AN20" s="40">
        <v>14</v>
      </c>
      <c r="AO20" s="23">
        <v>0</v>
      </c>
      <c r="AP20" s="52">
        <v>0</v>
      </c>
      <c r="AQ20" s="62">
        <f t="shared" si="9"/>
        <v>0</v>
      </c>
      <c r="AR20" s="33">
        <f>'[1]links-p0'!C16</f>
        <v>0</v>
      </c>
      <c r="AS20" s="33"/>
      <c r="AT20" s="40">
        <v>14</v>
      </c>
      <c r="AU20" s="23">
        <v>4479.8725723400003</v>
      </c>
      <c r="AV20" s="33">
        <f>'[1]links-p0'!I16</f>
        <v>0</v>
      </c>
      <c r="AW20" s="33"/>
      <c r="AX20" s="40">
        <v>14</v>
      </c>
      <c r="AY20" s="23">
        <v>0</v>
      </c>
      <c r="AZ20" s="52">
        <v>10423.35</v>
      </c>
      <c r="BA20" s="62">
        <f t="shared" si="10"/>
        <v>10423.35</v>
      </c>
      <c r="BB20" s="33">
        <f>'[1]links-p0'!D16</f>
        <v>13320.750632965201</v>
      </c>
    </row>
    <row r="21" spans="1:54" x14ac:dyDescent="0.35">
      <c r="A21" s="33"/>
      <c r="B21" s="40">
        <f t="shared" si="11"/>
        <v>15</v>
      </c>
      <c r="C21" s="41">
        <v>29465</v>
      </c>
      <c r="D21" s="23">
        <v>1215.665</v>
      </c>
      <c r="E21" s="23">
        <v>10470</v>
      </c>
      <c r="F21" s="23">
        <f t="shared" si="0"/>
        <v>41150.665000000001</v>
      </c>
      <c r="G21" s="42">
        <f t="shared" si="2"/>
        <v>0.34931170154068164</v>
      </c>
      <c r="H21" s="23">
        <f>'[1]generators-p'!B17</f>
        <v>29465</v>
      </c>
      <c r="I21" s="23">
        <f>'[1]generators-p'!C17</f>
        <v>1215.665</v>
      </c>
      <c r="J21" s="23">
        <f>'[1]generators-p'!D17</f>
        <v>10470</v>
      </c>
      <c r="K21" s="23">
        <v>1727.037152660153</v>
      </c>
      <c r="L21" s="23">
        <f t="shared" si="3"/>
        <v>41150.665000000001</v>
      </c>
      <c r="M21" s="42">
        <f t="shared" si="1"/>
        <v>0.34931170154068164</v>
      </c>
      <c r="N21" s="33"/>
      <c r="O21" s="44">
        <f t="shared" si="12"/>
        <v>15</v>
      </c>
      <c r="P21" s="23">
        <v>19134.956999999999</v>
      </c>
      <c r="Q21" s="23">
        <v>947.6</v>
      </c>
      <c r="R21" s="23">
        <v>206</v>
      </c>
      <c r="S21" s="23">
        <f t="shared" si="4"/>
        <v>20288.556999999997</v>
      </c>
      <c r="T21" s="42">
        <f t="shared" si="5"/>
        <v>0.22100872768785984</v>
      </c>
      <c r="U21" s="41">
        <f>'[1]generators-p'!E17</f>
        <v>19711.284638977831</v>
      </c>
      <c r="V21" s="42">
        <f t="shared" si="6"/>
        <v>0.21472034404190238</v>
      </c>
      <c r="W21" s="33"/>
      <c r="X21" s="40">
        <v>15</v>
      </c>
      <c r="Y21" s="54">
        <v>806.86083608000013</v>
      </c>
      <c r="Z21" s="54">
        <v>15285.947840000001</v>
      </c>
      <c r="AA21" s="55">
        <f t="shared" si="7"/>
        <v>16092.808676080002</v>
      </c>
      <c r="AB21" s="56">
        <f>'[1]generators-p'!J17</f>
        <v>25623.329291900009</v>
      </c>
      <c r="AC21" s="54">
        <f>'[1]links-p0'!E17</f>
        <v>0</v>
      </c>
      <c r="AD21" s="54">
        <f t="shared" si="8"/>
        <v>17936.330504330006</v>
      </c>
      <c r="AE21" s="33"/>
      <c r="AF21" s="45">
        <v>15</v>
      </c>
      <c r="AG21" s="52">
        <v>0</v>
      </c>
      <c r="AH21" s="52">
        <f>'[1]links-p0'!B17</f>
        <v>0</v>
      </c>
      <c r="AI21" s="33"/>
      <c r="AJ21" s="40">
        <v>15</v>
      </c>
      <c r="AK21" s="23">
        <v>0</v>
      </c>
      <c r="AL21" s="52">
        <f>'[1]links-p0'!H17</f>
        <v>0</v>
      </c>
      <c r="AM21" s="33"/>
      <c r="AN21" s="40">
        <v>15</v>
      </c>
      <c r="AO21" s="23">
        <v>0</v>
      </c>
      <c r="AP21" s="52">
        <v>0</v>
      </c>
      <c r="AQ21" s="62">
        <f t="shared" si="9"/>
        <v>0</v>
      </c>
      <c r="AR21" s="33">
        <f>'[1]links-p0'!C17</f>
        <v>0</v>
      </c>
      <c r="AS21" s="33"/>
      <c r="AT21" s="40">
        <v>15</v>
      </c>
      <c r="AU21" s="23">
        <v>4613</v>
      </c>
      <c r="AV21" s="33">
        <f>'[1]links-p0'!I17</f>
        <v>0</v>
      </c>
      <c r="AW21" s="33"/>
      <c r="AX21" s="40">
        <v>15</v>
      </c>
      <c r="AY21" s="23">
        <v>0</v>
      </c>
      <c r="AZ21" s="52">
        <v>10423.35</v>
      </c>
      <c r="BA21" s="62">
        <f t="shared" si="10"/>
        <v>10423.35</v>
      </c>
      <c r="BB21" s="33">
        <f>'[1]links-p0'!D17</f>
        <v>13320.750632965201</v>
      </c>
    </row>
    <row r="22" spans="1:54" x14ac:dyDescent="0.35">
      <c r="A22" s="33"/>
      <c r="B22" s="40">
        <f t="shared" si="11"/>
        <v>16</v>
      </c>
      <c r="C22" s="41">
        <v>20916</v>
      </c>
      <c r="D22" s="23">
        <v>615.04</v>
      </c>
      <c r="E22" s="23">
        <v>6210</v>
      </c>
      <c r="F22" s="23">
        <f t="shared" si="0"/>
        <v>27741.040000000001</v>
      </c>
      <c r="G22" s="42">
        <f t="shared" si="2"/>
        <v>0.23548270446925004</v>
      </c>
      <c r="H22" s="23">
        <f>'[1]generators-p'!B18</f>
        <v>20916</v>
      </c>
      <c r="I22" s="23">
        <f>'[1]generators-p'!C18</f>
        <v>615.04</v>
      </c>
      <c r="J22" s="23">
        <f>'[1]generators-p'!D18</f>
        <v>6210</v>
      </c>
      <c r="K22" s="23">
        <v>0</v>
      </c>
      <c r="L22" s="23">
        <f t="shared" si="3"/>
        <v>27741.040000000001</v>
      </c>
      <c r="M22" s="42">
        <f t="shared" si="1"/>
        <v>0.23548270446925004</v>
      </c>
      <c r="N22" s="33"/>
      <c r="O22" s="44">
        <f t="shared" si="12"/>
        <v>16</v>
      </c>
      <c r="P22" s="23">
        <v>18333.9588</v>
      </c>
      <c r="Q22" s="23">
        <v>926.9</v>
      </c>
      <c r="R22" s="23">
        <v>201.5</v>
      </c>
      <c r="S22" s="23">
        <f t="shared" si="4"/>
        <v>19462.358800000002</v>
      </c>
      <c r="T22" s="42">
        <f t="shared" si="5"/>
        <v>0.21200872768785989</v>
      </c>
      <c r="U22" s="41">
        <f>'[1]generators-p'!E18</f>
        <v>18955.417524366439</v>
      </c>
      <c r="V22" s="42">
        <f t="shared" si="6"/>
        <v>0.20648647953880553</v>
      </c>
      <c r="W22" s="33"/>
      <c r="X22" s="40">
        <v>16</v>
      </c>
      <c r="Y22" s="54">
        <v>474.17894087000002</v>
      </c>
      <c r="Z22" s="54">
        <v>11752.39357</v>
      </c>
      <c r="AA22" s="55">
        <f t="shared" si="7"/>
        <v>12226.572510870001</v>
      </c>
      <c r="AB22" s="56">
        <f>'[1]generators-p'!J18</f>
        <v>22728.873678571432</v>
      </c>
      <c r="AC22" s="54">
        <f>'[1]links-p0'!E18</f>
        <v>0</v>
      </c>
      <c r="AD22" s="54">
        <f t="shared" si="8"/>
        <v>15910.211575000001</v>
      </c>
      <c r="AE22" s="33"/>
      <c r="AF22" s="45">
        <v>16</v>
      </c>
      <c r="AG22" s="52">
        <v>0</v>
      </c>
      <c r="AH22" s="52">
        <f>'[1]links-p0'!B18</f>
        <v>0</v>
      </c>
      <c r="AI22" s="33"/>
      <c r="AJ22" s="40">
        <v>16</v>
      </c>
      <c r="AK22" s="23">
        <v>0</v>
      </c>
      <c r="AL22" s="52">
        <f>'[1]links-p0'!H18</f>
        <v>0</v>
      </c>
      <c r="AM22" s="33"/>
      <c r="AN22" s="40">
        <v>16</v>
      </c>
      <c r="AO22" s="23">
        <v>2377.0242569299999</v>
      </c>
      <c r="AP22" s="52">
        <v>0</v>
      </c>
      <c r="AQ22" s="62">
        <f t="shared" si="9"/>
        <v>2377.0242569299999</v>
      </c>
      <c r="AR22" s="33">
        <f>'[1]links-p0'!C18</f>
        <v>0</v>
      </c>
      <c r="AS22" s="33"/>
      <c r="AT22" s="40">
        <v>16</v>
      </c>
      <c r="AU22" s="23">
        <v>4613</v>
      </c>
      <c r="AV22" s="33">
        <f>'[1]links-p0'!I18</f>
        <v>0</v>
      </c>
      <c r="AW22" s="33"/>
      <c r="AX22" s="40">
        <v>16</v>
      </c>
      <c r="AY22" s="23">
        <v>0</v>
      </c>
      <c r="AZ22" s="52">
        <v>10423.35</v>
      </c>
      <c r="BA22" s="62">
        <f t="shared" si="10"/>
        <v>10423.35</v>
      </c>
      <c r="BB22" s="33">
        <f>'[1]links-p0'!D18</f>
        <v>13320.750632965201</v>
      </c>
    </row>
    <row r="23" spans="1:54" x14ac:dyDescent="0.35">
      <c r="A23" s="33"/>
      <c r="B23" s="40">
        <f t="shared" si="11"/>
        <v>17</v>
      </c>
      <c r="C23" s="41">
        <v>4565</v>
      </c>
      <c r="D23" s="23">
        <v>62.465000000000003</v>
      </c>
      <c r="E23" s="23">
        <v>1560</v>
      </c>
      <c r="F23" s="23">
        <f t="shared" si="0"/>
        <v>6187.4650000000001</v>
      </c>
      <c r="G23" s="42">
        <f t="shared" si="2"/>
        <v>5.2522940452442594E-2</v>
      </c>
      <c r="H23" s="23">
        <f>'[1]generators-p'!B19</f>
        <v>4565</v>
      </c>
      <c r="I23" s="23">
        <f>'[1]generators-p'!C19</f>
        <v>62.465000000000003</v>
      </c>
      <c r="J23" s="23">
        <f>'[1]generators-p'!D19</f>
        <v>1560</v>
      </c>
      <c r="K23" s="23">
        <v>0</v>
      </c>
      <c r="L23" s="23">
        <f t="shared" si="3"/>
        <v>6187.4650000000001</v>
      </c>
      <c r="M23" s="42">
        <f t="shared" si="1"/>
        <v>5.2522940452442594E-2</v>
      </c>
      <c r="N23" s="33"/>
      <c r="O23" s="44">
        <f t="shared" si="12"/>
        <v>17</v>
      </c>
      <c r="P23" s="23">
        <v>15307.9656</v>
      </c>
      <c r="Q23" s="23">
        <v>901.6</v>
      </c>
      <c r="R23" s="23">
        <v>196</v>
      </c>
      <c r="S23" s="23">
        <f t="shared" si="4"/>
        <v>16405.565600000002</v>
      </c>
      <c r="T23" s="42">
        <f t="shared" si="5"/>
        <v>0.1787102542707065</v>
      </c>
      <c r="U23" s="41">
        <f>'[1]generators-p'!E19</f>
        <v>15781.896243089581</v>
      </c>
      <c r="V23" s="42">
        <f t="shared" si="6"/>
        <v>0.17191645562506214</v>
      </c>
      <c r="W23" s="33"/>
      <c r="X23" s="40">
        <v>17</v>
      </c>
      <c r="Y23" s="54">
        <v>2550.12291848</v>
      </c>
      <c r="Z23" s="54">
        <v>6080.0885499999986</v>
      </c>
      <c r="AA23" s="55">
        <f t="shared" si="7"/>
        <v>8630.2114684799981</v>
      </c>
      <c r="AB23" s="56">
        <f>'[1]generators-p'!J19</f>
        <v>14103.08521970523</v>
      </c>
      <c r="AC23" s="54">
        <f>'[1]links-p0'!E19</f>
        <v>0</v>
      </c>
      <c r="AD23" s="54">
        <f t="shared" si="8"/>
        <v>9872.1596537936603</v>
      </c>
      <c r="AE23" s="33"/>
      <c r="AF23" s="45">
        <v>17</v>
      </c>
      <c r="AG23" s="52">
        <v>1591.4646720000001</v>
      </c>
      <c r="AH23" s="52">
        <f>'[1]links-p0'!B19</f>
        <v>0</v>
      </c>
      <c r="AI23" s="33"/>
      <c r="AJ23" s="40">
        <v>17</v>
      </c>
      <c r="AK23" s="23">
        <v>0</v>
      </c>
      <c r="AL23" s="52">
        <f>'[1]links-p0'!H19</f>
        <v>0</v>
      </c>
      <c r="AM23" s="33"/>
      <c r="AN23" s="40">
        <v>17</v>
      </c>
      <c r="AO23" s="23">
        <v>3156.57</v>
      </c>
      <c r="AP23" s="52">
        <v>1017.39286192</v>
      </c>
      <c r="AQ23" s="62">
        <f t="shared" si="9"/>
        <v>4173.9628619200003</v>
      </c>
      <c r="AR23" s="33">
        <f>'[1]links-p0'!C19</f>
        <v>0</v>
      </c>
      <c r="AS23" s="33"/>
      <c r="AT23" s="40">
        <v>17</v>
      </c>
      <c r="AU23" s="23">
        <v>4613</v>
      </c>
      <c r="AV23" s="33">
        <f>'[1]links-p0'!I19</f>
        <v>2815.553749976214</v>
      </c>
      <c r="AW23" s="33"/>
      <c r="AX23" s="40">
        <v>17</v>
      </c>
      <c r="AY23" s="23">
        <v>0</v>
      </c>
      <c r="AZ23" s="52">
        <v>0</v>
      </c>
      <c r="BA23" s="62">
        <f t="shared" si="10"/>
        <v>0</v>
      </c>
      <c r="BB23" s="33">
        <f>'[1]links-p0'!D19</f>
        <v>0</v>
      </c>
    </row>
    <row r="24" spans="1:54" x14ac:dyDescent="0.35">
      <c r="A24" s="33"/>
      <c r="B24" s="40">
        <f t="shared" si="11"/>
        <v>18</v>
      </c>
      <c r="C24" s="41">
        <v>0</v>
      </c>
      <c r="D24" s="23">
        <v>0</v>
      </c>
      <c r="E24" s="23">
        <v>0</v>
      </c>
      <c r="F24" s="23">
        <f t="shared" si="0"/>
        <v>0</v>
      </c>
      <c r="G24" s="42">
        <f t="shared" si="2"/>
        <v>0</v>
      </c>
      <c r="H24" s="23">
        <f>'[1]generators-p'!B20</f>
        <v>0</v>
      </c>
      <c r="I24" s="23">
        <f>'[1]generators-p'!C20</f>
        <v>0</v>
      </c>
      <c r="J24" s="23">
        <f>'[1]generators-p'!D20</f>
        <v>0</v>
      </c>
      <c r="K24" s="23">
        <v>0</v>
      </c>
      <c r="L24" s="23">
        <f t="shared" si="3"/>
        <v>0</v>
      </c>
      <c r="M24" s="42">
        <f t="shared" si="1"/>
        <v>0</v>
      </c>
      <c r="N24" s="33"/>
      <c r="O24" s="44">
        <f t="shared" si="12"/>
        <v>18</v>
      </c>
      <c r="P24" s="23">
        <v>14150.968199999999</v>
      </c>
      <c r="Q24" s="23">
        <v>867.1</v>
      </c>
      <c r="R24" s="23">
        <v>188.5</v>
      </c>
      <c r="S24" s="23">
        <f t="shared" si="4"/>
        <v>15206.5682</v>
      </c>
      <c r="T24" s="42">
        <f t="shared" si="5"/>
        <v>0.16564925195915459</v>
      </c>
      <c r="U24" s="41">
        <f>'[1]generators-p'!E20</f>
        <v>14593.714336832239</v>
      </c>
      <c r="V24" s="42">
        <f t="shared" si="6"/>
        <v>0.15897326940616688</v>
      </c>
      <c r="W24" s="33"/>
      <c r="X24" s="40">
        <v>18</v>
      </c>
      <c r="Y24" s="54">
        <v>3715.18756764</v>
      </c>
      <c r="Z24" s="54">
        <v>4289.1738999999998</v>
      </c>
      <c r="AA24" s="55">
        <f t="shared" si="7"/>
        <v>8004.3614676399993</v>
      </c>
      <c r="AB24" s="56">
        <f>'[1]generators-p'!J20</f>
        <v>8042.1264591591525</v>
      </c>
      <c r="AC24" s="54">
        <f>'[1]links-p0'!E20</f>
        <v>5330.2284278857096</v>
      </c>
      <c r="AD24" s="54">
        <f t="shared" si="8"/>
        <v>9360.6484209314021</v>
      </c>
      <c r="AE24" s="33"/>
      <c r="AF24" s="45">
        <v>18</v>
      </c>
      <c r="AG24" s="52">
        <v>1591.4646720000001</v>
      </c>
      <c r="AH24" s="52">
        <f>'[1]links-p0'!B20</f>
        <v>0</v>
      </c>
      <c r="AI24" s="33"/>
      <c r="AJ24" s="40">
        <v>18</v>
      </c>
      <c r="AK24" s="23">
        <v>0</v>
      </c>
      <c r="AL24" s="52">
        <f>'[1]links-p0'!H20</f>
        <v>0</v>
      </c>
      <c r="AM24" s="33"/>
      <c r="AN24" s="40">
        <v>18</v>
      </c>
      <c r="AO24" s="23">
        <v>3156.57</v>
      </c>
      <c r="AP24" s="52">
        <v>10447.41</v>
      </c>
      <c r="AQ24" s="62">
        <f t="shared" si="9"/>
        <v>13603.98</v>
      </c>
      <c r="AR24" s="33">
        <f>'[1]links-p0'!C20</f>
        <v>0</v>
      </c>
      <c r="AS24" s="33"/>
      <c r="AT24" s="40">
        <v>18</v>
      </c>
      <c r="AU24" s="23">
        <v>4613</v>
      </c>
      <c r="AV24" s="33">
        <f>'[1]links-p0'!I20</f>
        <v>3135</v>
      </c>
      <c r="AW24" s="33"/>
      <c r="AX24" s="40">
        <v>18</v>
      </c>
      <c r="AY24" s="23">
        <v>0</v>
      </c>
      <c r="AZ24" s="52">
        <v>0</v>
      </c>
      <c r="BA24" s="62">
        <f t="shared" si="10"/>
        <v>0</v>
      </c>
      <c r="BB24" s="33">
        <f>'[1]links-p0'!D20</f>
        <v>0</v>
      </c>
    </row>
    <row r="25" spans="1:54" x14ac:dyDescent="0.35">
      <c r="A25" s="33"/>
      <c r="B25" s="40">
        <f t="shared" si="11"/>
        <v>19</v>
      </c>
      <c r="C25" s="41">
        <v>0</v>
      </c>
      <c r="D25" s="23">
        <v>0</v>
      </c>
      <c r="E25" s="23">
        <v>0</v>
      </c>
      <c r="F25" s="23">
        <f t="shared" si="0"/>
        <v>0</v>
      </c>
      <c r="G25" s="42">
        <f t="shared" si="2"/>
        <v>0</v>
      </c>
      <c r="H25" s="23">
        <f>'[1]generators-p'!B21</f>
        <v>0</v>
      </c>
      <c r="I25" s="23">
        <f>'[1]generators-p'!C21</f>
        <v>0</v>
      </c>
      <c r="J25" s="23">
        <f>'[1]generators-p'!D21</f>
        <v>0</v>
      </c>
      <c r="K25" s="23">
        <v>0</v>
      </c>
      <c r="L25" s="23">
        <f t="shared" si="3"/>
        <v>0</v>
      </c>
      <c r="M25" s="42">
        <f t="shared" si="1"/>
        <v>0</v>
      </c>
      <c r="N25" s="33"/>
      <c r="O25" s="44">
        <f t="shared" si="12"/>
        <v>19</v>
      </c>
      <c r="P25" s="23">
        <v>13794.968999999999</v>
      </c>
      <c r="Q25" s="23">
        <v>825.7</v>
      </c>
      <c r="R25" s="23">
        <v>179.5</v>
      </c>
      <c r="S25" s="23">
        <f t="shared" si="4"/>
        <v>14800.169</v>
      </c>
      <c r="T25" s="42">
        <f t="shared" si="5"/>
        <v>0.16122223577829145</v>
      </c>
      <c r="U25" s="41">
        <f>'[1]generators-p'!E21</f>
        <v>14223.344761290769</v>
      </c>
      <c r="V25" s="42">
        <f t="shared" si="6"/>
        <v>0.15493873364964594</v>
      </c>
      <c r="W25" s="33"/>
      <c r="X25" s="40">
        <v>19</v>
      </c>
      <c r="Y25" s="54">
        <v>2559.8526160400002</v>
      </c>
      <c r="Z25" s="54">
        <v>4180.2123299999994</v>
      </c>
      <c r="AA25" s="55">
        <f t="shared" si="7"/>
        <v>6740.06494604</v>
      </c>
      <c r="AB25" s="56">
        <f>'[1]generators-p'!J21</f>
        <v>7837.6219502933509</v>
      </c>
      <c r="AC25" s="54">
        <f>'[1]links-p0'!E21</f>
        <v>3762.1553947207899</v>
      </c>
      <c r="AD25" s="54">
        <f t="shared" si="8"/>
        <v>8119.8441415098987</v>
      </c>
      <c r="AE25" s="33"/>
      <c r="AF25" s="45">
        <v>19</v>
      </c>
      <c r="AG25" s="52">
        <v>1591.4646720000001</v>
      </c>
      <c r="AH25" s="52">
        <f>'[1]links-p0'!B21</f>
        <v>0</v>
      </c>
      <c r="AI25" s="33"/>
      <c r="AJ25" s="40">
        <v>19</v>
      </c>
      <c r="AK25" s="23">
        <v>0</v>
      </c>
      <c r="AL25" s="52">
        <f>'[1]links-p0'!H21</f>
        <v>0</v>
      </c>
      <c r="AM25" s="33"/>
      <c r="AN25" s="40">
        <v>19</v>
      </c>
      <c r="AO25" s="23">
        <v>3156.57</v>
      </c>
      <c r="AP25" s="52">
        <v>0</v>
      </c>
      <c r="AQ25" s="62">
        <f t="shared" si="9"/>
        <v>3156.57</v>
      </c>
      <c r="AR25" s="33">
        <f>'[1]links-p0'!C21</f>
        <v>0</v>
      </c>
      <c r="AS25" s="33"/>
      <c r="AT25" s="40">
        <v>19</v>
      </c>
      <c r="AU25" s="23">
        <v>4613</v>
      </c>
      <c r="AV25" s="33">
        <f>'[1]links-p0'!I21</f>
        <v>3135</v>
      </c>
      <c r="AW25" s="33"/>
      <c r="AX25" s="40">
        <v>19</v>
      </c>
      <c r="AY25" s="23">
        <v>0</v>
      </c>
      <c r="AZ25" s="52">
        <v>0</v>
      </c>
      <c r="BA25" s="62">
        <f t="shared" si="10"/>
        <v>0</v>
      </c>
      <c r="BB25" s="33">
        <f>'[1]links-p0'!D21</f>
        <v>0</v>
      </c>
    </row>
    <row r="26" spans="1:54" x14ac:dyDescent="0.35">
      <c r="A26" s="33"/>
      <c r="B26" s="40">
        <f t="shared" si="11"/>
        <v>20</v>
      </c>
      <c r="C26" s="41">
        <v>0</v>
      </c>
      <c r="D26" s="23">
        <v>0</v>
      </c>
      <c r="E26" s="23">
        <v>0</v>
      </c>
      <c r="F26" s="23">
        <f t="shared" si="0"/>
        <v>0</v>
      </c>
      <c r="G26" s="42">
        <f t="shared" si="2"/>
        <v>0</v>
      </c>
      <c r="H26" s="23">
        <f>'[1]generators-p'!B22</f>
        <v>0</v>
      </c>
      <c r="I26" s="23">
        <f>'[1]generators-p'!C22</f>
        <v>0</v>
      </c>
      <c r="J26" s="23">
        <f>'[1]generators-p'!D22</f>
        <v>0</v>
      </c>
      <c r="K26" s="23">
        <v>0</v>
      </c>
      <c r="L26" s="23">
        <f t="shared" si="3"/>
        <v>0</v>
      </c>
      <c r="M26" s="42">
        <f t="shared" si="1"/>
        <v>0</v>
      </c>
      <c r="N26" s="33"/>
      <c r="O26" s="44">
        <f t="shared" si="12"/>
        <v>20</v>
      </c>
      <c r="P26" s="23">
        <v>13883.968800000001</v>
      </c>
      <c r="Q26" s="23">
        <v>786.6</v>
      </c>
      <c r="R26" s="23">
        <v>171</v>
      </c>
      <c r="S26" s="23">
        <f t="shared" si="4"/>
        <v>14841.568800000001</v>
      </c>
      <c r="T26" s="42">
        <f t="shared" si="5"/>
        <v>0.16167321497432457</v>
      </c>
      <c r="U26" s="41">
        <f>'[1]generators-p'!E22</f>
        <v>14363.338713443911</v>
      </c>
      <c r="V26" s="42">
        <f t="shared" si="6"/>
        <v>0.15646372555761462</v>
      </c>
      <c r="W26" s="33"/>
      <c r="X26" s="40">
        <v>20</v>
      </c>
      <c r="Y26" s="54">
        <v>1324.5099946800001</v>
      </c>
      <c r="Z26" s="54">
        <v>4221.3561200000004</v>
      </c>
      <c r="AA26" s="55">
        <f t="shared" si="7"/>
        <v>5545.8661146800005</v>
      </c>
      <c r="AB26" s="56">
        <f>'[1]generators-p'!J22</f>
        <v>7914.7641197843104</v>
      </c>
      <c r="AC26" s="54">
        <f>'[1]links-p0'!E22</f>
        <v>1994.4548655542981</v>
      </c>
      <c r="AD26" s="54">
        <f t="shared" si="8"/>
        <v>6936.4532897370254</v>
      </c>
      <c r="AE26" s="33"/>
      <c r="AF26" s="45">
        <v>20</v>
      </c>
      <c r="AG26" s="52">
        <v>1591.4646720000001</v>
      </c>
      <c r="AH26" s="52">
        <f>'[1]links-p0'!B22</f>
        <v>0</v>
      </c>
      <c r="AI26" s="33"/>
      <c r="AJ26" s="40">
        <v>20</v>
      </c>
      <c r="AK26" s="23">
        <v>0</v>
      </c>
      <c r="AL26" s="52">
        <f>'[1]links-p0'!H22</f>
        <v>0</v>
      </c>
      <c r="AM26" s="33"/>
      <c r="AN26" s="40">
        <v>20</v>
      </c>
      <c r="AO26" s="23">
        <v>3156.57</v>
      </c>
      <c r="AP26" s="52">
        <v>10447.41</v>
      </c>
      <c r="AQ26" s="62">
        <f t="shared" si="9"/>
        <v>13603.98</v>
      </c>
      <c r="AR26" s="33">
        <f>'[1]links-p0'!C22</f>
        <v>0</v>
      </c>
      <c r="AS26" s="33"/>
      <c r="AT26" s="40">
        <v>20</v>
      </c>
      <c r="AU26" s="23">
        <v>4613</v>
      </c>
      <c r="AV26" s="33">
        <f>'[1]links-p0'!I22</f>
        <v>3135</v>
      </c>
      <c r="AW26" s="33"/>
      <c r="AX26" s="40">
        <v>20</v>
      </c>
      <c r="AY26" s="23">
        <v>0</v>
      </c>
      <c r="AZ26" s="52">
        <v>0</v>
      </c>
      <c r="BA26" s="62">
        <f t="shared" si="10"/>
        <v>0</v>
      </c>
      <c r="BB26" s="33">
        <f>'[1]links-p0'!D22</f>
        <v>0</v>
      </c>
    </row>
    <row r="27" spans="1:54" x14ac:dyDescent="0.35">
      <c r="A27" s="33"/>
      <c r="B27" s="40">
        <f t="shared" si="11"/>
        <v>21</v>
      </c>
      <c r="C27" s="41">
        <v>0</v>
      </c>
      <c r="D27" s="23">
        <v>0</v>
      </c>
      <c r="E27" s="23">
        <v>0</v>
      </c>
      <c r="F27" s="23">
        <f t="shared" si="0"/>
        <v>0</v>
      </c>
      <c r="G27" s="42">
        <f t="shared" si="2"/>
        <v>0</v>
      </c>
      <c r="H27" s="23">
        <f>'[1]generators-p'!B23</f>
        <v>0</v>
      </c>
      <c r="I27" s="23">
        <f>'[1]generators-p'!C23</f>
        <v>0</v>
      </c>
      <c r="J27" s="23">
        <f>'[1]generators-p'!D23</f>
        <v>0</v>
      </c>
      <c r="K27" s="23">
        <v>0</v>
      </c>
      <c r="L27" s="23">
        <f t="shared" si="3"/>
        <v>0</v>
      </c>
      <c r="M27" s="42">
        <f t="shared" si="1"/>
        <v>0</v>
      </c>
      <c r="N27" s="33"/>
      <c r="O27" s="44">
        <f t="shared" si="12"/>
        <v>21</v>
      </c>
      <c r="P27" s="23">
        <v>14417.9676</v>
      </c>
      <c r="Q27" s="23">
        <v>765.9</v>
      </c>
      <c r="R27" s="23">
        <v>166.5</v>
      </c>
      <c r="S27" s="23">
        <f t="shared" si="4"/>
        <v>15350.3676</v>
      </c>
      <c r="T27" s="42">
        <f t="shared" si="5"/>
        <v>0.16721569763768548</v>
      </c>
      <c r="U27" s="41">
        <f>'[1]generators-p'!E23</f>
        <v>14848.21623140177</v>
      </c>
      <c r="V27" s="42">
        <f t="shared" si="6"/>
        <v>0.16174562723885857</v>
      </c>
      <c r="W27" s="33"/>
      <c r="X27" s="40">
        <v>21</v>
      </c>
      <c r="Y27" s="54">
        <v>24.81941346</v>
      </c>
      <c r="Z27" s="54">
        <v>4363.8602199999996</v>
      </c>
      <c r="AA27" s="55">
        <f t="shared" si="7"/>
        <v>4388.6796334599994</v>
      </c>
      <c r="AB27" s="56">
        <f>'[1]generators-p'!J23</f>
        <v>8181.9506881850766</v>
      </c>
      <c r="AC27" s="54">
        <f>'[1]links-p0'!E23</f>
        <v>84.135196621420434</v>
      </c>
      <c r="AD27" s="54">
        <f t="shared" si="8"/>
        <v>5786.2601193645469</v>
      </c>
      <c r="AE27" s="33"/>
      <c r="AF27" s="45">
        <v>21</v>
      </c>
      <c r="AG27" s="52">
        <v>1591.4646720000001</v>
      </c>
      <c r="AH27" s="52">
        <f>'[1]links-p0'!B23</f>
        <v>0</v>
      </c>
      <c r="AI27" s="33"/>
      <c r="AJ27" s="40">
        <v>21</v>
      </c>
      <c r="AK27" s="23">
        <v>0</v>
      </c>
      <c r="AL27" s="52">
        <f>'[1]links-p0'!H23</f>
        <v>0</v>
      </c>
      <c r="AM27" s="33"/>
      <c r="AN27" s="40">
        <v>21</v>
      </c>
      <c r="AO27" s="23">
        <v>3156.57</v>
      </c>
      <c r="AP27" s="52">
        <v>4370.1044896200001</v>
      </c>
      <c r="AQ27" s="62">
        <f t="shared" si="9"/>
        <v>7526.6744896199998</v>
      </c>
      <c r="AR27" s="33">
        <f>'[1]links-p0'!C23</f>
        <v>0</v>
      </c>
      <c r="AS27" s="33"/>
      <c r="AT27" s="40">
        <v>21</v>
      </c>
      <c r="AU27" s="23">
        <v>4613</v>
      </c>
      <c r="AV27" s="33">
        <f>'[1]links-p0'!I23</f>
        <v>3135</v>
      </c>
      <c r="AW27" s="33"/>
      <c r="AX27" s="40">
        <v>21</v>
      </c>
      <c r="AY27" s="23">
        <v>0</v>
      </c>
      <c r="AZ27" s="52">
        <v>0</v>
      </c>
      <c r="BA27" s="62">
        <f t="shared" si="10"/>
        <v>0</v>
      </c>
      <c r="BB27" s="33">
        <f>'[1]links-p0'!D23</f>
        <v>0</v>
      </c>
    </row>
    <row r="28" spans="1:54" x14ac:dyDescent="0.35">
      <c r="A28" s="33"/>
      <c r="B28" s="40">
        <f t="shared" si="11"/>
        <v>22</v>
      </c>
      <c r="C28" s="41">
        <v>0</v>
      </c>
      <c r="D28" s="23">
        <v>0</v>
      </c>
      <c r="E28" s="23">
        <v>0</v>
      </c>
      <c r="F28" s="23">
        <f t="shared" si="0"/>
        <v>0</v>
      </c>
      <c r="G28" s="42">
        <f t="shared" si="2"/>
        <v>0</v>
      </c>
      <c r="H28" s="23">
        <f>'[1]generators-p'!B24</f>
        <v>0</v>
      </c>
      <c r="I28" s="23">
        <f>'[1]generators-p'!C24</f>
        <v>0</v>
      </c>
      <c r="J28" s="23">
        <f>'[1]generators-p'!D24</f>
        <v>0</v>
      </c>
      <c r="K28" s="23">
        <v>0</v>
      </c>
      <c r="L28" s="23">
        <f t="shared" si="3"/>
        <v>0</v>
      </c>
      <c r="M28" s="42">
        <f t="shared" si="1"/>
        <v>0</v>
      </c>
      <c r="N28" s="33"/>
      <c r="O28" s="44">
        <f t="shared" si="12"/>
        <v>22</v>
      </c>
      <c r="P28" s="23">
        <v>15396.965399999999</v>
      </c>
      <c r="Q28" s="23">
        <v>795.8</v>
      </c>
      <c r="R28" s="23">
        <v>173</v>
      </c>
      <c r="S28" s="23">
        <f t="shared" si="4"/>
        <v>16365.765399999998</v>
      </c>
      <c r="T28" s="42">
        <f t="shared" si="5"/>
        <v>0.17827669994923734</v>
      </c>
      <c r="U28" s="41">
        <f>'[1]generators-p'!E24</f>
        <v>15875.142067911909</v>
      </c>
      <c r="V28" s="42">
        <f t="shared" si="6"/>
        <v>0.17293220756376276</v>
      </c>
      <c r="W28" s="33"/>
      <c r="X28" s="40">
        <v>22</v>
      </c>
      <c r="Y28" s="54">
        <v>549.31688069999996</v>
      </c>
      <c r="Z28" s="54">
        <v>4665.6719899999998</v>
      </c>
      <c r="AA28" s="55">
        <f t="shared" si="7"/>
        <v>5214.9888707</v>
      </c>
      <c r="AB28" s="56">
        <f>'[1]generators-p'!J24</f>
        <v>8747.8271829642708</v>
      </c>
      <c r="AC28" s="54">
        <f>'[1]links-p0'!E24</f>
        <v>680.47741834644648</v>
      </c>
      <c r="AD28" s="54">
        <f t="shared" si="8"/>
        <v>6599.8132209175019</v>
      </c>
      <c r="AE28" s="33"/>
      <c r="AF28" s="45">
        <v>22</v>
      </c>
      <c r="AG28" s="52">
        <v>1591.4646720000001</v>
      </c>
      <c r="AH28" s="52">
        <f>'[1]links-p0'!B24</f>
        <v>0</v>
      </c>
      <c r="AI28" s="33"/>
      <c r="AJ28" s="40">
        <v>22</v>
      </c>
      <c r="AK28" s="23">
        <v>0</v>
      </c>
      <c r="AL28" s="52">
        <f>'[1]links-p0'!H24</f>
        <v>0</v>
      </c>
      <c r="AM28" s="33"/>
      <c r="AN28" s="40">
        <v>22</v>
      </c>
      <c r="AO28" s="23">
        <v>3156.57</v>
      </c>
      <c r="AP28" s="52">
        <v>1901.5744047000001</v>
      </c>
      <c r="AQ28" s="62">
        <f t="shared" si="9"/>
        <v>5058.1444047000005</v>
      </c>
      <c r="AR28" s="33">
        <f>'[1]links-p0'!C24</f>
        <v>0</v>
      </c>
      <c r="AS28" s="33"/>
      <c r="AT28" s="40">
        <v>22</v>
      </c>
      <c r="AU28" s="23">
        <v>4613</v>
      </c>
      <c r="AV28" s="33">
        <f>'[1]links-p0'!I24</f>
        <v>3135</v>
      </c>
      <c r="AW28" s="33"/>
      <c r="AX28" s="40">
        <v>22</v>
      </c>
      <c r="AY28" s="23">
        <v>0</v>
      </c>
      <c r="AZ28" s="52">
        <v>0</v>
      </c>
      <c r="BA28" s="62">
        <f t="shared" si="10"/>
        <v>0</v>
      </c>
      <c r="BB28" s="33">
        <f>'[1]links-p0'!D24</f>
        <v>0</v>
      </c>
    </row>
    <row r="29" spans="1:54" x14ac:dyDescent="0.35">
      <c r="A29" s="33"/>
      <c r="B29" s="40">
        <f t="shared" si="11"/>
        <v>23</v>
      </c>
      <c r="C29" s="41">
        <v>0</v>
      </c>
      <c r="D29" s="23">
        <v>0</v>
      </c>
      <c r="E29" s="23">
        <v>0</v>
      </c>
      <c r="F29" s="23">
        <f t="shared" si="0"/>
        <v>0</v>
      </c>
      <c r="G29" s="42">
        <f t="shared" si="2"/>
        <v>0</v>
      </c>
      <c r="H29" s="23">
        <f>'[1]generators-p'!B25</f>
        <v>0</v>
      </c>
      <c r="I29" s="23">
        <f>'[1]generators-p'!C25</f>
        <v>0</v>
      </c>
      <c r="J29" s="23">
        <f>'[1]generators-p'!D25</f>
        <v>0</v>
      </c>
      <c r="K29" s="23">
        <v>0</v>
      </c>
      <c r="L29" s="23">
        <f t="shared" si="3"/>
        <v>0</v>
      </c>
      <c r="M29" s="42">
        <f t="shared" si="1"/>
        <v>0</v>
      </c>
      <c r="N29" s="33"/>
      <c r="O29" s="44">
        <f t="shared" si="12"/>
        <v>23</v>
      </c>
      <c r="P29" s="23">
        <v>16286.963400000001</v>
      </c>
      <c r="Q29" s="23">
        <v>811.9</v>
      </c>
      <c r="R29" s="23">
        <v>176.5</v>
      </c>
      <c r="S29" s="23">
        <f t="shared" si="4"/>
        <v>17275.363400000002</v>
      </c>
      <c r="T29" s="42">
        <f t="shared" si="5"/>
        <v>0.18818519648190957</v>
      </c>
      <c r="U29" s="41">
        <f>'[1]generators-p'!E25</f>
        <v>16808.962166086068</v>
      </c>
      <c r="V29" s="42">
        <f t="shared" si="6"/>
        <v>0.18310456194987426</v>
      </c>
      <c r="W29" s="33"/>
      <c r="X29" s="40">
        <v>23</v>
      </c>
      <c r="Y29" s="54">
        <v>1372.0664007</v>
      </c>
      <c r="Z29" s="54">
        <v>4940.1196499999996</v>
      </c>
      <c r="AA29" s="55">
        <f t="shared" si="7"/>
        <v>6312.1860507000001</v>
      </c>
      <c r="AB29" s="56">
        <f>'[1]generators-p'!J25</f>
        <v>9262.3987568034645</v>
      </c>
      <c r="AC29" s="54">
        <f>'[1]links-p0'!E25</f>
        <v>1707.964109455336</v>
      </c>
      <c r="AD29" s="54">
        <f t="shared" si="8"/>
        <v>7679.2540063811593</v>
      </c>
      <c r="AE29" s="33"/>
      <c r="AF29" s="45">
        <v>23</v>
      </c>
      <c r="AG29" s="52">
        <v>1591.4646720000001</v>
      </c>
      <c r="AH29" s="52">
        <f>'[1]links-p0'!B25</f>
        <v>0</v>
      </c>
      <c r="AI29" s="33"/>
      <c r="AJ29" s="40">
        <v>23</v>
      </c>
      <c r="AK29" s="23">
        <v>0</v>
      </c>
      <c r="AL29" s="52">
        <f>'[1]links-p0'!H25</f>
        <v>0</v>
      </c>
      <c r="AM29" s="33"/>
      <c r="AN29" s="40">
        <v>23</v>
      </c>
      <c r="AO29" s="23">
        <v>3156.57</v>
      </c>
      <c r="AP29" s="52">
        <v>0</v>
      </c>
      <c r="AQ29" s="62">
        <f t="shared" si="9"/>
        <v>3156.57</v>
      </c>
      <c r="AR29" s="33">
        <f>'[1]links-p0'!C25</f>
        <v>0</v>
      </c>
      <c r="AS29" s="33"/>
      <c r="AT29" s="40">
        <v>23</v>
      </c>
      <c r="AU29" s="23">
        <v>4613</v>
      </c>
      <c r="AV29" s="33">
        <f>'[1]links-p0'!I25</f>
        <v>3135</v>
      </c>
      <c r="AW29" s="33"/>
      <c r="AX29" s="40">
        <v>23</v>
      </c>
      <c r="AY29" s="23">
        <v>0</v>
      </c>
      <c r="AZ29" s="52">
        <v>0</v>
      </c>
      <c r="BA29" s="62">
        <f t="shared" si="10"/>
        <v>0</v>
      </c>
      <c r="BB29" s="33">
        <f>'[1]links-p0'!D25</f>
        <v>0</v>
      </c>
    </row>
    <row r="30" spans="1:54" x14ac:dyDescent="0.35">
      <c r="A30" s="33"/>
      <c r="B30" s="40">
        <f t="shared" si="11"/>
        <v>24</v>
      </c>
      <c r="C30" s="41">
        <v>0</v>
      </c>
      <c r="D30" s="23">
        <v>0</v>
      </c>
      <c r="E30" s="23">
        <v>0</v>
      </c>
      <c r="F30" s="23">
        <f t="shared" si="0"/>
        <v>0</v>
      </c>
      <c r="G30" s="42">
        <f t="shared" si="2"/>
        <v>0</v>
      </c>
      <c r="H30" s="23">
        <f>'[1]generators-p'!B26</f>
        <v>0</v>
      </c>
      <c r="I30" s="23">
        <f>'[1]generators-p'!C26</f>
        <v>0</v>
      </c>
      <c r="J30" s="23">
        <f>'[1]generators-p'!D26</f>
        <v>0</v>
      </c>
      <c r="K30" s="23">
        <v>0</v>
      </c>
      <c r="L30" s="23">
        <f t="shared" si="3"/>
        <v>0</v>
      </c>
      <c r="M30" s="42">
        <f t="shared" si="1"/>
        <v>0</v>
      </c>
      <c r="N30" s="33"/>
      <c r="O30" s="44">
        <f t="shared" si="12"/>
        <v>24</v>
      </c>
      <c r="P30" s="23">
        <v>16998.961800000001</v>
      </c>
      <c r="Q30" s="23">
        <v>814.2</v>
      </c>
      <c r="R30" s="23">
        <v>177</v>
      </c>
      <c r="S30" s="23">
        <f t="shared" si="4"/>
        <v>17990.161800000002</v>
      </c>
      <c r="T30" s="42">
        <f t="shared" si="5"/>
        <v>0.19597168839147799</v>
      </c>
      <c r="U30" s="41">
        <f>'[1]generators-p'!E26</f>
        <v>17562.050500919151</v>
      </c>
      <c r="V30" s="42">
        <f t="shared" si="6"/>
        <v>0.19130815645479785</v>
      </c>
      <c r="W30" s="33"/>
      <c r="X30" s="40">
        <v>24</v>
      </c>
      <c r="Y30" s="54">
        <v>2154.9805769899999</v>
      </c>
      <c r="Z30" s="54">
        <v>5161.4507900000008</v>
      </c>
      <c r="AA30" s="55">
        <f t="shared" si="7"/>
        <v>7316.4313669900002</v>
      </c>
      <c r="AB30" s="56">
        <f>'[1]generators-p'!J26</f>
        <v>9677.38002616433</v>
      </c>
      <c r="AC30" s="54">
        <f>'[1]links-p0'!E26</f>
        <v>2661.0693722572541</v>
      </c>
      <c r="AD30" s="54">
        <f t="shared" si="8"/>
        <v>8636.9145788951082</v>
      </c>
      <c r="AE30" s="33"/>
      <c r="AF30" s="45">
        <v>24</v>
      </c>
      <c r="AG30" s="52">
        <v>1591.4646720000001</v>
      </c>
      <c r="AH30" s="52">
        <f>'[1]links-p0'!B26</f>
        <v>0</v>
      </c>
      <c r="AI30" s="33"/>
      <c r="AJ30" s="40">
        <v>24</v>
      </c>
      <c r="AK30" s="23">
        <v>0</v>
      </c>
      <c r="AL30" s="52">
        <f>'[1]links-p0'!H26</f>
        <v>0</v>
      </c>
      <c r="AM30" s="33"/>
      <c r="AN30" s="40">
        <v>24</v>
      </c>
      <c r="AO30" s="23">
        <v>3156.57</v>
      </c>
      <c r="AP30" s="52">
        <v>0</v>
      </c>
      <c r="AQ30" s="62">
        <f t="shared" si="9"/>
        <v>3156.57</v>
      </c>
      <c r="AR30" s="33">
        <f>'[1]links-p0'!C26</f>
        <v>0</v>
      </c>
      <c r="AS30" s="33"/>
      <c r="AT30" s="40">
        <v>24</v>
      </c>
      <c r="AU30" s="23">
        <v>4613</v>
      </c>
      <c r="AV30" s="33">
        <f>'[1]links-p0'!I26</f>
        <v>3135</v>
      </c>
      <c r="AW30" s="33"/>
      <c r="AX30" s="40">
        <v>24</v>
      </c>
      <c r="AY30" s="23">
        <v>0</v>
      </c>
      <c r="AZ30" s="52">
        <v>0</v>
      </c>
      <c r="BA30" s="62">
        <f t="shared" si="10"/>
        <v>0</v>
      </c>
      <c r="BB30" s="33">
        <f>'[1]links-p0'!D26</f>
        <v>0</v>
      </c>
    </row>
    <row r="31" spans="1:54" x14ac:dyDescent="0.35">
      <c r="A31" s="33"/>
      <c r="B31" s="40">
        <f t="shared" si="11"/>
        <v>25</v>
      </c>
      <c r="C31" s="41">
        <v>0</v>
      </c>
      <c r="D31" s="23">
        <v>0</v>
      </c>
      <c r="E31" s="23">
        <v>0</v>
      </c>
      <c r="F31" s="23">
        <f t="shared" si="0"/>
        <v>0</v>
      </c>
      <c r="G31" s="42">
        <f t="shared" si="2"/>
        <v>0</v>
      </c>
      <c r="H31" s="23">
        <f>'[1]generators-p'!B27</f>
        <v>0</v>
      </c>
      <c r="I31" s="23">
        <f>'[1]generators-p'!C27</f>
        <v>0</v>
      </c>
      <c r="J31" s="23">
        <f>'[1]generators-p'!D27</f>
        <v>0</v>
      </c>
      <c r="K31" s="23">
        <v>0</v>
      </c>
      <c r="L31" s="23">
        <f t="shared" si="3"/>
        <v>0</v>
      </c>
      <c r="M31" s="42">
        <f t="shared" si="1"/>
        <v>0</v>
      </c>
      <c r="N31" s="33"/>
      <c r="O31" s="44">
        <f t="shared" si="12"/>
        <v>25</v>
      </c>
      <c r="P31" s="23">
        <v>16464.963</v>
      </c>
      <c r="Q31" s="23">
        <v>795.8</v>
      </c>
      <c r="R31" s="23">
        <v>173</v>
      </c>
      <c r="S31" s="23">
        <f t="shared" si="4"/>
        <v>17433.762999999999</v>
      </c>
      <c r="T31" s="42">
        <f t="shared" si="5"/>
        <v>0.18991068607992609</v>
      </c>
      <c r="U31" s="41">
        <f>'[1]generators-p'!E27</f>
        <v>16948.98696297015</v>
      </c>
      <c r="V31" s="42">
        <f t="shared" si="6"/>
        <v>0.18462988985782267</v>
      </c>
      <c r="W31" s="33"/>
      <c r="X31" s="40">
        <v>25</v>
      </c>
      <c r="Y31" s="54">
        <v>3436.32974698</v>
      </c>
      <c r="Z31" s="54">
        <v>4981.2726700000003</v>
      </c>
      <c r="AA31" s="55">
        <f t="shared" si="7"/>
        <v>8417.6024169800003</v>
      </c>
      <c r="AB31" s="56">
        <f>'[1]generators-p'!J27</f>
        <v>9339.5579229533887</v>
      </c>
      <c r="AC31" s="54">
        <f>'[1]links-p0'!E27</f>
        <v>4544.6985941644343</v>
      </c>
      <c r="AD31" s="54">
        <f t="shared" si="8"/>
        <v>9718.9795619824763</v>
      </c>
      <c r="AE31" s="33"/>
      <c r="AF31" s="45">
        <v>25</v>
      </c>
      <c r="AG31" s="52">
        <v>1591.4646720000001</v>
      </c>
      <c r="AH31" s="52">
        <f>'[1]links-p0'!B27</f>
        <v>0</v>
      </c>
      <c r="AI31" s="33"/>
      <c r="AJ31" s="40">
        <v>25</v>
      </c>
      <c r="AK31" s="23">
        <v>0</v>
      </c>
      <c r="AL31" s="52">
        <f>'[1]links-p0'!H27</f>
        <v>0</v>
      </c>
      <c r="AM31" s="33"/>
      <c r="AN31" s="40">
        <v>25</v>
      </c>
      <c r="AO31" s="23">
        <v>3156.57</v>
      </c>
      <c r="AP31" s="52">
        <v>0</v>
      </c>
      <c r="AQ31" s="62">
        <f t="shared" si="9"/>
        <v>3156.57</v>
      </c>
      <c r="AR31" s="33">
        <f>'[1]links-p0'!C27</f>
        <v>10325.407011859719</v>
      </c>
      <c r="AS31" s="33"/>
      <c r="AT31" s="40">
        <v>25</v>
      </c>
      <c r="AU31" s="23">
        <v>4613</v>
      </c>
      <c r="AV31" s="33">
        <f>'[1]links-p0'!I27</f>
        <v>3135</v>
      </c>
      <c r="AW31" s="33"/>
      <c r="AX31" s="40">
        <v>25</v>
      </c>
      <c r="AY31" s="23">
        <v>0</v>
      </c>
      <c r="AZ31" s="52">
        <v>0</v>
      </c>
      <c r="BA31" s="62">
        <f t="shared" si="10"/>
        <v>0</v>
      </c>
      <c r="BB31" s="33">
        <f>'[1]links-p0'!D27</f>
        <v>0</v>
      </c>
    </row>
    <row r="32" spans="1:54" x14ac:dyDescent="0.35">
      <c r="A32" s="33"/>
      <c r="B32" s="40">
        <f t="shared" si="11"/>
        <v>26</v>
      </c>
      <c r="C32" s="41">
        <v>0</v>
      </c>
      <c r="D32" s="23">
        <v>0</v>
      </c>
      <c r="E32" s="23">
        <v>0</v>
      </c>
      <c r="F32" s="23">
        <f t="shared" si="0"/>
        <v>0</v>
      </c>
      <c r="G32" s="42">
        <f t="shared" si="2"/>
        <v>0</v>
      </c>
      <c r="H32" s="23">
        <f>'[1]generators-p'!B28</f>
        <v>0</v>
      </c>
      <c r="I32" s="23">
        <f>'[1]generators-p'!C28</f>
        <v>0</v>
      </c>
      <c r="J32" s="23">
        <f>'[1]generators-p'!D28</f>
        <v>0</v>
      </c>
      <c r="K32" s="23">
        <v>0</v>
      </c>
      <c r="L32" s="23">
        <f t="shared" si="3"/>
        <v>0</v>
      </c>
      <c r="M32" s="42">
        <f t="shared" si="1"/>
        <v>0</v>
      </c>
      <c r="N32" s="33"/>
      <c r="O32" s="44">
        <f t="shared" si="12"/>
        <v>26</v>
      </c>
      <c r="P32" s="23">
        <v>15574.965</v>
      </c>
      <c r="Q32" s="23">
        <v>763.6</v>
      </c>
      <c r="R32" s="23">
        <v>166</v>
      </c>
      <c r="S32" s="23">
        <f t="shared" si="4"/>
        <v>16504.565000000002</v>
      </c>
      <c r="T32" s="42">
        <f t="shared" si="5"/>
        <v>0.17978868145682236</v>
      </c>
      <c r="U32" s="41">
        <f>'[1]generators-p'!E28</f>
        <v>16083.628397510431</v>
      </c>
      <c r="V32" s="42">
        <f t="shared" si="6"/>
        <v>0.17520330542670495</v>
      </c>
      <c r="W32" s="33"/>
      <c r="X32" s="40">
        <v>26</v>
      </c>
      <c r="Y32" s="54">
        <v>3955.7616195199998</v>
      </c>
      <c r="Z32" s="54">
        <v>4726.9457000000002</v>
      </c>
      <c r="AA32" s="55">
        <f t="shared" si="7"/>
        <v>8682.7073195199991</v>
      </c>
      <c r="AB32" s="56">
        <f>'[1]generators-p'!J28</f>
        <v>8862.7113442231966</v>
      </c>
      <c r="AC32" s="54">
        <f>'[1]links-p0'!E28</f>
        <v>5368.8137193744969</v>
      </c>
      <c r="AD32" s="54">
        <f t="shared" si="8"/>
        <v>9962.0675445183842</v>
      </c>
      <c r="AE32" s="33"/>
      <c r="AF32" s="45">
        <v>26</v>
      </c>
      <c r="AG32" s="52">
        <v>1591.4646720000001</v>
      </c>
      <c r="AH32" s="52">
        <f>'[1]links-p0'!B28</f>
        <v>0</v>
      </c>
      <c r="AI32" s="33"/>
      <c r="AJ32" s="40">
        <v>26</v>
      </c>
      <c r="AK32" s="23">
        <v>0</v>
      </c>
      <c r="AL32" s="52">
        <f>'[1]links-p0'!H28</f>
        <v>0</v>
      </c>
      <c r="AM32" s="33"/>
      <c r="AN32" s="40">
        <v>26</v>
      </c>
      <c r="AO32" s="23">
        <v>3156.57</v>
      </c>
      <c r="AP32" s="52">
        <v>0</v>
      </c>
      <c r="AQ32" s="62">
        <f t="shared" si="9"/>
        <v>3156.57</v>
      </c>
      <c r="AR32" s="33">
        <f>'[1]links-p0'!C28</f>
        <v>11724.8561489536</v>
      </c>
      <c r="AS32" s="33"/>
      <c r="AT32" s="40">
        <v>26</v>
      </c>
      <c r="AU32" s="23">
        <v>4613</v>
      </c>
      <c r="AV32" s="33">
        <f>'[1]links-p0'!I28</f>
        <v>3135</v>
      </c>
      <c r="AW32" s="33"/>
      <c r="AX32" s="40">
        <v>26</v>
      </c>
      <c r="AY32" s="23">
        <v>0</v>
      </c>
      <c r="AZ32" s="52">
        <v>0</v>
      </c>
      <c r="BA32" s="62">
        <f t="shared" si="10"/>
        <v>0</v>
      </c>
      <c r="BB32" s="33">
        <f>'[1]links-p0'!D28</f>
        <v>0</v>
      </c>
    </row>
    <row r="33" spans="1:54" x14ac:dyDescent="0.35">
      <c r="A33" s="33"/>
      <c r="B33" s="40">
        <f t="shared" si="11"/>
        <v>27</v>
      </c>
      <c r="C33" s="41">
        <v>0</v>
      </c>
      <c r="D33" s="23">
        <v>0</v>
      </c>
      <c r="E33" s="23">
        <v>0</v>
      </c>
      <c r="F33" s="23">
        <f t="shared" si="0"/>
        <v>0</v>
      </c>
      <c r="G33" s="42">
        <f t="shared" si="2"/>
        <v>0</v>
      </c>
      <c r="H33" s="23">
        <f>'[1]generators-p'!B29</f>
        <v>0</v>
      </c>
      <c r="I33" s="23">
        <f>'[1]generators-p'!C29</f>
        <v>0</v>
      </c>
      <c r="J33" s="23">
        <f>'[1]generators-p'!D29</f>
        <v>0</v>
      </c>
      <c r="K33" s="23">
        <v>0</v>
      </c>
      <c r="L33" s="23">
        <f t="shared" si="3"/>
        <v>0</v>
      </c>
      <c r="M33" s="42">
        <f t="shared" si="1"/>
        <v>0</v>
      </c>
      <c r="N33" s="33"/>
      <c r="O33" s="44">
        <f t="shared" si="12"/>
        <v>27</v>
      </c>
      <c r="P33" s="23">
        <v>14595.967199999999</v>
      </c>
      <c r="Q33" s="23">
        <v>763.6</v>
      </c>
      <c r="R33" s="23">
        <v>166</v>
      </c>
      <c r="S33" s="23">
        <f t="shared" si="4"/>
        <v>15525.5672</v>
      </c>
      <c r="T33" s="42">
        <f t="shared" si="5"/>
        <v>0.16912419417035765</v>
      </c>
      <c r="U33" s="41">
        <f>'[1]generators-p'!E29</f>
        <v>15063.22677239256</v>
      </c>
      <c r="V33" s="42">
        <f t="shared" si="6"/>
        <v>0.16408779509751176</v>
      </c>
      <c r="W33" s="33"/>
      <c r="X33" s="40">
        <v>27</v>
      </c>
      <c r="Y33" s="54">
        <v>3268.0320895200002</v>
      </c>
      <c r="Z33" s="54">
        <v>4427.0516399999997</v>
      </c>
      <c r="AA33" s="55">
        <f t="shared" si="7"/>
        <v>7695.0837295199999</v>
      </c>
      <c r="AB33" s="56">
        <f>'[1]generators-p'!J29</f>
        <v>8300.4299463269526</v>
      </c>
      <c r="AC33" s="54">
        <f>'[1]links-p0'!E29</f>
        <v>4492.4223739965801</v>
      </c>
      <c r="AD33" s="54">
        <f t="shared" si="8"/>
        <v>8954.9966242264727</v>
      </c>
      <c r="AE33" s="33"/>
      <c r="AF33" s="45">
        <v>27</v>
      </c>
      <c r="AG33" s="52">
        <v>1591.4646720000001</v>
      </c>
      <c r="AH33" s="52">
        <f>'[1]links-p0'!B29</f>
        <v>0</v>
      </c>
      <c r="AI33" s="33"/>
      <c r="AJ33" s="40">
        <v>27</v>
      </c>
      <c r="AK33" s="23">
        <v>0</v>
      </c>
      <c r="AL33" s="52">
        <f>'[1]links-p0'!H29</f>
        <v>0</v>
      </c>
      <c r="AM33" s="33"/>
      <c r="AN33" s="40">
        <v>27</v>
      </c>
      <c r="AO33" s="23">
        <v>3156.57</v>
      </c>
      <c r="AP33" s="52">
        <v>0</v>
      </c>
      <c r="AQ33" s="62">
        <f t="shared" si="9"/>
        <v>3156.57</v>
      </c>
      <c r="AR33" s="33">
        <f>'[1]links-p0'!C29</f>
        <v>12463.63268173</v>
      </c>
      <c r="AS33" s="33"/>
      <c r="AT33" s="40">
        <v>27</v>
      </c>
      <c r="AU33" s="23">
        <v>4613</v>
      </c>
      <c r="AV33" s="33">
        <f>'[1]links-p0'!I29</f>
        <v>3135</v>
      </c>
      <c r="AW33" s="33"/>
      <c r="AX33" s="40">
        <v>27</v>
      </c>
      <c r="AY33" s="23">
        <v>0</v>
      </c>
      <c r="AZ33" s="52">
        <v>0</v>
      </c>
      <c r="BA33" s="62">
        <f t="shared" si="10"/>
        <v>0</v>
      </c>
      <c r="BB33" s="33">
        <f>'[1]links-p0'!D29</f>
        <v>0</v>
      </c>
    </row>
    <row r="34" spans="1:54" x14ac:dyDescent="0.35">
      <c r="A34" s="33"/>
      <c r="B34" s="40">
        <f t="shared" si="11"/>
        <v>28</v>
      </c>
      <c r="C34" s="41">
        <v>0</v>
      </c>
      <c r="D34" s="23">
        <v>0</v>
      </c>
      <c r="E34" s="23">
        <v>0</v>
      </c>
      <c r="F34" s="23">
        <f t="shared" si="0"/>
        <v>0</v>
      </c>
      <c r="G34" s="42">
        <f t="shared" si="2"/>
        <v>0</v>
      </c>
      <c r="H34" s="23">
        <f>'[1]generators-p'!B30</f>
        <v>0</v>
      </c>
      <c r="I34" s="23">
        <f>'[1]generators-p'!C30</f>
        <v>0</v>
      </c>
      <c r="J34" s="23">
        <f>'[1]generators-p'!D30</f>
        <v>0</v>
      </c>
      <c r="K34" s="23">
        <v>0</v>
      </c>
      <c r="L34" s="23">
        <f t="shared" si="3"/>
        <v>0</v>
      </c>
      <c r="M34" s="42">
        <f t="shared" si="1"/>
        <v>0</v>
      </c>
      <c r="N34" s="33"/>
      <c r="O34" s="44">
        <f t="shared" si="12"/>
        <v>28</v>
      </c>
      <c r="P34" s="23">
        <v>13883.968800000001</v>
      </c>
      <c r="Q34" s="23">
        <v>777.4</v>
      </c>
      <c r="R34" s="23">
        <v>169</v>
      </c>
      <c r="S34" s="23">
        <f t="shared" si="4"/>
        <v>14830.3688</v>
      </c>
      <c r="T34" s="42">
        <f t="shared" si="5"/>
        <v>0.1615512103512208</v>
      </c>
      <c r="U34" s="41">
        <f>'[1]generators-p'!E30</f>
        <v>14307.493685481089</v>
      </c>
      <c r="V34" s="42">
        <f t="shared" si="6"/>
        <v>0.15585539059432688</v>
      </c>
      <c r="W34" s="33"/>
      <c r="X34" s="40">
        <v>28</v>
      </c>
      <c r="Y34" s="54">
        <v>2509.0077403800001</v>
      </c>
      <c r="Z34" s="54">
        <v>4204.9430499999999</v>
      </c>
      <c r="AA34" s="55">
        <f t="shared" si="7"/>
        <v>6713.9507903800004</v>
      </c>
      <c r="AB34" s="56">
        <f>'[1]generators-p'!J30</f>
        <v>7883.9913146303934</v>
      </c>
      <c r="AC34" s="54">
        <f>'[1]links-p0'!E30</f>
        <v>3483.2751004981069</v>
      </c>
      <c r="AD34" s="54">
        <f t="shared" si="8"/>
        <v>7957.0864905899498</v>
      </c>
      <c r="AE34" s="33"/>
      <c r="AF34" s="45">
        <v>28</v>
      </c>
      <c r="AG34" s="52">
        <v>1591.4646720000001</v>
      </c>
      <c r="AH34" s="52">
        <f>'[1]links-p0'!B30</f>
        <v>0</v>
      </c>
      <c r="AI34" s="33"/>
      <c r="AJ34" s="40">
        <v>28</v>
      </c>
      <c r="AK34" s="23">
        <v>0</v>
      </c>
      <c r="AL34" s="52">
        <f>'[1]links-p0'!H30</f>
        <v>0</v>
      </c>
      <c r="AM34" s="33"/>
      <c r="AN34" s="40">
        <v>28</v>
      </c>
      <c r="AO34" s="23">
        <v>3156.57</v>
      </c>
      <c r="AP34" s="52">
        <v>0</v>
      </c>
      <c r="AQ34" s="62">
        <f t="shared" si="9"/>
        <v>3156.57</v>
      </c>
      <c r="AR34" s="33">
        <f>'[1]links-p0'!C30</f>
        <v>13454.923146792369</v>
      </c>
      <c r="AS34" s="33"/>
      <c r="AT34" s="40">
        <v>28</v>
      </c>
      <c r="AU34" s="23">
        <v>4613</v>
      </c>
      <c r="AV34" s="33">
        <f>'[1]links-p0'!I30</f>
        <v>3135</v>
      </c>
      <c r="AW34" s="33"/>
      <c r="AX34" s="40">
        <v>28</v>
      </c>
      <c r="AY34" s="23">
        <v>0</v>
      </c>
      <c r="AZ34" s="52">
        <v>0</v>
      </c>
      <c r="BA34" s="62">
        <f t="shared" si="10"/>
        <v>0</v>
      </c>
      <c r="BB34" s="33">
        <f>'[1]links-p0'!D30</f>
        <v>0</v>
      </c>
    </row>
    <row r="35" spans="1:54" x14ac:dyDescent="0.35">
      <c r="A35" s="33"/>
      <c r="B35" s="40">
        <f t="shared" si="11"/>
        <v>29</v>
      </c>
      <c r="C35" s="41">
        <v>0</v>
      </c>
      <c r="D35" s="23">
        <v>0</v>
      </c>
      <c r="E35" s="23">
        <v>0</v>
      </c>
      <c r="F35" s="23">
        <f t="shared" si="0"/>
        <v>0</v>
      </c>
      <c r="G35" s="42">
        <f t="shared" si="2"/>
        <v>0</v>
      </c>
      <c r="H35" s="23">
        <f>'[1]generators-p'!B31</f>
        <v>0</v>
      </c>
      <c r="I35" s="23">
        <f>'[1]generators-p'!C31</f>
        <v>0</v>
      </c>
      <c r="J35" s="23">
        <f>'[1]generators-p'!D31</f>
        <v>0</v>
      </c>
      <c r="K35" s="23">
        <v>0</v>
      </c>
      <c r="L35" s="23">
        <f t="shared" si="3"/>
        <v>0</v>
      </c>
      <c r="M35" s="42">
        <f t="shared" si="1"/>
        <v>0</v>
      </c>
      <c r="N35" s="33"/>
      <c r="O35" s="44">
        <f t="shared" si="12"/>
        <v>29</v>
      </c>
      <c r="P35" s="23">
        <v>13171.9704</v>
      </c>
      <c r="Q35" s="23">
        <v>784.3</v>
      </c>
      <c r="R35" s="23">
        <v>170.5</v>
      </c>
      <c r="S35" s="23">
        <f t="shared" si="4"/>
        <v>14126.770399999999</v>
      </c>
      <c r="T35" s="42">
        <f t="shared" si="5"/>
        <v>0.15388672306475612</v>
      </c>
      <c r="U35" s="41">
        <f>'[1]generators-p'!E31</f>
        <v>13599.38045674861</v>
      </c>
      <c r="V35" s="42">
        <f t="shared" si="6"/>
        <v>0.14814172205983683</v>
      </c>
      <c r="W35" s="33"/>
      <c r="X35" s="40">
        <v>29</v>
      </c>
      <c r="Y35" s="54">
        <v>1856.24740855</v>
      </c>
      <c r="Z35" s="54">
        <v>3996.82998</v>
      </c>
      <c r="AA35" s="55">
        <f t="shared" si="7"/>
        <v>5853.0773885500003</v>
      </c>
      <c r="AB35" s="56">
        <f>'[1]generators-p'!J31</f>
        <v>7493.793096282272</v>
      </c>
      <c r="AC35" s="54">
        <f>'[1]links-p0'!E31</f>
        <v>2615.8324174263571</v>
      </c>
      <c r="AD35" s="54">
        <f t="shared" si="8"/>
        <v>7076.7378595960408</v>
      </c>
      <c r="AE35" s="33"/>
      <c r="AF35" s="45">
        <v>29</v>
      </c>
      <c r="AG35" s="52">
        <v>1591.4646720000001</v>
      </c>
      <c r="AH35" s="52">
        <f>'[1]links-p0'!B31</f>
        <v>0</v>
      </c>
      <c r="AI35" s="33"/>
      <c r="AJ35" s="40">
        <v>29</v>
      </c>
      <c r="AK35" s="23">
        <v>0</v>
      </c>
      <c r="AL35" s="52">
        <f>'[1]links-p0'!H31</f>
        <v>0</v>
      </c>
      <c r="AM35" s="33"/>
      <c r="AN35" s="40">
        <v>29</v>
      </c>
      <c r="AO35" s="23">
        <v>3156.57</v>
      </c>
      <c r="AP35" s="52">
        <v>0</v>
      </c>
      <c r="AQ35" s="62">
        <f t="shared" si="9"/>
        <v>3156.57</v>
      </c>
      <c r="AR35" s="33">
        <f>'[1]links-p0'!C31</f>
        <v>16141.3867910638</v>
      </c>
      <c r="AS35" s="33"/>
      <c r="AT35" s="40">
        <v>29</v>
      </c>
      <c r="AU35" s="23">
        <v>4613</v>
      </c>
      <c r="AV35" s="33">
        <f>'[1]links-p0'!I31</f>
        <v>3135</v>
      </c>
      <c r="AW35" s="33"/>
      <c r="AX35" s="40">
        <v>29</v>
      </c>
      <c r="AY35" s="23">
        <v>0</v>
      </c>
      <c r="AZ35" s="52">
        <v>0</v>
      </c>
      <c r="BA35" s="62">
        <f t="shared" si="10"/>
        <v>0</v>
      </c>
      <c r="BB35" s="33">
        <f>'[1]links-p0'!D31</f>
        <v>0</v>
      </c>
    </row>
    <row r="36" spans="1:54" x14ac:dyDescent="0.35">
      <c r="A36" s="33"/>
      <c r="B36" s="40">
        <f t="shared" si="11"/>
        <v>30</v>
      </c>
      <c r="C36" s="41">
        <v>0</v>
      </c>
      <c r="D36" s="23">
        <v>0</v>
      </c>
      <c r="E36" s="23">
        <v>0</v>
      </c>
      <c r="F36" s="23">
        <f t="shared" si="0"/>
        <v>0</v>
      </c>
      <c r="G36" s="42">
        <f t="shared" si="2"/>
        <v>0</v>
      </c>
      <c r="H36" s="23">
        <f>'[1]generators-p'!B32</f>
        <v>0</v>
      </c>
      <c r="I36" s="23">
        <f>'[1]generators-p'!C32</f>
        <v>0</v>
      </c>
      <c r="J36" s="23">
        <f>'[1]generators-p'!D32</f>
        <v>0</v>
      </c>
      <c r="K36" s="23">
        <v>0</v>
      </c>
      <c r="L36" s="23">
        <f t="shared" si="3"/>
        <v>0</v>
      </c>
      <c r="M36" s="42">
        <f t="shared" si="1"/>
        <v>0</v>
      </c>
      <c r="N36" s="33"/>
      <c r="O36" s="44">
        <f t="shared" si="12"/>
        <v>30</v>
      </c>
      <c r="P36" s="23">
        <v>11925.9732</v>
      </c>
      <c r="Q36" s="23">
        <v>802.7</v>
      </c>
      <c r="R36" s="23">
        <v>174.5</v>
      </c>
      <c r="S36" s="23">
        <f t="shared" si="4"/>
        <v>12903.173200000001</v>
      </c>
      <c r="T36" s="42">
        <f t="shared" si="5"/>
        <v>0.14055774849182678</v>
      </c>
      <c r="U36" s="41">
        <f>'[1]generators-p'!E32</f>
        <v>12281.728618574811</v>
      </c>
      <c r="V36" s="42">
        <f t="shared" si="6"/>
        <v>0.1337881849260544</v>
      </c>
      <c r="W36" s="33"/>
      <c r="X36" s="40">
        <v>30</v>
      </c>
      <c r="Y36" s="54">
        <v>2370.1059789400001</v>
      </c>
      <c r="Z36" s="54">
        <v>3609.57539</v>
      </c>
      <c r="AA36" s="55">
        <f t="shared" si="7"/>
        <v>5979.6813689400005</v>
      </c>
      <c r="AB36" s="56">
        <f>'[1]generators-p'!J32</f>
        <v>6767.7151488629506</v>
      </c>
      <c r="AC36" s="54">
        <f>'[1]links-p0'!E32</f>
        <v>3510.9837976641552</v>
      </c>
      <c r="AD36" s="54">
        <f t="shared" si="8"/>
        <v>7195.089262568973</v>
      </c>
      <c r="AE36" s="33"/>
      <c r="AF36" s="45">
        <v>30</v>
      </c>
      <c r="AG36" s="52">
        <v>1591.4646720000001</v>
      </c>
      <c r="AH36" s="52">
        <f>'[1]links-p0'!B32</f>
        <v>0</v>
      </c>
      <c r="AI36" s="33"/>
      <c r="AJ36" s="40">
        <v>30</v>
      </c>
      <c r="AK36" s="23">
        <v>0</v>
      </c>
      <c r="AL36" s="52">
        <f>'[1]links-p0'!H32</f>
        <v>0</v>
      </c>
      <c r="AM36" s="33"/>
      <c r="AN36" s="40">
        <v>30</v>
      </c>
      <c r="AO36" s="23">
        <v>3156.57</v>
      </c>
      <c r="AP36" s="52">
        <v>0</v>
      </c>
      <c r="AQ36" s="62">
        <f t="shared" si="9"/>
        <v>3156.57</v>
      </c>
      <c r="AR36" s="33">
        <f>'[1]links-p0'!C32</f>
        <v>23375.405530030392</v>
      </c>
      <c r="AS36" s="33"/>
      <c r="AT36" s="40">
        <v>30</v>
      </c>
      <c r="AU36" s="23">
        <v>4613</v>
      </c>
      <c r="AV36" s="33">
        <f>'[1]links-p0'!I32</f>
        <v>3135</v>
      </c>
      <c r="AW36" s="33"/>
      <c r="AX36" s="40">
        <v>30</v>
      </c>
      <c r="AY36" s="23">
        <v>0</v>
      </c>
      <c r="AZ36" s="52">
        <v>0</v>
      </c>
      <c r="BA36" s="62">
        <f t="shared" si="10"/>
        <v>0</v>
      </c>
      <c r="BB36" s="33">
        <f>'[1]links-p0'!D32</f>
        <v>0</v>
      </c>
    </row>
    <row r="37" spans="1:54" x14ac:dyDescent="0.35">
      <c r="A37" s="33"/>
      <c r="B37" s="40">
        <f t="shared" si="11"/>
        <v>31</v>
      </c>
      <c r="C37" s="41">
        <v>0</v>
      </c>
      <c r="D37" s="23">
        <v>0</v>
      </c>
      <c r="E37" s="23">
        <v>0</v>
      </c>
      <c r="F37" s="23">
        <f t="shared" si="0"/>
        <v>0</v>
      </c>
      <c r="G37" s="42">
        <f t="shared" si="2"/>
        <v>0</v>
      </c>
      <c r="H37" s="23">
        <f>'[1]generators-p'!B33</f>
        <v>0</v>
      </c>
      <c r="I37" s="23">
        <f>'[1]generators-p'!C33</f>
        <v>0</v>
      </c>
      <c r="J37" s="23">
        <f>'[1]generators-p'!D33</f>
        <v>0</v>
      </c>
      <c r="K37" s="23">
        <v>0</v>
      </c>
      <c r="L37" s="23">
        <f t="shared" si="3"/>
        <v>0</v>
      </c>
      <c r="M37" s="42">
        <f t="shared" si="1"/>
        <v>0</v>
      </c>
      <c r="N37" s="33"/>
      <c r="O37" s="44">
        <f t="shared" si="12"/>
        <v>31</v>
      </c>
      <c r="P37" s="23">
        <v>10234.977000000001</v>
      </c>
      <c r="Q37" s="23">
        <v>816.5</v>
      </c>
      <c r="R37" s="23">
        <v>177.5</v>
      </c>
      <c r="S37" s="23">
        <f t="shared" si="4"/>
        <v>11228.977000000001</v>
      </c>
      <c r="T37" s="42">
        <f t="shared" si="5"/>
        <v>0.12232027738622525</v>
      </c>
      <c r="U37" s="41">
        <f>'[1]generators-p'!E33</f>
        <v>10580.61958356276</v>
      </c>
      <c r="V37" s="42">
        <f t="shared" si="6"/>
        <v>0.11525754504435479</v>
      </c>
      <c r="W37" s="33"/>
      <c r="X37" s="40">
        <v>31</v>
      </c>
      <c r="Y37" s="54">
        <v>4005.1616822400001</v>
      </c>
      <c r="Z37" s="54">
        <v>3109.6224999999999</v>
      </c>
      <c r="AA37" s="55">
        <f t="shared" si="7"/>
        <v>7114.7841822400005</v>
      </c>
      <c r="AB37" s="56">
        <f>'[1]generators-p'!J33</f>
        <v>5830.3372158652246</v>
      </c>
      <c r="AC37" s="54">
        <f>'[1]links-p0'!E33</f>
        <v>6078.1607525603094</v>
      </c>
      <c r="AD37" s="54">
        <f t="shared" si="8"/>
        <v>8335.9485778978742</v>
      </c>
      <c r="AE37" s="33"/>
      <c r="AF37" s="45">
        <v>31</v>
      </c>
      <c r="AG37" s="52">
        <v>1591.4646720000001</v>
      </c>
      <c r="AH37" s="52">
        <f>'[1]links-p0'!B33</f>
        <v>0</v>
      </c>
      <c r="AI37" s="33"/>
      <c r="AJ37" s="40">
        <v>31</v>
      </c>
      <c r="AK37" s="23">
        <v>0</v>
      </c>
      <c r="AL37" s="52">
        <f>'[1]links-p0'!H33</f>
        <v>0</v>
      </c>
      <c r="AM37" s="33"/>
      <c r="AN37" s="40">
        <v>31</v>
      </c>
      <c r="AO37" s="23">
        <v>3156.57</v>
      </c>
      <c r="AP37" s="52">
        <v>10447.41</v>
      </c>
      <c r="AQ37" s="62">
        <f t="shared" si="9"/>
        <v>13603.98</v>
      </c>
      <c r="AR37" s="33">
        <f>'[1]links-p0'!C33</f>
        <v>25140.2664733333</v>
      </c>
      <c r="AS37" s="33"/>
      <c r="AT37" s="40">
        <v>31</v>
      </c>
      <c r="AU37" s="23">
        <v>4613</v>
      </c>
      <c r="AV37" s="33">
        <f>'[1]links-p0'!I33</f>
        <v>3135</v>
      </c>
      <c r="AW37" s="33"/>
      <c r="AX37" s="40">
        <v>31</v>
      </c>
      <c r="AY37" s="23">
        <v>0</v>
      </c>
      <c r="AZ37" s="52">
        <v>0</v>
      </c>
      <c r="BA37" s="62">
        <f t="shared" si="10"/>
        <v>0</v>
      </c>
      <c r="BB37" s="33">
        <f>'[1]links-p0'!D33</f>
        <v>0</v>
      </c>
    </row>
    <row r="38" spans="1:54" x14ac:dyDescent="0.35">
      <c r="A38" s="33"/>
      <c r="B38" s="40">
        <f t="shared" si="11"/>
        <v>32</v>
      </c>
      <c r="C38" s="41">
        <v>0</v>
      </c>
      <c r="D38" s="23">
        <v>0</v>
      </c>
      <c r="E38" s="23">
        <v>0</v>
      </c>
      <c r="F38" s="23">
        <f t="shared" ref="F38:F69" si="13">C38+D38+E38</f>
        <v>0</v>
      </c>
      <c r="G38" s="42">
        <f t="shared" si="2"/>
        <v>0</v>
      </c>
      <c r="H38" s="23">
        <f>'[1]generators-p'!B34</f>
        <v>0</v>
      </c>
      <c r="I38" s="23">
        <f>'[1]generators-p'!C34</f>
        <v>0</v>
      </c>
      <c r="J38" s="23">
        <f>'[1]generators-p'!D34</f>
        <v>0</v>
      </c>
      <c r="K38" s="23">
        <v>0</v>
      </c>
      <c r="L38" s="23">
        <f t="shared" si="3"/>
        <v>0</v>
      </c>
      <c r="M38" s="42">
        <f t="shared" ref="M38:M69" si="14">L38/$I$2</f>
        <v>0</v>
      </c>
      <c r="N38" s="33"/>
      <c r="O38" s="44">
        <f t="shared" si="12"/>
        <v>32</v>
      </c>
      <c r="P38" s="23">
        <v>10056.9774</v>
      </c>
      <c r="Q38" s="23">
        <v>823.4</v>
      </c>
      <c r="R38" s="23">
        <v>179</v>
      </c>
      <c r="S38" s="23">
        <f t="shared" si="4"/>
        <v>11059.377399999999</v>
      </c>
      <c r="T38" s="42">
        <f t="shared" si="5"/>
        <v>0.12047278316510493</v>
      </c>
      <c r="U38" s="41">
        <f>'[1]generators-p'!E34</f>
        <v>10413.82697641188</v>
      </c>
      <c r="V38" s="42">
        <f t="shared" si="6"/>
        <v>0.11344062815400338</v>
      </c>
      <c r="W38" s="33"/>
      <c r="X38" s="40">
        <v>32</v>
      </c>
      <c r="Y38" s="54">
        <v>5062.6527287200006</v>
      </c>
      <c r="Z38" s="54">
        <v>3167.62311</v>
      </c>
      <c r="AA38" s="55">
        <f t="shared" si="7"/>
        <v>8230.275838720001</v>
      </c>
      <c r="AB38" s="56">
        <f>'[1]generators-p'!J34</f>
        <v>6139.7410064566093</v>
      </c>
      <c r="AC38" s="54">
        <f>'[1]links-p0'!E34</f>
        <v>7375.5273244896634</v>
      </c>
      <c r="AD38" s="54">
        <f t="shared" si="8"/>
        <v>9460.6878316623915</v>
      </c>
      <c r="AE38" s="33"/>
      <c r="AF38" s="45">
        <v>32</v>
      </c>
      <c r="AG38" s="52">
        <v>1591.4646720000001</v>
      </c>
      <c r="AH38" s="52">
        <f>'[1]links-p0'!B34</f>
        <v>0</v>
      </c>
      <c r="AI38" s="33"/>
      <c r="AJ38" s="40">
        <v>32</v>
      </c>
      <c r="AK38" s="23">
        <v>0</v>
      </c>
      <c r="AL38" s="52">
        <f>'[1]links-p0'!H34</f>
        <v>0</v>
      </c>
      <c r="AM38" s="33"/>
      <c r="AN38" s="40">
        <v>32</v>
      </c>
      <c r="AO38" s="23">
        <v>3156.57</v>
      </c>
      <c r="AP38" s="52">
        <v>10447.41</v>
      </c>
      <c r="AQ38" s="62">
        <f t="shared" si="9"/>
        <v>13603.98</v>
      </c>
      <c r="AR38" s="33">
        <f>'[1]links-p0'!C34</f>
        <v>25140.2664733333</v>
      </c>
      <c r="AS38" s="33"/>
      <c r="AT38" s="40">
        <v>32</v>
      </c>
      <c r="AU38" s="23">
        <v>4613</v>
      </c>
      <c r="AV38" s="33">
        <f>'[1]links-p0'!I34</f>
        <v>3135</v>
      </c>
      <c r="AW38" s="33"/>
      <c r="AX38" s="40">
        <v>32</v>
      </c>
      <c r="AY38" s="23">
        <v>0</v>
      </c>
      <c r="AZ38" s="52">
        <v>0</v>
      </c>
      <c r="BA38" s="62">
        <f t="shared" si="10"/>
        <v>0</v>
      </c>
      <c r="BB38" s="33">
        <f>'[1]links-p0'!D34</f>
        <v>0</v>
      </c>
    </row>
    <row r="39" spans="1:54" x14ac:dyDescent="0.35">
      <c r="A39" s="33"/>
      <c r="B39" s="40">
        <f t="shared" si="11"/>
        <v>33</v>
      </c>
      <c r="C39" s="41">
        <v>8881</v>
      </c>
      <c r="D39" s="23">
        <v>317.13</v>
      </c>
      <c r="E39" s="23">
        <v>3390</v>
      </c>
      <c r="F39" s="23">
        <f t="shared" si="13"/>
        <v>12588.13</v>
      </c>
      <c r="G39" s="42">
        <f t="shared" si="2"/>
        <v>0.10685565128814566</v>
      </c>
      <c r="H39" s="23">
        <f>'[1]generators-p'!B35</f>
        <v>8881.0000000000018</v>
      </c>
      <c r="I39" s="23">
        <f>'[1]generators-p'!C35</f>
        <v>317.13</v>
      </c>
      <c r="J39" s="23">
        <f>'[1]generators-p'!D35</f>
        <v>3390</v>
      </c>
      <c r="K39" s="23">
        <v>0</v>
      </c>
      <c r="L39" s="23">
        <f t="shared" si="3"/>
        <v>12588.130000000001</v>
      </c>
      <c r="M39" s="42">
        <f t="shared" si="14"/>
        <v>0.10685565128814567</v>
      </c>
      <c r="N39" s="33"/>
      <c r="O39" s="44">
        <f t="shared" si="12"/>
        <v>33</v>
      </c>
      <c r="P39" s="23">
        <v>9166.9794000000002</v>
      </c>
      <c r="Q39" s="23">
        <v>832.6</v>
      </c>
      <c r="R39" s="23">
        <v>181</v>
      </c>
      <c r="S39" s="23">
        <f t="shared" si="4"/>
        <v>10180.579400000001</v>
      </c>
      <c r="T39" s="42">
        <f t="shared" si="5"/>
        <v>0.11089979934596808</v>
      </c>
      <c r="U39" s="41">
        <f>'[1]generators-p'!E35</f>
        <v>9460.1706868510191</v>
      </c>
      <c r="V39" s="42">
        <f t="shared" si="6"/>
        <v>0.10305219278093219</v>
      </c>
      <c r="W39" s="33"/>
      <c r="X39" s="40">
        <v>33</v>
      </c>
      <c r="Y39" s="54">
        <v>3094.5704387199999</v>
      </c>
      <c r="Z39" s="54">
        <v>5745.8454000000002</v>
      </c>
      <c r="AA39" s="55">
        <f t="shared" si="7"/>
        <v>8840.4158387200005</v>
      </c>
      <c r="AB39" s="56">
        <f>'[1]generators-p'!J35</f>
        <v>16333.235205017119</v>
      </c>
      <c r="AC39" s="54">
        <f>'[1]links-p0'!E35</f>
        <v>0</v>
      </c>
      <c r="AD39" s="54">
        <f t="shared" si="8"/>
        <v>11433.264643511982</v>
      </c>
      <c r="AE39" s="33"/>
      <c r="AF39" s="45">
        <v>33</v>
      </c>
      <c r="AG39" s="52">
        <v>1591.4646720000001</v>
      </c>
      <c r="AH39" s="52">
        <f>'[1]links-p0'!B35</f>
        <v>0</v>
      </c>
      <c r="AI39" s="33"/>
      <c r="AJ39" s="40">
        <v>33</v>
      </c>
      <c r="AK39" s="23">
        <v>0</v>
      </c>
      <c r="AL39" s="52">
        <f>'[1]links-p0'!H35</f>
        <v>0</v>
      </c>
      <c r="AM39" s="33"/>
      <c r="AN39" s="40">
        <v>33</v>
      </c>
      <c r="AO39" s="23">
        <v>3156.57</v>
      </c>
      <c r="AP39" s="52">
        <v>2891.94138724</v>
      </c>
      <c r="AQ39" s="62">
        <f t="shared" si="9"/>
        <v>6048.5113872399997</v>
      </c>
      <c r="AR39" s="33">
        <f>'[1]links-p0'!C35</f>
        <v>13251.288631535839</v>
      </c>
      <c r="AS39" s="33"/>
      <c r="AT39" s="40">
        <v>33</v>
      </c>
      <c r="AU39" s="23">
        <v>4613</v>
      </c>
      <c r="AV39" s="33">
        <f>'[1]links-p0'!I35</f>
        <v>3135</v>
      </c>
      <c r="AW39" s="33"/>
      <c r="AX39" s="40">
        <v>33</v>
      </c>
      <c r="AY39" s="23">
        <v>0</v>
      </c>
      <c r="AZ39" s="52">
        <v>0</v>
      </c>
      <c r="BA39" s="62">
        <f t="shared" si="10"/>
        <v>0</v>
      </c>
      <c r="BB39" s="33">
        <f>'[1]links-p0'!D35</f>
        <v>0</v>
      </c>
    </row>
    <row r="40" spans="1:54" x14ac:dyDescent="0.35">
      <c r="A40" s="33"/>
      <c r="B40" s="40">
        <f t="shared" si="11"/>
        <v>34</v>
      </c>
      <c r="C40" s="41">
        <v>23323</v>
      </c>
      <c r="D40" s="23">
        <v>816.85</v>
      </c>
      <c r="E40" s="23">
        <v>8220</v>
      </c>
      <c r="F40" s="23">
        <f t="shared" si="13"/>
        <v>32359.85</v>
      </c>
      <c r="G40" s="42">
        <f t="shared" si="2"/>
        <v>0.27468995373710792</v>
      </c>
      <c r="H40" s="23">
        <f>'[1]generators-p'!B36</f>
        <v>23323.000000000011</v>
      </c>
      <c r="I40" s="23">
        <f>'[1]generators-p'!C36</f>
        <v>816.85</v>
      </c>
      <c r="J40" s="23">
        <f>'[1]generators-p'!D36</f>
        <v>8219.9999999999982</v>
      </c>
      <c r="K40" s="23">
        <v>0</v>
      </c>
      <c r="L40" s="23">
        <f t="shared" si="3"/>
        <v>32359.850000000009</v>
      </c>
      <c r="M40" s="42">
        <f t="shared" si="14"/>
        <v>0.27468995373710803</v>
      </c>
      <c r="N40" s="33"/>
      <c r="O40" s="44">
        <f t="shared" si="12"/>
        <v>34</v>
      </c>
      <c r="P40" s="23">
        <v>7742.9826000000003</v>
      </c>
      <c r="Q40" s="23">
        <v>864.8</v>
      </c>
      <c r="R40" s="23">
        <v>188</v>
      </c>
      <c r="S40" s="23">
        <f t="shared" si="4"/>
        <v>8795.7826000000005</v>
      </c>
      <c r="T40" s="42">
        <f t="shared" si="5"/>
        <v>9.5814834019246231E-2</v>
      </c>
      <c r="U40" s="41">
        <f>'[1]generators-p'!E36</f>
        <v>7941.8884700892058</v>
      </c>
      <c r="V40" s="42">
        <f t="shared" si="6"/>
        <v>8.6513134779043155E-2</v>
      </c>
      <c r="W40" s="33"/>
      <c r="X40" s="40">
        <v>34</v>
      </c>
      <c r="Y40" s="54">
        <v>1050.63391174</v>
      </c>
      <c r="Z40" s="54">
        <v>9812.1637900000005</v>
      </c>
      <c r="AA40" s="55">
        <f t="shared" si="7"/>
        <v>10862.797701740001</v>
      </c>
      <c r="AB40" s="56">
        <f>'[1]generators-p'!J36</f>
        <v>24506.43981</v>
      </c>
      <c r="AC40" s="54">
        <f>'[1]links-p0'!E36</f>
        <v>0</v>
      </c>
      <c r="AD40" s="54">
        <f t="shared" si="8"/>
        <v>17154.507867</v>
      </c>
      <c r="AE40" s="33"/>
      <c r="AF40" s="45">
        <v>34</v>
      </c>
      <c r="AG40" s="52">
        <v>0</v>
      </c>
      <c r="AH40" s="52">
        <f>'[1]links-p0'!B36</f>
        <v>0</v>
      </c>
      <c r="AI40" s="33"/>
      <c r="AJ40" s="40">
        <v>34</v>
      </c>
      <c r="AK40" s="23">
        <v>0</v>
      </c>
      <c r="AL40" s="52">
        <f>'[1]links-p0'!H36</f>
        <v>0</v>
      </c>
      <c r="AM40" s="33"/>
      <c r="AN40" s="40">
        <v>34</v>
      </c>
      <c r="AO40" s="23">
        <v>3156.57</v>
      </c>
      <c r="AP40" s="52">
        <v>0</v>
      </c>
      <c r="AQ40" s="62">
        <f t="shared" si="9"/>
        <v>3156.57</v>
      </c>
      <c r="AR40" s="33">
        <f>'[1]links-p0'!C36</f>
        <v>0</v>
      </c>
      <c r="AS40" s="33"/>
      <c r="AT40" s="40">
        <v>34</v>
      </c>
      <c r="AU40" s="23">
        <v>4613</v>
      </c>
      <c r="AV40" s="33">
        <f>'[1]links-p0'!I36</f>
        <v>0</v>
      </c>
      <c r="AW40" s="33"/>
      <c r="AX40" s="40">
        <v>34</v>
      </c>
      <c r="AY40" s="23">
        <v>0</v>
      </c>
      <c r="AZ40" s="52">
        <v>10423.35</v>
      </c>
      <c r="BA40" s="62">
        <f t="shared" si="10"/>
        <v>10423.35</v>
      </c>
      <c r="BB40" s="33">
        <f>'[1]links-p0'!D36</f>
        <v>0</v>
      </c>
    </row>
    <row r="41" spans="1:54" x14ac:dyDescent="0.35">
      <c r="A41" s="33"/>
      <c r="B41" s="40">
        <f t="shared" si="11"/>
        <v>35</v>
      </c>
      <c r="C41" s="41">
        <v>29216</v>
      </c>
      <c r="D41" s="23">
        <v>1359.8150000000001</v>
      </c>
      <c r="E41" s="23">
        <v>12180</v>
      </c>
      <c r="F41" s="23">
        <f t="shared" si="13"/>
        <v>42755.815000000002</v>
      </c>
      <c r="G41" s="42">
        <f t="shared" si="2"/>
        <v>0.36293718433003697</v>
      </c>
      <c r="H41" s="23">
        <f>'[1]generators-p'!B37</f>
        <v>29215.999999999989</v>
      </c>
      <c r="I41" s="23">
        <f>'[1]generators-p'!C37</f>
        <v>1359.8149999999951</v>
      </c>
      <c r="J41" s="23">
        <f>'[1]generators-p'!D37</f>
        <v>12180</v>
      </c>
      <c r="K41" s="23">
        <v>0</v>
      </c>
      <c r="L41" s="23">
        <f t="shared" si="3"/>
        <v>42755.814999999988</v>
      </c>
      <c r="M41" s="42">
        <f t="shared" si="14"/>
        <v>0.3629371843300368</v>
      </c>
      <c r="N41" s="33"/>
      <c r="O41" s="44">
        <f t="shared" si="12"/>
        <v>35</v>
      </c>
      <c r="P41" s="23">
        <v>7297.9835999999996</v>
      </c>
      <c r="Q41" s="23">
        <v>883.2</v>
      </c>
      <c r="R41" s="23">
        <v>192</v>
      </c>
      <c r="S41" s="23">
        <f t="shared" si="4"/>
        <v>8373.1836000000003</v>
      </c>
      <c r="T41" s="42">
        <f t="shared" si="5"/>
        <v>9.1211349044333437E-2</v>
      </c>
      <c r="U41" s="41">
        <f>'[1]generators-p'!E37</f>
        <v>7497.5158672407233</v>
      </c>
      <c r="V41" s="42">
        <f t="shared" si="6"/>
        <v>8.167246407117143E-2</v>
      </c>
      <c r="W41" s="33"/>
      <c r="X41" s="40">
        <v>35</v>
      </c>
      <c r="Y41" s="54">
        <v>153.1264832</v>
      </c>
      <c r="Z41" s="54">
        <v>12427.44666</v>
      </c>
      <c r="AA41" s="55">
        <f t="shared" si="7"/>
        <v>12580.573143199999</v>
      </c>
      <c r="AB41" s="56">
        <f>'[1]generators-p'!J37</f>
        <v>24199.8020813</v>
      </c>
      <c r="AC41" s="54">
        <f>'[1]links-p0'!E37</f>
        <v>0</v>
      </c>
      <c r="AD41" s="54">
        <f t="shared" si="8"/>
        <v>16939.861456909999</v>
      </c>
      <c r="AE41" s="33"/>
      <c r="AF41" s="45">
        <v>35</v>
      </c>
      <c r="AG41" s="52">
        <v>0</v>
      </c>
      <c r="AH41" s="52">
        <f>'[1]links-p0'!B37</f>
        <v>0</v>
      </c>
      <c r="AI41" s="33"/>
      <c r="AJ41" s="40">
        <v>35</v>
      </c>
      <c r="AK41" s="23">
        <v>0</v>
      </c>
      <c r="AL41" s="52">
        <f>'[1]links-p0'!H37</f>
        <v>0</v>
      </c>
      <c r="AM41" s="33"/>
      <c r="AN41" s="40">
        <v>35</v>
      </c>
      <c r="AO41" s="23">
        <v>3156.57</v>
      </c>
      <c r="AP41" s="52">
        <v>0</v>
      </c>
      <c r="AQ41" s="62">
        <f t="shared" si="9"/>
        <v>3156.57</v>
      </c>
      <c r="AR41" s="33">
        <f>'[1]links-p0'!C37</f>
        <v>0</v>
      </c>
      <c r="AS41" s="33"/>
      <c r="AT41" s="40">
        <v>35</v>
      </c>
      <c r="AU41" s="23">
        <v>4613</v>
      </c>
      <c r="AV41" s="33">
        <f>'[1]links-p0'!I37</f>
        <v>0</v>
      </c>
      <c r="AW41" s="33"/>
      <c r="AX41" s="40">
        <v>35</v>
      </c>
      <c r="AY41" s="23">
        <v>0</v>
      </c>
      <c r="AZ41" s="52">
        <v>10423.35</v>
      </c>
      <c r="BA41" s="62">
        <f t="shared" si="10"/>
        <v>10423.35</v>
      </c>
      <c r="BB41" s="33">
        <f>'[1]links-p0'!D37</f>
        <v>0</v>
      </c>
    </row>
    <row r="42" spans="1:54" x14ac:dyDescent="0.35">
      <c r="A42" s="33"/>
      <c r="B42" s="40">
        <f t="shared" si="11"/>
        <v>36</v>
      </c>
      <c r="C42" s="41">
        <v>31789</v>
      </c>
      <c r="D42" s="23">
        <v>1773.0450000000001</v>
      </c>
      <c r="E42" s="23">
        <v>14700</v>
      </c>
      <c r="F42" s="23">
        <f t="shared" si="13"/>
        <v>48262.044999999998</v>
      </c>
      <c r="G42" s="42">
        <f t="shared" si="2"/>
        <v>0.40967739060311531</v>
      </c>
      <c r="H42" s="23">
        <f>'[1]generators-p'!B38</f>
        <v>31789</v>
      </c>
      <c r="I42" s="23">
        <f>'[1]generators-p'!C38</f>
        <v>1773.0450000000001</v>
      </c>
      <c r="J42" s="23">
        <f>'[1]generators-p'!D38</f>
        <v>14700</v>
      </c>
      <c r="K42" s="23">
        <v>2920.881408467912</v>
      </c>
      <c r="L42" s="23">
        <f t="shared" si="3"/>
        <v>48262.044999999998</v>
      </c>
      <c r="M42" s="42">
        <f t="shared" si="14"/>
        <v>0.40967739060311531</v>
      </c>
      <c r="N42" s="33"/>
      <c r="O42" s="44">
        <f t="shared" si="12"/>
        <v>36</v>
      </c>
      <c r="P42" s="23">
        <v>7742.9826000000003</v>
      </c>
      <c r="Q42" s="23">
        <v>901.6</v>
      </c>
      <c r="R42" s="23">
        <v>196</v>
      </c>
      <c r="S42" s="23">
        <f t="shared" si="4"/>
        <v>8840.5825999999997</v>
      </c>
      <c r="T42" s="42">
        <f t="shared" si="5"/>
        <v>9.6302852511661236E-2</v>
      </c>
      <c r="U42" s="41">
        <f>'[1]generators-p'!E38</f>
        <v>8021.6047494042296</v>
      </c>
      <c r="V42" s="42">
        <f t="shared" si="6"/>
        <v>8.7381505726638067E-2</v>
      </c>
      <c r="W42" s="33"/>
      <c r="X42" s="40">
        <v>36</v>
      </c>
      <c r="Y42" s="54">
        <v>0</v>
      </c>
      <c r="Z42" s="54">
        <v>14132.36469</v>
      </c>
      <c r="AA42" s="55">
        <f t="shared" si="7"/>
        <v>14132.36469</v>
      </c>
      <c r="AB42" s="56">
        <f>'[1]generators-p'!J38</f>
        <v>25485.618461714279</v>
      </c>
      <c r="AC42" s="54">
        <f>'[1]links-p0'!E38</f>
        <v>0</v>
      </c>
      <c r="AD42" s="54">
        <f t="shared" si="8"/>
        <v>17839.932923199995</v>
      </c>
      <c r="AE42" s="33"/>
      <c r="AF42" s="45">
        <v>36</v>
      </c>
      <c r="AG42" s="52">
        <v>0</v>
      </c>
      <c r="AH42" s="52">
        <f>'[1]links-p0'!B38</f>
        <v>0</v>
      </c>
      <c r="AI42" s="33"/>
      <c r="AJ42" s="40">
        <v>36</v>
      </c>
      <c r="AK42" s="23">
        <v>0</v>
      </c>
      <c r="AL42" s="52">
        <f>'[1]links-p0'!H38</f>
        <v>0</v>
      </c>
      <c r="AM42" s="33"/>
      <c r="AN42" s="40">
        <v>36</v>
      </c>
      <c r="AO42" s="23">
        <v>3156.57</v>
      </c>
      <c r="AP42" s="52">
        <v>0</v>
      </c>
      <c r="AQ42" s="62">
        <f t="shared" si="9"/>
        <v>3156.57</v>
      </c>
      <c r="AR42" s="33">
        <f>'[1]links-p0'!C38</f>
        <v>0</v>
      </c>
      <c r="AS42" s="33"/>
      <c r="AT42" s="40">
        <v>36</v>
      </c>
      <c r="AU42" s="23">
        <v>4613</v>
      </c>
      <c r="AV42" s="33">
        <f>'[1]links-p0'!I38</f>
        <v>0</v>
      </c>
      <c r="AW42" s="33"/>
      <c r="AX42" s="40">
        <v>36</v>
      </c>
      <c r="AY42" s="23">
        <v>0</v>
      </c>
      <c r="AZ42" s="52">
        <v>10423.35</v>
      </c>
      <c r="BA42" s="62">
        <f t="shared" si="10"/>
        <v>10423.35</v>
      </c>
      <c r="BB42" s="33">
        <f>'[1]links-p0'!D38</f>
        <v>0</v>
      </c>
    </row>
    <row r="43" spans="1:54" x14ac:dyDescent="0.35">
      <c r="A43" s="33"/>
      <c r="B43" s="40">
        <f t="shared" si="11"/>
        <v>37</v>
      </c>
      <c r="C43" s="41">
        <v>32702</v>
      </c>
      <c r="D43" s="23">
        <v>1922</v>
      </c>
      <c r="E43" s="23">
        <v>15330</v>
      </c>
      <c r="F43" s="23">
        <f t="shared" si="13"/>
        <v>49954</v>
      </c>
      <c r="G43" s="42">
        <f t="shared" si="2"/>
        <v>0.42403972666694961</v>
      </c>
      <c r="H43" s="23">
        <f>'[1]generators-p'!B39</f>
        <v>32702</v>
      </c>
      <c r="I43" s="23">
        <f>'[1]generators-p'!C39</f>
        <v>1922</v>
      </c>
      <c r="J43" s="23">
        <f>'[1]generators-p'!D39</f>
        <v>15330</v>
      </c>
      <c r="K43" s="23">
        <v>3918.947379686274</v>
      </c>
      <c r="L43" s="23">
        <f t="shared" si="3"/>
        <v>49954</v>
      </c>
      <c r="M43" s="42">
        <f t="shared" si="14"/>
        <v>0.42403972666694961</v>
      </c>
      <c r="N43" s="33"/>
      <c r="O43" s="44">
        <f t="shared" si="12"/>
        <v>37</v>
      </c>
      <c r="P43" s="23">
        <v>7920.9822000000004</v>
      </c>
      <c r="Q43" s="23">
        <v>917.7</v>
      </c>
      <c r="R43" s="23">
        <v>199.5</v>
      </c>
      <c r="S43" s="23">
        <f t="shared" si="4"/>
        <v>9038.1822000000011</v>
      </c>
      <c r="T43" s="42">
        <f t="shared" si="5"/>
        <v>9.8455358290540945E-2</v>
      </c>
      <c r="U43" s="41">
        <f>'[1]generators-p'!E39</f>
        <v>8207.2718532950585</v>
      </c>
      <c r="V43" s="42">
        <f t="shared" si="6"/>
        <v>8.9404027604581465E-2</v>
      </c>
      <c r="W43" s="33"/>
      <c r="X43" s="40">
        <v>37</v>
      </c>
      <c r="Y43" s="54">
        <v>0</v>
      </c>
      <c r="Z43" s="54">
        <v>14631.32855</v>
      </c>
      <c r="AA43" s="55">
        <f t="shared" si="7"/>
        <v>14631.32855</v>
      </c>
      <c r="AB43" s="56">
        <f>'[1]generators-p'!J39</f>
        <v>26674.948381428581</v>
      </c>
      <c r="AC43" s="54">
        <f>'[1]links-p0'!E39</f>
        <v>0</v>
      </c>
      <c r="AD43" s="54">
        <f t="shared" si="8"/>
        <v>18672.463867000006</v>
      </c>
      <c r="AE43" s="33"/>
      <c r="AF43" s="45">
        <v>37</v>
      </c>
      <c r="AG43" s="52">
        <v>0</v>
      </c>
      <c r="AH43" s="52">
        <f>'[1]links-p0'!B39</f>
        <v>0</v>
      </c>
      <c r="AI43" s="33"/>
      <c r="AJ43" s="40">
        <v>37</v>
      </c>
      <c r="AK43" s="23">
        <v>0</v>
      </c>
      <c r="AL43" s="52">
        <f>'[1]links-p0'!H39</f>
        <v>0</v>
      </c>
      <c r="AM43" s="33"/>
      <c r="AN43" s="40">
        <v>37</v>
      </c>
      <c r="AO43" s="23">
        <v>0</v>
      </c>
      <c r="AP43" s="52">
        <v>0</v>
      </c>
      <c r="AQ43" s="62">
        <f t="shared" si="9"/>
        <v>0</v>
      </c>
      <c r="AR43" s="33">
        <f>'[1]links-p0'!C39</f>
        <v>0</v>
      </c>
      <c r="AS43" s="33"/>
      <c r="AT43" s="40">
        <v>37</v>
      </c>
      <c r="AU43" s="23">
        <v>4613</v>
      </c>
      <c r="AV43" s="33">
        <f>'[1]links-p0'!I39</f>
        <v>0</v>
      </c>
      <c r="AW43" s="33"/>
      <c r="AX43" s="40">
        <v>37</v>
      </c>
      <c r="AY43" s="23">
        <v>0</v>
      </c>
      <c r="AZ43" s="52">
        <v>10423.35</v>
      </c>
      <c r="BA43" s="62">
        <f t="shared" si="10"/>
        <v>10423.35</v>
      </c>
      <c r="BB43" s="33">
        <f>'[1]links-p0'!D39</f>
        <v>0</v>
      </c>
    </row>
    <row r="44" spans="1:54" x14ac:dyDescent="0.35">
      <c r="A44" s="33"/>
      <c r="B44" s="40">
        <f t="shared" si="11"/>
        <v>38</v>
      </c>
      <c r="C44" s="41">
        <v>33034</v>
      </c>
      <c r="D44" s="23">
        <v>1744.2149999999999</v>
      </c>
      <c r="E44" s="23">
        <v>14100</v>
      </c>
      <c r="F44" s="23">
        <f t="shared" si="13"/>
        <v>48878.214999999997</v>
      </c>
      <c r="G44" s="42">
        <f t="shared" si="2"/>
        <v>0.41490781376002711</v>
      </c>
      <c r="H44" s="23">
        <f>'[1]generators-p'!B40</f>
        <v>33034</v>
      </c>
      <c r="I44" s="23">
        <f>'[1]generators-p'!C40</f>
        <v>1744.2149999999999</v>
      </c>
      <c r="J44" s="23">
        <f>'[1]generators-p'!D40</f>
        <v>14100</v>
      </c>
      <c r="K44" s="23">
        <v>2686.1628169024011</v>
      </c>
      <c r="L44" s="23">
        <f t="shared" si="3"/>
        <v>48878.214999999997</v>
      </c>
      <c r="M44" s="42">
        <f t="shared" si="14"/>
        <v>0.41490781376002711</v>
      </c>
      <c r="N44" s="33"/>
      <c r="O44" s="44">
        <f t="shared" si="12"/>
        <v>38</v>
      </c>
      <c r="P44" s="23">
        <v>7475.9831999999997</v>
      </c>
      <c r="Q44" s="23">
        <v>913.1</v>
      </c>
      <c r="R44" s="23">
        <v>198.5</v>
      </c>
      <c r="S44" s="23">
        <f t="shared" si="4"/>
        <v>8587.5831999999991</v>
      </c>
      <c r="T44" s="42">
        <f t="shared" si="5"/>
        <v>9.3546861757868735E-2</v>
      </c>
      <c r="U44" s="41">
        <f>'[1]generators-p'!E40</f>
        <v>7701.0753018705727</v>
      </c>
      <c r="V44" s="42">
        <f t="shared" si="6"/>
        <v>8.3889891937352509E-2</v>
      </c>
      <c r="W44" s="33"/>
      <c r="X44" s="40">
        <v>38</v>
      </c>
      <c r="Y44" s="54">
        <v>0</v>
      </c>
      <c r="Z44" s="54">
        <v>13974.337149999999</v>
      </c>
      <c r="AA44" s="55">
        <f t="shared" si="7"/>
        <v>13974.337149999999</v>
      </c>
      <c r="AB44" s="56">
        <f>'[1]generators-p'!J40</f>
        <v>23530.331447671429</v>
      </c>
      <c r="AC44" s="54">
        <f>'[1]links-p0'!E40</f>
        <v>0</v>
      </c>
      <c r="AD44" s="54">
        <f t="shared" si="8"/>
        <v>16471.232013370001</v>
      </c>
      <c r="AE44" s="33"/>
      <c r="AF44" s="45">
        <v>38</v>
      </c>
      <c r="AG44" s="52">
        <v>0</v>
      </c>
      <c r="AH44" s="52">
        <f>'[1]links-p0'!B40</f>
        <v>0</v>
      </c>
      <c r="AI44" s="33"/>
      <c r="AJ44" s="40">
        <v>38</v>
      </c>
      <c r="AK44" s="23">
        <v>0</v>
      </c>
      <c r="AL44" s="52">
        <f>'[1]links-p0'!H40</f>
        <v>0</v>
      </c>
      <c r="AM44" s="33"/>
      <c r="AN44" s="40">
        <v>38</v>
      </c>
      <c r="AO44" s="23">
        <v>3156.57</v>
      </c>
      <c r="AP44" s="52">
        <v>0</v>
      </c>
      <c r="AQ44" s="62">
        <f t="shared" si="9"/>
        <v>3156.57</v>
      </c>
      <c r="AR44" s="33">
        <f>'[1]links-p0'!C40</f>
        <v>0</v>
      </c>
      <c r="AS44" s="33"/>
      <c r="AT44" s="40">
        <v>38</v>
      </c>
      <c r="AU44" s="23">
        <v>4613</v>
      </c>
      <c r="AV44" s="33">
        <f>'[1]links-p0'!I40</f>
        <v>0</v>
      </c>
      <c r="AW44" s="33"/>
      <c r="AX44" s="40">
        <v>38</v>
      </c>
      <c r="AY44" s="23">
        <v>0</v>
      </c>
      <c r="AZ44" s="52">
        <v>10423.35</v>
      </c>
      <c r="BA44" s="62">
        <f t="shared" si="10"/>
        <v>10423.35</v>
      </c>
      <c r="BB44" s="33">
        <f>'[1]links-p0'!D40</f>
        <v>0</v>
      </c>
    </row>
    <row r="45" spans="1:54" x14ac:dyDescent="0.35">
      <c r="A45" s="33"/>
      <c r="B45" s="40">
        <f t="shared" si="11"/>
        <v>39</v>
      </c>
      <c r="C45" s="41">
        <v>31125</v>
      </c>
      <c r="D45" s="23">
        <v>1273.325</v>
      </c>
      <c r="E45" s="23">
        <v>10860</v>
      </c>
      <c r="F45" s="23">
        <f t="shared" si="13"/>
        <v>43258.324999999997</v>
      </c>
      <c r="G45" s="42">
        <f t="shared" si="2"/>
        <v>0.36720279275073214</v>
      </c>
      <c r="H45" s="23">
        <f>'[1]generators-p'!B41</f>
        <v>31125</v>
      </c>
      <c r="I45" s="23">
        <f>'[1]generators-p'!C41</f>
        <v>1273.325</v>
      </c>
      <c r="J45" s="23">
        <f>'[1]generators-p'!D41</f>
        <v>10859.999999999971</v>
      </c>
      <c r="K45" s="23">
        <v>0</v>
      </c>
      <c r="L45" s="23">
        <f t="shared" si="3"/>
        <v>43258.324999999968</v>
      </c>
      <c r="M45" s="42">
        <f t="shared" si="14"/>
        <v>0.36720279275073187</v>
      </c>
      <c r="N45" s="33"/>
      <c r="O45" s="44">
        <f t="shared" si="12"/>
        <v>39</v>
      </c>
      <c r="P45" s="23">
        <v>7030.9841999999999</v>
      </c>
      <c r="Q45" s="23">
        <v>899.3</v>
      </c>
      <c r="R45" s="23">
        <v>195.5</v>
      </c>
      <c r="S45" s="23">
        <f t="shared" si="4"/>
        <v>8125.7842000000001</v>
      </c>
      <c r="T45" s="42">
        <f t="shared" si="5"/>
        <v>8.8516360602092808E-2</v>
      </c>
      <c r="U45" s="41">
        <f>'[1]generators-p'!E41</f>
        <v>7208.4567662448699</v>
      </c>
      <c r="V45" s="42">
        <f t="shared" si="6"/>
        <v>7.8523665261197403E-2</v>
      </c>
      <c r="W45" s="33"/>
      <c r="X45" s="40">
        <v>39</v>
      </c>
      <c r="Y45" s="54">
        <v>0</v>
      </c>
      <c r="Z45" s="54">
        <v>12058.272220000001</v>
      </c>
      <c r="AA45" s="55">
        <f t="shared" si="7"/>
        <v>12058.272220000001</v>
      </c>
      <c r="AB45" s="56">
        <f>'[1]generators-p'!J41</f>
        <v>22060.060019100001</v>
      </c>
      <c r="AC45" s="54">
        <f>'[1]links-p0'!E41</f>
        <v>0</v>
      </c>
      <c r="AD45" s="54">
        <f t="shared" si="8"/>
        <v>15442.042013369999</v>
      </c>
      <c r="AE45" s="33"/>
      <c r="AF45" s="45">
        <v>39</v>
      </c>
      <c r="AG45" s="52">
        <v>0</v>
      </c>
      <c r="AH45" s="52">
        <f>'[1]links-p0'!B41</f>
        <v>0</v>
      </c>
      <c r="AI45" s="33"/>
      <c r="AJ45" s="40">
        <v>39</v>
      </c>
      <c r="AK45" s="23">
        <v>0</v>
      </c>
      <c r="AL45" s="52">
        <f>'[1]links-p0'!H41</f>
        <v>0</v>
      </c>
      <c r="AM45" s="33"/>
      <c r="AN45" s="40">
        <v>39</v>
      </c>
      <c r="AO45" s="23">
        <v>0</v>
      </c>
      <c r="AP45" s="52">
        <v>0</v>
      </c>
      <c r="AQ45" s="62">
        <f t="shared" si="9"/>
        <v>0</v>
      </c>
      <c r="AR45" s="33">
        <f>'[1]links-p0'!C41</f>
        <v>0</v>
      </c>
      <c r="AS45" s="33"/>
      <c r="AT45" s="40">
        <v>39</v>
      </c>
      <c r="AU45" s="23">
        <v>4613</v>
      </c>
      <c r="AV45" s="33">
        <f>'[1]links-p0'!I41</f>
        <v>0</v>
      </c>
      <c r="AW45" s="33"/>
      <c r="AX45" s="40">
        <v>39</v>
      </c>
      <c r="AY45" s="23">
        <v>0</v>
      </c>
      <c r="AZ45" s="52">
        <v>10423.35</v>
      </c>
      <c r="BA45" s="62">
        <f t="shared" si="10"/>
        <v>10423.35</v>
      </c>
      <c r="BB45" s="33">
        <f>'[1]links-p0'!D41</f>
        <v>0</v>
      </c>
    </row>
    <row r="46" spans="1:54" x14ac:dyDescent="0.35">
      <c r="A46" s="33"/>
      <c r="B46" s="40">
        <f t="shared" si="11"/>
        <v>40</v>
      </c>
      <c r="C46" s="41">
        <v>21912</v>
      </c>
      <c r="D46" s="23">
        <v>639.06500000000005</v>
      </c>
      <c r="E46" s="23">
        <v>6390</v>
      </c>
      <c r="F46" s="23">
        <f t="shared" si="13"/>
        <v>28941.064999999999</v>
      </c>
      <c r="G46" s="42">
        <f t="shared" si="2"/>
        <v>0.2456692415432282</v>
      </c>
      <c r="H46" s="23">
        <f>'[1]generators-p'!B42</f>
        <v>21912</v>
      </c>
      <c r="I46" s="23">
        <f>'[1]generators-p'!C42</f>
        <v>639.06500000000005</v>
      </c>
      <c r="J46" s="23">
        <f>'[1]generators-p'!D42</f>
        <v>6390</v>
      </c>
      <c r="K46" s="23">
        <v>0</v>
      </c>
      <c r="L46" s="23">
        <f t="shared" si="3"/>
        <v>28941.065000000002</v>
      </c>
      <c r="M46" s="42">
        <f t="shared" si="14"/>
        <v>0.24566924154322822</v>
      </c>
      <c r="N46" s="33"/>
      <c r="O46" s="44">
        <f t="shared" si="12"/>
        <v>40</v>
      </c>
      <c r="P46" s="23">
        <v>6496.9853999999996</v>
      </c>
      <c r="Q46" s="23">
        <v>864.8</v>
      </c>
      <c r="R46" s="23">
        <v>188</v>
      </c>
      <c r="S46" s="23">
        <f t="shared" si="4"/>
        <v>7549.7853999999998</v>
      </c>
      <c r="T46" s="42">
        <f t="shared" si="5"/>
        <v>8.2241850200109365E-2</v>
      </c>
      <c r="U46" s="41">
        <f>'[1]generators-p'!E42</f>
        <v>6674.4703974418626</v>
      </c>
      <c r="V46" s="42">
        <f t="shared" si="6"/>
        <v>7.2706807612237301E-2</v>
      </c>
      <c r="W46" s="33"/>
      <c r="X46" s="40">
        <v>40</v>
      </c>
      <c r="Y46" s="54">
        <v>282.55769380999999</v>
      </c>
      <c r="Z46" s="54">
        <v>8391.7661899999985</v>
      </c>
      <c r="AA46" s="55">
        <f t="shared" si="7"/>
        <v>8674.3238838099987</v>
      </c>
      <c r="AB46" s="56">
        <f>'[1]generators-p'!J42</f>
        <v>21886.029088700001</v>
      </c>
      <c r="AC46" s="54">
        <f>'[1]links-p0'!E42</f>
        <v>0</v>
      </c>
      <c r="AD46" s="54">
        <f t="shared" si="8"/>
        <v>15320.22036209</v>
      </c>
      <c r="AE46" s="33"/>
      <c r="AF46" s="45">
        <v>40</v>
      </c>
      <c r="AG46" s="52">
        <v>1591.4646720000001</v>
      </c>
      <c r="AH46" s="52">
        <f>'[1]links-p0'!B42</f>
        <v>0</v>
      </c>
      <c r="AI46" s="33"/>
      <c r="AJ46" s="40">
        <v>40</v>
      </c>
      <c r="AK46" s="23">
        <v>0</v>
      </c>
      <c r="AL46" s="52">
        <f>'[1]links-p0'!H42</f>
        <v>0</v>
      </c>
      <c r="AM46" s="33"/>
      <c r="AN46" s="40">
        <v>40</v>
      </c>
      <c r="AO46" s="23">
        <v>3156.57</v>
      </c>
      <c r="AP46" s="52">
        <v>0</v>
      </c>
      <c r="AQ46" s="62">
        <f t="shared" si="9"/>
        <v>3156.57</v>
      </c>
      <c r="AR46" s="33">
        <f>'[1]links-p0'!C42</f>
        <v>0</v>
      </c>
      <c r="AS46" s="33"/>
      <c r="AT46" s="40">
        <v>40</v>
      </c>
      <c r="AU46" s="23">
        <v>4613</v>
      </c>
      <c r="AV46" s="33">
        <f>'[1]links-p0'!I42</f>
        <v>0</v>
      </c>
      <c r="AW46" s="33"/>
      <c r="AX46" s="40">
        <v>40</v>
      </c>
      <c r="AY46" s="23">
        <v>0</v>
      </c>
      <c r="AZ46" s="52">
        <v>6754.1041912999999</v>
      </c>
      <c r="BA46" s="62">
        <f t="shared" si="10"/>
        <v>6754.1041912999999</v>
      </c>
      <c r="BB46" s="33">
        <f>'[1]links-p0'!D42</f>
        <v>0</v>
      </c>
    </row>
    <row r="47" spans="1:54" x14ac:dyDescent="0.35">
      <c r="A47" s="33"/>
      <c r="B47" s="40">
        <f t="shared" si="11"/>
        <v>41</v>
      </c>
      <c r="C47" s="41">
        <v>4814</v>
      </c>
      <c r="D47" s="23">
        <v>62.465000000000003</v>
      </c>
      <c r="E47" s="23">
        <v>1620</v>
      </c>
      <c r="F47" s="23">
        <f t="shared" si="13"/>
        <v>6496.4650000000001</v>
      </c>
      <c r="G47" s="42">
        <f t="shared" si="2"/>
        <v>5.5145919103603412E-2</v>
      </c>
      <c r="H47" s="23">
        <f>'[1]generators-p'!B43</f>
        <v>4814</v>
      </c>
      <c r="I47" s="23">
        <f>'[1]generators-p'!C43</f>
        <v>62.465000000000003</v>
      </c>
      <c r="J47" s="23">
        <f>'[1]generators-p'!D43</f>
        <v>1620</v>
      </c>
      <c r="K47" s="23">
        <v>0</v>
      </c>
      <c r="L47" s="23">
        <f t="shared" si="3"/>
        <v>6496.4650000000001</v>
      </c>
      <c r="M47" s="42">
        <f t="shared" si="14"/>
        <v>5.5145919103603412E-2</v>
      </c>
      <c r="N47" s="33"/>
      <c r="O47" s="44">
        <f t="shared" si="12"/>
        <v>41</v>
      </c>
      <c r="P47" s="23">
        <v>6496.9853999999996</v>
      </c>
      <c r="Q47" s="23">
        <v>832.6</v>
      </c>
      <c r="R47" s="23">
        <v>181</v>
      </c>
      <c r="S47" s="23">
        <f t="shared" si="4"/>
        <v>7510.5853999999999</v>
      </c>
      <c r="T47" s="42">
        <f t="shared" si="5"/>
        <v>8.1814834019246233E-2</v>
      </c>
      <c r="U47" s="41">
        <f>'[1]generators-p'!E43</f>
        <v>6746.0583557562222</v>
      </c>
      <c r="V47" s="42">
        <f t="shared" si="6"/>
        <v>7.3486634565175762E-2</v>
      </c>
      <c r="W47" s="33"/>
      <c r="X47" s="40">
        <v>41</v>
      </c>
      <c r="Y47" s="54">
        <v>3232.2170538</v>
      </c>
      <c r="Z47" s="54">
        <v>3489.5598300000001</v>
      </c>
      <c r="AA47" s="55">
        <f t="shared" si="7"/>
        <v>6721.7768838000002</v>
      </c>
      <c r="AB47" s="56">
        <f>'[1]generators-p'!J43</f>
        <v>9368.0469032294168</v>
      </c>
      <c r="AC47" s="54">
        <f>'[1]links-p0'!E43</f>
        <v>1407.3810854159531</v>
      </c>
      <c r="AD47" s="54">
        <f t="shared" si="8"/>
        <v>7542.7995920517578</v>
      </c>
      <c r="AE47" s="33"/>
      <c r="AF47" s="45">
        <v>41</v>
      </c>
      <c r="AG47" s="52">
        <v>1591.4646720000001</v>
      </c>
      <c r="AH47" s="52">
        <f>'[1]links-p0'!B43</f>
        <v>11093.70761049073</v>
      </c>
      <c r="AI47" s="33"/>
      <c r="AJ47" s="40">
        <v>41</v>
      </c>
      <c r="AK47" s="23">
        <v>0</v>
      </c>
      <c r="AL47" s="52">
        <f>'[1]links-p0'!H43</f>
        <v>0</v>
      </c>
      <c r="AM47" s="33"/>
      <c r="AN47" s="40">
        <v>41</v>
      </c>
      <c r="AO47" s="23">
        <v>3156.57</v>
      </c>
      <c r="AP47" s="52">
        <v>10447.41</v>
      </c>
      <c r="AQ47" s="62">
        <f t="shared" si="9"/>
        <v>13603.98</v>
      </c>
      <c r="AR47" s="33">
        <f>'[1]links-p0'!C43</f>
        <v>20857.674687178351</v>
      </c>
      <c r="AS47" s="33"/>
      <c r="AT47" s="40">
        <v>41</v>
      </c>
      <c r="AU47" s="23">
        <v>4613</v>
      </c>
      <c r="AV47" s="33">
        <f>'[1]links-p0'!I43</f>
        <v>2631.078580369528</v>
      </c>
      <c r="AW47" s="33"/>
      <c r="AX47" s="40">
        <v>41</v>
      </c>
      <c r="AY47" s="23">
        <v>0</v>
      </c>
      <c r="AZ47" s="52">
        <v>0</v>
      </c>
      <c r="BA47" s="62">
        <f t="shared" si="10"/>
        <v>0</v>
      </c>
      <c r="BB47" s="33">
        <f>'[1]links-p0'!D43</f>
        <v>0</v>
      </c>
    </row>
    <row r="48" spans="1:54" x14ac:dyDescent="0.35">
      <c r="A48" s="33"/>
      <c r="B48" s="40">
        <f t="shared" si="11"/>
        <v>42</v>
      </c>
      <c r="C48" s="41">
        <v>0</v>
      </c>
      <c r="D48" s="23">
        <v>0</v>
      </c>
      <c r="E48" s="23">
        <v>0</v>
      </c>
      <c r="F48" s="23">
        <f t="shared" si="13"/>
        <v>0</v>
      </c>
      <c r="G48" s="42">
        <f t="shared" si="2"/>
        <v>0</v>
      </c>
      <c r="H48" s="23">
        <f>'[1]generators-p'!B44</f>
        <v>0</v>
      </c>
      <c r="I48" s="23">
        <f>'[1]generators-p'!C44</f>
        <v>0</v>
      </c>
      <c r="J48" s="23">
        <f>'[1]generators-p'!D44</f>
        <v>0</v>
      </c>
      <c r="K48" s="23">
        <v>0</v>
      </c>
      <c r="L48" s="23">
        <f t="shared" si="3"/>
        <v>0</v>
      </c>
      <c r="M48" s="42">
        <f t="shared" si="14"/>
        <v>0</v>
      </c>
      <c r="N48" s="33"/>
      <c r="O48" s="44">
        <f t="shared" si="12"/>
        <v>42</v>
      </c>
      <c r="P48" s="23">
        <v>10323.9768</v>
      </c>
      <c r="Q48" s="23">
        <v>784.3</v>
      </c>
      <c r="R48" s="23">
        <v>170.5</v>
      </c>
      <c r="S48" s="23">
        <f t="shared" si="4"/>
        <v>11278.7768</v>
      </c>
      <c r="T48" s="42">
        <f t="shared" si="5"/>
        <v>0.12286276004958616</v>
      </c>
      <c r="U48" s="41">
        <f>'[1]generators-p'!E44</f>
        <v>10613.07732868978</v>
      </c>
      <c r="V48" s="42">
        <f t="shared" si="6"/>
        <v>0.11561111602301725</v>
      </c>
      <c r="W48" s="33"/>
      <c r="X48" s="40">
        <v>42</v>
      </c>
      <c r="Y48" s="54">
        <v>2976.5425929600001</v>
      </c>
      <c r="Z48" s="54">
        <v>3119.38429</v>
      </c>
      <c r="AA48" s="55">
        <f t="shared" si="7"/>
        <v>6095.9268829600005</v>
      </c>
      <c r="AB48" s="56">
        <f>'[1]generators-p'!J44</f>
        <v>5849.0573664008898</v>
      </c>
      <c r="AC48" s="54">
        <f>'[1]links-p0'!E44</f>
        <v>4742.8457819962023</v>
      </c>
      <c r="AD48" s="54">
        <f t="shared" si="8"/>
        <v>7414.3322038779643</v>
      </c>
      <c r="AE48" s="33"/>
      <c r="AF48" s="45">
        <v>42</v>
      </c>
      <c r="AG48" s="52">
        <v>1591.4646720000001</v>
      </c>
      <c r="AH48" s="52">
        <f>'[1]links-p0'!B44</f>
        <v>11936.067610490731</v>
      </c>
      <c r="AI48" s="33"/>
      <c r="AJ48" s="40">
        <v>42</v>
      </c>
      <c r="AK48" s="23">
        <v>0</v>
      </c>
      <c r="AL48" s="52">
        <f>'[1]links-p0'!H44</f>
        <v>0</v>
      </c>
      <c r="AM48" s="33"/>
      <c r="AN48" s="40">
        <v>42</v>
      </c>
      <c r="AO48" s="23">
        <v>3156.57</v>
      </c>
      <c r="AP48" s="52">
        <v>10447.41</v>
      </c>
      <c r="AQ48" s="62">
        <f t="shared" si="9"/>
        <v>13603.98</v>
      </c>
      <c r="AR48" s="33">
        <f>'[1]links-p0'!C44</f>
        <v>25140.2664733333</v>
      </c>
      <c r="AS48" s="33"/>
      <c r="AT48" s="40">
        <v>42</v>
      </c>
      <c r="AU48" s="23">
        <v>4613</v>
      </c>
      <c r="AV48" s="33">
        <f>'[1]links-p0'!I44</f>
        <v>99.341100350560311</v>
      </c>
      <c r="AW48" s="33"/>
      <c r="AX48" s="40">
        <v>42</v>
      </c>
      <c r="AY48" s="23">
        <v>0</v>
      </c>
      <c r="AZ48" s="52">
        <v>0</v>
      </c>
      <c r="BA48" s="62">
        <f t="shared" si="10"/>
        <v>0</v>
      </c>
      <c r="BB48" s="33">
        <f>'[1]links-p0'!D44</f>
        <v>0</v>
      </c>
    </row>
    <row r="49" spans="1:54" x14ac:dyDescent="0.35">
      <c r="A49" s="33"/>
      <c r="B49" s="40">
        <f t="shared" si="11"/>
        <v>43</v>
      </c>
      <c r="C49" s="41">
        <v>0</v>
      </c>
      <c r="D49" s="23">
        <v>0</v>
      </c>
      <c r="E49" s="23">
        <v>0</v>
      </c>
      <c r="F49" s="23">
        <f t="shared" si="13"/>
        <v>0</v>
      </c>
      <c r="G49" s="42">
        <f t="shared" si="2"/>
        <v>0</v>
      </c>
      <c r="H49" s="23">
        <f>'[1]generators-p'!B45</f>
        <v>0</v>
      </c>
      <c r="I49" s="23">
        <f>'[1]generators-p'!C45</f>
        <v>0</v>
      </c>
      <c r="J49" s="23">
        <f>'[1]generators-p'!D45</f>
        <v>0</v>
      </c>
      <c r="K49" s="23">
        <v>0</v>
      </c>
      <c r="L49" s="23">
        <f t="shared" si="3"/>
        <v>0</v>
      </c>
      <c r="M49" s="42">
        <f t="shared" si="14"/>
        <v>0</v>
      </c>
      <c r="N49" s="33"/>
      <c r="O49" s="44">
        <f t="shared" si="12"/>
        <v>43</v>
      </c>
      <c r="P49" s="23">
        <v>12281.972400000001</v>
      </c>
      <c r="Q49" s="23">
        <v>710.7</v>
      </c>
      <c r="R49" s="23">
        <v>154.5</v>
      </c>
      <c r="S49" s="23">
        <f t="shared" si="4"/>
        <v>13147.172400000001</v>
      </c>
      <c r="T49" s="42">
        <f t="shared" si="5"/>
        <v>0.14321569763768549</v>
      </c>
      <c r="U49" s="41">
        <f>'[1]generators-p'!E45</f>
        <v>12693.764835624561</v>
      </c>
      <c r="V49" s="42">
        <f t="shared" si="6"/>
        <v>0.13827660665518401</v>
      </c>
      <c r="W49" s="33"/>
      <c r="X49" s="40">
        <v>43</v>
      </c>
      <c r="Y49" s="54">
        <v>1009.48807135</v>
      </c>
      <c r="Z49" s="54">
        <v>3730.67157</v>
      </c>
      <c r="AA49" s="55">
        <f t="shared" si="7"/>
        <v>4740.1596413500001</v>
      </c>
      <c r="AB49" s="56">
        <f>'[1]generators-p'!J45</f>
        <v>6994.7632977522144</v>
      </c>
      <c r="AC49" s="54">
        <f>'[1]links-p0'!E45</f>
        <v>1742.0705994352491</v>
      </c>
      <c r="AD49" s="54">
        <f t="shared" si="8"/>
        <v>6115.7837280312242</v>
      </c>
      <c r="AE49" s="33"/>
      <c r="AF49" s="45">
        <v>43</v>
      </c>
      <c r="AG49" s="52">
        <v>1591.4646720000001</v>
      </c>
      <c r="AH49" s="52">
        <f>'[1]links-p0'!B45</f>
        <v>12778.427610490729</v>
      </c>
      <c r="AI49" s="33"/>
      <c r="AJ49" s="40">
        <v>43</v>
      </c>
      <c r="AK49" s="23">
        <v>0</v>
      </c>
      <c r="AL49" s="52">
        <f>'[1]links-p0'!H45</f>
        <v>0</v>
      </c>
      <c r="AM49" s="33"/>
      <c r="AN49" s="40">
        <v>43</v>
      </c>
      <c r="AO49" s="23">
        <v>3156.57</v>
      </c>
      <c r="AP49" s="52">
        <v>10447.41</v>
      </c>
      <c r="AQ49" s="62">
        <f t="shared" si="9"/>
        <v>13603.98</v>
      </c>
      <c r="AR49" s="33">
        <f>'[1]links-p0'!C45</f>
        <v>21949.10289212066</v>
      </c>
      <c r="AS49" s="33"/>
      <c r="AT49" s="40">
        <v>43</v>
      </c>
      <c r="AU49" s="23">
        <v>4613</v>
      </c>
      <c r="AV49" s="33">
        <f>'[1]links-p0'!I45</f>
        <v>0</v>
      </c>
      <c r="AW49" s="33"/>
      <c r="AX49" s="40">
        <v>43</v>
      </c>
      <c r="AY49" s="23">
        <v>0</v>
      </c>
      <c r="AZ49" s="52">
        <v>0</v>
      </c>
      <c r="BA49" s="62">
        <f t="shared" si="10"/>
        <v>0</v>
      </c>
      <c r="BB49" s="33">
        <f>'[1]links-p0'!D45</f>
        <v>0</v>
      </c>
    </row>
    <row r="50" spans="1:54" x14ac:dyDescent="0.35">
      <c r="A50" s="33"/>
      <c r="B50" s="40">
        <f t="shared" si="11"/>
        <v>44</v>
      </c>
      <c r="C50" s="41">
        <v>0</v>
      </c>
      <c r="D50" s="23">
        <v>0</v>
      </c>
      <c r="E50" s="23">
        <v>0</v>
      </c>
      <c r="F50" s="23">
        <f t="shared" si="13"/>
        <v>0</v>
      </c>
      <c r="G50" s="42">
        <f t="shared" si="2"/>
        <v>0</v>
      </c>
      <c r="H50" s="23">
        <f>'[1]generators-p'!B46</f>
        <v>0</v>
      </c>
      <c r="I50" s="23">
        <f>'[1]generators-p'!C46</f>
        <v>0</v>
      </c>
      <c r="J50" s="23">
        <f>'[1]generators-p'!D46</f>
        <v>0</v>
      </c>
      <c r="K50" s="23">
        <v>0</v>
      </c>
      <c r="L50" s="23">
        <f t="shared" si="3"/>
        <v>0</v>
      </c>
      <c r="M50" s="42">
        <f t="shared" si="14"/>
        <v>0</v>
      </c>
      <c r="N50" s="33"/>
      <c r="O50" s="44">
        <f t="shared" si="12"/>
        <v>44</v>
      </c>
      <c r="P50" s="23">
        <v>11658.9738</v>
      </c>
      <c r="Q50" s="23">
        <v>637.1</v>
      </c>
      <c r="R50" s="23">
        <v>138.5</v>
      </c>
      <c r="S50" s="23">
        <f t="shared" si="4"/>
        <v>12434.5738</v>
      </c>
      <c r="T50" s="42">
        <f t="shared" si="5"/>
        <v>0.13545316874328703</v>
      </c>
      <c r="U50" s="41">
        <f>'[1]generators-p'!E46</f>
        <v>11990.67975703404</v>
      </c>
      <c r="V50" s="42">
        <f t="shared" si="6"/>
        <v>0.13061771111738849</v>
      </c>
      <c r="W50" s="33"/>
      <c r="X50" s="40">
        <v>44</v>
      </c>
      <c r="Y50" s="54">
        <v>0</v>
      </c>
      <c r="Z50" s="54">
        <v>3524.0367200000001</v>
      </c>
      <c r="AA50" s="55">
        <f t="shared" si="7"/>
        <v>3524.0367200000001</v>
      </c>
      <c r="AB50" s="56">
        <f>'[1]generators-p'!J46</f>
        <v>6607.3357877419276</v>
      </c>
      <c r="AC50" s="54">
        <f>'[1]links-p0'!E46</f>
        <v>418.25348292196662</v>
      </c>
      <c r="AD50" s="54">
        <f t="shared" si="8"/>
        <v>4917.9124894647257</v>
      </c>
      <c r="AE50" s="33"/>
      <c r="AF50" s="45">
        <v>44</v>
      </c>
      <c r="AG50" s="52">
        <v>1591.4646720000001</v>
      </c>
      <c r="AH50" s="52">
        <f>'[1]links-p0'!B46</f>
        <v>13620.78761049073</v>
      </c>
      <c r="AI50" s="33"/>
      <c r="AJ50" s="40">
        <v>44</v>
      </c>
      <c r="AK50" s="23">
        <v>0</v>
      </c>
      <c r="AL50" s="52">
        <f>'[1]links-p0'!H46</f>
        <v>0</v>
      </c>
      <c r="AM50" s="33"/>
      <c r="AN50" s="40">
        <v>44</v>
      </c>
      <c r="AO50" s="23">
        <v>3156.57</v>
      </c>
      <c r="AP50" s="52">
        <v>9091.2973211400003</v>
      </c>
      <c r="AQ50" s="62">
        <f t="shared" si="9"/>
        <v>12247.86732114</v>
      </c>
      <c r="AR50" s="33">
        <f>'[1]links-p0'!C46</f>
        <v>18418.241401717401</v>
      </c>
      <c r="AS50" s="33"/>
      <c r="AT50" s="40">
        <v>44</v>
      </c>
      <c r="AU50" s="23">
        <v>4613</v>
      </c>
      <c r="AV50" s="33">
        <f>'[1]links-p0'!I46</f>
        <v>0</v>
      </c>
      <c r="AW50" s="33"/>
      <c r="AX50" s="40">
        <v>44</v>
      </c>
      <c r="AY50" s="23">
        <v>0</v>
      </c>
      <c r="AZ50" s="52">
        <v>0</v>
      </c>
      <c r="BA50" s="62">
        <f t="shared" si="10"/>
        <v>0</v>
      </c>
      <c r="BB50" s="33">
        <f>'[1]links-p0'!D46</f>
        <v>0</v>
      </c>
    </row>
    <row r="51" spans="1:54" x14ac:dyDescent="0.35">
      <c r="A51" s="33"/>
      <c r="B51" s="40">
        <f t="shared" si="11"/>
        <v>45</v>
      </c>
      <c r="C51" s="41">
        <v>0</v>
      </c>
      <c r="D51" s="23">
        <v>0</v>
      </c>
      <c r="E51" s="23">
        <v>0</v>
      </c>
      <c r="F51" s="23">
        <f t="shared" si="13"/>
        <v>0</v>
      </c>
      <c r="G51" s="42">
        <f t="shared" si="2"/>
        <v>0</v>
      </c>
      <c r="H51" s="23">
        <f>'[1]generators-p'!B47</f>
        <v>0</v>
      </c>
      <c r="I51" s="23">
        <f>'[1]generators-p'!C47</f>
        <v>0</v>
      </c>
      <c r="J51" s="23">
        <f>'[1]generators-p'!D47</f>
        <v>0</v>
      </c>
      <c r="K51" s="23">
        <v>0</v>
      </c>
      <c r="L51" s="23">
        <f t="shared" si="3"/>
        <v>0</v>
      </c>
      <c r="M51" s="42">
        <f t="shared" si="14"/>
        <v>0</v>
      </c>
      <c r="N51" s="33"/>
      <c r="O51" s="44">
        <f t="shared" si="12"/>
        <v>45</v>
      </c>
      <c r="P51" s="23">
        <v>10145.977199999999</v>
      </c>
      <c r="Q51" s="23">
        <v>535.9</v>
      </c>
      <c r="R51" s="23">
        <v>116.5</v>
      </c>
      <c r="S51" s="23">
        <f t="shared" si="4"/>
        <v>10798.377199999999</v>
      </c>
      <c r="T51" s="42">
        <f t="shared" si="5"/>
        <v>0.11762963753733667</v>
      </c>
      <c r="U51" s="41">
        <f>'[1]generators-p'!E47</f>
        <v>10467.98876334349</v>
      </c>
      <c r="V51" s="42">
        <f t="shared" si="6"/>
        <v>0.11403062711839775</v>
      </c>
      <c r="W51" s="33"/>
      <c r="X51" s="40">
        <v>45</v>
      </c>
      <c r="Y51" s="54">
        <v>0</v>
      </c>
      <c r="Z51" s="54">
        <v>3076.52088</v>
      </c>
      <c r="AA51" s="55">
        <f t="shared" si="7"/>
        <v>3076.52088</v>
      </c>
      <c r="AB51" s="56">
        <f>'[1]generators-p'!J47</f>
        <v>5768.2732074589476</v>
      </c>
      <c r="AC51" s="54">
        <f>'[1]links-p0'!E47</f>
        <v>623.3058242915273</v>
      </c>
      <c r="AD51" s="54">
        <f t="shared" si="8"/>
        <v>4474.1053222253322</v>
      </c>
      <c r="AE51" s="33"/>
      <c r="AF51" s="45">
        <v>45</v>
      </c>
      <c r="AG51" s="52">
        <v>1591.4646720000001</v>
      </c>
      <c r="AH51" s="52">
        <f>'[1]links-p0'!B47</f>
        <v>14463.147610490731</v>
      </c>
      <c r="AI51" s="33"/>
      <c r="AJ51" s="40">
        <v>45</v>
      </c>
      <c r="AK51" s="23">
        <v>0</v>
      </c>
      <c r="AL51" s="52">
        <f>'[1]links-p0'!H47</f>
        <v>0</v>
      </c>
      <c r="AM51" s="33"/>
      <c r="AN51" s="40">
        <v>45</v>
      </c>
      <c r="AO51" s="23">
        <v>3156.57</v>
      </c>
      <c r="AP51" s="52">
        <v>0</v>
      </c>
      <c r="AQ51" s="62">
        <f t="shared" si="9"/>
        <v>3156.57</v>
      </c>
      <c r="AR51" s="33">
        <f>'[1]links-p0'!C47</f>
        <v>16516.255056023419</v>
      </c>
      <c r="AS51" s="33"/>
      <c r="AT51" s="40">
        <v>45</v>
      </c>
      <c r="AU51" s="23">
        <v>4613</v>
      </c>
      <c r="AV51" s="33">
        <f>'[1]links-p0'!I47</f>
        <v>0</v>
      </c>
      <c r="AW51" s="33"/>
      <c r="AX51" s="40">
        <v>45</v>
      </c>
      <c r="AY51" s="23">
        <v>0</v>
      </c>
      <c r="AZ51" s="52">
        <v>0</v>
      </c>
      <c r="BA51" s="62">
        <f t="shared" si="10"/>
        <v>0</v>
      </c>
      <c r="BB51" s="33">
        <f>'[1]links-p0'!D47</f>
        <v>0</v>
      </c>
    </row>
    <row r="52" spans="1:54" x14ac:dyDescent="0.35">
      <c r="A52" s="33"/>
      <c r="B52" s="40">
        <f t="shared" si="11"/>
        <v>46</v>
      </c>
      <c r="C52" s="41">
        <v>0</v>
      </c>
      <c r="D52" s="23">
        <v>0</v>
      </c>
      <c r="E52" s="23">
        <v>0</v>
      </c>
      <c r="F52" s="23">
        <f t="shared" si="13"/>
        <v>0</v>
      </c>
      <c r="G52" s="42">
        <f t="shared" si="2"/>
        <v>0</v>
      </c>
      <c r="H52" s="23">
        <f>'[1]generators-p'!B48</f>
        <v>0</v>
      </c>
      <c r="I52" s="23">
        <f>'[1]generators-p'!C48</f>
        <v>0</v>
      </c>
      <c r="J52" s="23">
        <f>'[1]generators-p'!D48</f>
        <v>0</v>
      </c>
      <c r="K52" s="23">
        <v>0</v>
      </c>
      <c r="L52" s="23">
        <f t="shared" si="3"/>
        <v>0</v>
      </c>
      <c r="M52" s="42">
        <f t="shared" si="14"/>
        <v>0</v>
      </c>
      <c r="N52" s="33"/>
      <c r="O52" s="44">
        <f t="shared" si="12"/>
        <v>46</v>
      </c>
      <c r="P52" s="23">
        <v>9522.9786000000004</v>
      </c>
      <c r="Q52" s="23">
        <v>487.6</v>
      </c>
      <c r="R52" s="23">
        <v>106</v>
      </c>
      <c r="S52" s="23">
        <f t="shared" si="4"/>
        <v>10116.578600000001</v>
      </c>
      <c r="T52" s="42">
        <f t="shared" si="5"/>
        <v>0.11020262135647355</v>
      </c>
      <c r="U52" s="41">
        <f>'[1]generators-p'!E48</f>
        <v>9858.8226774680825</v>
      </c>
      <c r="V52" s="42">
        <f t="shared" si="6"/>
        <v>0.10739481651886042</v>
      </c>
      <c r="W52" s="33"/>
      <c r="X52" s="40">
        <v>46</v>
      </c>
      <c r="Y52" s="54">
        <v>0</v>
      </c>
      <c r="Z52" s="54">
        <v>2897.4879900000001</v>
      </c>
      <c r="AA52" s="55">
        <f t="shared" si="7"/>
        <v>2897.4879900000001</v>
      </c>
      <c r="AB52" s="56">
        <f>'[1]generators-p'!J48</f>
        <v>5432.5987535129889</v>
      </c>
      <c r="AC52" s="54">
        <f>'[1]links-p0'!E48</f>
        <v>709.53737981412814</v>
      </c>
      <c r="AD52" s="54">
        <f t="shared" si="8"/>
        <v>4299.4952933289815</v>
      </c>
      <c r="AE52" s="33"/>
      <c r="AF52" s="45">
        <v>46</v>
      </c>
      <c r="AG52" s="52">
        <v>1591.4646720000001</v>
      </c>
      <c r="AH52" s="52">
        <f>'[1]links-p0'!B48</f>
        <v>15305.50761049074</v>
      </c>
      <c r="AI52" s="33"/>
      <c r="AJ52" s="40">
        <v>46</v>
      </c>
      <c r="AK52" s="23">
        <v>0</v>
      </c>
      <c r="AL52" s="52">
        <f>'[1]links-p0'!H48</f>
        <v>0</v>
      </c>
      <c r="AM52" s="33"/>
      <c r="AN52" s="40">
        <v>46</v>
      </c>
      <c r="AO52" s="23">
        <v>3156.57</v>
      </c>
      <c r="AP52" s="52">
        <v>5227.2105365099997</v>
      </c>
      <c r="AQ52" s="62">
        <f t="shared" si="9"/>
        <v>8383.7805365099994</v>
      </c>
      <c r="AR52" s="33">
        <f>'[1]links-p0'!C48</f>
        <v>13669.90212387989</v>
      </c>
      <c r="AS52" s="33"/>
      <c r="AT52" s="40">
        <v>46</v>
      </c>
      <c r="AU52" s="23">
        <v>4613</v>
      </c>
      <c r="AV52" s="33">
        <f>'[1]links-p0'!I48</f>
        <v>0</v>
      </c>
      <c r="AW52" s="33"/>
      <c r="AX52" s="40">
        <v>46</v>
      </c>
      <c r="AY52" s="23">
        <v>0</v>
      </c>
      <c r="AZ52" s="52">
        <v>0</v>
      </c>
      <c r="BA52" s="62">
        <f t="shared" si="10"/>
        <v>0</v>
      </c>
      <c r="BB52" s="33">
        <f>'[1]links-p0'!D48</f>
        <v>0</v>
      </c>
    </row>
    <row r="53" spans="1:54" x14ac:dyDescent="0.35">
      <c r="A53" s="33"/>
      <c r="B53" s="40">
        <f t="shared" si="11"/>
        <v>47</v>
      </c>
      <c r="C53" s="41">
        <v>0</v>
      </c>
      <c r="D53" s="23">
        <v>0</v>
      </c>
      <c r="E53" s="23">
        <v>0</v>
      </c>
      <c r="F53" s="23">
        <f t="shared" si="13"/>
        <v>0</v>
      </c>
      <c r="G53" s="42">
        <f t="shared" si="2"/>
        <v>0</v>
      </c>
      <c r="H53" s="23">
        <f>'[1]generators-p'!B49</f>
        <v>0</v>
      </c>
      <c r="I53" s="23">
        <f>'[1]generators-p'!C49</f>
        <v>0</v>
      </c>
      <c r="J53" s="23">
        <f>'[1]generators-p'!D49</f>
        <v>0</v>
      </c>
      <c r="K53" s="23">
        <v>0</v>
      </c>
      <c r="L53" s="23">
        <f t="shared" si="3"/>
        <v>0</v>
      </c>
      <c r="M53" s="42">
        <f t="shared" si="14"/>
        <v>0</v>
      </c>
      <c r="N53" s="33"/>
      <c r="O53" s="44">
        <f t="shared" si="12"/>
        <v>47</v>
      </c>
      <c r="P53" s="23">
        <v>9166.9794000000002</v>
      </c>
      <c r="Q53" s="23">
        <v>443.9</v>
      </c>
      <c r="R53" s="23">
        <v>96.5</v>
      </c>
      <c r="S53" s="23">
        <f t="shared" si="4"/>
        <v>9707.3793999999998</v>
      </c>
      <c r="T53" s="42">
        <f t="shared" si="5"/>
        <v>0.10574510401983446</v>
      </c>
      <c r="U53" s="41">
        <f>'[1]generators-p'!E49</f>
        <v>9494.3897946343404</v>
      </c>
      <c r="V53" s="42">
        <f t="shared" si="6"/>
        <v>0.10342495075843673</v>
      </c>
      <c r="W53" s="33"/>
      <c r="X53" s="40">
        <v>47</v>
      </c>
      <c r="Y53" s="54">
        <v>0</v>
      </c>
      <c r="Z53" s="54">
        <v>2790.3816499999998</v>
      </c>
      <c r="AA53" s="55">
        <f t="shared" si="7"/>
        <v>2790.3816499999998</v>
      </c>
      <c r="AB53" s="56">
        <f>'[1]generators-p'!J49</f>
        <v>5231.7819126191453</v>
      </c>
      <c r="AC53" s="54">
        <f>'[1]links-p0'!E49</f>
        <v>732.30510963865788</v>
      </c>
      <c r="AD53" s="54">
        <f t="shared" si="8"/>
        <v>4174.8609155804625</v>
      </c>
      <c r="AE53" s="33"/>
      <c r="AF53" s="45">
        <v>47</v>
      </c>
      <c r="AG53" s="52">
        <v>4850.2973344299999</v>
      </c>
      <c r="AH53" s="52">
        <f>'[1]links-p0'!B49</f>
        <v>16147.86761049073</v>
      </c>
      <c r="AI53" s="33"/>
      <c r="AJ53" s="40">
        <v>47</v>
      </c>
      <c r="AK53" s="23">
        <v>0</v>
      </c>
      <c r="AL53" s="52">
        <f>'[1]links-p0'!H49</f>
        <v>0</v>
      </c>
      <c r="AM53" s="33"/>
      <c r="AN53" s="40">
        <v>47</v>
      </c>
      <c r="AO53" s="23">
        <v>3156.57</v>
      </c>
      <c r="AP53" s="52">
        <v>0</v>
      </c>
      <c r="AQ53" s="62">
        <f t="shared" si="9"/>
        <v>3156.57</v>
      </c>
      <c r="AR53" s="33">
        <f>'[1]links-p0'!C49</f>
        <v>10257.10289297198</v>
      </c>
      <c r="AS53" s="33"/>
      <c r="AT53" s="40">
        <v>47</v>
      </c>
      <c r="AU53" s="23">
        <v>4613</v>
      </c>
      <c r="AV53" s="33">
        <f>'[1]links-p0'!I49</f>
        <v>0</v>
      </c>
      <c r="AW53" s="33"/>
      <c r="AX53" s="40">
        <v>47</v>
      </c>
      <c r="AY53" s="23">
        <v>0</v>
      </c>
      <c r="AZ53" s="52">
        <v>0</v>
      </c>
      <c r="BA53" s="62">
        <f t="shared" si="10"/>
        <v>0</v>
      </c>
      <c r="BB53" s="33">
        <f>'[1]links-p0'!D49</f>
        <v>0</v>
      </c>
    </row>
    <row r="54" spans="1:54" x14ac:dyDescent="0.35">
      <c r="A54" s="33"/>
      <c r="B54" s="40">
        <f t="shared" si="11"/>
        <v>48</v>
      </c>
      <c r="C54" s="41">
        <v>0</v>
      </c>
      <c r="D54" s="23">
        <v>0</v>
      </c>
      <c r="E54" s="23">
        <v>0</v>
      </c>
      <c r="F54" s="23">
        <f t="shared" si="13"/>
        <v>0</v>
      </c>
      <c r="G54" s="42">
        <f t="shared" si="2"/>
        <v>0</v>
      </c>
      <c r="H54" s="23">
        <f>'[1]generators-p'!B50</f>
        <v>0</v>
      </c>
      <c r="I54" s="23">
        <f>'[1]generators-p'!C50</f>
        <v>0</v>
      </c>
      <c r="J54" s="23">
        <f>'[1]generators-p'!D50</f>
        <v>0</v>
      </c>
      <c r="K54" s="23">
        <v>0</v>
      </c>
      <c r="L54" s="23">
        <f t="shared" si="3"/>
        <v>0</v>
      </c>
      <c r="M54" s="42">
        <f t="shared" si="14"/>
        <v>0</v>
      </c>
      <c r="N54" s="33"/>
      <c r="O54" s="44">
        <f t="shared" si="12"/>
        <v>48</v>
      </c>
      <c r="P54" s="23">
        <v>9611.9784</v>
      </c>
      <c r="Q54" s="23">
        <v>420.9</v>
      </c>
      <c r="R54" s="23">
        <v>91.5</v>
      </c>
      <c r="S54" s="23">
        <f t="shared" si="4"/>
        <v>10124.3784</v>
      </c>
      <c r="T54" s="42">
        <f t="shared" si="5"/>
        <v>0.11028758668319538</v>
      </c>
      <c r="U54" s="41">
        <f>'[1]generators-p'!E50</f>
        <v>9891.4066473124822</v>
      </c>
      <c r="V54" s="42">
        <f t="shared" si="6"/>
        <v>0.10774976249743988</v>
      </c>
      <c r="W54" s="33"/>
      <c r="X54" s="40">
        <v>48</v>
      </c>
      <c r="Y54" s="54">
        <v>0</v>
      </c>
      <c r="Z54" s="54">
        <v>2907.0644699999998</v>
      </c>
      <c r="AA54" s="55">
        <f t="shared" si="7"/>
        <v>2907.0644699999998</v>
      </c>
      <c r="AB54" s="56">
        <f>'[1]generators-p'!J50</f>
        <v>5450.5538014687399</v>
      </c>
      <c r="AC54" s="54">
        <f>'[1]links-p0'!E50</f>
        <v>417.81766775399842</v>
      </c>
      <c r="AD54" s="54">
        <f t="shared" si="8"/>
        <v>4107.860028455917</v>
      </c>
      <c r="AE54" s="33"/>
      <c r="AF54" s="45">
        <v>48</v>
      </c>
      <c r="AG54" s="52">
        <v>1835.1986978699999</v>
      </c>
      <c r="AH54" s="52">
        <f>'[1]links-p0'!B50</f>
        <v>16990.22761049074</v>
      </c>
      <c r="AI54" s="33"/>
      <c r="AJ54" s="40">
        <v>48</v>
      </c>
      <c r="AK54" s="23">
        <v>0</v>
      </c>
      <c r="AL54" s="52">
        <f>'[1]links-p0'!H50</f>
        <v>0</v>
      </c>
      <c r="AM54" s="33"/>
      <c r="AN54" s="40">
        <v>48</v>
      </c>
      <c r="AO54" s="23">
        <v>3156.57</v>
      </c>
      <c r="AP54" s="52">
        <v>0</v>
      </c>
      <c r="AQ54" s="62">
        <f t="shared" si="9"/>
        <v>3156.57</v>
      </c>
      <c r="AR54" s="33">
        <f>'[1]links-p0'!C50</f>
        <v>5125.4270119922103</v>
      </c>
      <c r="AS54" s="33"/>
      <c r="AT54" s="40">
        <v>48</v>
      </c>
      <c r="AU54" s="23">
        <v>4613</v>
      </c>
      <c r="AV54" s="33">
        <f>'[1]links-p0'!I50</f>
        <v>713.53502990011782</v>
      </c>
      <c r="AW54" s="33"/>
      <c r="AX54" s="40">
        <v>48</v>
      </c>
      <c r="AY54" s="23">
        <v>0</v>
      </c>
      <c r="AZ54" s="52">
        <v>0</v>
      </c>
      <c r="BA54" s="62">
        <f t="shared" si="10"/>
        <v>0</v>
      </c>
      <c r="BB54" s="33">
        <f>'[1]links-p0'!D50</f>
        <v>0</v>
      </c>
    </row>
    <row r="55" spans="1:54" x14ac:dyDescent="0.35">
      <c r="A55" s="33"/>
      <c r="B55" s="40">
        <f t="shared" si="11"/>
        <v>49</v>
      </c>
      <c r="C55" s="41">
        <v>0</v>
      </c>
      <c r="D55" s="23">
        <v>0</v>
      </c>
      <c r="E55" s="23">
        <v>0</v>
      </c>
      <c r="F55" s="23">
        <f t="shared" si="13"/>
        <v>0</v>
      </c>
      <c r="G55" s="42">
        <f t="shared" si="2"/>
        <v>0</v>
      </c>
      <c r="H55" s="23">
        <f>'[1]generators-p'!B51</f>
        <v>0</v>
      </c>
      <c r="I55" s="23">
        <f>'[1]generators-p'!C51</f>
        <v>0</v>
      </c>
      <c r="J55" s="23">
        <f>'[1]generators-p'!D51</f>
        <v>0</v>
      </c>
      <c r="K55" s="23">
        <v>0</v>
      </c>
      <c r="L55" s="23">
        <f t="shared" si="3"/>
        <v>0</v>
      </c>
      <c r="M55" s="42">
        <f t="shared" si="14"/>
        <v>0</v>
      </c>
      <c r="N55" s="33"/>
      <c r="O55" s="44">
        <f t="shared" si="12"/>
        <v>49</v>
      </c>
      <c r="P55" s="23">
        <v>9878.9778000000006</v>
      </c>
      <c r="Q55" s="23">
        <v>409.4</v>
      </c>
      <c r="R55" s="23">
        <v>89</v>
      </c>
      <c r="S55" s="23">
        <f t="shared" si="4"/>
        <v>10377.3778</v>
      </c>
      <c r="T55" s="42">
        <f t="shared" si="5"/>
        <v>0.11304357743698788</v>
      </c>
      <c r="U55" s="41">
        <f>'[1]generators-p'!E51</f>
        <v>10235.357435405689</v>
      </c>
      <c r="V55" s="42">
        <f t="shared" si="6"/>
        <v>0.11149651127132836</v>
      </c>
      <c r="W55" s="33"/>
      <c r="X55" s="40">
        <v>49</v>
      </c>
      <c r="Y55" s="54">
        <v>0</v>
      </c>
      <c r="Z55" s="54">
        <v>3008.150720000001</v>
      </c>
      <c r="AA55" s="55">
        <f t="shared" si="7"/>
        <v>3008.150720000001</v>
      </c>
      <c r="AB55" s="56">
        <f>'[1]generators-p'!J51</f>
        <v>5640.0842032007313</v>
      </c>
      <c r="AC55" s="54">
        <f>'[1]links-p0'!E51</f>
        <v>367.95807953163597</v>
      </c>
      <c r="AD55" s="54">
        <f t="shared" si="8"/>
        <v>4205.6295979126571</v>
      </c>
      <c r="AE55" s="33"/>
      <c r="AF55" s="45">
        <v>49</v>
      </c>
      <c r="AG55" s="52">
        <v>1591.4646720000001</v>
      </c>
      <c r="AH55" s="52">
        <f>'[1]links-p0'!B51</f>
        <v>17832.58761049074</v>
      </c>
      <c r="AI55" s="33"/>
      <c r="AJ55" s="40">
        <v>49</v>
      </c>
      <c r="AK55" s="23">
        <v>0</v>
      </c>
      <c r="AL55" s="52">
        <f>'[1]links-p0'!H51</f>
        <v>0</v>
      </c>
      <c r="AM55" s="33"/>
      <c r="AN55" s="40">
        <v>49</v>
      </c>
      <c r="AO55" s="23">
        <v>3156.57</v>
      </c>
      <c r="AP55" s="52">
        <v>0</v>
      </c>
      <c r="AQ55" s="62">
        <f t="shared" si="9"/>
        <v>3156.57</v>
      </c>
      <c r="AR55" s="33">
        <f>'[1]links-p0'!C51</f>
        <v>1349.086532691525</v>
      </c>
      <c r="AS55" s="33"/>
      <c r="AT55" s="40">
        <v>49</v>
      </c>
      <c r="AU55" s="23">
        <v>4613</v>
      </c>
      <c r="AV55" s="33">
        <f>'[1]links-p0'!I51</f>
        <v>0</v>
      </c>
      <c r="AW55" s="33"/>
      <c r="AX55" s="40">
        <v>49</v>
      </c>
      <c r="AY55" s="23">
        <v>0</v>
      </c>
      <c r="AZ55" s="52">
        <v>0</v>
      </c>
      <c r="BA55" s="62">
        <f t="shared" si="10"/>
        <v>0</v>
      </c>
      <c r="BB55" s="33">
        <f>'[1]links-p0'!D51</f>
        <v>0</v>
      </c>
    </row>
    <row r="56" spans="1:54" x14ac:dyDescent="0.35">
      <c r="A56" s="33"/>
      <c r="B56" s="40">
        <f t="shared" si="11"/>
        <v>50</v>
      </c>
      <c r="C56" s="41">
        <v>0</v>
      </c>
      <c r="D56" s="23">
        <v>0</v>
      </c>
      <c r="E56" s="23">
        <v>0</v>
      </c>
      <c r="F56" s="23">
        <f t="shared" si="13"/>
        <v>0</v>
      </c>
      <c r="G56" s="42">
        <f t="shared" si="2"/>
        <v>0</v>
      </c>
      <c r="H56" s="23">
        <f>'[1]generators-p'!B52</f>
        <v>0</v>
      </c>
      <c r="I56" s="23">
        <f>'[1]generators-p'!C52</f>
        <v>0</v>
      </c>
      <c r="J56" s="23">
        <f>'[1]generators-p'!D52</f>
        <v>0</v>
      </c>
      <c r="K56" s="23">
        <v>0</v>
      </c>
      <c r="L56" s="23">
        <f t="shared" si="3"/>
        <v>0</v>
      </c>
      <c r="M56" s="42">
        <f t="shared" si="14"/>
        <v>0</v>
      </c>
      <c r="N56" s="33"/>
      <c r="O56" s="44">
        <f t="shared" si="12"/>
        <v>50</v>
      </c>
      <c r="P56" s="23">
        <v>10145.977199999999</v>
      </c>
      <c r="Q56" s="23">
        <v>391</v>
      </c>
      <c r="R56" s="23">
        <v>85</v>
      </c>
      <c r="S56" s="23">
        <f t="shared" si="4"/>
        <v>10621.977199999999</v>
      </c>
      <c r="T56" s="42">
        <f t="shared" si="5"/>
        <v>0.11570806472345255</v>
      </c>
      <c r="U56" s="41">
        <f>'[1]generators-p'!E52</f>
        <v>10420.05283847216</v>
      </c>
      <c r="V56" s="42">
        <f t="shared" si="6"/>
        <v>0.11350844814991057</v>
      </c>
      <c r="W56" s="33"/>
      <c r="X56" s="40">
        <v>50</v>
      </c>
      <c r="Y56" s="54">
        <v>0</v>
      </c>
      <c r="Z56" s="54">
        <v>3062.43235</v>
      </c>
      <c r="AA56" s="55">
        <f t="shared" si="7"/>
        <v>3062.43235</v>
      </c>
      <c r="AB56" s="56">
        <f>'[1]generators-p'!J52</f>
        <v>5741.8586289414079</v>
      </c>
      <c r="AC56" s="54">
        <f>'[1]links-p0'!E52</f>
        <v>362.21732732030421</v>
      </c>
      <c r="AD56" s="54">
        <f t="shared" si="8"/>
        <v>4272.8531693831983</v>
      </c>
      <c r="AE56" s="33"/>
      <c r="AF56" s="45">
        <v>50</v>
      </c>
      <c r="AG56" s="52">
        <v>1591.4646720000001</v>
      </c>
      <c r="AH56" s="52">
        <f>'[1]links-p0'!B52</f>
        <v>18674.947610490741</v>
      </c>
      <c r="AI56" s="33"/>
      <c r="AJ56" s="40">
        <v>50</v>
      </c>
      <c r="AK56" s="23">
        <v>0</v>
      </c>
      <c r="AL56" s="52">
        <f>'[1]links-p0'!H52</f>
        <v>0</v>
      </c>
      <c r="AM56" s="33"/>
      <c r="AN56" s="40">
        <v>50</v>
      </c>
      <c r="AO56" s="23">
        <v>3156.57</v>
      </c>
      <c r="AP56" s="52">
        <v>0</v>
      </c>
      <c r="AQ56" s="62">
        <f t="shared" si="9"/>
        <v>3156.57</v>
      </c>
      <c r="AR56" s="33">
        <f>'[1]links-p0'!C52</f>
        <v>0</v>
      </c>
      <c r="AS56" s="33"/>
      <c r="AT56" s="40">
        <v>50</v>
      </c>
      <c r="AU56" s="23">
        <v>4613</v>
      </c>
      <c r="AV56" s="33">
        <f>'[1]links-p0'!I52</f>
        <v>0</v>
      </c>
      <c r="AW56" s="33"/>
      <c r="AX56" s="40">
        <v>50</v>
      </c>
      <c r="AY56" s="23">
        <v>0</v>
      </c>
      <c r="AZ56" s="52">
        <v>0</v>
      </c>
      <c r="BA56" s="62">
        <f t="shared" si="10"/>
        <v>0</v>
      </c>
      <c r="BB56" s="33">
        <f>'[1]links-p0'!D52</f>
        <v>0</v>
      </c>
    </row>
    <row r="57" spans="1:54" x14ac:dyDescent="0.35">
      <c r="A57" s="33"/>
      <c r="B57" s="40">
        <f t="shared" si="11"/>
        <v>51</v>
      </c>
      <c r="C57" s="41">
        <v>0</v>
      </c>
      <c r="D57" s="23">
        <v>0</v>
      </c>
      <c r="E57" s="23">
        <v>0</v>
      </c>
      <c r="F57" s="23">
        <f t="shared" si="13"/>
        <v>0</v>
      </c>
      <c r="G57" s="42">
        <f t="shared" si="2"/>
        <v>0</v>
      </c>
      <c r="H57" s="23">
        <f>'[1]generators-p'!B53</f>
        <v>0</v>
      </c>
      <c r="I57" s="23">
        <f>'[1]generators-p'!C53</f>
        <v>0</v>
      </c>
      <c r="J57" s="23">
        <f>'[1]generators-p'!D53</f>
        <v>0</v>
      </c>
      <c r="K57" s="23">
        <v>0</v>
      </c>
      <c r="L57" s="23">
        <f t="shared" si="3"/>
        <v>0</v>
      </c>
      <c r="M57" s="42">
        <f t="shared" si="14"/>
        <v>0</v>
      </c>
      <c r="N57" s="33"/>
      <c r="O57" s="44">
        <f t="shared" si="12"/>
        <v>51</v>
      </c>
      <c r="P57" s="23">
        <v>9700.9781999999996</v>
      </c>
      <c r="Q57" s="23">
        <v>377.2</v>
      </c>
      <c r="R57" s="23">
        <v>82</v>
      </c>
      <c r="S57" s="23">
        <f t="shared" si="4"/>
        <v>10160.1782</v>
      </c>
      <c r="T57" s="42">
        <f t="shared" si="5"/>
        <v>0.11067756356767662</v>
      </c>
      <c r="U57" s="41">
        <f>'[1]generators-p'!E53</f>
        <v>10021.14830662054</v>
      </c>
      <c r="V57" s="42">
        <f t="shared" si="6"/>
        <v>0.10916307341214838</v>
      </c>
      <c r="W57" s="33"/>
      <c r="X57" s="40">
        <v>51</v>
      </c>
      <c r="Y57" s="54">
        <v>0</v>
      </c>
      <c r="Z57" s="54">
        <v>2945.1950200000001</v>
      </c>
      <c r="AA57" s="55">
        <f t="shared" si="7"/>
        <v>2945.1950200000001</v>
      </c>
      <c r="AB57" s="56">
        <f>'[1]generators-p'!J53</f>
        <v>5522.0465546801879</v>
      </c>
      <c r="AC57" s="54">
        <f>'[1]links-p0'!E53</f>
        <v>425.36636218752022</v>
      </c>
      <c r="AD57" s="54">
        <f t="shared" si="8"/>
        <v>4163.1890418073954</v>
      </c>
      <c r="AE57" s="33"/>
      <c r="AF57" s="45">
        <v>51</v>
      </c>
      <c r="AG57" s="52">
        <v>1591.4646720000001</v>
      </c>
      <c r="AH57" s="52">
        <f>'[1]links-p0'!B53</f>
        <v>19517.307610490741</v>
      </c>
      <c r="AI57" s="33"/>
      <c r="AJ57" s="40">
        <v>51</v>
      </c>
      <c r="AK57" s="23">
        <v>0</v>
      </c>
      <c r="AL57" s="52">
        <f>'[1]links-p0'!H53</f>
        <v>0</v>
      </c>
      <c r="AM57" s="33"/>
      <c r="AN57" s="40">
        <v>51</v>
      </c>
      <c r="AO57" s="23">
        <v>3156.57</v>
      </c>
      <c r="AP57" s="52">
        <v>0</v>
      </c>
      <c r="AQ57" s="62">
        <f t="shared" si="9"/>
        <v>3156.57</v>
      </c>
      <c r="AR57" s="33">
        <f>'[1]links-p0'!C53</f>
        <v>0</v>
      </c>
      <c r="AS57" s="33"/>
      <c r="AT57" s="40">
        <v>51</v>
      </c>
      <c r="AU57" s="23">
        <v>4613</v>
      </c>
      <c r="AV57" s="33">
        <f>'[1]links-p0'!I53</f>
        <v>0</v>
      </c>
      <c r="AW57" s="33"/>
      <c r="AX57" s="40">
        <v>51</v>
      </c>
      <c r="AY57" s="23">
        <v>0</v>
      </c>
      <c r="AZ57" s="52">
        <v>0</v>
      </c>
      <c r="BA57" s="62">
        <f t="shared" si="10"/>
        <v>0</v>
      </c>
      <c r="BB57" s="33">
        <f>'[1]links-p0'!D53</f>
        <v>0</v>
      </c>
    </row>
    <row r="58" spans="1:54" x14ac:dyDescent="0.35">
      <c r="A58" s="33"/>
      <c r="B58" s="40">
        <f t="shared" si="11"/>
        <v>52</v>
      </c>
      <c r="C58" s="41">
        <v>0</v>
      </c>
      <c r="D58" s="23">
        <v>0</v>
      </c>
      <c r="E58" s="23">
        <v>0</v>
      </c>
      <c r="F58" s="23">
        <f t="shared" si="13"/>
        <v>0</v>
      </c>
      <c r="G58" s="42">
        <f t="shared" si="2"/>
        <v>0</v>
      </c>
      <c r="H58" s="23">
        <f>'[1]generators-p'!B54</f>
        <v>0</v>
      </c>
      <c r="I58" s="23">
        <f>'[1]generators-p'!C54</f>
        <v>0</v>
      </c>
      <c r="J58" s="23">
        <f>'[1]generators-p'!D54</f>
        <v>0</v>
      </c>
      <c r="K58" s="23">
        <v>0</v>
      </c>
      <c r="L58" s="23">
        <f t="shared" si="3"/>
        <v>0</v>
      </c>
      <c r="M58" s="42">
        <f t="shared" si="14"/>
        <v>0</v>
      </c>
      <c r="N58" s="33"/>
      <c r="O58" s="44">
        <f t="shared" si="12"/>
        <v>52</v>
      </c>
      <c r="P58" s="23">
        <v>9344.9789999999994</v>
      </c>
      <c r="Q58" s="23">
        <v>370.3</v>
      </c>
      <c r="R58" s="23">
        <v>80.5</v>
      </c>
      <c r="S58" s="23">
        <f t="shared" si="4"/>
        <v>9795.7789999999986</v>
      </c>
      <c r="T58" s="42">
        <f t="shared" si="5"/>
        <v>0.10670806472345254</v>
      </c>
      <c r="U58" s="41">
        <f>'[1]generators-p'!E54</f>
        <v>9615.3276700540955</v>
      </c>
      <c r="V58" s="42">
        <f t="shared" si="6"/>
        <v>0.10474235967893281</v>
      </c>
      <c r="W58" s="33"/>
      <c r="X58" s="40">
        <v>52</v>
      </c>
      <c r="Y58" s="54">
        <v>0</v>
      </c>
      <c r="Z58" s="54">
        <v>2825.9249599999998</v>
      </c>
      <c r="AA58" s="55">
        <f t="shared" si="7"/>
        <v>2825.9249599999998</v>
      </c>
      <c r="AB58" s="56">
        <f>'[1]generators-p'!J54</f>
        <v>5298.4234349136304</v>
      </c>
      <c r="AC58" s="54">
        <f>'[1]links-p0'!E54</f>
        <v>482.7518903235075</v>
      </c>
      <c r="AD58" s="54">
        <f t="shared" si="8"/>
        <v>4046.8227276659964</v>
      </c>
      <c r="AE58" s="33"/>
      <c r="AF58" s="45">
        <v>52</v>
      </c>
      <c r="AG58" s="52">
        <v>1591.4646720000001</v>
      </c>
      <c r="AH58" s="52">
        <f>'[1]links-p0'!B54</f>
        <v>20359.667610490738</v>
      </c>
      <c r="AI58" s="33"/>
      <c r="AJ58" s="40">
        <v>52</v>
      </c>
      <c r="AK58" s="23">
        <v>0</v>
      </c>
      <c r="AL58" s="52">
        <f>'[1]links-p0'!H54</f>
        <v>0</v>
      </c>
      <c r="AM58" s="33"/>
      <c r="AN58" s="40">
        <v>52</v>
      </c>
      <c r="AO58" s="23">
        <v>3156.57</v>
      </c>
      <c r="AP58" s="52">
        <v>0</v>
      </c>
      <c r="AQ58" s="62">
        <f t="shared" si="9"/>
        <v>3156.57</v>
      </c>
      <c r="AR58" s="33">
        <f>'[1]links-p0'!C54</f>
        <v>1748.0666074250239</v>
      </c>
      <c r="AS58" s="33"/>
      <c r="AT58" s="40">
        <v>52</v>
      </c>
      <c r="AU58" s="23">
        <v>4613</v>
      </c>
      <c r="AV58" s="33">
        <f>'[1]links-p0'!I54</f>
        <v>0</v>
      </c>
      <c r="AW58" s="33"/>
      <c r="AX58" s="40">
        <v>52</v>
      </c>
      <c r="AY58" s="23">
        <v>0</v>
      </c>
      <c r="AZ58" s="52">
        <v>0</v>
      </c>
      <c r="BA58" s="62">
        <f t="shared" si="10"/>
        <v>0</v>
      </c>
      <c r="BB58" s="33">
        <f>'[1]links-p0'!D54</f>
        <v>0</v>
      </c>
    </row>
    <row r="59" spans="1:54" x14ac:dyDescent="0.35">
      <c r="A59" s="33"/>
      <c r="B59" s="40">
        <f t="shared" si="11"/>
        <v>53</v>
      </c>
      <c r="C59" s="41">
        <v>0</v>
      </c>
      <c r="D59" s="23">
        <v>0</v>
      </c>
      <c r="E59" s="23">
        <v>0</v>
      </c>
      <c r="F59" s="23">
        <f t="shared" si="13"/>
        <v>0</v>
      </c>
      <c r="G59" s="42">
        <f t="shared" si="2"/>
        <v>0</v>
      </c>
      <c r="H59" s="23">
        <f>'[1]generators-p'!B55</f>
        <v>0</v>
      </c>
      <c r="I59" s="23">
        <f>'[1]generators-p'!C55</f>
        <v>0</v>
      </c>
      <c r="J59" s="23">
        <f>'[1]generators-p'!D55</f>
        <v>0</v>
      </c>
      <c r="K59" s="23">
        <v>0</v>
      </c>
      <c r="L59" s="23">
        <f t="shared" si="3"/>
        <v>0</v>
      </c>
      <c r="M59" s="42">
        <f t="shared" si="14"/>
        <v>0</v>
      </c>
      <c r="N59" s="33"/>
      <c r="O59" s="44">
        <f t="shared" si="12"/>
        <v>53</v>
      </c>
      <c r="P59" s="23">
        <v>8988.9797999999992</v>
      </c>
      <c r="Q59" s="23">
        <v>347.3</v>
      </c>
      <c r="R59" s="23">
        <v>75.5</v>
      </c>
      <c r="S59" s="23">
        <f t="shared" si="4"/>
        <v>9411.7797999999984</v>
      </c>
      <c r="T59" s="42">
        <f t="shared" si="5"/>
        <v>0.10252505778879691</v>
      </c>
      <c r="U59" s="41">
        <f>'[1]generators-p'!E55</f>
        <v>9302.575684706675</v>
      </c>
      <c r="V59" s="42">
        <f t="shared" si="6"/>
        <v>0.10133546788453433</v>
      </c>
      <c r="W59" s="33"/>
      <c r="X59" s="40">
        <v>53</v>
      </c>
      <c r="Y59" s="54">
        <v>0</v>
      </c>
      <c r="Z59" s="54">
        <v>2734.0083599999998</v>
      </c>
      <c r="AA59" s="55">
        <f t="shared" si="7"/>
        <v>2734.0083599999998</v>
      </c>
      <c r="AB59" s="56">
        <f>'[1]generators-p'!J55</f>
        <v>5126.0847996280772</v>
      </c>
      <c r="AC59" s="54">
        <f>'[1]links-p0'!E55</f>
        <v>530.18283125373148</v>
      </c>
      <c r="AD59" s="54">
        <f t="shared" si="8"/>
        <v>3959.387341617266</v>
      </c>
      <c r="AE59" s="33"/>
      <c r="AF59" s="45">
        <v>53</v>
      </c>
      <c r="AG59" s="52">
        <v>1591.4646720000001</v>
      </c>
      <c r="AH59" s="52">
        <f>'[1]links-p0'!B55</f>
        <v>21202.027610490739</v>
      </c>
      <c r="AI59" s="33"/>
      <c r="AJ59" s="40">
        <v>53</v>
      </c>
      <c r="AK59" s="23">
        <v>0</v>
      </c>
      <c r="AL59" s="52">
        <f>'[1]links-p0'!H55</f>
        <v>0</v>
      </c>
      <c r="AM59" s="33"/>
      <c r="AN59" s="40">
        <v>53</v>
      </c>
      <c r="AO59" s="23">
        <v>3156.57</v>
      </c>
      <c r="AP59" s="52">
        <v>2847.5444368399999</v>
      </c>
      <c r="AQ59" s="62">
        <f t="shared" si="9"/>
        <v>6004.1144368400001</v>
      </c>
      <c r="AR59" s="33">
        <f>'[1]links-p0'!C55</f>
        <v>0</v>
      </c>
      <c r="AS59" s="33"/>
      <c r="AT59" s="40">
        <v>53</v>
      </c>
      <c r="AU59" s="23">
        <v>4613</v>
      </c>
      <c r="AV59" s="33">
        <f>'[1]links-p0'!I55</f>
        <v>0</v>
      </c>
      <c r="AW59" s="33"/>
      <c r="AX59" s="40">
        <v>53</v>
      </c>
      <c r="AY59" s="23">
        <v>0</v>
      </c>
      <c r="AZ59" s="52">
        <v>0</v>
      </c>
      <c r="BA59" s="62">
        <f t="shared" si="10"/>
        <v>0</v>
      </c>
      <c r="BB59" s="33">
        <f>'[1]links-p0'!D55</f>
        <v>0</v>
      </c>
    </row>
    <row r="60" spans="1:54" x14ac:dyDescent="0.35">
      <c r="A60" s="33"/>
      <c r="B60" s="40">
        <f t="shared" si="11"/>
        <v>54</v>
      </c>
      <c r="C60" s="41">
        <v>0</v>
      </c>
      <c r="D60" s="23">
        <v>0</v>
      </c>
      <c r="E60" s="23">
        <v>0</v>
      </c>
      <c r="F60" s="23">
        <f t="shared" si="13"/>
        <v>0</v>
      </c>
      <c r="G60" s="42">
        <f t="shared" si="2"/>
        <v>0</v>
      </c>
      <c r="H60" s="23">
        <f>'[1]generators-p'!B56</f>
        <v>0</v>
      </c>
      <c r="I60" s="23">
        <f>'[1]generators-p'!C56</f>
        <v>0</v>
      </c>
      <c r="J60" s="23">
        <f>'[1]generators-p'!D56</f>
        <v>0</v>
      </c>
      <c r="K60" s="23">
        <v>0</v>
      </c>
      <c r="L60" s="23">
        <f t="shared" si="3"/>
        <v>0</v>
      </c>
      <c r="M60" s="42">
        <f t="shared" si="14"/>
        <v>0</v>
      </c>
      <c r="N60" s="33"/>
      <c r="O60" s="44">
        <f t="shared" si="12"/>
        <v>54</v>
      </c>
      <c r="P60" s="23">
        <v>8365.9812000000002</v>
      </c>
      <c r="Q60" s="23">
        <v>324.3</v>
      </c>
      <c r="R60" s="23">
        <v>70.5</v>
      </c>
      <c r="S60" s="23">
        <f t="shared" si="4"/>
        <v>8760.7811999999994</v>
      </c>
      <c r="T60" s="42">
        <f t="shared" si="5"/>
        <v>9.5433554321469105E-2</v>
      </c>
      <c r="U60" s="41">
        <f>'[1]generators-p'!E56</f>
        <v>8594.9043801847329</v>
      </c>
      <c r="V60" s="42">
        <f t="shared" si="6"/>
        <v>9.3626613349753834E-2</v>
      </c>
      <c r="W60" s="33"/>
      <c r="X60" s="40">
        <v>54</v>
      </c>
      <c r="Y60" s="54">
        <v>925.98505023000007</v>
      </c>
      <c r="Z60" s="54">
        <v>2526.02522</v>
      </c>
      <c r="AA60" s="55">
        <f t="shared" si="7"/>
        <v>3452.0102702300001</v>
      </c>
      <c r="AB60" s="56">
        <f>'[1]generators-p'!J56</f>
        <v>4736.130098887872</v>
      </c>
      <c r="AC60" s="54">
        <f>'[1]links-p0'!E56</f>
        <v>1936.5356585548641</v>
      </c>
      <c r="AD60" s="54">
        <f t="shared" si="8"/>
        <v>4670.8660302099152</v>
      </c>
      <c r="AE60" s="33"/>
      <c r="AF60" s="45">
        <v>54</v>
      </c>
      <c r="AG60" s="52">
        <v>1591.4646720000001</v>
      </c>
      <c r="AH60" s="52">
        <f>'[1]links-p0'!B56</f>
        <v>22044.387610490739</v>
      </c>
      <c r="AI60" s="33"/>
      <c r="AJ60" s="40">
        <v>54</v>
      </c>
      <c r="AK60" s="23">
        <v>0</v>
      </c>
      <c r="AL60" s="52">
        <f>'[1]links-p0'!H56</f>
        <v>0</v>
      </c>
      <c r="AM60" s="33"/>
      <c r="AN60" s="40">
        <v>54</v>
      </c>
      <c r="AO60" s="23">
        <v>3156.57</v>
      </c>
      <c r="AP60" s="52">
        <v>9226.69318294</v>
      </c>
      <c r="AQ60" s="62">
        <f t="shared" si="9"/>
        <v>12383.26318294</v>
      </c>
      <c r="AR60" s="33">
        <f>'[1]links-p0'!C56</f>
        <v>11148.18619673176</v>
      </c>
      <c r="AS60" s="33"/>
      <c r="AT60" s="40">
        <v>54</v>
      </c>
      <c r="AU60" s="23">
        <v>4613</v>
      </c>
      <c r="AV60" s="33">
        <f>'[1]links-p0'!I56</f>
        <v>0</v>
      </c>
      <c r="AW60" s="33"/>
      <c r="AX60" s="40">
        <v>54</v>
      </c>
      <c r="AY60" s="23">
        <v>0</v>
      </c>
      <c r="AZ60" s="52">
        <v>0</v>
      </c>
      <c r="BA60" s="62">
        <f t="shared" si="10"/>
        <v>0</v>
      </c>
      <c r="BB60" s="33">
        <f>'[1]links-p0'!D56</f>
        <v>0</v>
      </c>
    </row>
    <row r="61" spans="1:54" x14ac:dyDescent="0.35">
      <c r="A61" s="33"/>
      <c r="B61" s="40">
        <f t="shared" si="11"/>
        <v>55</v>
      </c>
      <c r="C61" s="41">
        <v>0</v>
      </c>
      <c r="D61" s="23">
        <v>0</v>
      </c>
      <c r="E61" s="23">
        <v>0</v>
      </c>
      <c r="F61" s="23">
        <f t="shared" si="13"/>
        <v>0</v>
      </c>
      <c r="G61" s="42">
        <f t="shared" si="2"/>
        <v>0</v>
      </c>
      <c r="H61" s="23">
        <f>'[1]generators-p'!B57</f>
        <v>0</v>
      </c>
      <c r="I61" s="23">
        <f>'[1]generators-p'!C57</f>
        <v>0</v>
      </c>
      <c r="J61" s="23">
        <f>'[1]generators-p'!D57</f>
        <v>0</v>
      </c>
      <c r="K61" s="23">
        <v>0</v>
      </c>
      <c r="L61" s="23">
        <f t="shared" si="3"/>
        <v>0</v>
      </c>
      <c r="M61" s="42">
        <f t="shared" si="14"/>
        <v>0</v>
      </c>
      <c r="N61" s="33"/>
      <c r="O61" s="44">
        <f t="shared" si="12"/>
        <v>55</v>
      </c>
      <c r="P61" s="23">
        <v>7208.9838</v>
      </c>
      <c r="Q61" s="23">
        <v>310.5</v>
      </c>
      <c r="R61" s="23">
        <v>67.5</v>
      </c>
      <c r="S61" s="23">
        <f t="shared" si="4"/>
        <v>7586.9838</v>
      </c>
      <c r="T61" s="42">
        <f t="shared" si="5"/>
        <v>8.2647062411900674E-2</v>
      </c>
      <c r="U61" s="41">
        <f>'[1]generators-p'!E57</f>
        <v>7391.5416337173328</v>
      </c>
      <c r="V61" s="42">
        <f t="shared" si="6"/>
        <v>8.0518058140838358E-2</v>
      </c>
      <c r="W61" s="33"/>
      <c r="X61" s="40">
        <v>55</v>
      </c>
      <c r="Y61" s="54">
        <v>2483.7742935199999</v>
      </c>
      <c r="Z61" s="54">
        <v>2172.3593099999998</v>
      </c>
      <c r="AA61" s="55">
        <f t="shared" si="7"/>
        <v>4656.1336035200002</v>
      </c>
      <c r="AB61" s="56">
        <f>'[1]generators-p'!J57</f>
        <v>4073.0299326353961</v>
      </c>
      <c r="AC61" s="54">
        <f>'[1]links-p0'!E57</f>
        <v>4294.5566972955539</v>
      </c>
      <c r="AD61" s="54">
        <f t="shared" si="8"/>
        <v>5857.310640951664</v>
      </c>
      <c r="AE61" s="33"/>
      <c r="AF61" s="45">
        <v>55</v>
      </c>
      <c r="AG61" s="52">
        <v>1591.4646720000001</v>
      </c>
      <c r="AH61" s="52">
        <f>'[1]links-p0'!B57</f>
        <v>21813.15191546077</v>
      </c>
      <c r="AI61" s="33"/>
      <c r="AJ61" s="40">
        <v>55</v>
      </c>
      <c r="AK61" s="23">
        <v>0</v>
      </c>
      <c r="AL61" s="52">
        <f>'[1]links-p0'!H57</f>
        <v>0</v>
      </c>
      <c r="AM61" s="33"/>
      <c r="AN61" s="40">
        <v>55</v>
      </c>
      <c r="AO61" s="23">
        <v>3156.57</v>
      </c>
      <c r="AP61" s="52">
        <v>1489.2272467400001</v>
      </c>
      <c r="AQ61" s="62">
        <f t="shared" si="9"/>
        <v>4645.7972467400004</v>
      </c>
      <c r="AR61" s="33">
        <f>'[1]links-p0'!C57</f>
        <v>17837.082550562409</v>
      </c>
      <c r="AS61" s="33"/>
      <c r="AT61" s="40">
        <v>55</v>
      </c>
      <c r="AU61" s="23">
        <v>4613</v>
      </c>
      <c r="AV61" s="33">
        <f>'[1]links-p0'!I57</f>
        <v>0</v>
      </c>
      <c r="AW61" s="33"/>
      <c r="AX61" s="40">
        <v>55</v>
      </c>
      <c r="AY61" s="23">
        <v>0</v>
      </c>
      <c r="AZ61" s="52">
        <v>0</v>
      </c>
      <c r="BA61" s="62">
        <f t="shared" si="10"/>
        <v>0</v>
      </c>
      <c r="BB61" s="33">
        <f>'[1]links-p0'!D57</f>
        <v>0</v>
      </c>
    </row>
    <row r="62" spans="1:54" x14ac:dyDescent="0.35">
      <c r="A62" s="33"/>
      <c r="B62" s="40">
        <f t="shared" si="11"/>
        <v>56</v>
      </c>
      <c r="C62" s="41">
        <v>0</v>
      </c>
      <c r="D62" s="23">
        <v>0</v>
      </c>
      <c r="E62" s="23">
        <v>0</v>
      </c>
      <c r="F62" s="23">
        <f t="shared" si="13"/>
        <v>0</v>
      </c>
      <c r="G62" s="42">
        <f t="shared" si="2"/>
        <v>0</v>
      </c>
      <c r="H62" s="23">
        <f>'[1]generators-p'!B58</f>
        <v>0</v>
      </c>
      <c r="I62" s="23">
        <f>'[1]generators-p'!C58</f>
        <v>0</v>
      </c>
      <c r="J62" s="23">
        <f>'[1]generators-p'!D58</f>
        <v>0</v>
      </c>
      <c r="K62" s="23">
        <v>0</v>
      </c>
      <c r="L62" s="23">
        <f t="shared" si="3"/>
        <v>0</v>
      </c>
      <c r="M62" s="42">
        <f t="shared" si="14"/>
        <v>0</v>
      </c>
      <c r="N62" s="33"/>
      <c r="O62" s="44">
        <f t="shared" si="12"/>
        <v>56</v>
      </c>
      <c r="P62" s="23">
        <v>6852.9845999999998</v>
      </c>
      <c r="Q62" s="23">
        <v>292.10000000000002</v>
      </c>
      <c r="R62" s="23">
        <v>63.5</v>
      </c>
      <c r="S62" s="23">
        <f t="shared" si="4"/>
        <v>7208.5846000000001</v>
      </c>
      <c r="T62" s="42">
        <f t="shared" si="5"/>
        <v>7.8525057788796926E-2</v>
      </c>
      <c r="U62" s="41">
        <f>'[1]generators-p'!E58</f>
        <v>7084.5452200831733</v>
      </c>
      <c r="V62" s="42">
        <f t="shared" si="6"/>
        <v>7.7173863342656232E-2</v>
      </c>
      <c r="W62" s="33"/>
      <c r="X62" s="40">
        <v>56</v>
      </c>
      <c r="Y62" s="54">
        <v>3657.6045199999999</v>
      </c>
      <c r="Z62" s="54">
        <v>2218.7833700000001</v>
      </c>
      <c r="AA62" s="55">
        <f t="shared" si="7"/>
        <v>5876.38789</v>
      </c>
      <c r="AB62" s="56">
        <f>'[1]generators-p'!J58</f>
        <v>4416.2825695563743</v>
      </c>
      <c r="AC62" s="54">
        <f>'[1]links-p0'!E58</f>
        <v>5656.9829420492197</v>
      </c>
      <c r="AD62" s="54">
        <f t="shared" si="8"/>
        <v>7051.2858581239152</v>
      </c>
      <c r="AE62" s="33"/>
      <c r="AF62" s="45">
        <v>56</v>
      </c>
      <c r="AG62" s="52">
        <v>1591.4646720000001</v>
      </c>
      <c r="AH62" s="52">
        <f>'[1]links-p0'!B58</f>
        <v>22655.511915460771</v>
      </c>
      <c r="AI62" s="33"/>
      <c r="AJ62" s="40">
        <v>56</v>
      </c>
      <c r="AK62" s="23">
        <v>0</v>
      </c>
      <c r="AL62" s="52">
        <f>'[1]links-p0'!H58</f>
        <v>0</v>
      </c>
      <c r="AM62" s="33"/>
      <c r="AN62" s="40">
        <v>56</v>
      </c>
      <c r="AO62" s="23">
        <v>3156.57</v>
      </c>
      <c r="AP62" s="52">
        <v>10447.41</v>
      </c>
      <c r="AQ62" s="62">
        <f t="shared" si="9"/>
        <v>13603.98</v>
      </c>
      <c r="AR62" s="33">
        <f>'[1]links-p0'!C58</f>
        <v>22871.23391404151</v>
      </c>
      <c r="AS62" s="33"/>
      <c r="AT62" s="40">
        <v>56</v>
      </c>
      <c r="AU62" s="23">
        <v>4613</v>
      </c>
      <c r="AV62" s="33">
        <f>'[1]links-p0'!I58</f>
        <v>0</v>
      </c>
      <c r="AW62" s="33"/>
      <c r="AX62" s="40">
        <v>56</v>
      </c>
      <c r="AY62" s="23">
        <v>0</v>
      </c>
      <c r="AZ62" s="52">
        <v>0</v>
      </c>
      <c r="BA62" s="62">
        <f t="shared" si="10"/>
        <v>0</v>
      </c>
      <c r="BB62" s="33">
        <f>'[1]links-p0'!D58</f>
        <v>0</v>
      </c>
    </row>
    <row r="63" spans="1:54" x14ac:dyDescent="0.35">
      <c r="A63" s="33"/>
      <c r="B63" s="40">
        <f t="shared" si="11"/>
        <v>57</v>
      </c>
      <c r="C63" s="41">
        <v>9379</v>
      </c>
      <c r="D63" s="23">
        <v>312.32499999999999</v>
      </c>
      <c r="E63" s="23">
        <v>3840</v>
      </c>
      <c r="F63" s="23">
        <f t="shared" si="13"/>
        <v>13531.325000000001</v>
      </c>
      <c r="G63" s="42">
        <f t="shared" si="2"/>
        <v>0.11486206018420271</v>
      </c>
      <c r="H63" s="23">
        <f>'[1]generators-p'!B59</f>
        <v>9379</v>
      </c>
      <c r="I63" s="23">
        <f>'[1]generators-p'!C59</f>
        <v>312.32499999999999</v>
      </c>
      <c r="J63" s="23">
        <f>'[1]generators-p'!D59</f>
        <v>3840</v>
      </c>
      <c r="K63" s="23">
        <v>0</v>
      </c>
      <c r="L63" s="23">
        <f t="shared" si="3"/>
        <v>13531.325000000001</v>
      </c>
      <c r="M63" s="42">
        <f t="shared" si="14"/>
        <v>0.11486206018420271</v>
      </c>
      <c r="N63" s="33"/>
      <c r="O63" s="44">
        <f t="shared" si="12"/>
        <v>57</v>
      </c>
      <c r="P63" s="23">
        <v>5695.9871999999996</v>
      </c>
      <c r="Q63" s="23">
        <v>278.3</v>
      </c>
      <c r="R63" s="23">
        <v>60.5</v>
      </c>
      <c r="S63" s="23">
        <f t="shared" si="4"/>
        <v>6034.7871999999998</v>
      </c>
      <c r="T63" s="42">
        <f t="shared" si="5"/>
        <v>6.5738565879228494E-2</v>
      </c>
      <c r="U63" s="41">
        <f>'[1]generators-p'!E59</f>
        <v>5839.1482657304832</v>
      </c>
      <c r="V63" s="42">
        <f t="shared" si="6"/>
        <v>6.3607418161373802E-2</v>
      </c>
      <c r="W63" s="33"/>
      <c r="X63" s="40">
        <v>57</v>
      </c>
      <c r="Y63" s="54">
        <v>1647.31062</v>
      </c>
      <c r="Z63" s="54">
        <v>4963.89329</v>
      </c>
      <c r="AA63" s="55">
        <f t="shared" si="7"/>
        <v>6611.2039100000002</v>
      </c>
      <c r="AB63" s="56">
        <f>'[1]generators-p'!J59</f>
        <v>15396.34587537936</v>
      </c>
      <c r="AC63" s="54">
        <f>'[1]links-p0'!E59</f>
        <v>0</v>
      </c>
      <c r="AD63" s="54">
        <f t="shared" si="8"/>
        <v>10777.442112765551</v>
      </c>
      <c r="AE63" s="33"/>
      <c r="AF63" s="45">
        <v>57</v>
      </c>
      <c r="AG63" s="52">
        <v>1591.4646720000001</v>
      </c>
      <c r="AH63" s="52">
        <f>'[1]links-p0'!B59</f>
        <v>21602.56191546085</v>
      </c>
      <c r="AI63" s="33"/>
      <c r="AJ63" s="40">
        <v>57</v>
      </c>
      <c r="AK63" s="23">
        <v>0</v>
      </c>
      <c r="AL63" s="52">
        <f>'[1]links-p0'!H59</f>
        <v>0</v>
      </c>
      <c r="AM63" s="33"/>
      <c r="AN63" s="40">
        <v>57</v>
      </c>
      <c r="AO63" s="23">
        <v>3156.57</v>
      </c>
      <c r="AP63" s="52">
        <v>5925.4122508199998</v>
      </c>
      <c r="AQ63" s="62">
        <f t="shared" si="9"/>
        <v>9081.9822508199995</v>
      </c>
      <c r="AR63" s="33">
        <f>'[1]links-p0'!C59</f>
        <v>2117.4328376220128</v>
      </c>
      <c r="AS63" s="33"/>
      <c r="AT63" s="40">
        <v>57</v>
      </c>
      <c r="AU63" s="23">
        <v>4613</v>
      </c>
      <c r="AV63" s="33">
        <f>'[1]links-p0'!I59</f>
        <v>0</v>
      </c>
      <c r="AW63" s="33"/>
      <c r="AX63" s="40">
        <v>57</v>
      </c>
      <c r="AY63" s="23">
        <v>0</v>
      </c>
      <c r="AZ63" s="52">
        <v>0</v>
      </c>
      <c r="BA63" s="62">
        <f t="shared" si="10"/>
        <v>0</v>
      </c>
      <c r="BB63" s="33">
        <f>'[1]links-p0'!D59</f>
        <v>0</v>
      </c>
    </row>
    <row r="64" spans="1:54" x14ac:dyDescent="0.35">
      <c r="A64" s="33"/>
      <c r="B64" s="40">
        <f t="shared" si="11"/>
        <v>58</v>
      </c>
      <c r="C64" s="41">
        <v>23240</v>
      </c>
      <c r="D64" s="23">
        <v>807.24</v>
      </c>
      <c r="E64" s="23">
        <v>8730</v>
      </c>
      <c r="F64" s="23">
        <f t="shared" si="13"/>
        <v>32777.240000000005</v>
      </c>
      <c r="G64" s="42">
        <f t="shared" si="2"/>
        <v>0.27823301218114688</v>
      </c>
      <c r="H64" s="23">
        <f>'[1]generators-p'!B60</f>
        <v>23240</v>
      </c>
      <c r="I64" s="23">
        <f>'[1]generators-p'!C60</f>
        <v>807.24</v>
      </c>
      <c r="J64" s="23">
        <f>'[1]generators-p'!D60</f>
        <v>8729.9999999999691</v>
      </c>
      <c r="K64" s="23">
        <v>0</v>
      </c>
      <c r="L64" s="23">
        <f t="shared" si="3"/>
        <v>32777.239999999969</v>
      </c>
      <c r="M64" s="42">
        <f t="shared" si="14"/>
        <v>0.27823301218114654</v>
      </c>
      <c r="N64" s="33"/>
      <c r="O64" s="44">
        <f t="shared" si="12"/>
        <v>58</v>
      </c>
      <c r="P64" s="23">
        <v>2847.9935999999998</v>
      </c>
      <c r="Q64" s="23">
        <v>273.7</v>
      </c>
      <c r="R64" s="23">
        <v>59.5</v>
      </c>
      <c r="S64" s="23">
        <f t="shared" si="4"/>
        <v>3181.1935999999996</v>
      </c>
      <c r="T64" s="42">
        <f t="shared" si="5"/>
        <v>3.4653600552506644E-2</v>
      </c>
      <c r="U64" s="41">
        <f>'[1]generators-p'!E60</f>
        <v>2940.658342457637</v>
      </c>
      <c r="V64" s="42">
        <f t="shared" si="6"/>
        <v>3.2033385066826257E-2</v>
      </c>
      <c r="W64" s="33"/>
      <c r="X64" s="40">
        <v>58</v>
      </c>
      <c r="Y64" s="54">
        <v>0</v>
      </c>
      <c r="Z64" s="54">
        <v>8563.7509099999988</v>
      </c>
      <c r="AA64" s="55">
        <f t="shared" si="7"/>
        <v>8563.7509099999988</v>
      </c>
      <c r="AB64" s="56">
        <f>'[1]generators-p'!J60</f>
        <v>21531.171144742861</v>
      </c>
      <c r="AC64" s="54">
        <f>'[1]links-p0'!E60</f>
        <v>0</v>
      </c>
      <c r="AD64" s="54">
        <f t="shared" si="8"/>
        <v>15071.819801320002</v>
      </c>
      <c r="AE64" s="33"/>
      <c r="AF64" s="45">
        <v>58</v>
      </c>
      <c r="AG64" s="52">
        <v>1591.4646720000001</v>
      </c>
      <c r="AH64" s="52">
        <f>'[1]links-p0'!B60</f>
        <v>0</v>
      </c>
      <c r="AI64" s="33"/>
      <c r="AJ64" s="40">
        <v>58</v>
      </c>
      <c r="AK64" s="23">
        <v>0</v>
      </c>
      <c r="AL64" s="52">
        <f>'[1]links-p0'!H60</f>
        <v>0</v>
      </c>
      <c r="AM64" s="33"/>
      <c r="AN64" s="40">
        <v>58</v>
      </c>
      <c r="AO64" s="23">
        <v>3156.57</v>
      </c>
      <c r="AP64" s="52">
        <v>0</v>
      </c>
      <c r="AQ64" s="62">
        <f t="shared" si="9"/>
        <v>3156.57</v>
      </c>
      <c r="AR64" s="33">
        <f>'[1]links-p0'!C60</f>
        <v>0</v>
      </c>
      <c r="AS64" s="33"/>
      <c r="AT64" s="40">
        <v>58</v>
      </c>
      <c r="AU64" s="23">
        <v>4613</v>
      </c>
      <c r="AV64" s="33">
        <f>'[1]links-p0'!I60</f>
        <v>0</v>
      </c>
      <c r="AW64" s="33"/>
      <c r="AX64" s="40">
        <v>58</v>
      </c>
      <c r="AY64" s="23">
        <v>0</v>
      </c>
      <c r="AZ64" s="52">
        <v>9322.6525643200002</v>
      </c>
      <c r="BA64" s="62">
        <f t="shared" si="10"/>
        <v>9322.6525643200002</v>
      </c>
      <c r="BB64" s="33">
        <f>'[1]links-p0'!D60</f>
        <v>0</v>
      </c>
    </row>
    <row r="65" spans="1:54" x14ac:dyDescent="0.35">
      <c r="A65" s="33"/>
      <c r="B65" s="40">
        <f t="shared" si="11"/>
        <v>59</v>
      </c>
      <c r="C65" s="41">
        <v>28718</v>
      </c>
      <c r="D65" s="23">
        <v>1316.57</v>
      </c>
      <c r="E65" s="23">
        <v>12540</v>
      </c>
      <c r="F65" s="23">
        <f t="shared" si="13"/>
        <v>42574.57</v>
      </c>
      <c r="G65" s="42">
        <f t="shared" si="2"/>
        <v>0.36139866728916431</v>
      </c>
      <c r="H65" s="23">
        <f>'[1]generators-p'!B61</f>
        <v>28717.999999999989</v>
      </c>
      <c r="I65" s="23">
        <f>'[1]generators-p'!C61</f>
        <v>1316.57</v>
      </c>
      <c r="J65" s="23">
        <f>'[1]generators-p'!D61</f>
        <v>12540</v>
      </c>
      <c r="K65" s="23">
        <v>0</v>
      </c>
      <c r="L65" s="23">
        <f t="shared" si="3"/>
        <v>42574.569999999992</v>
      </c>
      <c r="M65" s="42">
        <f t="shared" si="14"/>
        <v>0.36139866728916425</v>
      </c>
      <c r="N65" s="33"/>
      <c r="O65" s="44">
        <f t="shared" si="12"/>
        <v>59</v>
      </c>
      <c r="P65" s="23">
        <v>1334.9970000000001</v>
      </c>
      <c r="Q65" s="23">
        <v>262.2</v>
      </c>
      <c r="R65" s="23">
        <v>57</v>
      </c>
      <c r="S65" s="23">
        <f t="shared" si="4"/>
        <v>1654.1970000000001</v>
      </c>
      <c r="T65" s="42">
        <f t="shared" si="5"/>
        <v>1.8019614421817914E-2</v>
      </c>
      <c r="U65" s="41">
        <f>'[1]generators-p'!E61</f>
        <v>1417.5837174260389</v>
      </c>
      <c r="V65" s="42">
        <f t="shared" si="6"/>
        <v>1.5442122068087717E-2</v>
      </c>
      <c r="W65" s="33"/>
      <c r="X65" s="40">
        <v>59</v>
      </c>
      <c r="Y65" s="54">
        <v>0</v>
      </c>
      <c r="Z65" s="54">
        <v>10723.800950000001</v>
      </c>
      <c r="AA65" s="55">
        <f t="shared" si="7"/>
        <v>10723.800950000001</v>
      </c>
      <c r="AB65" s="56">
        <f>'[1]generators-p'!J61</f>
        <v>21224.533416042861</v>
      </c>
      <c r="AC65" s="54">
        <f>'[1]links-p0'!E61</f>
        <v>0</v>
      </c>
      <c r="AD65" s="54">
        <f t="shared" si="8"/>
        <v>14857.173391230002</v>
      </c>
      <c r="AE65" s="33"/>
      <c r="AF65" s="45">
        <v>59</v>
      </c>
      <c r="AG65" s="52">
        <v>1591.4646720000001</v>
      </c>
      <c r="AH65" s="52">
        <f>'[1]links-p0'!B61</f>
        <v>0</v>
      </c>
      <c r="AI65" s="33"/>
      <c r="AJ65" s="40">
        <v>59</v>
      </c>
      <c r="AK65" s="23">
        <v>0</v>
      </c>
      <c r="AL65" s="52">
        <f>'[1]links-p0'!H61</f>
        <v>0</v>
      </c>
      <c r="AM65" s="33"/>
      <c r="AN65" s="40">
        <v>59</v>
      </c>
      <c r="AO65" s="23">
        <v>3156.57</v>
      </c>
      <c r="AP65" s="52">
        <v>0</v>
      </c>
      <c r="AQ65" s="62">
        <f t="shared" si="9"/>
        <v>3156.57</v>
      </c>
      <c r="AR65" s="33">
        <f>'[1]links-p0'!C61</f>
        <v>0</v>
      </c>
      <c r="AS65" s="33"/>
      <c r="AT65" s="40">
        <v>59</v>
      </c>
      <c r="AU65" s="23">
        <v>4613</v>
      </c>
      <c r="AV65" s="33">
        <f>'[1]links-p0'!I61</f>
        <v>0</v>
      </c>
      <c r="AW65" s="33"/>
      <c r="AX65" s="40">
        <v>59</v>
      </c>
      <c r="AY65" s="23">
        <v>0</v>
      </c>
      <c r="AZ65" s="52">
        <v>10423.35</v>
      </c>
      <c r="BA65" s="62">
        <f t="shared" si="10"/>
        <v>10423.35</v>
      </c>
      <c r="BB65" s="33">
        <f>'[1]links-p0'!D61</f>
        <v>0</v>
      </c>
    </row>
    <row r="66" spans="1:54" x14ac:dyDescent="0.35">
      <c r="A66" s="33"/>
      <c r="B66" s="40">
        <f t="shared" si="11"/>
        <v>60</v>
      </c>
      <c r="C66" s="41">
        <v>30793</v>
      </c>
      <c r="D66" s="23">
        <v>1648.115</v>
      </c>
      <c r="E66" s="23">
        <v>14670</v>
      </c>
      <c r="F66" s="23">
        <f t="shared" si="13"/>
        <v>47111.115000000005</v>
      </c>
      <c r="G66" s="42">
        <f t="shared" si="2"/>
        <v>0.39990760154492599</v>
      </c>
      <c r="H66" s="23">
        <f>'[1]generators-p'!B62</f>
        <v>30793</v>
      </c>
      <c r="I66" s="23">
        <f>'[1]generators-p'!C62</f>
        <v>1648.115</v>
      </c>
      <c r="J66" s="23">
        <f>'[1]generators-p'!D62</f>
        <v>14670</v>
      </c>
      <c r="K66" s="23">
        <v>402.22996659973722</v>
      </c>
      <c r="L66" s="23">
        <f t="shared" si="3"/>
        <v>47111.114999999998</v>
      </c>
      <c r="M66" s="42">
        <f t="shared" si="14"/>
        <v>0.39990760154492594</v>
      </c>
      <c r="N66" s="33"/>
      <c r="O66" s="44">
        <f t="shared" si="12"/>
        <v>60</v>
      </c>
      <c r="P66" s="23">
        <v>978.99779999999998</v>
      </c>
      <c r="Q66" s="23">
        <v>269.10000000000002</v>
      </c>
      <c r="R66" s="23">
        <v>58.5</v>
      </c>
      <c r="S66" s="23">
        <f t="shared" si="4"/>
        <v>1306.5978</v>
      </c>
      <c r="T66" s="42">
        <f t="shared" si="5"/>
        <v>1.4233122512249482E-2</v>
      </c>
      <c r="U66" s="41">
        <f>'[1]generators-p'!E62</f>
        <v>1047.830302104984</v>
      </c>
      <c r="V66" s="42">
        <f t="shared" si="6"/>
        <v>1.1414298311161723E-2</v>
      </c>
      <c r="W66" s="33"/>
      <c r="X66" s="40">
        <v>60</v>
      </c>
      <c r="Y66" s="54">
        <v>0</v>
      </c>
      <c r="Z66" s="54">
        <v>11917.276159999999</v>
      </c>
      <c r="AA66" s="55">
        <f t="shared" si="7"/>
        <v>11917.276159999999</v>
      </c>
      <c r="AB66" s="56">
        <f>'[1]generators-p'!J62</f>
        <v>23153.02923794285</v>
      </c>
      <c r="AC66" s="54">
        <f>'[1]links-p0'!E62</f>
        <v>0</v>
      </c>
      <c r="AD66" s="54">
        <f t="shared" si="8"/>
        <v>16207.120466559994</v>
      </c>
      <c r="AE66" s="33"/>
      <c r="AF66" s="45">
        <v>60</v>
      </c>
      <c r="AG66" s="52">
        <v>1591.4646720000001</v>
      </c>
      <c r="AH66" s="52">
        <f>'[1]links-p0'!B62</f>
        <v>0</v>
      </c>
      <c r="AI66" s="33"/>
      <c r="AJ66" s="40">
        <v>60</v>
      </c>
      <c r="AK66" s="23">
        <v>0</v>
      </c>
      <c r="AL66" s="52">
        <f>'[1]links-p0'!H62</f>
        <v>0</v>
      </c>
      <c r="AM66" s="33"/>
      <c r="AN66" s="40">
        <v>60</v>
      </c>
      <c r="AO66" s="23">
        <v>3156.57</v>
      </c>
      <c r="AP66" s="52">
        <v>0</v>
      </c>
      <c r="AQ66" s="62">
        <f t="shared" si="9"/>
        <v>3156.57</v>
      </c>
      <c r="AR66" s="33">
        <f>'[1]links-p0'!C62</f>
        <v>0</v>
      </c>
      <c r="AS66" s="33"/>
      <c r="AT66" s="40">
        <v>60</v>
      </c>
      <c r="AU66" s="23">
        <v>4613</v>
      </c>
      <c r="AV66" s="33">
        <f>'[1]links-p0'!I62</f>
        <v>0</v>
      </c>
      <c r="AW66" s="33"/>
      <c r="AX66" s="40">
        <v>60</v>
      </c>
      <c r="AY66" s="23">
        <v>0</v>
      </c>
      <c r="AZ66" s="52">
        <v>10423.35</v>
      </c>
      <c r="BA66" s="62">
        <f t="shared" si="10"/>
        <v>10423.35</v>
      </c>
      <c r="BB66" s="33">
        <f>'[1]links-p0'!D62</f>
        <v>0</v>
      </c>
    </row>
    <row r="67" spans="1:54" x14ac:dyDescent="0.35">
      <c r="A67" s="33"/>
      <c r="B67" s="40">
        <f t="shared" si="11"/>
        <v>61</v>
      </c>
      <c r="C67" s="41">
        <v>31374</v>
      </c>
      <c r="D67" s="23">
        <v>1696.165</v>
      </c>
      <c r="E67" s="23">
        <v>14940</v>
      </c>
      <c r="F67" s="23">
        <f t="shared" si="13"/>
        <v>48010.165000000001</v>
      </c>
      <c r="G67" s="42">
        <f t="shared" si="2"/>
        <v>0.40753928101523706</v>
      </c>
      <c r="H67" s="23">
        <f>'[1]generators-p'!B63</f>
        <v>31374</v>
      </c>
      <c r="I67" s="23">
        <f>'[1]generators-p'!C63</f>
        <v>1696.165</v>
      </c>
      <c r="J67" s="23">
        <f>'[1]generators-p'!D63</f>
        <v>14940</v>
      </c>
      <c r="K67" s="23">
        <v>787.1787772598708</v>
      </c>
      <c r="L67" s="23">
        <f t="shared" si="3"/>
        <v>48010.165000000001</v>
      </c>
      <c r="M67" s="42">
        <f t="shared" si="14"/>
        <v>0.40753928101523706</v>
      </c>
      <c r="N67" s="33"/>
      <c r="O67" s="44">
        <f t="shared" si="12"/>
        <v>61</v>
      </c>
      <c r="P67" s="23">
        <v>889.99800000000005</v>
      </c>
      <c r="Q67" s="23">
        <v>278.3</v>
      </c>
      <c r="R67" s="23">
        <v>60.5</v>
      </c>
      <c r="S67" s="23">
        <f t="shared" si="4"/>
        <v>1228.798</v>
      </c>
      <c r="T67" s="42">
        <f t="shared" si="5"/>
        <v>1.3385628291129175E-2</v>
      </c>
      <c r="U67" s="41">
        <f>'[1]generators-p'!E63</f>
        <v>948.78805466085657</v>
      </c>
      <c r="V67" s="42">
        <f t="shared" si="6"/>
        <v>1.0335404376271588E-2</v>
      </c>
      <c r="W67" s="33"/>
      <c r="X67" s="40">
        <v>61</v>
      </c>
      <c r="Y67" s="54">
        <v>0</v>
      </c>
      <c r="Z67" s="54">
        <v>12084.64659</v>
      </c>
      <c r="AA67" s="55">
        <f t="shared" si="7"/>
        <v>12084.64659</v>
      </c>
      <c r="AB67" s="56">
        <f>'[1]generators-p'!J63</f>
        <v>25416.41991611429</v>
      </c>
      <c r="AC67" s="54">
        <f>'[1]links-p0'!E63</f>
        <v>0</v>
      </c>
      <c r="AD67" s="54">
        <f t="shared" si="8"/>
        <v>17791.493941280001</v>
      </c>
      <c r="AE67" s="33"/>
      <c r="AF67" s="45">
        <v>61</v>
      </c>
      <c r="AG67" s="52">
        <v>1591.4646720000001</v>
      </c>
      <c r="AH67" s="52">
        <f>'[1]links-p0'!B63</f>
        <v>0</v>
      </c>
      <c r="AI67" s="33"/>
      <c r="AJ67" s="40">
        <v>61</v>
      </c>
      <c r="AK67" s="23">
        <v>0</v>
      </c>
      <c r="AL67" s="52">
        <f>'[1]links-p0'!H63</f>
        <v>0</v>
      </c>
      <c r="AM67" s="33"/>
      <c r="AN67" s="40">
        <v>61</v>
      </c>
      <c r="AO67" s="23">
        <v>3156.57</v>
      </c>
      <c r="AP67" s="52">
        <v>0</v>
      </c>
      <c r="AQ67" s="62">
        <f t="shared" si="9"/>
        <v>3156.57</v>
      </c>
      <c r="AR67" s="33">
        <f>'[1]links-p0'!C63</f>
        <v>0</v>
      </c>
      <c r="AS67" s="33"/>
      <c r="AT67" s="40">
        <v>61</v>
      </c>
      <c r="AU67" s="23">
        <v>4613</v>
      </c>
      <c r="AV67" s="33">
        <f>'[1]links-p0'!I63</f>
        <v>0</v>
      </c>
      <c r="AW67" s="33"/>
      <c r="AX67" s="40">
        <v>61</v>
      </c>
      <c r="AY67" s="23">
        <v>0</v>
      </c>
      <c r="AZ67" s="52">
        <v>10423.35</v>
      </c>
      <c r="BA67" s="62">
        <f t="shared" si="10"/>
        <v>10423.35</v>
      </c>
      <c r="BB67" s="33">
        <f>'[1]links-p0'!D63</f>
        <v>0</v>
      </c>
    </row>
    <row r="68" spans="1:54" x14ac:dyDescent="0.35">
      <c r="A68" s="33"/>
      <c r="B68" s="40">
        <f t="shared" si="11"/>
        <v>62</v>
      </c>
      <c r="C68" s="41">
        <v>30876</v>
      </c>
      <c r="D68" s="23">
        <v>1460.72</v>
      </c>
      <c r="E68" s="23">
        <v>13410</v>
      </c>
      <c r="F68" s="23">
        <f t="shared" si="13"/>
        <v>45746.720000000001</v>
      </c>
      <c r="G68" s="42">
        <f t="shared" si="2"/>
        <v>0.38832579262340311</v>
      </c>
      <c r="H68" s="23">
        <f>'[1]generators-p'!B64</f>
        <v>30876</v>
      </c>
      <c r="I68" s="23">
        <f>'[1]generators-p'!C64</f>
        <v>1460.72</v>
      </c>
      <c r="J68" s="23">
        <f>'[1]generators-p'!D64</f>
        <v>13410</v>
      </c>
      <c r="K68" s="23">
        <v>0</v>
      </c>
      <c r="L68" s="23">
        <f t="shared" si="3"/>
        <v>45746.720000000001</v>
      </c>
      <c r="M68" s="42">
        <f t="shared" si="14"/>
        <v>0.38832579262340311</v>
      </c>
      <c r="N68" s="33"/>
      <c r="O68" s="44">
        <f t="shared" si="12"/>
        <v>62</v>
      </c>
      <c r="P68" s="23">
        <v>889.99800000000005</v>
      </c>
      <c r="Q68" s="23">
        <v>280.60000000000002</v>
      </c>
      <c r="R68" s="23">
        <v>61</v>
      </c>
      <c r="S68" s="23">
        <f t="shared" si="4"/>
        <v>1231.598</v>
      </c>
      <c r="T68" s="42">
        <f t="shared" si="5"/>
        <v>1.3416129446905112E-2</v>
      </c>
      <c r="U68" s="41">
        <f>'[1]generators-p'!E64</f>
        <v>937.12635957142493</v>
      </c>
      <c r="V68" s="42">
        <f t="shared" si="6"/>
        <v>1.0208370383937926E-2</v>
      </c>
      <c r="W68" s="33"/>
      <c r="X68" s="40">
        <v>62</v>
      </c>
      <c r="Y68" s="54">
        <v>0</v>
      </c>
      <c r="Z68" s="54">
        <v>11316.43014</v>
      </c>
      <c r="AA68" s="55">
        <f t="shared" si="7"/>
        <v>11316.43014</v>
      </c>
      <c r="AB68" s="56">
        <f>'[1]generators-p'!J64</f>
        <v>22184.18406098571</v>
      </c>
      <c r="AC68" s="54">
        <f>'[1]links-p0'!E64</f>
        <v>0</v>
      </c>
      <c r="AD68" s="54">
        <f t="shared" si="8"/>
        <v>15528.928842689997</v>
      </c>
      <c r="AE68" s="33"/>
      <c r="AF68" s="45">
        <v>62</v>
      </c>
      <c r="AG68" s="52">
        <v>1591.4646720000001</v>
      </c>
      <c r="AH68" s="52">
        <f>'[1]links-p0'!B64</f>
        <v>0</v>
      </c>
      <c r="AI68" s="33"/>
      <c r="AJ68" s="40">
        <v>62</v>
      </c>
      <c r="AK68" s="23">
        <v>0</v>
      </c>
      <c r="AL68" s="52">
        <f>'[1]links-p0'!H64</f>
        <v>0</v>
      </c>
      <c r="AM68" s="33"/>
      <c r="AN68" s="40">
        <v>62</v>
      </c>
      <c r="AO68" s="23">
        <v>3156.57</v>
      </c>
      <c r="AP68" s="52">
        <v>0</v>
      </c>
      <c r="AQ68" s="62">
        <f t="shared" si="9"/>
        <v>3156.57</v>
      </c>
      <c r="AR68" s="33">
        <f>'[1]links-p0'!C64</f>
        <v>0</v>
      </c>
      <c r="AS68" s="33"/>
      <c r="AT68" s="40">
        <v>62</v>
      </c>
      <c r="AU68" s="23">
        <v>4613</v>
      </c>
      <c r="AV68" s="33">
        <f>'[1]links-p0'!I64</f>
        <v>0</v>
      </c>
      <c r="AW68" s="33"/>
      <c r="AX68" s="40">
        <v>62</v>
      </c>
      <c r="AY68" s="23">
        <v>0</v>
      </c>
      <c r="AZ68" s="52">
        <v>10423.35</v>
      </c>
      <c r="BA68" s="62">
        <f t="shared" si="10"/>
        <v>10423.35</v>
      </c>
      <c r="BB68" s="33">
        <f>'[1]links-p0'!D64</f>
        <v>0</v>
      </c>
    </row>
    <row r="69" spans="1:54" x14ac:dyDescent="0.35">
      <c r="A69" s="33"/>
      <c r="B69" s="40">
        <f t="shared" si="11"/>
        <v>63</v>
      </c>
      <c r="C69" s="41">
        <v>28635</v>
      </c>
      <c r="D69" s="23">
        <v>1013.855</v>
      </c>
      <c r="E69" s="23">
        <v>10290</v>
      </c>
      <c r="F69" s="23">
        <f t="shared" si="13"/>
        <v>39938.854999999996</v>
      </c>
      <c r="G69" s="42">
        <f t="shared" si="2"/>
        <v>0.3390251262679852</v>
      </c>
      <c r="H69" s="23">
        <f>'[1]generators-p'!B65</f>
        <v>28635</v>
      </c>
      <c r="I69" s="23">
        <f>'[1]generators-p'!C65</f>
        <v>1013.854999999995</v>
      </c>
      <c r="J69" s="23">
        <f>'[1]generators-p'!D65</f>
        <v>10290</v>
      </c>
      <c r="K69" s="23">
        <v>0</v>
      </c>
      <c r="L69" s="23">
        <f t="shared" si="3"/>
        <v>39938.854999999996</v>
      </c>
      <c r="M69" s="42">
        <f t="shared" si="14"/>
        <v>0.3390251262679852</v>
      </c>
      <c r="N69" s="33"/>
      <c r="O69" s="44">
        <f t="shared" si="12"/>
        <v>63</v>
      </c>
      <c r="P69" s="23">
        <v>978.99779999999998</v>
      </c>
      <c r="Q69" s="23">
        <v>276</v>
      </c>
      <c r="R69" s="23">
        <v>60</v>
      </c>
      <c r="S69" s="23">
        <f t="shared" si="4"/>
        <v>1314.9978000000001</v>
      </c>
      <c r="T69" s="42">
        <f t="shared" si="5"/>
        <v>1.4324625979577298E-2</v>
      </c>
      <c r="U69" s="41">
        <f>'[1]generators-p'!E65</f>
        <v>1015.341620447234</v>
      </c>
      <c r="V69" s="42">
        <f t="shared" si="6"/>
        <v>1.1060390332519614E-2</v>
      </c>
      <c r="W69" s="33"/>
      <c r="X69" s="40">
        <v>63</v>
      </c>
      <c r="Y69" s="54">
        <v>0</v>
      </c>
      <c r="Z69" s="54">
        <v>9581.1113299999997</v>
      </c>
      <c r="AA69" s="55">
        <f t="shared" si="7"/>
        <v>9581.1113299999997</v>
      </c>
      <c r="AB69" s="56">
        <f>'[1]generators-p'!J65</f>
        <v>22003.13453922858</v>
      </c>
      <c r="AC69" s="54">
        <f>'[1]links-p0'!E65</f>
        <v>0</v>
      </c>
      <c r="AD69" s="54">
        <f t="shared" si="8"/>
        <v>15402.194177460005</v>
      </c>
      <c r="AE69" s="33"/>
      <c r="AF69" s="45">
        <v>63</v>
      </c>
      <c r="AG69" s="52">
        <v>1591.4646720000001</v>
      </c>
      <c r="AH69" s="52">
        <f>'[1]links-p0'!B65</f>
        <v>0</v>
      </c>
      <c r="AI69" s="33"/>
      <c r="AJ69" s="40">
        <v>63</v>
      </c>
      <c r="AK69" s="23">
        <v>0</v>
      </c>
      <c r="AL69" s="52">
        <f>'[1]links-p0'!H65</f>
        <v>0</v>
      </c>
      <c r="AM69" s="33"/>
      <c r="AN69" s="40">
        <v>63</v>
      </c>
      <c r="AO69" s="23">
        <v>3156.57</v>
      </c>
      <c r="AP69" s="52">
        <v>0</v>
      </c>
      <c r="AQ69" s="62">
        <f t="shared" si="9"/>
        <v>3156.57</v>
      </c>
      <c r="AR69" s="33">
        <f>'[1]links-p0'!C65</f>
        <v>0</v>
      </c>
      <c r="AS69" s="33"/>
      <c r="AT69" s="40">
        <v>63</v>
      </c>
      <c r="AU69" s="23">
        <v>4613</v>
      </c>
      <c r="AV69" s="33">
        <f>'[1]links-p0'!I65</f>
        <v>0</v>
      </c>
      <c r="AW69" s="33"/>
      <c r="AX69" s="40">
        <v>63</v>
      </c>
      <c r="AY69" s="23">
        <v>0</v>
      </c>
      <c r="AZ69" s="52">
        <v>10351.18835441</v>
      </c>
      <c r="BA69" s="62">
        <f t="shared" si="10"/>
        <v>10351.18835441</v>
      </c>
      <c r="BB69" s="33">
        <f>'[1]links-p0'!D65</f>
        <v>0</v>
      </c>
    </row>
    <row r="70" spans="1:54" x14ac:dyDescent="0.35">
      <c r="A70" s="33"/>
      <c r="B70" s="40">
        <f t="shared" si="11"/>
        <v>64</v>
      </c>
      <c r="C70" s="41">
        <v>20003</v>
      </c>
      <c r="D70" s="23">
        <v>480.5</v>
      </c>
      <c r="E70" s="23">
        <v>6000</v>
      </c>
      <c r="F70" s="23">
        <f t="shared" ref="F70:F101" si="15">C70+D70+E70</f>
        <v>26483.5</v>
      </c>
      <c r="G70" s="42">
        <f t="shared" si="2"/>
        <v>0.22480794533338994</v>
      </c>
      <c r="H70" s="23">
        <f>'[1]generators-p'!B66</f>
        <v>20003</v>
      </c>
      <c r="I70" s="23">
        <f>'[1]generators-p'!C66</f>
        <v>480.5</v>
      </c>
      <c r="J70" s="23">
        <f>'[1]generators-p'!D66</f>
        <v>6000</v>
      </c>
      <c r="K70" s="23">
        <v>0</v>
      </c>
      <c r="L70" s="23">
        <f t="shared" si="3"/>
        <v>26483.5</v>
      </c>
      <c r="M70" s="42">
        <f t="shared" ref="M70:M101" si="16">L70/$I$2</f>
        <v>0.22480794533338994</v>
      </c>
      <c r="N70" s="33"/>
      <c r="O70" s="44">
        <f t="shared" si="12"/>
        <v>64</v>
      </c>
      <c r="P70" s="23">
        <v>889.99800000000005</v>
      </c>
      <c r="Q70" s="23">
        <v>278.3</v>
      </c>
      <c r="R70" s="23">
        <v>60.5</v>
      </c>
      <c r="S70" s="23">
        <f t="shared" si="4"/>
        <v>1228.798</v>
      </c>
      <c r="T70" s="42">
        <f t="shared" si="5"/>
        <v>1.3385628291129175E-2</v>
      </c>
      <c r="U70" s="41">
        <f>'[1]generators-p'!E66</f>
        <v>908.720932771256</v>
      </c>
      <c r="V70" s="42">
        <f t="shared" si="6"/>
        <v>9.8989424026115092E-3</v>
      </c>
      <c r="W70" s="33"/>
      <c r="X70" s="40">
        <v>64</v>
      </c>
      <c r="Y70" s="54">
        <v>101.21664613999999</v>
      </c>
      <c r="Z70" s="54">
        <v>6217.6503400000001</v>
      </c>
      <c r="AA70" s="55">
        <f t="shared" si="7"/>
        <v>6318.8669861400003</v>
      </c>
      <c r="AB70" s="56">
        <f>'[1]generators-p'!J66</f>
        <v>16874.05555065714</v>
      </c>
      <c r="AC70" s="54">
        <f>'[1]links-p0'!E66</f>
        <v>0</v>
      </c>
      <c r="AD70" s="54">
        <f t="shared" si="8"/>
        <v>11811.838885459998</v>
      </c>
      <c r="AE70" s="33"/>
      <c r="AF70" s="45">
        <v>64</v>
      </c>
      <c r="AG70" s="52">
        <v>1591.4646720000001</v>
      </c>
      <c r="AH70" s="52">
        <f>'[1]links-p0'!B66</f>
        <v>0</v>
      </c>
      <c r="AI70" s="33"/>
      <c r="AJ70" s="40">
        <v>64</v>
      </c>
      <c r="AK70" s="23">
        <v>0</v>
      </c>
      <c r="AL70" s="52">
        <f>'[1]links-p0'!H66</f>
        <v>0</v>
      </c>
      <c r="AM70" s="33"/>
      <c r="AN70" s="40">
        <v>64</v>
      </c>
      <c r="AO70" s="23">
        <v>3156.57</v>
      </c>
      <c r="AP70" s="52">
        <v>0</v>
      </c>
      <c r="AQ70" s="62">
        <f t="shared" si="9"/>
        <v>3156.57</v>
      </c>
      <c r="AR70" s="33">
        <f>'[1]links-p0'!C66</f>
        <v>5991.9213903708614</v>
      </c>
      <c r="AS70" s="33"/>
      <c r="AT70" s="40">
        <v>64</v>
      </c>
      <c r="AU70" s="23">
        <v>4613</v>
      </c>
      <c r="AV70" s="33">
        <f>'[1]links-p0'!I66</f>
        <v>0</v>
      </c>
      <c r="AW70" s="33"/>
      <c r="AX70" s="40">
        <v>64</v>
      </c>
      <c r="AY70" s="23">
        <v>0</v>
      </c>
      <c r="AZ70" s="52">
        <v>374.42458929999998</v>
      </c>
      <c r="BA70" s="62">
        <f t="shared" si="10"/>
        <v>374.42458929999998</v>
      </c>
      <c r="BB70" s="33">
        <f>'[1]links-p0'!D66</f>
        <v>0</v>
      </c>
    </row>
    <row r="71" spans="1:54" x14ac:dyDescent="0.35">
      <c r="A71" s="33"/>
      <c r="B71" s="40">
        <f t="shared" si="11"/>
        <v>65</v>
      </c>
      <c r="C71" s="41">
        <v>4565</v>
      </c>
      <c r="D71" s="23">
        <v>0</v>
      </c>
      <c r="E71" s="23">
        <v>1560</v>
      </c>
      <c r="F71" s="23">
        <f t="shared" si="15"/>
        <v>6125</v>
      </c>
      <c r="G71" s="42">
        <f t="shared" ref="G71:G134" si="17">F71/$F$2</f>
        <v>5.1992699800517808E-2</v>
      </c>
      <c r="H71" s="23">
        <f>'[1]generators-p'!B67</f>
        <v>4565.0000000000009</v>
      </c>
      <c r="I71" s="23">
        <f>'[1]generators-p'!C67</f>
        <v>0</v>
      </c>
      <c r="J71" s="23">
        <f>'[1]generators-p'!D67</f>
        <v>1560</v>
      </c>
      <c r="K71" s="23">
        <v>0</v>
      </c>
      <c r="L71" s="23">
        <f t="shared" ref="L71:L134" si="18">I71+J71+H71</f>
        <v>6125.0000000000009</v>
      </c>
      <c r="M71" s="42">
        <f t="shared" si="16"/>
        <v>5.1992699800517815E-2</v>
      </c>
      <c r="N71" s="33"/>
      <c r="O71" s="44">
        <f t="shared" si="12"/>
        <v>65</v>
      </c>
      <c r="P71" s="23">
        <v>1601.9964</v>
      </c>
      <c r="Q71" s="23">
        <v>282.89999999999998</v>
      </c>
      <c r="R71" s="23">
        <v>61.5</v>
      </c>
      <c r="S71" s="23">
        <f t="shared" ref="S71:S134" si="19">P71+Q71+R71</f>
        <v>1946.3964000000001</v>
      </c>
      <c r="T71" s="42">
        <f t="shared" ref="T71:T134" si="20">S71/$S$2</f>
        <v>2.1202621356473543E-2</v>
      </c>
      <c r="U71" s="41">
        <f>'[1]generators-p'!E67</f>
        <v>1632.2207250531701</v>
      </c>
      <c r="V71" s="42">
        <f t="shared" ref="V71:V134" si="21">U71/$U$2</f>
        <v>1.7780220926986442E-2</v>
      </c>
      <c r="W71" s="33"/>
      <c r="X71" s="40">
        <v>65</v>
      </c>
      <c r="Y71" s="54">
        <v>3794.73170613</v>
      </c>
      <c r="Z71" s="54">
        <v>1913.9952800000001</v>
      </c>
      <c r="AA71" s="55">
        <f t="shared" ref="AA71:AA134" si="22">Z71+Y71</f>
        <v>5708.7269861300001</v>
      </c>
      <c r="AB71" s="56">
        <f>'[1]generators-p'!J67</f>
        <v>6277.8119997590729</v>
      </c>
      <c r="AC71" s="54">
        <f>'[1]links-p0'!E67</f>
        <v>2799.3162629788221</v>
      </c>
      <c r="AD71" s="54">
        <f t="shared" ref="AD71:AD134" si="23">(AB71+AC71)*0.7</f>
        <v>6353.989783916526</v>
      </c>
      <c r="AE71" s="33"/>
      <c r="AF71" s="45">
        <v>65</v>
      </c>
      <c r="AG71" s="52">
        <v>6195.8310494400002</v>
      </c>
      <c r="AH71" s="52">
        <f>'[1]links-p0'!B67</f>
        <v>0</v>
      </c>
      <c r="AI71" s="33"/>
      <c r="AJ71" s="40">
        <v>65</v>
      </c>
      <c r="AK71" s="23">
        <v>1357</v>
      </c>
      <c r="AL71" s="52">
        <f>'[1]links-p0'!H67</f>
        <v>0</v>
      </c>
      <c r="AM71" s="33"/>
      <c r="AN71" s="40">
        <v>65</v>
      </c>
      <c r="AO71" s="23">
        <v>3156.57</v>
      </c>
      <c r="AP71" s="52">
        <v>10447.41</v>
      </c>
      <c r="AQ71" s="62">
        <f t="shared" ref="AQ71:AQ134" si="24">AO71+AP71</f>
        <v>13603.98</v>
      </c>
      <c r="AR71" s="33">
        <f>'[1]links-p0'!C67</f>
        <v>25140.2664733333</v>
      </c>
      <c r="AS71" s="33"/>
      <c r="AT71" s="40">
        <v>65</v>
      </c>
      <c r="AU71" s="23">
        <v>4613</v>
      </c>
      <c r="AV71" s="33">
        <f>'[1]links-p0'!I67</f>
        <v>1288.694734037764</v>
      </c>
      <c r="AW71" s="33"/>
      <c r="AX71" s="40">
        <v>65</v>
      </c>
      <c r="AY71" s="23">
        <v>0</v>
      </c>
      <c r="AZ71" s="52">
        <v>0</v>
      </c>
      <c r="BA71" s="62">
        <f t="shared" ref="BA71:BA134" si="25">AY71+AZ71</f>
        <v>0</v>
      </c>
      <c r="BB71" s="33">
        <f>'[1]links-p0'!D67</f>
        <v>0</v>
      </c>
    </row>
    <row r="72" spans="1:54" x14ac:dyDescent="0.35">
      <c r="A72" s="33"/>
      <c r="B72" s="40">
        <f t="shared" ref="B72:B135" si="26">B71+1</f>
        <v>66</v>
      </c>
      <c r="C72" s="41">
        <v>0</v>
      </c>
      <c r="D72" s="23">
        <v>0</v>
      </c>
      <c r="E72" s="23">
        <v>0</v>
      </c>
      <c r="F72" s="23">
        <f t="shared" si="15"/>
        <v>0</v>
      </c>
      <c r="G72" s="42">
        <f t="shared" si="17"/>
        <v>0</v>
      </c>
      <c r="H72" s="23">
        <f>'[1]generators-p'!B68</f>
        <v>0</v>
      </c>
      <c r="I72" s="23">
        <f>'[1]generators-p'!C68</f>
        <v>0</v>
      </c>
      <c r="J72" s="23">
        <f>'[1]generators-p'!D68</f>
        <v>0</v>
      </c>
      <c r="K72" s="23">
        <v>0</v>
      </c>
      <c r="L72" s="23">
        <f t="shared" si="18"/>
        <v>0</v>
      </c>
      <c r="M72" s="42">
        <f t="shared" si="16"/>
        <v>0</v>
      </c>
      <c r="N72" s="33"/>
      <c r="O72" s="44">
        <f t="shared" ref="O72:O135" si="27">O71+1</f>
        <v>66</v>
      </c>
      <c r="P72" s="23">
        <v>2847.9935999999998</v>
      </c>
      <c r="Q72" s="23">
        <v>292.10000000000002</v>
      </c>
      <c r="R72" s="23">
        <v>63.5</v>
      </c>
      <c r="S72" s="23">
        <f t="shared" si="19"/>
        <v>3203.5935999999997</v>
      </c>
      <c r="T72" s="42">
        <f t="shared" si="20"/>
        <v>3.4897609798714153E-2</v>
      </c>
      <c r="U72" s="41">
        <f>'[1]generators-p'!E68</f>
        <v>2969.6079584393651</v>
      </c>
      <c r="V72" s="42">
        <f t="shared" si="21"/>
        <v>3.2348741047794928E-2</v>
      </c>
      <c r="W72" s="33"/>
      <c r="X72" s="40">
        <v>66</v>
      </c>
      <c r="Y72" s="54">
        <v>4209.5968652800002</v>
      </c>
      <c r="Z72" s="54">
        <v>873.2801199999999</v>
      </c>
      <c r="AA72" s="55">
        <f t="shared" si="22"/>
        <v>5082.8769852799996</v>
      </c>
      <c r="AB72" s="56">
        <f>'[1]generators-p'!J68</f>
        <v>1638.3131679601249</v>
      </c>
      <c r="AC72" s="54">
        <f>'[1]links-p0'!E68</f>
        <v>6853.3319201023214</v>
      </c>
      <c r="AD72" s="54">
        <f t="shared" si="23"/>
        <v>5944.1515616437127</v>
      </c>
      <c r="AE72" s="33"/>
      <c r="AF72" s="45">
        <v>66</v>
      </c>
      <c r="AG72" s="52">
        <v>6195.8310494400002</v>
      </c>
      <c r="AH72" s="52">
        <f>'[1]links-p0'!B68</f>
        <v>0</v>
      </c>
      <c r="AI72" s="33"/>
      <c r="AJ72" s="40">
        <v>66</v>
      </c>
      <c r="AK72" s="23">
        <v>1357</v>
      </c>
      <c r="AL72" s="52">
        <f>'[1]links-p0'!H68</f>
        <v>0</v>
      </c>
      <c r="AM72" s="33"/>
      <c r="AN72" s="40">
        <v>66</v>
      </c>
      <c r="AO72" s="23">
        <v>3156.57</v>
      </c>
      <c r="AP72" s="52">
        <v>10447.41</v>
      </c>
      <c r="AQ72" s="62">
        <f t="shared" si="24"/>
        <v>13603.98</v>
      </c>
      <c r="AR72" s="33">
        <f>'[1]links-p0'!C68</f>
        <v>25140.2664733333</v>
      </c>
      <c r="AS72" s="33"/>
      <c r="AT72" s="40">
        <v>66</v>
      </c>
      <c r="AU72" s="23">
        <v>4613</v>
      </c>
      <c r="AV72" s="33">
        <f>'[1]links-p0'!I68</f>
        <v>3135</v>
      </c>
      <c r="AW72" s="33"/>
      <c r="AX72" s="40">
        <v>66</v>
      </c>
      <c r="AY72" s="23">
        <v>0</v>
      </c>
      <c r="AZ72" s="52">
        <v>0</v>
      </c>
      <c r="BA72" s="62">
        <f t="shared" si="25"/>
        <v>0</v>
      </c>
      <c r="BB72" s="33">
        <f>'[1]links-p0'!D68</f>
        <v>0</v>
      </c>
    </row>
    <row r="73" spans="1:54" x14ac:dyDescent="0.35">
      <c r="A73" s="33"/>
      <c r="B73" s="40">
        <f t="shared" si="26"/>
        <v>67</v>
      </c>
      <c r="C73" s="41">
        <v>0</v>
      </c>
      <c r="D73" s="23">
        <v>0</v>
      </c>
      <c r="E73" s="23">
        <v>0</v>
      </c>
      <c r="F73" s="23">
        <f t="shared" si="15"/>
        <v>0</v>
      </c>
      <c r="G73" s="42">
        <f t="shared" si="17"/>
        <v>0</v>
      </c>
      <c r="H73" s="23">
        <f>'[1]generators-p'!B69</f>
        <v>0</v>
      </c>
      <c r="I73" s="23">
        <f>'[1]generators-p'!C69</f>
        <v>0</v>
      </c>
      <c r="J73" s="23">
        <f>'[1]generators-p'!D69</f>
        <v>0</v>
      </c>
      <c r="K73" s="23">
        <v>0</v>
      </c>
      <c r="L73" s="23">
        <f t="shared" si="18"/>
        <v>0</v>
      </c>
      <c r="M73" s="42">
        <f t="shared" si="16"/>
        <v>0</v>
      </c>
      <c r="N73" s="33"/>
      <c r="O73" s="44">
        <f t="shared" si="27"/>
        <v>67</v>
      </c>
      <c r="P73" s="23">
        <v>2936.9933999999998</v>
      </c>
      <c r="Q73" s="23">
        <v>312.8</v>
      </c>
      <c r="R73" s="23">
        <v>68</v>
      </c>
      <c r="S73" s="23">
        <f t="shared" si="19"/>
        <v>3317.7934</v>
      </c>
      <c r="T73" s="42">
        <f t="shared" si="20"/>
        <v>3.6141619044921663E-2</v>
      </c>
      <c r="U73" s="41">
        <f>'[1]generators-p'!E69</f>
        <v>3032.5158789883531</v>
      </c>
      <c r="V73" s="42">
        <f t="shared" si="21"/>
        <v>3.3034014006439585E-2</v>
      </c>
      <c r="W73" s="33"/>
      <c r="X73" s="40">
        <v>67</v>
      </c>
      <c r="Y73" s="54">
        <v>2909.5667536800001</v>
      </c>
      <c r="Z73" s="54">
        <v>891.2502199999999</v>
      </c>
      <c r="AA73" s="55">
        <f t="shared" si="22"/>
        <v>3800.81697368</v>
      </c>
      <c r="AB73" s="56">
        <f>'[1]generators-p'!J69</f>
        <v>1671.0354291950191</v>
      </c>
      <c r="AC73" s="54">
        <f>'[1]links-p0'!E69</f>
        <v>5040.1024098485341</v>
      </c>
      <c r="AD73" s="54">
        <f t="shared" si="23"/>
        <v>4697.7964873304863</v>
      </c>
      <c r="AE73" s="33"/>
      <c r="AF73" s="45">
        <v>67</v>
      </c>
      <c r="AG73" s="52">
        <v>6195.8310494400002</v>
      </c>
      <c r="AH73" s="52">
        <f>'[1]links-p0'!B69</f>
        <v>0</v>
      </c>
      <c r="AI73" s="33"/>
      <c r="AJ73" s="40">
        <v>67</v>
      </c>
      <c r="AK73" s="23">
        <v>1357</v>
      </c>
      <c r="AL73" s="52">
        <f>'[1]links-p0'!H69</f>
        <v>0</v>
      </c>
      <c r="AM73" s="33"/>
      <c r="AN73" s="40">
        <v>67</v>
      </c>
      <c r="AO73" s="23">
        <v>3156.57</v>
      </c>
      <c r="AP73" s="52">
        <v>10447.41</v>
      </c>
      <c r="AQ73" s="62">
        <f t="shared" si="24"/>
        <v>13603.98</v>
      </c>
      <c r="AR73" s="33">
        <f>'[1]links-p0'!C69</f>
        <v>25140.2664733333</v>
      </c>
      <c r="AS73" s="33"/>
      <c r="AT73" s="40">
        <v>67</v>
      </c>
      <c r="AU73" s="23">
        <v>4613</v>
      </c>
      <c r="AV73" s="33">
        <f>'[1]links-p0'!I69</f>
        <v>3135</v>
      </c>
      <c r="AW73" s="33"/>
      <c r="AX73" s="40">
        <v>67</v>
      </c>
      <c r="AY73" s="23">
        <v>0</v>
      </c>
      <c r="AZ73" s="52">
        <v>0</v>
      </c>
      <c r="BA73" s="62">
        <f t="shared" si="25"/>
        <v>0</v>
      </c>
      <c r="BB73" s="33">
        <f>'[1]links-p0'!D69</f>
        <v>0</v>
      </c>
    </row>
    <row r="74" spans="1:54" x14ac:dyDescent="0.35">
      <c r="A74" s="33"/>
      <c r="B74" s="40">
        <f t="shared" si="26"/>
        <v>68</v>
      </c>
      <c r="C74" s="41">
        <v>0</v>
      </c>
      <c r="D74" s="23">
        <v>0</v>
      </c>
      <c r="E74" s="23">
        <v>0</v>
      </c>
      <c r="F74" s="23">
        <f t="shared" si="15"/>
        <v>0</v>
      </c>
      <c r="G74" s="42">
        <f t="shared" si="17"/>
        <v>0</v>
      </c>
      <c r="H74" s="23">
        <f>'[1]generators-p'!B70</f>
        <v>0</v>
      </c>
      <c r="I74" s="23">
        <f>'[1]generators-p'!C70</f>
        <v>0</v>
      </c>
      <c r="J74" s="23">
        <f>'[1]generators-p'!D70</f>
        <v>0</v>
      </c>
      <c r="K74" s="23">
        <v>0</v>
      </c>
      <c r="L74" s="23">
        <f t="shared" si="18"/>
        <v>0</v>
      </c>
      <c r="M74" s="42">
        <f t="shared" si="16"/>
        <v>0</v>
      </c>
      <c r="N74" s="33"/>
      <c r="O74" s="44">
        <f t="shared" si="27"/>
        <v>68</v>
      </c>
      <c r="P74" s="23">
        <v>1957.9956</v>
      </c>
      <c r="Q74" s="23">
        <v>349.6</v>
      </c>
      <c r="R74" s="23">
        <v>76</v>
      </c>
      <c r="S74" s="23">
        <f t="shared" si="19"/>
        <v>2383.5956000000001</v>
      </c>
      <c r="T74" s="42">
        <f t="shared" si="20"/>
        <v>2.5965150250872007E-2</v>
      </c>
      <c r="U74" s="41">
        <f>'[1]generators-p'!E70</f>
        <v>1997.8308484510681</v>
      </c>
      <c r="V74" s="42">
        <f t="shared" si="21"/>
        <v>2.1762910686636223E-2</v>
      </c>
      <c r="W74" s="33"/>
      <c r="X74" s="40">
        <v>68</v>
      </c>
      <c r="Y74" s="54">
        <v>2045.5285723300001</v>
      </c>
      <c r="Z74" s="54">
        <v>587.1586400000001</v>
      </c>
      <c r="AA74" s="55">
        <f t="shared" si="22"/>
        <v>2632.68721233</v>
      </c>
      <c r="AB74" s="56">
        <f>'[1]generators-p'!J70</f>
        <v>1100.8833135654299</v>
      </c>
      <c r="AC74" s="54">
        <f>'[1]links-p0'!E70</f>
        <v>4415.7207956081347</v>
      </c>
      <c r="AD74" s="54">
        <f t="shared" si="23"/>
        <v>3861.6228764214948</v>
      </c>
      <c r="AE74" s="33"/>
      <c r="AF74" s="45">
        <v>68</v>
      </c>
      <c r="AG74" s="52">
        <v>6195.8310494400002</v>
      </c>
      <c r="AH74" s="52">
        <f>'[1]links-p0'!B70</f>
        <v>0</v>
      </c>
      <c r="AI74" s="33"/>
      <c r="AJ74" s="40">
        <v>68</v>
      </c>
      <c r="AK74" s="23">
        <v>1357</v>
      </c>
      <c r="AL74" s="52">
        <f>'[1]links-p0'!H70</f>
        <v>0</v>
      </c>
      <c r="AM74" s="33"/>
      <c r="AN74" s="40">
        <v>68</v>
      </c>
      <c r="AO74" s="23">
        <v>3156.57</v>
      </c>
      <c r="AP74" s="52">
        <v>10447.41</v>
      </c>
      <c r="AQ74" s="62">
        <f t="shared" si="24"/>
        <v>13603.98</v>
      </c>
      <c r="AR74" s="33">
        <f>'[1]links-p0'!C70</f>
        <v>25140.2664733333</v>
      </c>
      <c r="AS74" s="33"/>
      <c r="AT74" s="40">
        <v>68</v>
      </c>
      <c r="AU74" s="23">
        <v>4613</v>
      </c>
      <c r="AV74" s="33">
        <f>'[1]links-p0'!I70</f>
        <v>3135</v>
      </c>
      <c r="AW74" s="33"/>
      <c r="AX74" s="40">
        <v>68</v>
      </c>
      <c r="AY74" s="23">
        <v>0</v>
      </c>
      <c r="AZ74" s="52">
        <v>0</v>
      </c>
      <c r="BA74" s="62">
        <f t="shared" si="25"/>
        <v>0</v>
      </c>
      <c r="BB74" s="33">
        <f>'[1]links-p0'!D70</f>
        <v>0</v>
      </c>
    </row>
    <row r="75" spans="1:54" x14ac:dyDescent="0.35">
      <c r="A75" s="33"/>
      <c r="B75" s="40">
        <f t="shared" si="26"/>
        <v>69</v>
      </c>
      <c r="C75" s="41">
        <v>0</v>
      </c>
      <c r="D75" s="23">
        <v>0</v>
      </c>
      <c r="E75" s="23">
        <v>0</v>
      </c>
      <c r="F75" s="23">
        <f t="shared" si="15"/>
        <v>0</v>
      </c>
      <c r="G75" s="42">
        <f t="shared" si="17"/>
        <v>0</v>
      </c>
      <c r="H75" s="23">
        <f>'[1]generators-p'!B71</f>
        <v>0</v>
      </c>
      <c r="I75" s="23">
        <f>'[1]generators-p'!C71</f>
        <v>0</v>
      </c>
      <c r="J75" s="23">
        <f>'[1]generators-p'!D71</f>
        <v>0</v>
      </c>
      <c r="K75" s="23">
        <v>0</v>
      </c>
      <c r="L75" s="23">
        <f t="shared" si="18"/>
        <v>0</v>
      </c>
      <c r="M75" s="42">
        <f t="shared" si="16"/>
        <v>0</v>
      </c>
      <c r="N75" s="33"/>
      <c r="O75" s="44">
        <f t="shared" si="27"/>
        <v>69</v>
      </c>
      <c r="P75" s="23">
        <v>1512.9965999999999</v>
      </c>
      <c r="Q75" s="23">
        <v>397.9</v>
      </c>
      <c r="R75" s="23">
        <v>86.5</v>
      </c>
      <c r="S75" s="23">
        <f t="shared" si="19"/>
        <v>1997.3966</v>
      </c>
      <c r="T75" s="42">
        <f t="shared" si="20"/>
        <v>2.1758180301046409E-2</v>
      </c>
      <c r="U75" s="41">
        <f>'[1]generators-p'!E71</f>
        <v>1605.3004353277749</v>
      </c>
      <c r="V75" s="42">
        <f t="shared" si="21"/>
        <v>1.74869709446837E-2</v>
      </c>
      <c r="W75" s="33"/>
      <c r="X75" s="40">
        <v>69</v>
      </c>
      <c r="Y75" s="54">
        <v>1099.4137310999999</v>
      </c>
      <c r="Z75" s="54">
        <v>471.79428999999999</v>
      </c>
      <c r="AA75" s="55">
        <f t="shared" si="22"/>
        <v>1571.2080211</v>
      </c>
      <c r="AB75" s="56">
        <f>'[1]generators-p'!J71</f>
        <v>884.58362923058723</v>
      </c>
      <c r="AC75" s="54">
        <f>'[1]links-p0'!E71</f>
        <v>3079.1895938597081</v>
      </c>
      <c r="AD75" s="54">
        <f t="shared" si="23"/>
        <v>2774.6412561632064</v>
      </c>
      <c r="AE75" s="33"/>
      <c r="AF75" s="45">
        <v>69</v>
      </c>
      <c r="AG75" s="52">
        <v>6195.8310494400002</v>
      </c>
      <c r="AH75" s="52">
        <f>'[1]links-p0'!B71</f>
        <v>0</v>
      </c>
      <c r="AI75" s="33"/>
      <c r="AJ75" s="40">
        <v>69</v>
      </c>
      <c r="AK75" s="23">
        <v>1357</v>
      </c>
      <c r="AL75" s="52">
        <f>'[1]links-p0'!H71</f>
        <v>0</v>
      </c>
      <c r="AM75" s="33"/>
      <c r="AN75" s="40">
        <v>69</v>
      </c>
      <c r="AO75" s="23">
        <v>3156.57</v>
      </c>
      <c r="AP75" s="52">
        <v>10447.41</v>
      </c>
      <c r="AQ75" s="62">
        <f t="shared" si="24"/>
        <v>13603.98</v>
      </c>
      <c r="AR75" s="33">
        <f>'[1]links-p0'!C71</f>
        <v>25140.2664733333</v>
      </c>
      <c r="AS75" s="33"/>
      <c r="AT75" s="40">
        <v>69</v>
      </c>
      <c r="AU75" s="23">
        <v>4613</v>
      </c>
      <c r="AV75" s="33">
        <f>'[1]links-p0'!I71</f>
        <v>3135</v>
      </c>
      <c r="AW75" s="33"/>
      <c r="AX75" s="40">
        <v>69</v>
      </c>
      <c r="AY75" s="23">
        <v>0</v>
      </c>
      <c r="AZ75" s="52">
        <v>0</v>
      </c>
      <c r="BA75" s="62">
        <f t="shared" si="25"/>
        <v>0</v>
      </c>
      <c r="BB75" s="33">
        <f>'[1]links-p0'!D71</f>
        <v>0</v>
      </c>
    </row>
    <row r="76" spans="1:54" x14ac:dyDescent="0.35">
      <c r="A76" s="33"/>
      <c r="B76" s="40">
        <f t="shared" si="26"/>
        <v>70</v>
      </c>
      <c r="C76" s="41">
        <v>0</v>
      </c>
      <c r="D76" s="23">
        <v>0</v>
      </c>
      <c r="E76" s="23">
        <v>0</v>
      </c>
      <c r="F76" s="23">
        <f t="shared" si="15"/>
        <v>0</v>
      </c>
      <c r="G76" s="42">
        <f t="shared" si="17"/>
        <v>0</v>
      </c>
      <c r="H76" s="23">
        <f>'[1]generators-p'!B72</f>
        <v>0</v>
      </c>
      <c r="I76" s="23">
        <f>'[1]generators-p'!C72</f>
        <v>0</v>
      </c>
      <c r="J76" s="23">
        <f>'[1]generators-p'!D72</f>
        <v>0</v>
      </c>
      <c r="K76" s="23">
        <v>0</v>
      </c>
      <c r="L76" s="23">
        <f t="shared" si="18"/>
        <v>0</v>
      </c>
      <c r="M76" s="42">
        <f t="shared" si="16"/>
        <v>0</v>
      </c>
      <c r="N76" s="33"/>
      <c r="O76" s="44">
        <f t="shared" si="27"/>
        <v>70</v>
      </c>
      <c r="P76" s="23">
        <v>1690.9962</v>
      </c>
      <c r="Q76" s="23">
        <v>466.9</v>
      </c>
      <c r="R76" s="23">
        <v>101.5</v>
      </c>
      <c r="S76" s="23">
        <f t="shared" si="19"/>
        <v>2259.3962000000001</v>
      </c>
      <c r="T76" s="42">
        <f t="shared" si="20"/>
        <v>2.4612212662772685E-2</v>
      </c>
      <c r="U76" s="41">
        <f>'[1]generators-p'!E72</f>
        <v>1718.6635425074569</v>
      </c>
      <c r="V76" s="42">
        <f t="shared" si="21"/>
        <v>1.8721865870159379E-2</v>
      </c>
      <c r="W76" s="33"/>
      <c r="X76" s="40">
        <v>70</v>
      </c>
      <c r="Y76" s="54">
        <v>0</v>
      </c>
      <c r="Z76" s="54">
        <v>505.11174999999992</v>
      </c>
      <c r="AA76" s="55">
        <f t="shared" si="22"/>
        <v>505.11174999999992</v>
      </c>
      <c r="AB76" s="56">
        <f>'[1]generators-p'!J72</f>
        <v>947.05115653140899</v>
      </c>
      <c r="AC76" s="54">
        <f>'[1]links-p0'!E72</f>
        <v>1472.0376519617089</v>
      </c>
      <c r="AD76" s="54">
        <f t="shared" si="23"/>
        <v>1693.3621659451826</v>
      </c>
      <c r="AE76" s="33"/>
      <c r="AF76" s="45">
        <v>70</v>
      </c>
      <c r="AG76" s="52">
        <v>6195.8310494400002</v>
      </c>
      <c r="AH76" s="52">
        <f>'[1]links-p0'!B72</f>
        <v>0</v>
      </c>
      <c r="AI76" s="33"/>
      <c r="AJ76" s="40">
        <v>70</v>
      </c>
      <c r="AK76" s="23">
        <v>1357</v>
      </c>
      <c r="AL76" s="52">
        <f>'[1]links-p0'!H72</f>
        <v>0</v>
      </c>
      <c r="AM76" s="33"/>
      <c r="AN76" s="40">
        <v>70</v>
      </c>
      <c r="AO76" s="23">
        <v>3156.57</v>
      </c>
      <c r="AP76" s="52">
        <v>10447.41</v>
      </c>
      <c r="AQ76" s="62">
        <f t="shared" si="24"/>
        <v>13603.98</v>
      </c>
      <c r="AR76" s="33">
        <f>'[1]links-p0'!C72</f>
        <v>16155.528234543441</v>
      </c>
      <c r="AS76" s="33"/>
      <c r="AT76" s="40">
        <v>70</v>
      </c>
      <c r="AU76" s="23">
        <v>4613</v>
      </c>
      <c r="AV76" s="33">
        <f>'[1]links-p0'!I72</f>
        <v>3135</v>
      </c>
      <c r="AW76" s="33"/>
      <c r="AX76" s="40">
        <v>70</v>
      </c>
      <c r="AY76" s="23">
        <v>0</v>
      </c>
      <c r="AZ76" s="52">
        <v>0</v>
      </c>
      <c r="BA76" s="62">
        <f t="shared" si="25"/>
        <v>0</v>
      </c>
      <c r="BB76" s="33">
        <f>'[1]links-p0'!D72</f>
        <v>0</v>
      </c>
    </row>
    <row r="77" spans="1:54" x14ac:dyDescent="0.35">
      <c r="A77" s="33"/>
      <c r="B77" s="40">
        <f t="shared" si="26"/>
        <v>71</v>
      </c>
      <c r="C77" s="41">
        <v>0</v>
      </c>
      <c r="D77" s="23">
        <v>0</v>
      </c>
      <c r="E77" s="23">
        <v>0</v>
      </c>
      <c r="F77" s="23">
        <f t="shared" si="15"/>
        <v>0</v>
      </c>
      <c r="G77" s="42">
        <f t="shared" si="17"/>
        <v>0</v>
      </c>
      <c r="H77" s="23">
        <f>'[1]generators-p'!B73</f>
        <v>0</v>
      </c>
      <c r="I77" s="23">
        <f>'[1]generators-p'!C73</f>
        <v>0</v>
      </c>
      <c r="J77" s="23">
        <f>'[1]generators-p'!D73</f>
        <v>0</v>
      </c>
      <c r="K77" s="23">
        <v>0</v>
      </c>
      <c r="L77" s="23">
        <f t="shared" si="18"/>
        <v>0</v>
      </c>
      <c r="M77" s="42">
        <f t="shared" si="16"/>
        <v>0</v>
      </c>
      <c r="N77" s="33"/>
      <c r="O77" s="44">
        <f t="shared" si="27"/>
        <v>71</v>
      </c>
      <c r="P77" s="23">
        <v>1690.9962</v>
      </c>
      <c r="Q77" s="23">
        <v>552</v>
      </c>
      <c r="R77" s="23">
        <v>120</v>
      </c>
      <c r="S77" s="23">
        <f t="shared" si="19"/>
        <v>2362.9962</v>
      </c>
      <c r="T77" s="42">
        <f t="shared" si="20"/>
        <v>2.5740755426482409E-2</v>
      </c>
      <c r="U77" s="41">
        <f>'[1]generators-p'!E73</f>
        <v>1784.441950829415</v>
      </c>
      <c r="V77" s="42">
        <f t="shared" si="21"/>
        <v>1.9438407826916998E-2</v>
      </c>
      <c r="W77" s="33"/>
      <c r="X77" s="40">
        <v>71</v>
      </c>
      <c r="Y77" s="54">
        <v>0</v>
      </c>
      <c r="Z77" s="54">
        <v>524.44362999999998</v>
      </c>
      <c r="AA77" s="55">
        <f t="shared" si="22"/>
        <v>524.44362999999998</v>
      </c>
      <c r="AB77" s="56">
        <f>'[1]generators-p'!J73</f>
        <v>983.29764465160167</v>
      </c>
      <c r="AC77" s="54">
        <f>'[1]links-p0'!E73</f>
        <v>1539.385391191666</v>
      </c>
      <c r="AD77" s="54">
        <f t="shared" si="23"/>
        <v>1765.8781250902873</v>
      </c>
      <c r="AE77" s="33"/>
      <c r="AF77" s="45">
        <v>71</v>
      </c>
      <c r="AG77" s="52">
        <v>3837.2917805000002</v>
      </c>
      <c r="AH77" s="52">
        <f>'[1]links-p0'!B73</f>
        <v>0</v>
      </c>
      <c r="AI77" s="33"/>
      <c r="AJ77" s="40">
        <v>71</v>
      </c>
      <c r="AK77" s="23">
        <v>500.05599999999998</v>
      </c>
      <c r="AL77" s="52">
        <f>'[1]links-p0'!H73</f>
        <v>0</v>
      </c>
      <c r="AM77" s="33"/>
      <c r="AN77" s="40">
        <v>71</v>
      </c>
      <c r="AO77" s="23">
        <v>3156.57</v>
      </c>
      <c r="AP77" s="52">
        <v>10447.41</v>
      </c>
      <c r="AQ77" s="62">
        <f t="shared" si="24"/>
        <v>13603.98</v>
      </c>
      <c r="AR77" s="33">
        <f>'[1]links-p0'!C73</f>
        <v>25140.2664733333</v>
      </c>
      <c r="AS77" s="33"/>
      <c r="AT77" s="40">
        <v>71</v>
      </c>
      <c r="AU77" s="23">
        <v>4613</v>
      </c>
      <c r="AV77" s="33">
        <f>'[1]links-p0'!I73</f>
        <v>3135</v>
      </c>
      <c r="AW77" s="33"/>
      <c r="AX77" s="40">
        <v>71</v>
      </c>
      <c r="AY77" s="23">
        <v>0</v>
      </c>
      <c r="AZ77" s="52">
        <v>0</v>
      </c>
      <c r="BA77" s="62">
        <f t="shared" si="25"/>
        <v>0</v>
      </c>
      <c r="BB77" s="33">
        <f>'[1]links-p0'!D73</f>
        <v>0</v>
      </c>
    </row>
    <row r="78" spans="1:54" x14ac:dyDescent="0.35">
      <c r="A78" s="33"/>
      <c r="B78" s="40">
        <f t="shared" si="26"/>
        <v>72</v>
      </c>
      <c r="C78" s="41">
        <v>0</v>
      </c>
      <c r="D78" s="23">
        <v>0</v>
      </c>
      <c r="E78" s="23">
        <v>0</v>
      </c>
      <c r="F78" s="23">
        <f t="shared" si="15"/>
        <v>0</v>
      </c>
      <c r="G78" s="42">
        <f t="shared" si="17"/>
        <v>0</v>
      </c>
      <c r="H78" s="23">
        <f>'[1]generators-p'!B74</f>
        <v>0</v>
      </c>
      <c r="I78" s="23">
        <f>'[1]generators-p'!C74</f>
        <v>0</v>
      </c>
      <c r="J78" s="23">
        <f>'[1]generators-p'!D74</f>
        <v>0</v>
      </c>
      <c r="K78" s="23">
        <v>0</v>
      </c>
      <c r="L78" s="23">
        <f t="shared" si="18"/>
        <v>0</v>
      </c>
      <c r="M78" s="42">
        <f t="shared" si="16"/>
        <v>0</v>
      </c>
      <c r="N78" s="33"/>
      <c r="O78" s="44">
        <f t="shared" si="27"/>
        <v>72</v>
      </c>
      <c r="P78" s="23">
        <v>2046.9954</v>
      </c>
      <c r="Q78" s="23">
        <v>650.9</v>
      </c>
      <c r="R78" s="23">
        <v>141.5</v>
      </c>
      <c r="S78" s="23">
        <f t="shared" si="19"/>
        <v>2839.3953999999999</v>
      </c>
      <c r="T78" s="42">
        <f t="shared" si="20"/>
        <v>3.0930300501744012E-2</v>
      </c>
      <c r="U78" s="41">
        <f>'[1]generators-p'!E74</f>
        <v>2092.8097615930128</v>
      </c>
      <c r="V78" s="42">
        <f t="shared" si="21"/>
        <v>2.2797541624197577E-2</v>
      </c>
      <c r="W78" s="33"/>
      <c r="X78" s="40">
        <v>72</v>
      </c>
      <c r="Y78" s="54">
        <v>0</v>
      </c>
      <c r="Z78" s="54">
        <v>615.07228999999995</v>
      </c>
      <c r="AA78" s="55">
        <f t="shared" si="22"/>
        <v>615.07228999999995</v>
      </c>
      <c r="AB78" s="56">
        <f>'[1]generators-p'!J74</f>
        <v>1153.2204274405181</v>
      </c>
      <c r="AC78" s="54">
        <f>'[1]links-p0'!E74</f>
        <v>1582.27754300215</v>
      </c>
      <c r="AD78" s="54">
        <f t="shared" si="23"/>
        <v>1914.8485793098673</v>
      </c>
      <c r="AE78" s="33"/>
      <c r="AF78" s="45">
        <v>72</v>
      </c>
      <c r="AG78" s="52">
        <v>3533.9705572799999</v>
      </c>
      <c r="AH78" s="52">
        <f>'[1]links-p0'!B74</f>
        <v>0</v>
      </c>
      <c r="AI78" s="33"/>
      <c r="AJ78" s="40">
        <v>72</v>
      </c>
      <c r="AK78" s="23">
        <v>500.05599999999998</v>
      </c>
      <c r="AL78" s="52">
        <f>'[1]links-p0'!H74</f>
        <v>0</v>
      </c>
      <c r="AM78" s="33"/>
      <c r="AN78" s="40">
        <v>72</v>
      </c>
      <c r="AO78" s="23">
        <v>3156.57</v>
      </c>
      <c r="AP78" s="52">
        <v>7021.1507405900002</v>
      </c>
      <c r="AQ78" s="62">
        <f t="shared" si="24"/>
        <v>10177.720740590001</v>
      </c>
      <c r="AR78" s="33">
        <f>'[1]links-p0'!C74</f>
        <v>25140.2664733333</v>
      </c>
      <c r="AS78" s="33"/>
      <c r="AT78" s="40">
        <v>72</v>
      </c>
      <c r="AU78" s="23">
        <v>4613</v>
      </c>
      <c r="AV78" s="33">
        <f>'[1]links-p0'!I74</f>
        <v>2238.3712834037642</v>
      </c>
      <c r="AW78" s="33"/>
      <c r="AX78" s="40">
        <v>72</v>
      </c>
      <c r="AY78" s="23">
        <v>0</v>
      </c>
      <c r="AZ78" s="52">
        <v>0</v>
      </c>
      <c r="BA78" s="62">
        <f t="shared" si="25"/>
        <v>0</v>
      </c>
      <c r="BB78" s="33">
        <f>'[1]links-p0'!D74</f>
        <v>0</v>
      </c>
    </row>
    <row r="79" spans="1:54" x14ac:dyDescent="0.35">
      <c r="A79" s="33"/>
      <c r="B79" s="40">
        <f t="shared" si="26"/>
        <v>73</v>
      </c>
      <c r="C79" s="41">
        <v>0</v>
      </c>
      <c r="D79" s="23">
        <v>0</v>
      </c>
      <c r="E79" s="23">
        <v>0</v>
      </c>
      <c r="F79" s="23">
        <f t="shared" si="15"/>
        <v>0</v>
      </c>
      <c r="G79" s="42">
        <f t="shared" si="17"/>
        <v>0</v>
      </c>
      <c r="H79" s="23">
        <f>'[1]generators-p'!B75</f>
        <v>0</v>
      </c>
      <c r="I79" s="23">
        <f>'[1]generators-p'!C75</f>
        <v>0</v>
      </c>
      <c r="J79" s="23">
        <f>'[1]generators-p'!D75</f>
        <v>0</v>
      </c>
      <c r="K79" s="23">
        <v>0</v>
      </c>
      <c r="L79" s="23">
        <f t="shared" si="18"/>
        <v>0</v>
      </c>
      <c r="M79" s="42">
        <f t="shared" si="16"/>
        <v>0</v>
      </c>
      <c r="N79" s="33"/>
      <c r="O79" s="44">
        <f t="shared" si="27"/>
        <v>73</v>
      </c>
      <c r="P79" s="23">
        <v>2402.9946</v>
      </c>
      <c r="Q79" s="23">
        <v>759</v>
      </c>
      <c r="R79" s="23">
        <v>165</v>
      </c>
      <c r="S79" s="23">
        <f t="shared" si="19"/>
        <v>3326.9946</v>
      </c>
      <c r="T79" s="42">
        <f t="shared" si="20"/>
        <v>3.6241850200109366E-2</v>
      </c>
      <c r="U79" s="41">
        <f>'[1]generators-p'!E75</f>
        <v>2453.948776001735</v>
      </c>
      <c r="V79" s="42">
        <f t="shared" si="21"/>
        <v>2.6731526386786626E-2</v>
      </c>
      <c r="W79" s="33"/>
      <c r="X79" s="40">
        <v>73</v>
      </c>
      <c r="Y79" s="54">
        <v>0</v>
      </c>
      <c r="Z79" s="54">
        <v>721.21090000000004</v>
      </c>
      <c r="AA79" s="55">
        <f t="shared" si="22"/>
        <v>721.21090000000004</v>
      </c>
      <c r="AB79" s="56">
        <f>'[1]generators-p'!J75</f>
        <v>1352.2222173809771</v>
      </c>
      <c r="AC79" s="54">
        <f>'[1]links-p0'!E75</f>
        <v>1506.170775425006</v>
      </c>
      <c r="AD79" s="54">
        <f t="shared" si="23"/>
        <v>2000.8750949641883</v>
      </c>
      <c r="AE79" s="33"/>
      <c r="AF79" s="45">
        <v>73</v>
      </c>
      <c r="AG79" s="52">
        <v>2021.79975756</v>
      </c>
      <c r="AH79" s="52">
        <f>'[1]links-p0'!B75</f>
        <v>0</v>
      </c>
      <c r="AI79" s="33"/>
      <c r="AJ79" s="40">
        <v>73</v>
      </c>
      <c r="AK79" s="23">
        <v>500.05599999999998</v>
      </c>
      <c r="AL79" s="52">
        <f>'[1]links-p0'!H75</f>
        <v>0</v>
      </c>
      <c r="AM79" s="33"/>
      <c r="AN79" s="40">
        <v>73</v>
      </c>
      <c r="AO79" s="23">
        <v>3156.57</v>
      </c>
      <c r="AP79" s="52">
        <v>5835.16834457</v>
      </c>
      <c r="AQ79" s="62">
        <f t="shared" si="24"/>
        <v>8991.7383445699998</v>
      </c>
      <c r="AR79" s="33">
        <f>'[1]links-p0'!C75</f>
        <v>24037.914365964429</v>
      </c>
      <c r="AS79" s="33"/>
      <c r="AT79" s="40">
        <v>73</v>
      </c>
      <c r="AU79" s="23">
        <v>4613</v>
      </c>
      <c r="AV79" s="33">
        <f>'[1]links-p0'!I75</f>
        <v>2032.951083400824</v>
      </c>
      <c r="AW79" s="33"/>
      <c r="AX79" s="40">
        <v>73</v>
      </c>
      <c r="AY79" s="23">
        <v>0</v>
      </c>
      <c r="AZ79" s="52">
        <v>0</v>
      </c>
      <c r="BA79" s="62">
        <f t="shared" si="25"/>
        <v>0</v>
      </c>
      <c r="BB79" s="33">
        <f>'[1]links-p0'!D75</f>
        <v>0</v>
      </c>
    </row>
    <row r="80" spans="1:54" x14ac:dyDescent="0.35">
      <c r="A80" s="33"/>
      <c r="B80" s="40">
        <f t="shared" si="26"/>
        <v>74</v>
      </c>
      <c r="C80" s="41">
        <v>0</v>
      </c>
      <c r="D80" s="23">
        <v>0</v>
      </c>
      <c r="E80" s="23">
        <v>0</v>
      </c>
      <c r="F80" s="23">
        <f t="shared" si="15"/>
        <v>0</v>
      </c>
      <c r="G80" s="42">
        <f t="shared" si="17"/>
        <v>0</v>
      </c>
      <c r="H80" s="23">
        <f>'[1]generators-p'!B76</f>
        <v>0</v>
      </c>
      <c r="I80" s="23">
        <f>'[1]generators-p'!C76</f>
        <v>0</v>
      </c>
      <c r="J80" s="23">
        <f>'[1]generators-p'!D76</f>
        <v>0</v>
      </c>
      <c r="K80" s="23">
        <v>0</v>
      </c>
      <c r="L80" s="23">
        <f t="shared" si="18"/>
        <v>0</v>
      </c>
      <c r="M80" s="42">
        <f t="shared" si="16"/>
        <v>0</v>
      </c>
      <c r="N80" s="33"/>
      <c r="O80" s="44">
        <f t="shared" si="27"/>
        <v>74</v>
      </c>
      <c r="P80" s="23">
        <v>2936.9933999999998</v>
      </c>
      <c r="Q80" s="23">
        <v>867.1</v>
      </c>
      <c r="R80" s="23">
        <v>188.5</v>
      </c>
      <c r="S80" s="23">
        <f t="shared" si="19"/>
        <v>3992.5933999999997</v>
      </c>
      <c r="T80" s="42">
        <f t="shared" si="20"/>
        <v>4.3492397586922846E-2</v>
      </c>
      <c r="U80" s="41">
        <f>'[1]generators-p'!E76</f>
        <v>2997.363626294346</v>
      </c>
      <c r="V80" s="42">
        <f t="shared" si="21"/>
        <v>3.2651091029548496E-2</v>
      </c>
      <c r="W80" s="33"/>
      <c r="X80" s="40">
        <v>74</v>
      </c>
      <c r="Y80" s="54">
        <v>0</v>
      </c>
      <c r="Z80" s="54">
        <v>880.91901000000007</v>
      </c>
      <c r="AA80" s="55">
        <f t="shared" si="22"/>
        <v>880.91901000000007</v>
      </c>
      <c r="AB80" s="56">
        <f>'[1]generators-p'!J76</f>
        <v>1651.6651564539261</v>
      </c>
      <c r="AC80" s="54">
        <f>'[1]links-p0'!E76</f>
        <v>1430.8251544428499</v>
      </c>
      <c r="AD80" s="54">
        <f t="shared" si="23"/>
        <v>2157.743217627743</v>
      </c>
      <c r="AE80" s="33"/>
      <c r="AF80" s="45">
        <v>74</v>
      </c>
      <c r="AG80" s="52">
        <v>2021.79975756</v>
      </c>
      <c r="AH80" s="52">
        <f>'[1]links-p0'!B76</f>
        <v>0</v>
      </c>
      <c r="AI80" s="33"/>
      <c r="AJ80" s="40">
        <v>74</v>
      </c>
      <c r="AK80" s="23">
        <v>500.05599999999998</v>
      </c>
      <c r="AL80" s="52">
        <f>'[1]links-p0'!H76</f>
        <v>0</v>
      </c>
      <c r="AM80" s="33"/>
      <c r="AN80" s="40">
        <v>74</v>
      </c>
      <c r="AO80" s="23">
        <v>3156.57</v>
      </c>
      <c r="AP80" s="52">
        <v>3784.11065521</v>
      </c>
      <c r="AQ80" s="62">
        <f t="shared" si="24"/>
        <v>6940.6806552100006</v>
      </c>
      <c r="AR80" s="33">
        <f>'[1]links-p0'!C76</f>
        <v>0</v>
      </c>
      <c r="AS80" s="33"/>
      <c r="AT80" s="40">
        <v>74</v>
      </c>
      <c r="AU80" s="23">
        <v>4613</v>
      </c>
      <c r="AV80" s="33">
        <f>'[1]links-p0'!I76</f>
        <v>1424.061840973884</v>
      </c>
      <c r="AW80" s="33"/>
      <c r="AX80" s="40">
        <v>74</v>
      </c>
      <c r="AY80" s="23">
        <v>0</v>
      </c>
      <c r="AZ80" s="52">
        <v>0</v>
      </c>
      <c r="BA80" s="62">
        <f t="shared" si="25"/>
        <v>0</v>
      </c>
      <c r="BB80" s="33">
        <f>'[1]links-p0'!D76</f>
        <v>0</v>
      </c>
    </row>
    <row r="81" spans="1:54" x14ac:dyDescent="0.35">
      <c r="A81" s="33"/>
      <c r="B81" s="40">
        <f t="shared" si="26"/>
        <v>75</v>
      </c>
      <c r="C81" s="41">
        <v>0</v>
      </c>
      <c r="D81" s="23">
        <v>0</v>
      </c>
      <c r="E81" s="23">
        <v>0</v>
      </c>
      <c r="F81" s="23">
        <f t="shared" si="15"/>
        <v>0</v>
      </c>
      <c r="G81" s="42">
        <f t="shared" si="17"/>
        <v>0</v>
      </c>
      <c r="H81" s="23">
        <f>'[1]generators-p'!B77</f>
        <v>0</v>
      </c>
      <c r="I81" s="23">
        <f>'[1]generators-p'!C77</f>
        <v>0</v>
      </c>
      <c r="J81" s="23">
        <f>'[1]generators-p'!D77</f>
        <v>0</v>
      </c>
      <c r="K81" s="23">
        <v>0</v>
      </c>
      <c r="L81" s="23">
        <f t="shared" si="18"/>
        <v>0</v>
      </c>
      <c r="M81" s="42">
        <f t="shared" si="16"/>
        <v>0</v>
      </c>
      <c r="N81" s="33"/>
      <c r="O81" s="44">
        <f t="shared" si="27"/>
        <v>75</v>
      </c>
      <c r="P81" s="23">
        <v>3648.9917999999998</v>
      </c>
      <c r="Q81" s="23">
        <v>959.1</v>
      </c>
      <c r="R81" s="23">
        <v>208.5</v>
      </c>
      <c r="S81" s="23">
        <f t="shared" si="19"/>
        <v>4816.5918000000001</v>
      </c>
      <c r="T81" s="42">
        <f t="shared" si="20"/>
        <v>5.2468434571752882E-2</v>
      </c>
      <c r="U81" s="41">
        <f>'[1]generators-p'!E77</f>
        <v>3725.395207229572</v>
      </c>
      <c r="V81" s="42">
        <f t="shared" si="21"/>
        <v>4.0581735550944249E-2</v>
      </c>
      <c r="W81" s="33"/>
      <c r="X81" s="40">
        <v>75</v>
      </c>
      <c r="Y81" s="54">
        <v>0</v>
      </c>
      <c r="Z81" s="54">
        <v>1094.8860299999999</v>
      </c>
      <c r="AA81" s="55">
        <f t="shared" si="22"/>
        <v>1094.8860299999999</v>
      </c>
      <c r="AB81" s="56">
        <f>'[1]generators-p'!J77</f>
        <v>2052.839169670131</v>
      </c>
      <c r="AC81" s="54">
        <f>'[1]links-p0'!E77</f>
        <v>1338.4564645494161</v>
      </c>
      <c r="AD81" s="54">
        <f t="shared" si="23"/>
        <v>2373.9069439536829</v>
      </c>
      <c r="AE81" s="33"/>
      <c r="AF81" s="45">
        <v>75</v>
      </c>
      <c r="AG81" s="52">
        <v>2021.79975756</v>
      </c>
      <c r="AH81" s="52">
        <f>'[1]links-p0'!B77</f>
        <v>0</v>
      </c>
      <c r="AI81" s="33"/>
      <c r="AJ81" s="40">
        <v>75</v>
      </c>
      <c r="AK81" s="23">
        <v>500.05599999999998</v>
      </c>
      <c r="AL81" s="52">
        <f>'[1]links-p0'!H77</f>
        <v>0</v>
      </c>
      <c r="AM81" s="33"/>
      <c r="AN81" s="40">
        <v>75</v>
      </c>
      <c r="AO81" s="23">
        <v>3156.57</v>
      </c>
      <c r="AP81" s="52">
        <v>3220.45544561</v>
      </c>
      <c r="AQ81" s="62">
        <f t="shared" si="24"/>
        <v>6377.0254456100001</v>
      </c>
      <c r="AR81" s="33">
        <f>'[1]links-p0'!C77</f>
        <v>22388.276699878039</v>
      </c>
      <c r="AS81" s="33"/>
      <c r="AT81" s="40">
        <v>75</v>
      </c>
      <c r="AU81" s="23">
        <v>4613</v>
      </c>
      <c r="AV81" s="33">
        <f>'[1]links-p0'!I77</f>
        <v>1084.2574991507049</v>
      </c>
      <c r="AW81" s="33"/>
      <c r="AX81" s="40">
        <v>75</v>
      </c>
      <c r="AY81" s="23">
        <v>0</v>
      </c>
      <c r="AZ81" s="52">
        <v>0</v>
      </c>
      <c r="BA81" s="62">
        <f t="shared" si="25"/>
        <v>0</v>
      </c>
      <c r="BB81" s="33">
        <f>'[1]links-p0'!D77</f>
        <v>0</v>
      </c>
    </row>
    <row r="82" spans="1:54" x14ac:dyDescent="0.35">
      <c r="A82" s="33"/>
      <c r="B82" s="40">
        <f t="shared" si="26"/>
        <v>76</v>
      </c>
      <c r="C82" s="41">
        <v>0</v>
      </c>
      <c r="D82" s="23">
        <v>0</v>
      </c>
      <c r="E82" s="23">
        <v>0</v>
      </c>
      <c r="F82" s="23">
        <f t="shared" si="15"/>
        <v>0</v>
      </c>
      <c r="G82" s="42">
        <f t="shared" si="17"/>
        <v>0</v>
      </c>
      <c r="H82" s="23">
        <f>'[1]generators-p'!B78</f>
        <v>0</v>
      </c>
      <c r="I82" s="23">
        <f>'[1]generators-p'!C78</f>
        <v>0</v>
      </c>
      <c r="J82" s="23">
        <f>'[1]generators-p'!D78</f>
        <v>0</v>
      </c>
      <c r="K82" s="23">
        <v>0</v>
      </c>
      <c r="L82" s="23">
        <f t="shared" si="18"/>
        <v>0</v>
      </c>
      <c r="M82" s="42">
        <f t="shared" si="16"/>
        <v>0</v>
      </c>
      <c r="N82" s="33"/>
      <c r="O82" s="44">
        <f t="shared" si="27"/>
        <v>76</v>
      </c>
      <c r="P82" s="23">
        <v>4538.9898000000003</v>
      </c>
      <c r="Q82" s="23">
        <v>1014.3</v>
      </c>
      <c r="R82" s="23">
        <v>220.5</v>
      </c>
      <c r="S82" s="23">
        <f t="shared" si="19"/>
        <v>5773.7898000000005</v>
      </c>
      <c r="T82" s="42">
        <f t="shared" si="20"/>
        <v>6.2895450752616017E-2</v>
      </c>
      <c r="U82" s="41">
        <f>'[1]generators-p'!E78</f>
        <v>4680.1631923013483</v>
      </c>
      <c r="V82" s="42">
        <f t="shared" si="21"/>
        <v>5.0982280923284669E-2</v>
      </c>
      <c r="W82" s="33"/>
      <c r="X82" s="40">
        <v>76</v>
      </c>
      <c r="Y82" s="54">
        <v>0</v>
      </c>
      <c r="Z82" s="54">
        <v>1375.4901</v>
      </c>
      <c r="AA82" s="55">
        <f t="shared" si="22"/>
        <v>1375.4901</v>
      </c>
      <c r="AB82" s="56">
        <f>'[1]generators-p'!J78</f>
        <v>2578.9538524556742</v>
      </c>
      <c r="AC82" s="54">
        <f>'[1]links-p0'!E78</f>
        <v>1226.4072097973101</v>
      </c>
      <c r="AD82" s="54">
        <f t="shared" si="23"/>
        <v>2663.7527435770885</v>
      </c>
      <c r="AE82" s="33"/>
      <c r="AF82" s="45">
        <v>76</v>
      </c>
      <c r="AG82" s="52">
        <v>2021.79975756</v>
      </c>
      <c r="AH82" s="52">
        <f>'[1]links-p0'!B78</f>
        <v>0</v>
      </c>
      <c r="AI82" s="33"/>
      <c r="AJ82" s="40">
        <v>76</v>
      </c>
      <c r="AK82" s="23">
        <v>500.05599999999998</v>
      </c>
      <c r="AL82" s="52">
        <f>'[1]links-p0'!H78</f>
        <v>0</v>
      </c>
      <c r="AM82" s="33"/>
      <c r="AN82" s="40">
        <v>76</v>
      </c>
      <c r="AO82" s="23">
        <v>3156.57</v>
      </c>
      <c r="AP82" s="52">
        <v>3628.26265229</v>
      </c>
      <c r="AQ82" s="62">
        <f t="shared" si="24"/>
        <v>6784.8326522900006</v>
      </c>
      <c r="AR82" s="33">
        <f>'[1]links-p0'!C78</f>
        <v>0</v>
      </c>
      <c r="AS82" s="33"/>
      <c r="AT82" s="40">
        <v>76</v>
      </c>
      <c r="AU82" s="23">
        <v>4613</v>
      </c>
      <c r="AV82" s="33">
        <f>'[1]links-p0'!I78</f>
        <v>1247.285672769648</v>
      </c>
      <c r="AW82" s="33"/>
      <c r="AX82" s="40">
        <v>76</v>
      </c>
      <c r="AY82" s="23">
        <v>0</v>
      </c>
      <c r="AZ82" s="52">
        <v>0</v>
      </c>
      <c r="BA82" s="62">
        <f t="shared" si="25"/>
        <v>0</v>
      </c>
      <c r="BB82" s="33">
        <f>'[1]links-p0'!D78</f>
        <v>0</v>
      </c>
    </row>
    <row r="83" spans="1:54" x14ac:dyDescent="0.35">
      <c r="A83" s="33"/>
      <c r="B83" s="40">
        <f t="shared" si="26"/>
        <v>77</v>
      </c>
      <c r="C83" s="41">
        <v>0</v>
      </c>
      <c r="D83" s="23">
        <v>0</v>
      </c>
      <c r="E83" s="23">
        <v>0</v>
      </c>
      <c r="F83" s="23">
        <f t="shared" si="15"/>
        <v>0</v>
      </c>
      <c r="G83" s="42">
        <f t="shared" si="17"/>
        <v>0</v>
      </c>
      <c r="H83" s="23">
        <f>'[1]generators-p'!B79</f>
        <v>0</v>
      </c>
      <c r="I83" s="23">
        <f>'[1]generators-p'!C79</f>
        <v>0</v>
      </c>
      <c r="J83" s="23">
        <f>'[1]generators-p'!D79</f>
        <v>0</v>
      </c>
      <c r="K83" s="23">
        <v>0</v>
      </c>
      <c r="L83" s="23">
        <f t="shared" si="18"/>
        <v>0</v>
      </c>
      <c r="M83" s="42">
        <f t="shared" si="16"/>
        <v>0</v>
      </c>
      <c r="N83" s="33"/>
      <c r="O83" s="44">
        <f t="shared" si="27"/>
        <v>77</v>
      </c>
      <c r="P83" s="23">
        <v>5250.9881999999998</v>
      </c>
      <c r="Q83" s="23">
        <v>1048.8</v>
      </c>
      <c r="R83" s="23">
        <v>228</v>
      </c>
      <c r="S83" s="23">
        <f t="shared" si="19"/>
        <v>6527.7882</v>
      </c>
      <c r="T83" s="42">
        <f t="shared" si="20"/>
        <v>7.110895884304759E-2</v>
      </c>
      <c r="U83" s="41">
        <f>'[1]generators-p'!E79</f>
        <v>5450.4992397167543</v>
      </c>
      <c r="V83" s="42">
        <f t="shared" si="21"/>
        <v>5.937375941686969E-2</v>
      </c>
      <c r="W83" s="33"/>
      <c r="X83" s="40">
        <v>77</v>
      </c>
      <c r="Y83" s="54">
        <v>728.94185660999983</v>
      </c>
      <c r="Z83" s="54">
        <v>1601.8906400000001</v>
      </c>
      <c r="AA83" s="55">
        <f t="shared" si="22"/>
        <v>2330.8324966099999</v>
      </c>
      <c r="AB83" s="56">
        <f>'[1]generators-p'!J79</f>
        <v>3003.439289295869</v>
      </c>
      <c r="AC83" s="54">
        <f>'[1]links-p0'!E79</f>
        <v>2185.3383620061932</v>
      </c>
      <c r="AD83" s="54">
        <f t="shared" si="23"/>
        <v>3632.1443559114427</v>
      </c>
      <c r="AE83" s="33"/>
      <c r="AF83" s="45">
        <v>77</v>
      </c>
      <c r="AG83" s="52">
        <v>2021.79975756</v>
      </c>
      <c r="AH83" s="52">
        <f>'[1]links-p0'!B79</f>
        <v>0</v>
      </c>
      <c r="AI83" s="33"/>
      <c r="AJ83" s="40">
        <v>77</v>
      </c>
      <c r="AK83" s="23">
        <v>500.05599999999998</v>
      </c>
      <c r="AL83" s="52">
        <f>'[1]links-p0'!H79</f>
        <v>0</v>
      </c>
      <c r="AM83" s="33"/>
      <c r="AN83" s="40">
        <v>77</v>
      </c>
      <c r="AO83" s="23">
        <v>3156.57</v>
      </c>
      <c r="AP83" s="52">
        <v>7226.9889529800002</v>
      </c>
      <c r="AQ83" s="62">
        <f t="shared" si="24"/>
        <v>10383.55895298</v>
      </c>
      <c r="AR83" s="33">
        <f>'[1]links-p0'!C79</f>
        <v>25140.2664733333</v>
      </c>
      <c r="AS83" s="33"/>
      <c r="AT83" s="40">
        <v>77</v>
      </c>
      <c r="AU83" s="23">
        <v>4613</v>
      </c>
      <c r="AV83" s="33">
        <f>'[1]links-p0'!I79</f>
        <v>1562.411013930119</v>
      </c>
      <c r="AW83" s="33"/>
      <c r="AX83" s="40">
        <v>77</v>
      </c>
      <c r="AY83" s="23">
        <v>0</v>
      </c>
      <c r="AZ83" s="52">
        <v>0</v>
      </c>
      <c r="BA83" s="62">
        <f t="shared" si="25"/>
        <v>0</v>
      </c>
      <c r="BB83" s="33">
        <f>'[1]links-p0'!D79</f>
        <v>0</v>
      </c>
    </row>
    <row r="84" spans="1:54" x14ac:dyDescent="0.35">
      <c r="A84" s="33"/>
      <c r="B84" s="40">
        <f t="shared" si="26"/>
        <v>78</v>
      </c>
      <c r="C84" s="41">
        <v>0</v>
      </c>
      <c r="D84" s="23">
        <v>0</v>
      </c>
      <c r="E84" s="23">
        <v>0</v>
      </c>
      <c r="F84" s="23">
        <f t="shared" si="15"/>
        <v>0</v>
      </c>
      <c r="G84" s="42">
        <f t="shared" si="17"/>
        <v>0</v>
      </c>
      <c r="H84" s="23">
        <f>'[1]generators-p'!B80</f>
        <v>0</v>
      </c>
      <c r="I84" s="23">
        <f>'[1]generators-p'!C80</f>
        <v>0</v>
      </c>
      <c r="J84" s="23">
        <f>'[1]generators-p'!D80</f>
        <v>0</v>
      </c>
      <c r="K84" s="23">
        <v>0</v>
      </c>
      <c r="L84" s="23">
        <f t="shared" si="18"/>
        <v>0</v>
      </c>
      <c r="M84" s="42">
        <f t="shared" si="16"/>
        <v>0</v>
      </c>
      <c r="N84" s="33"/>
      <c r="O84" s="44">
        <f t="shared" si="27"/>
        <v>78</v>
      </c>
      <c r="P84" s="23">
        <v>5873.9867999999997</v>
      </c>
      <c r="Q84" s="23">
        <v>1092.5</v>
      </c>
      <c r="R84" s="23">
        <v>237.5</v>
      </c>
      <c r="S84" s="23">
        <f t="shared" si="19"/>
        <v>7203.9867999999997</v>
      </c>
      <c r="T84" s="42">
        <f t="shared" si="20"/>
        <v>7.8474972712358843E-2</v>
      </c>
      <c r="U84" s="41">
        <f>'[1]generators-p'!E80</f>
        <v>6064.3819072317219</v>
      </c>
      <c r="V84" s="42">
        <f t="shared" si="21"/>
        <v>6.6060949013306364E-2</v>
      </c>
      <c r="W84" s="33"/>
      <c r="X84" s="40">
        <v>78</v>
      </c>
      <c r="Y84" s="54">
        <v>1658.45594394</v>
      </c>
      <c r="Z84" s="54">
        <v>1782.30945</v>
      </c>
      <c r="AA84" s="55">
        <f t="shared" si="22"/>
        <v>3440.7653939399997</v>
      </c>
      <c r="AB84" s="56">
        <f>'[1]generators-p'!J80</f>
        <v>3341.712765089992</v>
      </c>
      <c r="AC84" s="54">
        <f>'[1]links-p0'!E80</f>
        <v>3455.6157879584448</v>
      </c>
      <c r="AD84" s="54">
        <f t="shared" si="23"/>
        <v>4758.1299871339061</v>
      </c>
      <c r="AE84" s="33"/>
      <c r="AF84" s="45">
        <v>78</v>
      </c>
      <c r="AG84" s="52">
        <v>4143.4424293000002</v>
      </c>
      <c r="AH84" s="52">
        <f>'[1]links-p0'!B80</f>
        <v>0</v>
      </c>
      <c r="AI84" s="33"/>
      <c r="AJ84" s="40">
        <v>78</v>
      </c>
      <c r="AK84" s="23">
        <v>500.05599999999998</v>
      </c>
      <c r="AL84" s="52">
        <f>'[1]links-p0'!H80</f>
        <v>0</v>
      </c>
      <c r="AM84" s="33"/>
      <c r="AN84" s="40">
        <v>78</v>
      </c>
      <c r="AO84" s="23">
        <v>3156.57</v>
      </c>
      <c r="AP84" s="52">
        <v>10447.41</v>
      </c>
      <c r="AQ84" s="62">
        <f t="shared" si="24"/>
        <v>13603.98</v>
      </c>
      <c r="AR84" s="33">
        <f>'[1]links-p0'!C80</f>
        <v>25140.2664733333</v>
      </c>
      <c r="AS84" s="33"/>
      <c r="AT84" s="40">
        <v>78</v>
      </c>
      <c r="AU84" s="23">
        <v>4613</v>
      </c>
      <c r="AV84" s="33">
        <f>'[1]links-p0'!I80</f>
        <v>2042.2099974291759</v>
      </c>
      <c r="AW84" s="33"/>
      <c r="AX84" s="40">
        <v>78</v>
      </c>
      <c r="AY84" s="23">
        <v>0</v>
      </c>
      <c r="AZ84" s="52">
        <v>0</v>
      </c>
      <c r="BA84" s="62">
        <f t="shared" si="25"/>
        <v>0</v>
      </c>
      <c r="BB84" s="33">
        <f>'[1]links-p0'!D80</f>
        <v>0</v>
      </c>
    </row>
    <row r="85" spans="1:54" x14ac:dyDescent="0.35">
      <c r="A85" s="33"/>
      <c r="B85" s="40">
        <f t="shared" si="26"/>
        <v>79</v>
      </c>
      <c r="C85" s="41">
        <v>0</v>
      </c>
      <c r="D85" s="23">
        <v>0</v>
      </c>
      <c r="E85" s="23">
        <v>0</v>
      </c>
      <c r="F85" s="23">
        <f t="shared" si="15"/>
        <v>0</v>
      </c>
      <c r="G85" s="42">
        <f t="shared" si="17"/>
        <v>0</v>
      </c>
      <c r="H85" s="23">
        <f>'[1]generators-p'!B81</f>
        <v>0</v>
      </c>
      <c r="I85" s="23">
        <f>'[1]generators-p'!C81</f>
        <v>0</v>
      </c>
      <c r="J85" s="23">
        <f>'[1]generators-p'!D81</f>
        <v>0</v>
      </c>
      <c r="K85" s="23">
        <v>0</v>
      </c>
      <c r="L85" s="23">
        <f t="shared" si="18"/>
        <v>0</v>
      </c>
      <c r="M85" s="42">
        <f t="shared" si="16"/>
        <v>0</v>
      </c>
      <c r="N85" s="33"/>
      <c r="O85" s="44">
        <f t="shared" si="27"/>
        <v>79</v>
      </c>
      <c r="P85" s="23">
        <v>6229.9859999999999</v>
      </c>
      <c r="Q85" s="23">
        <v>1145.4000000000001</v>
      </c>
      <c r="R85" s="23">
        <v>249</v>
      </c>
      <c r="S85" s="23">
        <f t="shared" si="19"/>
        <v>7624.3860000000004</v>
      </c>
      <c r="T85" s="42">
        <f t="shared" si="20"/>
        <v>8.3054494672101686E-2</v>
      </c>
      <c r="U85" s="41">
        <f>'[1]generators-p'!E81</f>
        <v>6423.2157370017594</v>
      </c>
      <c r="V85" s="42">
        <f t="shared" si="21"/>
        <v>6.9969822777410831E-2</v>
      </c>
      <c r="W85" s="33"/>
      <c r="X85" s="40">
        <v>79</v>
      </c>
      <c r="Y85" s="54">
        <v>2693.7363072399999</v>
      </c>
      <c r="Z85" s="54">
        <v>1887.77001</v>
      </c>
      <c r="AA85" s="55">
        <f t="shared" si="22"/>
        <v>4581.5063172399996</v>
      </c>
      <c r="AB85" s="56">
        <f>'[1]generators-p'!J81</f>
        <v>3539.4443076992588</v>
      </c>
      <c r="AC85" s="54">
        <f>'[1]links-p0'!E81</f>
        <v>4893.0028024290459</v>
      </c>
      <c r="AD85" s="54">
        <f t="shared" si="23"/>
        <v>5902.7129770898136</v>
      </c>
      <c r="AE85" s="33"/>
      <c r="AF85" s="45">
        <v>79</v>
      </c>
      <c r="AG85" s="52">
        <v>6195.8310494400002</v>
      </c>
      <c r="AH85" s="52">
        <f>'[1]links-p0'!B81</f>
        <v>0</v>
      </c>
      <c r="AI85" s="33"/>
      <c r="AJ85" s="40">
        <v>79</v>
      </c>
      <c r="AK85" s="23">
        <v>1357</v>
      </c>
      <c r="AL85" s="52">
        <f>'[1]links-p0'!H81</f>
        <v>0</v>
      </c>
      <c r="AM85" s="33"/>
      <c r="AN85" s="40">
        <v>79</v>
      </c>
      <c r="AO85" s="23">
        <v>3156.57</v>
      </c>
      <c r="AP85" s="52">
        <v>10447.41</v>
      </c>
      <c r="AQ85" s="62">
        <f t="shared" si="24"/>
        <v>13603.98</v>
      </c>
      <c r="AR85" s="33">
        <f>'[1]links-p0'!C81</f>
        <v>25140.2664733333</v>
      </c>
      <c r="AS85" s="33"/>
      <c r="AT85" s="40">
        <v>79</v>
      </c>
      <c r="AU85" s="23">
        <v>4613</v>
      </c>
      <c r="AV85" s="33">
        <f>'[1]links-p0'!I81</f>
        <v>3033.1503409267061</v>
      </c>
      <c r="AW85" s="33"/>
      <c r="AX85" s="40">
        <v>79</v>
      </c>
      <c r="AY85" s="23">
        <v>0</v>
      </c>
      <c r="AZ85" s="52">
        <v>0</v>
      </c>
      <c r="BA85" s="62">
        <f t="shared" si="25"/>
        <v>0</v>
      </c>
      <c r="BB85" s="33">
        <f>'[1]links-p0'!D81</f>
        <v>0</v>
      </c>
    </row>
    <row r="86" spans="1:54" x14ac:dyDescent="0.35">
      <c r="A86" s="33"/>
      <c r="B86" s="40">
        <f t="shared" si="26"/>
        <v>80</v>
      </c>
      <c r="C86" s="41">
        <v>0</v>
      </c>
      <c r="D86" s="23">
        <v>0</v>
      </c>
      <c r="E86" s="23">
        <v>0</v>
      </c>
      <c r="F86" s="23">
        <f t="shared" si="15"/>
        <v>0</v>
      </c>
      <c r="G86" s="42">
        <f t="shared" si="17"/>
        <v>0</v>
      </c>
      <c r="H86" s="23">
        <f>'[1]generators-p'!B82</f>
        <v>0</v>
      </c>
      <c r="I86" s="23">
        <f>'[1]generators-p'!C82</f>
        <v>0</v>
      </c>
      <c r="J86" s="23">
        <f>'[1]generators-p'!D82</f>
        <v>0</v>
      </c>
      <c r="K86" s="23">
        <v>0</v>
      </c>
      <c r="L86" s="23">
        <f t="shared" si="18"/>
        <v>0</v>
      </c>
      <c r="M86" s="42">
        <f t="shared" si="16"/>
        <v>0</v>
      </c>
      <c r="N86" s="33"/>
      <c r="O86" s="44">
        <f t="shared" si="27"/>
        <v>80</v>
      </c>
      <c r="P86" s="23">
        <v>7030.9841999999999</v>
      </c>
      <c r="Q86" s="23">
        <v>1202.9000000000001</v>
      </c>
      <c r="R86" s="23">
        <v>261.5</v>
      </c>
      <c r="S86" s="23">
        <f t="shared" si="19"/>
        <v>8495.3842000000004</v>
      </c>
      <c r="T86" s="42">
        <f t="shared" si="20"/>
        <v>9.2542513164516699E-2</v>
      </c>
      <c r="U86" s="41">
        <f>'[1]generators-p'!E82</f>
        <v>7229.6280938422078</v>
      </c>
      <c r="V86" s="42">
        <f t="shared" si="21"/>
        <v>7.8754290247279493E-2</v>
      </c>
      <c r="W86" s="33"/>
      <c r="X86" s="40">
        <v>80</v>
      </c>
      <c r="Y86" s="54">
        <v>3482.5214637099998</v>
      </c>
      <c r="Z86" s="54">
        <v>2217.3157999999999</v>
      </c>
      <c r="AA86" s="55">
        <f t="shared" si="22"/>
        <v>5699.8372637100001</v>
      </c>
      <c r="AB86" s="56">
        <f>'[1]generators-p'!J82</f>
        <v>4330.8321701195982</v>
      </c>
      <c r="AC86" s="54">
        <f>'[1]links-p0'!E82</f>
        <v>5711.1268785196216</v>
      </c>
      <c r="AD86" s="54">
        <f t="shared" si="23"/>
        <v>7029.3713340474533</v>
      </c>
      <c r="AE86" s="33"/>
      <c r="AF86" s="45">
        <v>80</v>
      </c>
      <c r="AG86" s="52">
        <v>6195.8310494400002</v>
      </c>
      <c r="AH86" s="52">
        <f>'[1]links-p0'!B82</f>
        <v>0</v>
      </c>
      <c r="AI86" s="33"/>
      <c r="AJ86" s="40">
        <v>80</v>
      </c>
      <c r="AK86" s="23">
        <v>1357</v>
      </c>
      <c r="AL86" s="52">
        <f>'[1]links-p0'!H82</f>
        <v>0</v>
      </c>
      <c r="AM86" s="33"/>
      <c r="AN86" s="40">
        <v>80</v>
      </c>
      <c r="AO86" s="23">
        <v>3156.57</v>
      </c>
      <c r="AP86" s="52">
        <v>10447.41</v>
      </c>
      <c r="AQ86" s="62">
        <f t="shared" si="24"/>
        <v>13603.98</v>
      </c>
      <c r="AR86" s="33">
        <f>'[1]links-p0'!C82</f>
        <v>25140.2664733333</v>
      </c>
      <c r="AS86" s="33"/>
      <c r="AT86" s="40">
        <v>80</v>
      </c>
      <c r="AU86" s="23">
        <v>4613</v>
      </c>
      <c r="AV86" s="33">
        <f>'[1]links-p0'!I82</f>
        <v>3135</v>
      </c>
      <c r="AW86" s="33"/>
      <c r="AX86" s="40">
        <v>80</v>
      </c>
      <c r="AY86" s="23">
        <v>0</v>
      </c>
      <c r="AZ86" s="52">
        <v>0</v>
      </c>
      <c r="BA86" s="62">
        <f t="shared" si="25"/>
        <v>0</v>
      </c>
      <c r="BB86" s="33">
        <f>'[1]links-p0'!D82</f>
        <v>0</v>
      </c>
    </row>
    <row r="87" spans="1:54" x14ac:dyDescent="0.35">
      <c r="A87" s="33"/>
      <c r="B87" s="40">
        <f t="shared" si="26"/>
        <v>81</v>
      </c>
      <c r="C87" s="41">
        <v>5561</v>
      </c>
      <c r="D87" s="23">
        <v>110.515</v>
      </c>
      <c r="E87" s="23">
        <v>2460</v>
      </c>
      <c r="F87" s="23">
        <f t="shared" si="15"/>
        <v>8131.5150000000003</v>
      </c>
      <c r="G87" s="42">
        <f t="shared" si="17"/>
        <v>6.9025211154025726E-2</v>
      </c>
      <c r="H87" s="23">
        <f>'[1]generators-p'!B83</f>
        <v>5560.9999999999973</v>
      </c>
      <c r="I87" s="23">
        <f>'[1]generators-p'!C83</f>
        <v>110.515</v>
      </c>
      <c r="J87" s="23">
        <f>'[1]generators-p'!D83</f>
        <v>2460</v>
      </c>
      <c r="K87" s="23">
        <v>0</v>
      </c>
      <c r="L87" s="23">
        <f t="shared" si="18"/>
        <v>8131.5149999999976</v>
      </c>
      <c r="M87" s="42">
        <f t="shared" si="16"/>
        <v>6.9025211154025698E-2</v>
      </c>
      <c r="N87" s="33"/>
      <c r="O87" s="44">
        <f t="shared" si="27"/>
        <v>81</v>
      </c>
      <c r="P87" s="23">
        <v>8098.9817999999996</v>
      </c>
      <c r="Q87" s="23">
        <v>1260.4000000000001</v>
      </c>
      <c r="R87" s="23">
        <v>274</v>
      </c>
      <c r="S87" s="23">
        <f t="shared" si="19"/>
        <v>9633.3817999999992</v>
      </c>
      <c r="T87" s="42">
        <f t="shared" si="20"/>
        <v>0.10493902818960389</v>
      </c>
      <c r="U87" s="41">
        <f>'[1]generators-p'!E83</f>
        <v>8348.136342899068</v>
      </c>
      <c r="V87" s="42">
        <f t="shared" si="21"/>
        <v>9.0938502511977895E-2</v>
      </c>
      <c r="W87" s="33"/>
      <c r="X87" s="40">
        <v>81</v>
      </c>
      <c r="Y87" s="54">
        <v>2050.9719937199998</v>
      </c>
      <c r="Z87" s="54">
        <v>4462.2342700000008</v>
      </c>
      <c r="AA87" s="55">
        <f t="shared" si="22"/>
        <v>6513.2062637200006</v>
      </c>
      <c r="AB87" s="56">
        <f>'[1]generators-p'!J83</f>
        <v>12132.63983304931</v>
      </c>
      <c r="AC87" s="54">
        <f>'[1]links-p0'!E83</f>
        <v>0</v>
      </c>
      <c r="AD87" s="54">
        <f t="shared" si="23"/>
        <v>8492.8478831345165</v>
      </c>
      <c r="AE87" s="33"/>
      <c r="AF87" s="45">
        <v>81</v>
      </c>
      <c r="AG87" s="52">
        <v>6195.8310494400002</v>
      </c>
      <c r="AH87" s="52">
        <f>'[1]links-p0'!B83</f>
        <v>0</v>
      </c>
      <c r="AI87" s="33"/>
      <c r="AJ87" s="40">
        <v>81</v>
      </c>
      <c r="AK87" s="23">
        <v>0</v>
      </c>
      <c r="AL87" s="52">
        <f>'[1]links-p0'!H83</f>
        <v>0</v>
      </c>
      <c r="AM87" s="33"/>
      <c r="AN87" s="40">
        <v>81</v>
      </c>
      <c r="AO87" s="23">
        <v>3156.57</v>
      </c>
      <c r="AP87" s="52">
        <v>5458.9873647699997</v>
      </c>
      <c r="AQ87" s="62">
        <f t="shared" si="24"/>
        <v>8615.5573647700003</v>
      </c>
      <c r="AR87" s="33">
        <f>'[1]links-p0'!C83</f>
        <v>20709.92081004403</v>
      </c>
      <c r="AS87" s="33"/>
      <c r="AT87" s="40">
        <v>81</v>
      </c>
      <c r="AU87" s="23">
        <v>4613</v>
      </c>
      <c r="AV87" s="33">
        <f>'[1]links-p0'!I83</f>
        <v>3135</v>
      </c>
      <c r="AW87" s="33"/>
      <c r="AX87" s="40">
        <v>81</v>
      </c>
      <c r="AY87" s="23">
        <v>0</v>
      </c>
      <c r="AZ87" s="52">
        <v>0</v>
      </c>
      <c r="BA87" s="62">
        <f t="shared" si="25"/>
        <v>0</v>
      </c>
      <c r="BB87" s="33">
        <f>'[1]links-p0'!D83</f>
        <v>0</v>
      </c>
    </row>
    <row r="88" spans="1:54" x14ac:dyDescent="0.35">
      <c r="A88" s="33"/>
      <c r="B88" s="40">
        <f t="shared" si="26"/>
        <v>82</v>
      </c>
      <c r="C88" s="41">
        <v>14110</v>
      </c>
      <c r="D88" s="23">
        <v>259.47000000000003</v>
      </c>
      <c r="E88" s="23">
        <v>5820</v>
      </c>
      <c r="F88" s="23">
        <f t="shared" si="15"/>
        <v>20189.47</v>
      </c>
      <c r="G88" s="42">
        <f t="shared" si="17"/>
        <v>0.17138041679045882</v>
      </c>
      <c r="H88" s="23">
        <f>'[1]generators-p'!B84</f>
        <v>14110</v>
      </c>
      <c r="I88" s="23">
        <f>'[1]generators-p'!C84</f>
        <v>259.47000000000003</v>
      </c>
      <c r="J88" s="23">
        <f>'[1]generators-p'!D84</f>
        <v>5819.9999999999991</v>
      </c>
      <c r="K88" s="23">
        <v>0</v>
      </c>
      <c r="L88" s="23">
        <f t="shared" si="18"/>
        <v>20189.47</v>
      </c>
      <c r="M88" s="42">
        <f t="shared" si="16"/>
        <v>0.17138041679045882</v>
      </c>
      <c r="N88" s="33"/>
      <c r="O88" s="44">
        <f t="shared" si="27"/>
        <v>82</v>
      </c>
      <c r="P88" s="23">
        <v>8988.9797999999992</v>
      </c>
      <c r="Q88" s="23">
        <v>1334</v>
      </c>
      <c r="R88" s="23">
        <v>290</v>
      </c>
      <c r="S88" s="23">
        <f t="shared" si="19"/>
        <v>10612.979799999999</v>
      </c>
      <c r="T88" s="42">
        <f t="shared" si="20"/>
        <v>0.11561005361667454</v>
      </c>
      <c r="U88" s="41">
        <f>'[1]generators-p'!E84</f>
        <v>9234.8761820860545</v>
      </c>
      <c r="V88" s="42">
        <f t="shared" si="21"/>
        <v>0.10059799892903966</v>
      </c>
      <c r="W88" s="33"/>
      <c r="X88" s="40">
        <v>82</v>
      </c>
      <c r="Y88" s="54">
        <v>848.47779371999991</v>
      </c>
      <c r="Z88" s="54">
        <v>7617.2754699999996</v>
      </c>
      <c r="AA88" s="55">
        <f t="shared" si="22"/>
        <v>8465.7532637200002</v>
      </c>
      <c r="AB88" s="56">
        <f>'[1]generators-p'!J84</f>
        <v>21880.95828668572</v>
      </c>
      <c r="AC88" s="54">
        <f>'[1]links-p0'!E84</f>
        <v>0</v>
      </c>
      <c r="AD88" s="54">
        <f t="shared" si="23"/>
        <v>15316.670800680004</v>
      </c>
      <c r="AE88" s="33"/>
      <c r="AF88" s="45">
        <v>82</v>
      </c>
      <c r="AG88" s="52">
        <v>439.68117799999999</v>
      </c>
      <c r="AH88" s="52">
        <f>'[1]links-p0'!B84</f>
        <v>0</v>
      </c>
      <c r="AI88" s="33"/>
      <c r="AJ88" s="40">
        <v>82</v>
      </c>
      <c r="AK88" s="23">
        <v>0</v>
      </c>
      <c r="AL88" s="52">
        <f>'[1]links-p0'!H84</f>
        <v>0</v>
      </c>
      <c r="AM88" s="33"/>
      <c r="AN88" s="40">
        <v>82</v>
      </c>
      <c r="AO88" s="23">
        <v>3156.57</v>
      </c>
      <c r="AP88" s="52">
        <v>0</v>
      </c>
      <c r="AQ88" s="62">
        <f t="shared" si="24"/>
        <v>3156.57</v>
      </c>
      <c r="AR88" s="33">
        <f>'[1]links-p0'!C84</f>
        <v>4319.1571583064024</v>
      </c>
      <c r="AS88" s="33"/>
      <c r="AT88" s="40">
        <v>82</v>
      </c>
      <c r="AU88" s="23">
        <v>4613</v>
      </c>
      <c r="AV88" s="33">
        <f>'[1]links-p0'!I84</f>
        <v>2316.1753997748228</v>
      </c>
      <c r="AW88" s="33"/>
      <c r="AX88" s="40">
        <v>82</v>
      </c>
      <c r="AY88" s="23">
        <v>0</v>
      </c>
      <c r="AZ88" s="52">
        <v>0</v>
      </c>
      <c r="BA88" s="62">
        <f t="shared" si="25"/>
        <v>0</v>
      </c>
      <c r="BB88" s="33">
        <f>'[1]links-p0'!D84</f>
        <v>0</v>
      </c>
    </row>
    <row r="89" spans="1:54" x14ac:dyDescent="0.35">
      <c r="A89" s="33"/>
      <c r="B89" s="40">
        <f t="shared" si="26"/>
        <v>83</v>
      </c>
      <c r="C89" s="41">
        <v>19671</v>
      </c>
      <c r="D89" s="23">
        <v>413.23</v>
      </c>
      <c r="E89" s="23">
        <v>8550</v>
      </c>
      <c r="F89" s="23">
        <f t="shared" si="15"/>
        <v>28634.23</v>
      </c>
      <c r="G89" s="42">
        <f t="shared" si="17"/>
        <v>0.24306464071983361</v>
      </c>
      <c r="H89" s="23">
        <f>'[1]generators-p'!B85</f>
        <v>19671</v>
      </c>
      <c r="I89" s="23">
        <f>'[1]generators-p'!C85</f>
        <v>413.23</v>
      </c>
      <c r="J89" s="23">
        <f>'[1]generators-p'!D85</f>
        <v>8549.9999999999709</v>
      </c>
      <c r="K89" s="23">
        <v>0</v>
      </c>
      <c r="L89" s="23">
        <f t="shared" si="18"/>
        <v>28634.22999999997</v>
      </c>
      <c r="M89" s="42">
        <f t="shared" si="16"/>
        <v>0.24306464071983339</v>
      </c>
      <c r="N89" s="33"/>
      <c r="O89" s="44">
        <f t="shared" si="27"/>
        <v>83</v>
      </c>
      <c r="P89" s="23">
        <v>10234.977000000001</v>
      </c>
      <c r="Q89" s="23">
        <v>1412.2</v>
      </c>
      <c r="R89" s="23">
        <v>307</v>
      </c>
      <c r="S89" s="23">
        <f t="shared" si="19"/>
        <v>11954.177000000001</v>
      </c>
      <c r="T89" s="42">
        <f t="shared" si="20"/>
        <v>0.13022007673219332</v>
      </c>
      <c r="U89" s="41">
        <f>'[1]generators-p'!E85</f>
        <v>10602.74259962927</v>
      </c>
      <c r="V89" s="42">
        <f t="shared" si="21"/>
        <v>0.11549853702981128</v>
      </c>
      <c r="W89" s="33"/>
      <c r="X89" s="40">
        <v>83</v>
      </c>
      <c r="Y89" s="54">
        <v>384.84094599000002</v>
      </c>
      <c r="Z89" s="54">
        <v>10167.64446</v>
      </c>
      <c r="AA89" s="55">
        <f t="shared" si="22"/>
        <v>10552.485405989999</v>
      </c>
      <c r="AB89" s="56">
        <f>'[1]generators-p'!J85</f>
        <v>21574.320557999999</v>
      </c>
      <c r="AC89" s="54">
        <f>'[1]links-p0'!E85</f>
        <v>0</v>
      </c>
      <c r="AD89" s="54">
        <f t="shared" si="23"/>
        <v>15102.024390599998</v>
      </c>
      <c r="AE89" s="33"/>
      <c r="AF89" s="45">
        <v>83</v>
      </c>
      <c r="AG89" s="52">
        <v>0</v>
      </c>
      <c r="AH89" s="52">
        <f>'[1]links-p0'!B85</f>
        <v>0</v>
      </c>
      <c r="AI89" s="33"/>
      <c r="AJ89" s="40">
        <v>83</v>
      </c>
      <c r="AK89" s="23">
        <v>0</v>
      </c>
      <c r="AL89" s="52">
        <f>'[1]links-p0'!H85</f>
        <v>0</v>
      </c>
      <c r="AM89" s="33"/>
      <c r="AN89" s="40">
        <v>83</v>
      </c>
      <c r="AO89" s="23">
        <v>0</v>
      </c>
      <c r="AP89" s="52">
        <v>0</v>
      </c>
      <c r="AQ89" s="62">
        <f t="shared" si="24"/>
        <v>0</v>
      </c>
      <c r="AR89" s="33">
        <f>'[1]links-p0'!C85</f>
        <v>0</v>
      </c>
      <c r="AS89" s="33"/>
      <c r="AT89" s="40">
        <v>83</v>
      </c>
      <c r="AU89" s="23">
        <v>4613</v>
      </c>
      <c r="AV89" s="33">
        <f>'[1]links-p0'!I85</f>
        <v>431.45248076647158</v>
      </c>
      <c r="AW89" s="33"/>
      <c r="AX89" s="40">
        <v>83</v>
      </c>
      <c r="AY89" s="23">
        <v>0</v>
      </c>
      <c r="AZ89" s="52">
        <v>1370.06201962</v>
      </c>
      <c r="BA89" s="62">
        <f t="shared" si="25"/>
        <v>1370.06201962</v>
      </c>
      <c r="BB89" s="33">
        <f>'[1]links-p0'!D85</f>
        <v>0</v>
      </c>
    </row>
    <row r="90" spans="1:54" x14ac:dyDescent="0.35">
      <c r="A90" s="33"/>
      <c r="B90" s="40">
        <f t="shared" si="26"/>
        <v>84</v>
      </c>
      <c r="C90" s="41">
        <v>23323</v>
      </c>
      <c r="D90" s="23">
        <v>538.16</v>
      </c>
      <c r="E90" s="23">
        <v>10200</v>
      </c>
      <c r="F90" s="23">
        <f t="shared" si="15"/>
        <v>34061.160000000003</v>
      </c>
      <c r="G90" s="42">
        <f t="shared" si="17"/>
        <v>0.28913170069182126</v>
      </c>
      <c r="H90" s="23">
        <f>'[1]generators-p'!B86</f>
        <v>23323</v>
      </c>
      <c r="I90" s="23">
        <f>'[1]generators-p'!C86</f>
        <v>538.16</v>
      </c>
      <c r="J90" s="23">
        <f>'[1]generators-p'!D86</f>
        <v>10200</v>
      </c>
      <c r="K90" s="23">
        <v>0</v>
      </c>
      <c r="L90" s="23">
        <f t="shared" si="18"/>
        <v>34061.160000000003</v>
      </c>
      <c r="M90" s="42">
        <f t="shared" si="16"/>
        <v>0.28913170069182126</v>
      </c>
      <c r="N90" s="33"/>
      <c r="O90" s="44">
        <f t="shared" si="27"/>
        <v>84</v>
      </c>
      <c r="P90" s="23">
        <v>12281.972400000001</v>
      </c>
      <c r="Q90" s="23">
        <v>1476.6</v>
      </c>
      <c r="R90" s="23">
        <v>321</v>
      </c>
      <c r="S90" s="23">
        <f t="shared" si="19"/>
        <v>14079.572400000001</v>
      </c>
      <c r="T90" s="42">
        <f t="shared" si="20"/>
        <v>0.15337258251107302</v>
      </c>
      <c r="U90" s="41">
        <f>'[1]generators-p'!E86</f>
        <v>12693.81780410596</v>
      </c>
      <c r="V90" s="42">
        <f t="shared" si="21"/>
        <v>0.13827718365514913</v>
      </c>
      <c r="W90" s="33"/>
      <c r="X90" s="40">
        <v>84</v>
      </c>
      <c r="Y90" s="54">
        <v>0</v>
      </c>
      <c r="Z90" s="54">
        <v>12100.758620000001</v>
      </c>
      <c r="AA90" s="55">
        <f t="shared" si="22"/>
        <v>12100.758620000001</v>
      </c>
      <c r="AB90" s="56">
        <f>'[1]generators-p'!J86</f>
        <v>25264.780806442861</v>
      </c>
      <c r="AC90" s="54">
        <f>'[1]links-p0'!E86</f>
        <v>0</v>
      </c>
      <c r="AD90" s="54">
        <f t="shared" si="23"/>
        <v>17685.34656451</v>
      </c>
      <c r="AE90" s="33"/>
      <c r="AF90" s="45">
        <v>84</v>
      </c>
      <c r="AG90" s="52">
        <v>0</v>
      </c>
      <c r="AH90" s="52">
        <f>'[1]links-p0'!B86</f>
        <v>0</v>
      </c>
      <c r="AI90" s="33"/>
      <c r="AJ90" s="40">
        <v>84</v>
      </c>
      <c r="AK90" s="23">
        <v>0</v>
      </c>
      <c r="AL90" s="52">
        <f>'[1]links-p0'!H86</f>
        <v>0</v>
      </c>
      <c r="AM90" s="33"/>
      <c r="AN90" s="40">
        <v>84</v>
      </c>
      <c r="AO90" s="23">
        <v>2750.8483830800001</v>
      </c>
      <c r="AP90" s="52">
        <v>0</v>
      </c>
      <c r="AQ90" s="62">
        <f t="shared" si="24"/>
        <v>2750.8483830800001</v>
      </c>
      <c r="AR90" s="33">
        <f>'[1]links-p0'!C86</f>
        <v>0</v>
      </c>
      <c r="AS90" s="33"/>
      <c r="AT90" s="40">
        <v>84</v>
      </c>
      <c r="AU90" s="23">
        <v>4613</v>
      </c>
      <c r="AV90" s="33">
        <f>'[1]links-p0'!I86</f>
        <v>0</v>
      </c>
      <c r="AW90" s="33"/>
      <c r="AX90" s="40">
        <v>84</v>
      </c>
      <c r="AY90" s="23">
        <v>0</v>
      </c>
      <c r="AZ90" s="52">
        <v>0</v>
      </c>
      <c r="BA90" s="62">
        <f t="shared" si="25"/>
        <v>0</v>
      </c>
      <c r="BB90" s="33">
        <f>'[1]links-p0'!D86</f>
        <v>0</v>
      </c>
    </row>
    <row r="91" spans="1:54" x14ac:dyDescent="0.35">
      <c r="A91" s="33"/>
      <c r="B91" s="40">
        <f t="shared" si="26"/>
        <v>85</v>
      </c>
      <c r="C91" s="41">
        <v>24402</v>
      </c>
      <c r="D91" s="23">
        <v>586.21</v>
      </c>
      <c r="E91" s="23">
        <v>10380</v>
      </c>
      <c r="F91" s="23">
        <f t="shared" si="15"/>
        <v>35368.21</v>
      </c>
      <c r="G91" s="42">
        <f t="shared" si="17"/>
        <v>0.30022673061415051</v>
      </c>
      <c r="H91" s="23">
        <f>'[1]generators-p'!B87</f>
        <v>24402</v>
      </c>
      <c r="I91" s="23">
        <f>'[1]generators-p'!C87</f>
        <v>586.21</v>
      </c>
      <c r="J91" s="23">
        <f>'[1]generators-p'!D87</f>
        <v>10379.999999999971</v>
      </c>
      <c r="K91" s="23">
        <v>0</v>
      </c>
      <c r="L91" s="23">
        <f t="shared" si="18"/>
        <v>35368.20999999997</v>
      </c>
      <c r="M91" s="42">
        <f t="shared" si="16"/>
        <v>0.30022673061415023</v>
      </c>
      <c r="N91" s="33"/>
      <c r="O91" s="44">
        <f t="shared" si="27"/>
        <v>85</v>
      </c>
      <c r="P91" s="23">
        <v>14506.9674</v>
      </c>
      <c r="Q91" s="23">
        <v>1536.4</v>
      </c>
      <c r="R91" s="23">
        <v>334</v>
      </c>
      <c r="S91" s="23">
        <f t="shared" si="19"/>
        <v>16377.367399999999</v>
      </c>
      <c r="T91" s="42">
        <f t="shared" si="20"/>
        <v>0.17840308366684893</v>
      </c>
      <c r="U91" s="41">
        <f>'[1]generators-p'!E87</f>
        <v>14935.23885635787</v>
      </c>
      <c r="V91" s="42">
        <f t="shared" si="21"/>
        <v>0.16269358818165039</v>
      </c>
      <c r="W91" s="33"/>
      <c r="X91" s="40">
        <v>85</v>
      </c>
      <c r="Y91" s="54">
        <v>0</v>
      </c>
      <c r="Z91" s="54">
        <v>13022.3585</v>
      </c>
      <c r="AA91" s="55">
        <f t="shared" si="22"/>
        <v>13022.3585</v>
      </c>
      <c r="AB91" s="56">
        <f>'[1]generators-p'!J87</f>
        <v>26674.948381428581</v>
      </c>
      <c r="AC91" s="54">
        <f>'[1]links-p0'!E87</f>
        <v>0</v>
      </c>
      <c r="AD91" s="54">
        <f t="shared" si="23"/>
        <v>18672.463867000006</v>
      </c>
      <c r="AE91" s="33"/>
      <c r="AF91" s="45">
        <v>85</v>
      </c>
      <c r="AG91" s="52">
        <v>0</v>
      </c>
      <c r="AH91" s="52">
        <f>'[1]links-p0'!B87</f>
        <v>0</v>
      </c>
      <c r="AI91" s="33"/>
      <c r="AJ91" s="40">
        <v>85</v>
      </c>
      <c r="AK91" s="23">
        <v>0</v>
      </c>
      <c r="AL91" s="52">
        <f>'[1]links-p0'!H87</f>
        <v>0</v>
      </c>
      <c r="AM91" s="33"/>
      <c r="AN91" s="40">
        <v>85</v>
      </c>
      <c r="AO91" s="23">
        <v>0</v>
      </c>
      <c r="AP91" s="52">
        <v>0</v>
      </c>
      <c r="AQ91" s="62">
        <f t="shared" si="24"/>
        <v>0</v>
      </c>
      <c r="AR91" s="33">
        <f>'[1]links-p0'!C87</f>
        <v>0</v>
      </c>
      <c r="AS91" s="33"/>
      <c r="AT91" s="40">
        <v>85</v>
      </c>
      <c r="AU91" s="23">
        <v>4613</v>
      </c>
      <c r="AV91" s="33">
        <f>'[1]links-p0'!I87</f>
        <v>0</v>
      </c>
      <c r="AW91" s="33"/>
      <c r="AX91" s="40">
        <v>85</v>
      </c>
      <c r="AY91" s="23">
        <v>0</v>
      </c>
      <c r="AZ91" s="52">
        <v>0</v>
      </c>
      <c r="BA91" s="62">
        <f t="shared" si="25"/>
        <v>0</v>
      </c>
      <c r="BB91" s="33">
        <f>'[1]links-p0'!D87</f>
        <v>0</v>
      </c>
    </row>
    <row r="92" spans="1:54" x14ac:dyDescent="0.35">
      <c r="A92" s="33"/>
      <c r="B92" s="40">
        <f t="shared" si="26"/>
        <v>86</v>
      </c>
      <c r="C92" s="41">
        <v>23406</v>
      </c>
      <c r="D92" s="23">
        <v>547.77</v>
      </c>
      <c r="E92" s="23">
        <v>9210</v>
      </c>
      <c r="F92" s="23">
        <f t="shared" si="15"/>
        <v>33163.770000000004</v>
      </c>
      <c r="G92" s="42">
        <f t="shared" si="17"/>
        <v>0.28151411230423162</v>
      </c>
      <c r="H92" s="23">
        <f>'[1]generators-p'!B88</f>
        <v>23406</v>
      </c>
      <c r="I92" s="23">
        <f>'[1]generators-p'!C88</f>
        <v>547.77</v>
      </c>
      <c r="J92" s="23">
        <f>'[1]generators-p'!D88</f>
        <v>9210</v>
      </c>
      <c r="K92" s="23">
        <v>0</v>
      </c>
      <c r="L92" s="23">
        <f t="shared" si="18"/>
        <v>33163.770000000004</v>
      </c>
      <c r="M92" s="42">
        <f t="shared" si="16"/>
        <v>0.28151411230423162</v>
      </c>
      <c r="N92" s="33"/>
      <c r="O92" s="44">
        <f t="shared" si="27"/>
        <v>86</v>
      </c>
      <c r="P92" s="23">
        <v>16731.9624</v>
      </c>
      <c r="Q92" s="23">
        <v>1607.7</v>
      </c>
      <c r="R92" s="23">
        <v>349.5</v>
      </c>
      <c r="S92" s="23">
        <f t="shared" si="19"/>
        <v>18689.162400000001</v>
      </c>
      <c r="T92" s="42">
        <f t="shared" si="20"/>
        <v>0.20358609060150459</v>
      </c>
      <c r="U92" s="41">
        <f>'[1]generators-p'!E88</f>
        <v>17302.695151216511</v>
      </c>
      <c r="V92" s="42">
        <f t="shared" si="21"/>
        <v>0.18848292862529667</v>
      </c>
      <c r="W92" s="33"/>
      <c r="X92" s="40">
        <v>86</v>
      </c>
      <c r="Y92" s="54">
        <v>0</v>
      </c>
      <c r="Z92" s="54">
        <v>13019.24444</v>
      </c>
      <c r="AA92" s="55">
        <f t="shared" si="22"/>
        <v>13019.24444</v>
      </c>
      <c r="AB92" s="56">
        <f>'[1]generators-p'!J88</f>
        <v>24936.082377528572</v>
      </c>
      <c r="AC92" s="54">
        <f>'[1]links-p0'!E88</f>
        <v>0</v>
      </c>
      <c r="AD92" s="54">
        <f t="shared" si="23"/>
        <v>17455.257664270001</v>
      </c>
      <c r="AE92" s="33"/>
      <c r="AF92" s="45">
        <v>86</v>
      </c>
      <c r="AG92" s="52">
        <v>0</v>
      </c>
      <c r="AH92" s="52">
        <f>'[1]links-p0'!B88</f>
        <v>0</v>
      </c>
      <c r="AI92" s="33"/>
      <c r="AJ92" s="40">
        <v>86</v>
      </c>
      <c r="AK92" s="23">
        <v>0</v>
      </c>
      <c r="AL92" s="52">
        <f>'[1]links-p0'!H88</f>
        <v>0</v>
      </c>
      <c r="AM92" s="33"/>
      <c r="AN92" s="40">
        <v>86</v>
      </c>
      <c r="AO92" s="23">
        <v>0</v>
      </c>
      <c r="AP92" s="52">
        <v>0</v>
      </c>
      <c r="AQ92" s="62">
        <f t="shared" si="24"/>
        <v>0</v>
      </c>
      <c r="AR92" s="33">
        <f>'[1]links-p0'!C88</f>
        <v>0</v>
      </c>
      <c r="AS92" s="33"/>
      <c r="AT92" s="40">
        <v>86</v>
      </c>
      <c r="AU92" s="23">
        <v>4613</v>
      </c>
      <c r="AV92" s="33">
        <f>'[1]links-p0'!I88</f>
        <v>0</v>
      </c>
      <c r="AW92" s="33"/>
      <c r="AX92" s="40">
        <v>86</v>
      </c>
      <c r="AY92" s="23">
        <v>0</v>
      </c>
      <c r="AZ92" s="52">
        <v>0</v>
      </c>
      <c r="BA92" s="62">
        <f t="shared" si="25"/>
        <v>0</v>
      </c>
      <c r="BB92" s="33">
        <f>'[1]links-p0'!D88</f>
        <v>0</v>
      </c>
    </row>
    <row r="93" spans="1:54" x14ac:dyDescent="0.35">
      <c r="A93" s="33"/>
      <c r="B93" s="40">
        <f t="shared" si="26"/>
        <v>87</v>
      </c>
      <c r="C93" s="41">
        <v>21165</v>
      </c>
      <c r="D93" s="23">
        <v>432.45</v>
      </c>
      <c r="E93" s="23">
        <v>7350</v>
      </c>
      <c r="F93" s="23">
        <f t="shared" si="15"/>
        <v>28947.45</v>
      </c>
      <c r="G93" s="42">
        <f t="shared" si="17"/>
        <v>0.2457234412800815</v>
      </c>
      <c r="H93" s="23">
        <f>'[1]generators-p'!B89</f>
        <v>21165</v>
      </c>
      <c r="I93" s="23">
        <f>'[1]generators-p'!C89</f>
        <v>432.45</v>
      </c>
      <c r="J93" s="23">
        <f>'[1]generators-p'!D89</f>
        <v>7350</v>
      </c>
      <c r="K93" s="23">
        <v>0</v>
      </c>
      <c r="L93" s="23">
        <f t="shared" si="18"/>
        <v>28947.45</v>
      </c>
      <c r="M93" s="42">
        <f t="shared" si="16"/>
        <v>0.2457234412800815</v>
      </c>
      <c r="N93" s="33"/>
      <c r="O93" s="44">
        <f t="shared" si="27"/>
        <v>87</v>
      </c>
      <c r="P93" s="23">
        <v>18511.9584</v>
      </c>
      <c r="Q93" s="23">
        <v>1688.2</v>
      </c>
      <c r="R93" s="23">
        <v>367</v>
      </c>
      <c r="S93" s="23">
        <f t="shared" si="19"/>
        <v>20567.1584</v>
      </c>
      <c r="T93" s="42">
        <f t="shared" si="20"/>
        <v>0.22404360793814365</v>
      </c>
      <c r="U93" s="41">
        <f>'[1]generators-p'!E89</f>
        <v>19055.53493100328</v>
      </c>
      <c r="V93" s="42">
        <f t="shared" si="21"/>
        <v>0.20757708547298881</v>
      </c>
      <c r="W93" s="33"/>
      <c r="X93" s="40">
        <v>87</v>
      </c>
      <c r="Y93" s="54">
        <v>0</v>
      </c>
      <c r="Z93" s="54">
        <v>12335.657859999999</v>
      </c>
      <c r="AA93" s="55">
        <f t="shared" si="22"/>
        <v>12335.657859999999</v>
      </c>
      <c r="AB93" s="56">
        <f>'[1]generators-p'!J89</f>
        <v>24959.182208828581</v>
      </c>
      <c r="AC93" s="54">
        <f>'[1]links-p0'!E89</f>
        <v>0</v>
      </c>
      <c r="AD93" s="54">
        <f t="shared" si="23"/>
        <v>17471.427546180006</v>
      </c>
      <c r="AE93" s="33"/>
      <c r="AF93" s="45">
        <v>87</v>
      </c>
      <c r="AG93" s="52">
        <v>0</v>
      </c>
      <c r="AH93" s="52">
        <f>'[1]links-p0'!B89</f>
        <v>0</v>
      </c>
      <c r="AI93" s="33"/>
      <c r="AJ93" s="40">
        <v>87</v>
      </c>
      <c r="AK93" s="23">
        <v>0</v>
      </c>
      <c r="AL93" s="52">
        <f>'[1]links-p0'!H89</f>
        <v>0</v>
      </c>
      <c r="AM93" s="33"/>
      <c r="AN93" s="40">
        <v>87</v>
      </c>
      <c r="AO93" s="23">
        <v>0</v>
      </c>
      <c r="AP93" s="52">
        <v>0</v>
      </c>
      <c r="AQ93" s="62">
        <f t="shared" si="24"/>
        <v>0</v>
      </c>
      <c r="AR93" s="33">
        <f>'[1]links-p0'!C89</f>
        <v>0</v>
      </c>
      <c r="AS93" s="33"/>
      <c r="AT93" s="40">
        <v>87</v>
      </c>
      <c r="AU93" s="23">
        <v>4613</v>
      </c>
      <c r="AV93" s="33">
        <f>'[1]links-p0'!I89</f>
        <v>0</v>
      </c>
      <c r="AW93" s="33"/>
      <c r="AX93" s="40">
        <v>87</v>
      </c>
      <c r="AY93" s="23">
        <v>0</v>
      </c>
      <c r="AZ93" s="52">
        <v>0</v>
      </c>
      <c r="BA93" s="62">
        <f t="shared" si="25"/>
        <v>0</v>
      </c>
      <c r="BB93" s="33">
        <f>'[1]links-p0'!D89</f>
        <v>0</v>
      </c>
    </row>
    <row r="94" spans="1:54" x14ac:dyDescent="0.35">
      <c r="A94" s="33"/>
      <c r="B94" s="40">
        <f t="shared" si="26"/>
        <v>88</v>
      </c>
      <c r="C94" s="41">
        <v>15687</v>
      </c>
      <c r="D94" s="23">
        <v>245.05500000000001</v>
      </c>
      <c r="E94" s="23">
        <v>4710</v>
      </c>
      <c r="F94" s="23">
        <f t="shared" si="15"/>
        <v>20642.055</v>
      </c>
      <c r="G94" s="42">
        <f t="shared" si="17"/>
        <v>0.1752222316540045</v>
      </c>
      <c r="H94" s="23">
        <f>'[1]generators-p'!B90</f>
        <v>15687</v>
      </c>
      <c r="I94" s="23">
        <f>'[1]generators-p'!C90</f>
        <v>245.05500000000001</v>
      </c>
      <c r="J94" s="23">
        <f>'[1]generators-p'!D90</f>
        <v>4710</v>
      </c>
      <c r="K94" s="23">
        <v>0</v>
      </c>
      <c r="L94" s="23">
        <f t="shared" si="18"/>
        <v>20642.055</v>
      </c>
      <c r="M94" s="42">
        <f t="shared" si="16"/>
        <v>0.1752222316540045</v>
      </c>
      <c r="N94" s="33"/>
      <c r="O94" s="44">
        <f t="shared" si="27"/>
        <v>88</v>
      </c>
      <c r="P94" s="23">
        <v>18867.957600000002</v>
      </c>
      <c r="Q94" s="23">
        <v>1761.8</v>
      </c>
      <c r="R94" s="23">
        <v>383</v>
      </c>
      <c r="S94" s="23">
        <f t="shared" si="19"/>
        <v>21012.757600000001</v>
      </c>
      <c r="T94" s="42">
        <f t="shared" si="20"/>
        <v>0.22889764029986995</v>
      </c>
      <c r="U94" s="41">
        <f>'[1]generators-p'!E90</f>
        <v>19502.5647707022</v>
      </c>
      <c r="V94" s="42">
        <f t="shared" si="21"/>
        <v>0.21244670217911368</v>
      </c>
      <c r="W94" s="33"/>
      <c r="X94" s="40">
        <v>88</v>
      </c>
      <c r="Y94" s="54">
        <v>1519.7783652600001</v>
      </c>
      <c r="Z94" s="54">
        <v>10403.839449999999</v>
      </c>
      <c r="AA94" s="55">
        <f t="shared" si="22"/>
        <v>11923.61781526</v>
      </c>
      <c r="AB94" s="56">
        <f>'[1]generators-p'!J90</f>
        <v>24500.302250000001</v>
      </c>
      <c r="AC94" s="54">
        <f>'[1]links-p0'!E90</f>
        <v>0</v>
      </c>
      <c r="AD94" s="54">
        <f t="shared" si="23"/>
        <v>17150.211575000001</v>
      </c>
      <c r="AE94" s="33"/>
      <c r="AF94" s="45">
        <v>88</v>
      </c>
      <c r="AG94" s="52">
        <v>0</v>
      </c>
      <c r="AH94" s="52">
        <f>'[1]links-p0'!B90</f>
        <v>0</v>
      </c>
      <c r="AI94" s="33"/>
      <c r="AJ94" s="40">
        <v>88</v>
      </c>
      <c r="AK94" s="23">
        <v>0</v>
      </c>
      <c r="AL94" s="52">
        <f>'[1]links-p0'!H90</f>
        <v>0</v>
      </c>
      <c r="AM94" s="33"/>
      <c r="AN94" s="40">
        <v>88</v>
      </c>
      <c r="AO94" s="23">
        <v>0</v>
      </c>
      <c r="AP94" s="52">
        <v>0</v>
      </c>
      <c r="AQ94" s="62">
        <f t="shared" si="24"/>
        <v>0</v>
      </c>
      <c r="AR94" s="33">
        <f>'[1]links-p0'!C90</f>
        <v>0</v>
      </c>
      <c r="AS94" s="33"/>
      <c r="AT94" s="40">
        <v>88</v>
      </c>
      <c r="AU94" s="23">
        <v>4613</v>
      </c>
      <c r="AV94" s="33">
        <f>'[1]links-p0'!I90</f>
        <v>2715.6940365545888</v>
      </c>
      <c r="AW94" s="33"/>
      <c r="AX94" s="40">
        <v>88</v>
      </c>
      <c r="AY94" s="23">
        <v>0</v>
      </c>
      <c r="AZ94" s="52">
        <v>0</v>
      </c>
      <c r="BA94" s="62">
        <f t="shared" si="25"/>
        <v>0</v>
      </c>
      <c r="BB94" s="33">
        <f>'[1]links-p0'!D90</f>
        <v>0</v>
      </c>
    </row>
    <row r="95" spans="1:54" x14ac:dyDescent="0.35">
      <c r="A95" s="33"/>
      <c r="B95" s="40">
        <f t="shared" si="26"/>
        <v>89</v>
      </c>
      <c r="C95" s="41">
        <v>4316</v>
      </c>
      <c r="D95" s="23">
        <v>0</v>
      </c>
      <c r="E95" s="23">
        <v>1530</v>
      </c>
      <c r="F95" s="23">
        <f t="shared" si="15"/>
        <v>5846</v>
      </c>
      <c r="G95" s="42">
        <f t="shared" si="17"/>
        <v>4.9624379270828911E-2</v>
      </c>
      <c r="H95" s="23">
        <f>'[1]generators-p'!B91</f>
        <v>4316</v>
      </c>
      <c r="I95" s="23">
        <f>'[1]generators-p'!C91</f>
        <v>0</v>
      </c>
      <c r="J95" s="23">
        <f>'[1]generators-p'!D91</f>
        <v>1530</v>
      </c>
      <c r="K95" s="23">
        <v>0</v>
      </c>
      <c r="L95" s="23">
        <f t="shared" si="18"/>
        <v>5846</v>
      </c>
      <c r="M95" s="42">
        <f t="shared" si="16"/>
        <v>4.9624379270828911E-2</v>
      </c>
      <c r="N95" s="33"/>
      <c r="O95" s="44">
        <f t="shared" si="27"/>
        <v>89</v>
      </c>
      <c r="P95" s="23">
        <v>18244.958999999999</v>
      </c>
      <c r="Q95" s="23">
        <v>1814.7</v>
      </c>
      <c r="R95" s="23">
        <v>394.5</v>
      </c>
      <c r="S95" s="23">
        <f t="shared" si="19"/>
        <v>20454.159</v>
      </c>
      <c r="T95" s="42">
        <f t="shared" si="20"/>
        <v>0.22281267497314808</v>
      </c>
      <c r="U95" s="41">
        <f>'[1]generators-p'!E91</f>
        <v>18779.82452991965</v>
      </c>
      <c r="V95" s="42">
        <f t="shared" si="21"/>
        <v>0.20457369765423944</v>
      </c>
      <c r="W95" s="33"/>
      <c r="X95" s="40">
        <v>89</v>
      </c>
      <c r="Y95" s="54">
        <v>4338.87554559</v>
      </c>
      <c r="Z95" s="54">
        <v>6914.4102599999997</v>
      </c>
      <c r="AA95" s="55">
        <f t="shared" si="22"/>
        <v>11253.28580559</v>
      </c>
      <c r="AB95" s="56">
        <f>'[1]generators-p'!J91</f>
        <v>15579.704820592189</v>
      </c>
      <c r="AC95" s="54">
        <f>'[1]links-p0'!E91</f>
        <v>2084.760852969142</v>
      </c>
      <c r="AD95" s="54">
        <f t="shared" si="23"/>
        <v>12365.125971492931</v>
      </c>
      <c r="AE95" s="33"/>
      <c r="AF95" s="45">
        <v>89</v>
      </c>
      <c r="AG95" s="52">
        <v>0</v>
      </c>
      <c r="AH95" s="52">
        <f>'[1]links-p0'!B91</f>
        <v>0</v>
      </c>
      <c r="AI95" s="33"/>
      <c r="AJ95" s="40">
        <v>89</v>
      </c>
      <c r="AK95" s="23">
        <v>0</v>
      </c>
      <c r="AL95" s="52">
        <f>'[1]links-p0'!H91</f>
        <v>0</v>
      </c>
      <c r="AM95" s="33"/>
      <c r="AN95" s="40">
        <v>89</v>
      </c>
      <c r="AO95" s="23">
        <v>3156.57</v>
      </c>
      <c r="AP95" s="52">
        <v>0</v>
      </c>
      <c r="AQ95" s="62">
        <f t="shared" si="24"/>
        <v>3156.57</v>
      </c>
      <c r="AR95" s="33">
        <f>'[1]links-p0'!C91</f>
        <v>0</v>
      </c>
      <c r="AS95" s="33"/>
      <c r="AT95" s="40">
        <v>89</v>
      </c>
      <c r="AU95" s="23">
        <v>4613</v>
      </c>
      <c r="AV95" s="33">
        <f>'[1]links-p0'!I91</f>
        <v>3135</v>
      </c>
      <c r="AW95" s="33"/>
      <c r="AX95" s="40">
        <v>89</v>
      </c>
      <c r="AY95" s="23">
        <v>0</v>
      </c>
      <c r="AZ95" s="52">
        <v>0</v>
      </c>
      <c r="BA95" s="62">
        <f t="shared" si="25"/>
        <v>0</v>
      </c>
      <c r="BB95" s="33">
        <f>'[1]links-p0'!D91</f>
        <v>0</v>
      </c>
    </row>
    <row r="96" spans="1:54" x14ac:dyDescent="0.35">
      <c r="A96" s="33"/>
      <c r="B96" s="40">
        <f t="shared" si="26"/>
        <v>90</v>
      </c>
      <c r="C96" s="41">
        <v>0</v>
      </c>
      <c r="D96" s="23">
        <v>0</v>
      </c>
      <c r="E96" s="23">
        <v>0</v>
      </c>
      <c r="F96" s="23">
        <f t="shared" si="15"/>
        <v>0</v>
      </c>
      <c r="G96" s="42">
        <f t="shared" si="17"/>
        <v>0</v>
      </c>
      <c r="H96" s="23">
        <f>'[1]generators-p'!B92</f>
        <v>0</v>
      </c>
      <c r="I96" s="23">
        <f>'[1]generators-p'!C92</f>
        <v>0</v>
      </c>
      <c r="J96" s="23">
        <f>'[1]generators-p'!D92</f>
        <v>0</v>
      </c>
      <c r="K96" s="23">
        <v>0</v>
      </c>
      <c r="L96" s="23">
        <f t="shared" si="18"/>
        <v>0</v>
      </c>
      <c r="M96" s="42">
        <f t="shared" si="16"/>
        <v>0</v>
      </c>
      <c r="N96" s="33"/>
      <c r="O96" s="44">
        <f t="shared" si="27"/>
        <v>90</v>
      </c>
      <c r="P96" s="23">
        <v>19846.955399999999</v>
      </c>
      <c r="Q96" s="23">
        <v>1846.9</v>
      </c>
      <c r="R96" s="23">
        <v>401.5</v>
      </c>
      <c r="S96" s="23">
        <f t="shared" si="19"/>
        <v>22095.3554</v>
      </c>
      <c r="T96" s="42">
        <f t="shared" si="20"/>
        <v>0.24069067035004432</v>
      </c>
      <c r="U96" s="41">
        <f>'[1]generators-p'!E92</f>
        <v>20441.524096769612</v>
      </c>
      <c r="V96" s="42">
        <f t="shared" si="21"/>
        <v>0.22267503956184667</v>
      </c>
      <c r="W96" s="33"/>
      <c r="X96" s="40">
        <v>90</v>
      </c>
      <c r="Y96" s="54">
        <v>5097.7871789199999</v>
      </c>
      <c r="Z96" s="54">
        <v>6008.7626600000003</v>
      </c>
      <c r="AA96" s="55">
        <f t="shared" si="22"/>
        <v>11106.54983892</v>
      </c>
      <c r="AB96" s="56">
        <f>'[1]generators-p'!J92</f>
        <v>11267.983268896811</v>
      </c>
      <c r="AC96" s="54">
        <f>'[1]links-p0'!E92</f>
        <v>6840.5337988800075</v>
      </c>
      <c r="AD96" s="54">
        <f t="shared" si="23"/>
        <v>12675.961947443771</v>
      </c>
      <c r="AE96" s="33"/>
      <c r="AF96" s="45">
        <v>90</v>
      </c>
      <c r="AG96" s="52">
        <v>0</v>
      </c>
      <c r="AH96" s="52">
        <f>'[1]links-p0'!B92</f>
        <v>0</v>
      </c>
      <c r="AI96" s="33"/>
      <c r="AJ96" s="40">
        <v>90</v>
      </c>
      <c r="AK96" s="23">
        <v>0</v>
      </c>
      <c r="AL96" s="52">
        <f>'[1]links-p0'!H92</f>
        <v>0</v>
      </c>
      <c r="AM96" s="33"/>
      <c r="AN96" s="40">
        <v>90</v>
      </c>
      <c r="AO96" s="23">
        <v>3156.57</v>
      </c>
      <c r="AP96" s="52">
        <v>0</v>
      </c>
      <c r="AQ96" s="62">
        <f t="shared" si="24"/>
        <v>3156.57</v>
      </c>
      <c r="AR96" s="33">
        <f>'[1]links-p0'!C92</f>
        <v>0</v>
      </c>
      <c r="AS96" s="33"/>
      <c r="AT96" s="40">
        <v>90</v>
      </c>
      <c r="AU96" s="23">
        <v>4613</v>
      </c>
      <c r="AV96" s="33">
        <f>'[1]links-p0'!I92</f>
        <v>3135</v>
      </c>
      <c r="AW96" s="33"/>
      <c r="AX96" s="40">
        <v>90</v>
      </c>
      <c r="AY96" s="23">
        <v>0</v>
      </c>
      <c r="AZ96" s="52">
        <v>0</v>
      </c>
      <c r="BA96" s="62">
        <f t="shared" si="25"/>
        <v>0</v>
      </c>
      <c r="BB96" s="33">
        <f>'[1]links-p0'!D92</f>
        <v>0</v>
      </c>
    </row>
    <row r="97" spans="1:54" x14ac:dyDescent="0.35">
      <c r="A97" s="33"/>
      <c r="B97" s="40">
        <f t="shared" si="26"/>
        <v>91</v>
      </c>
      <c r="C97" s="41">
        <v>0</v>
      </c>
      <c r="D97" s="23">
        <v>0</v>
      </c>
      <c r="E97" s="23">
        <v>0</v>
      </c>
      <c r="F97" s="23">
        <f t="shared" si="15"/>
        <v>0</v>
      </c>
      <c r="G97" s="42">
        <f t="shared" si="17"/>
        <v>0</v>
      </c>
      <c r="H97" s="23">
        <f>'[1]generators-p'!B93</f>
        <v>0</v>
      </c>
      <c r="I97" s="23">
        <f>'[1]generators-p'!C93</f>
        <v>0</v>
      </c>
      <c r="J97" s="23">
        <f>'[1]generators-p'!D93</f>
        <v>0</v>
      </c>
      <c r="K97" s="23">
        <v>0</v>
      </c>
      <c r="L97" s="23">
        <f t="shared" si="18"/>
        <v>0</v>
      </c>
      <c r="M97" s="42">
        <f t="shared" si="16"/>
        <v>0</v>
      </c>
      <c r="N97" s="33"/>
      <c r="O97" s="44">
        <f t="shared" si="27"/>
        <v>91</v>
      </c>
      <c r="P97" s="23">
        <v>22694.949000000001</v>
      </c>
      <c r="Q97" s="23">
        <v>1872.2</v>
      </c>
      <c r="R97" s="23">
        <v>407</v>
      </c>
      <c r="S97" s="23">
        <f t="shared" si="19"/>
        <v>24974.149000000001</v>
      </c>
      <c r="T97" s="42">
        <f t="shared" si="20"/>
        <v>0.27205014607874961</v>
      </c>
      <c r="U97" s="41">
        <f>'[1]generators-p'!E93</f>
        <v>23384.874651799371</v>
      </c>
      <c r="V97" s="42">
        <f t="shared" si="21"/>
        <v>0.25473775162690299</v>
      </c>
      <c r="W97" s="33"/>
      <c r="X97" s="40">
        <v>91</v>
      </c>
      <c r="Y97" s="54">
        <v>3898.2948436699999</v>
      </c>
      <c r="Z97" s="54">
        <v>6872.7673400000003</v>
      </c>
      <c r="AA97" s="55">
        <f t="shared" si="22"/>
        <v>10771.062183670001</v>
      </c>
      <c r="AB97" s="56">
        <f>'[1]generators-p'!J93</f>
        <v>12885.98497412564</v>
      </c>
      <c r="AC97" s="54">
        <f>'[1]links-p0'!E93</f>
        <v>4837.7281242147728</v>
      </c>
      <c r="AD97" s="54">
        <f t="shared" si="23"/>
        <v>12406.599168838289</v>
      </c>
      <c r="AE97" s="33"/>
      <c r="AF97" s="45">
        <v>91</v>
      </c>
      <c r="AG97" s="52">
        <v>0</v>
      </c>
      <c r="AH97" s="52">
        <f>'[1]links-p0'!B93</f>
        <v>0</v>
      </c>
      <c r="AI97" s="33"/>
      <c r="AJ97" s="40">
        <v>91</v>
      </c>
      <c r="AK97" s="23">
        <v>0</v>
      </c>
      <c r="AL97" s="52">
        <f>'[1]links-p0'!H93</f>
        <v>0</v>
      </c>
      <c r="AM97" s="33"/>
      <c r="AN97" s="40">
        <v>91</v>
      </c>
      <c r="AO97" s="23">
        <v>3156.57</v>
      </c>
      <c r="AP97" s="52">
        <v>0</v>
      </c>
      <c r="AQ97" s="62">
        <f t="shared" si="24"/>
        <v>3156.57</v>
      </c>
      <c r="AR97" s="33">
        <f>'[1]links-p0'!C93</f>
        <v>0</v>
      </c>
      <c r="AS97" s="33"/>
      <c r="AT97" s="40">
        <v>91</v>
      </c>
      <c r="AU97" s="23">
        <v>4613</v>
      </c>
      <c r="AV97" s="33">
        <f>'[1]links-p0'!I93</f>
        <v>80.995667754879079</v>
      </c>
      <c r="AW97" s="33"/>
      <c r="AX97" s="40">
        <v>91</v>
      </c>
      <c r="AY97" s="23">
        <v>0</v>
      </c>
      <c r="AZ97" s="52">
        <v>0</v>
      </c>
      <c r="BA97" s="62">
        <f t="shared" si="25"/>
        <v>0</v>
      </c>
      <c r="BB97" s="33">
        <f>'[1]links-p0'!D93</f>
        <v>0</v>
      </c>
    </row>
    <row r="98" spans="1:54" x14ac:dyDescent="0.35">
      <c r="A98" s="33"/>
      <c r="B98" s="40">
        <f t="shared" si="26"/>
        <v>92</v>
      </c>
      <c r="C98" s="41">
        <v>0</v>
      </c>
      <c r="D98" s="23">
        <v>0</v>
      </c>
      <c r="E98" s="23">
        <v>0</v>
      </c>
      <c r="F98" s="23">
        <f t="shared" si="15"/>
        <v>0</v>
      </c>
      <c r="G98" s="42">
        <f t="shared" si="17"/>
        <v>0</v>
      </c>
      <c r="H98" s="23">
        <f>'[1]generators-p'!B94</f>
        <v>0</v>
      </c>
      <c r="I98" s="23">
        <f>'[1]generators-p'!C94</f>
        <v>0</v>
      </c>
      <c r="J98" s="23">
        <f>'[1]generators-p'!D94</f>
        <v>0</v>
      </c>
      <c r="K98" s="23">
        <v>0</v>
      </c>
      <c r="L98" s="23">
        <f t="shared" si="18"/>
        <v>0</v>
      </c>
      <c r="M98" s="42">
        <f t="shared" si="16"/>
        <v>0</v>
      </c>
      <c r="N98" s="33"/>
      <c r="O98" s="44">
        <f t="shared" si="27"/>
        <v>92</v>
      </c>
      <c r="P98" s="23">
        <v>24474.945</v>
      </c>
      <c r="Q98" s="23">
        <v>1890.6</v>
      </c>
      <c r="R98" s="23">
        <v>411</v>
      </c>
      <c r="S98" s="23">
        <f t="shared" si="19"/>
        <v>26776.544999999998</v>
      </c>
      <c r="T98" s="42">
        <f t="shared" si="20"/>
        <v>0.29168413220943834</v>
      </c>
      <c r="U98" s="41">
        <f>'[1]generators-p'!E94</f>
        <v>25246.37105510366</v>
      </c>
      <c r="V98" s="42">
        <f t="shared" si="21"/>
        <v>0.2750155344031649</v>
      </c>
      <c r="W98" s="33"/>
      <c r="X98" s="40">
        <v>92</v>
      </c>
      <c r="Y98" s="54">
        <v>2933.89328058</v>
      </c>
      <c r="Z98" s="54">
        <v>7419.8571300000003</v>
      </c>
      <c r="AA98" s="55">
        <f t="shared" si="22"/>
        <v>10353.75041058</v>
      </c>
      <c r="AB98" s="56">
        <f>'[1]generators-p'!J94</f>
        <v>13911.74265038165</v>
      </c>
      <c r="AC98" s="54">
        <f>'[1]links-p0'!E94</f>
        <v>3368.3741749267551</v>
      </c>
      <c r="AD98" s="54">
        <f t="shared" si="23"/>
        <v>12096.081777715881</v>
      </c>
      <c r="AE98" s="33"/>
      <c r="AF98" s="45">
        <v>92</v>
      </c>
      <c r="AG98" s="52">
        <v>0</v>
      </c>
      <c r="AH98" s="52">
        <f>'[1]links-p0'!B94</f>
        <v>0</v>
      </c>
      <c r="AI98" s="33"/>
      <c r="AJ98" s="40">
        <v>92</v>
      </c>
      <c r="AK98" s="23">
        <v>0</v>
      </c>
      <c r="AL98" s="52">
        <f>'[1]links-p0'!H94</f>
        <v>0</v>
      </c>
      <c r="AM98" s="33"/>
      <c r="AN98" s="40">
        <v>92</v>
      </c>
      <c r="AO98" s="23">
        <v>3156.57</v>
      </c>
      <c r="AP98" s="52">
        <v>20.674066929999999</v>
      </c>
      <c r="AQ98" s="62">
        <f t="shared" si="24"/>
        <v>3177.2440669300004</v>
      </c>
      <c r="AR98" s="33">
        <f>'[1]links-p0'!C94</f>
        <v>0</v>
      </c>
      <c r="AS98" s="33"/>
      <c r="AT98" s="40">
        <v>92</v>
      </c>
      <c r="AU98" s="23">
        <v>4613</v>
      </c>
      <c r="AV98" s="33">
        <f>'[1]links-p0'!I94</f>
        <v>0</v>
      </c>
      <c r="AW98" s="33"/>
      <c r="AX98" s="40">
        <v>92</v>
      </c>
      <c r="AY98" s="23">
        <v>0</v>
      </c>
      <c r="AZ98" s="52">
        <v>0</v>
      </c>
      <c r="BA98" s="62">
        <f t="shared" si="25"/>
        <v>0</v>
      </c>
      <c r="BB98" s="33">
        <f>'[1]links-p0'!D94</f>
        <v>0</v>
      </c>
    </row>
    <row r="99" spans="1:54" x14ac:dyDescent="0.35">
      <c r="A99" s="33"/>
      <c r="B99" s="40">
        <f t="shared" si="26"/>
        <v>93</v>
      </c>
      <c r="C99" s="41">
        <v>0</v>
      </c>
      <c r="D99" s="23">
        <v>0</v>
      </c>
      <c r="E99" s="23">
        <v>0</v>
      </c>
      <c r="F99" s="23">
        <f t="shared" si="15"/>
        <v>0</v>
      </c>
      <c r="G99" s="42">
        <f t="shared" si="17"/>
        <v>0</v>
      </c>
      <c r="H99" s="23">
        <f>'[1]generators-p'!B95</f>
        <v>0</v>
      </c>
      <c r="I99" s="23">
        <f>'[1]generators-p'!C95</f>
        <v>0</v>
      </c>
      <c r="J99" s="23">
        <f>'[1]generators-p'!D95</f>
        <v>0</v>
      </c>
      <c r="K99" s="23">
        <v>0</v>
      </c>
      <c r="L99" s="23">
        <f t="shared" si="18"/>
        <v>0</v>
      </c>
      <c r="M99" s="42">
        <f t="shared" si="16"/>
        <v>0</v>
      </c>
      <c r="N99" s="33"/>
      <c r="O99" s="44">
        <f t="shared" si="27"/>
        <v>93</v>
      </c>
      <c r="P99" s="23">
        <v>25631.9424</v>
      </c>
      <c r="Q99" s="23">
        <v>1906.7</v>
      </c>
      <c r="R99" s="23">
        <v>414.5</v>
      </c>
      <c r="S99" s="23">
        <f t="shared" si="19"/>
        <v>27953.142400000001</v>
      </c>
      <c r="T99" s="42">
        <f t="shared" si="20"/>
        <v>0.30450112527478274</v>
      </c>
      <c r="U99" s="41">
        <f>'[1]generators-p'!E95</f>
        <v>26455.499012262731</v>
      </c>
      <c r="V99" s="42">
        <f t="shared" si="21"/>
        <v>0.28818689160829031</v>
      </c>
      <c r="W99" s="33"/>
      <c r="X99" s="40">
        <v>93</v>
      </c>
      <c r="Y99" s="54">
        <v>2110.7724092899998</v>
      </c>
      <c r="Z99" s="54">
        <v>7775.2170999999998</v>
      </c>
      <c r="AA99" s="55">
        <f t="shared" si="22"/>
        <v>9885.9895092900006</v>
      </c>
      <c r="AB99" s="56">
        <f>'[1]generators-p'!J95</f>
        <v>14578.01967430182</v>
      </c>
      <c r="AC99" s="54">
        <f>'[1]links-p0'!E95</f>
        <v>2172.6419265040581</v>
      </c>
      <c r="AD99" s="54">
        <f t="shared" si="23"/>
        <v>11725.463120564113</v>
      </c>
      <c r="AE99" s="33"/>
      <c r="AF99" s="45">
        <v>93</v>
      </c>
      <c r="AG99" s="52">
        <v>0</v>
      </c>
      <c r="AH99" s="52">
        <f>'[1]links-p0'!B95</f>
        <v>0</v>
      </c>
      <c r="AI99" s="33"/>
      <c r="AJ99" s="40">
        <v>93</v>
      </c>
      <c r="AK99" s="23">
        <v>0</v>
      </c>
      <c r="AL99" s="52">
        <f>'[1]links-p0'!H95</f>
        <v>0</v>
      </c>
      <c r="AM99" s="33"/>
      <c r="AN99" s="40">
        <v>93</v>
      </c>
      <c r="AO99" s="23">
        <v>3156.57</v>
      </c>
      <c r="AP99" s="52">
        <v>1006.87244778</v>
      </c>
      <c r="AQ99" s="62">
        <f t="shared" si="24"/>
        <v>4163.4424477800003</v>
      </c>
      <c r="AR99" s="33">
        <f>'[1]links-p0'!C95</f>
        <v>0</v>
      </c>
      <c r="AS99" s="33"/>
      <c r="AT99" s="40">
        <v>93</v>
      </c>
      <c r="AU99" s="23">
        <v>4613</v>
      </c>
      <c r="AV99" s="33">
        <f>'[1]links-p0'!I95</f>
        <v>0</v>
      </c>
      <c r="AW99" s="33"/>
      <c r="AX99" s="40">
        <v>93</v>
      </c>
      <c r="AY99" s="23">
        <v>0</v>
      </c>
      <c r="AZ99" s="52">
        <v>0</v>
      </c>
      <c r="BA99" s="62">
        <f t="shared" si="25"/>
        <v>0</v>
      </c>
      <c r="BB99" s="33">
        <f>'[1]links-p0'!D95</f>
        <v>0</v>
      </c>
    </row>
    <row r="100" spans="1:54" x14ac:dyDescent="0.35">
      <c r="A100" s="33"/>
      <c r="B100" s="40">
        <f t="shared" si="26"/>
        <v>94</v>
      </c>
      <c r="C100" s="41">
        <v>0</v>
      </c>
      <c r="D100" s="23">
        <v>0</v>
      </c>
      <c r="E100" s="23">
        <v>0</v>
      </c>
      <c r="F100" s="23">
        <f t="shared" si="15"/>
        <v>0</v>
      </c>
      <c r="G100" s="42">
        <f t="shared" si="17"/>
        <v>0</v>
      </c>
      <c r="H100" s="23">
        <f>'[1]generators-p'!B96</f>
        <v>0</v>
      </c>
      <c r="I100" s="23">
        <f>'[1]generators-p'!C96</f>
        <v>0</v>
      </c>
      <c r="J100" s="23">
        <f>'[1]generators-p'!D96</f>
        <v>0</v>
      </c>
      <c r="K100" s="23">
        <v>0</v>
      </c>
      <c r="L100" s="23">
        <f t="shared" si="18"/>
        <v>0</v>
      </c>
      <c r="M100" s="42">
        <f t="shared" si="16"/>
        <v>0</v>
      </c>
      <c r="N100" s="33"/>
      <c r="O100" s="44">
        <f t="shared" si="27"/>
        <v>94</v>
      </c>
      <c r="P100" s="23">
        <v>28390.9362</v>
      </c>
      <c r="Q100" s="23">
        <v>1925.1</v>
      </c>
      <c r="R100" s="23">
        <v>418.5</v>
      </c>
      <c r="S100" s="23">
        <f t="shared" si="19"/>
        <v>30734.536199999999</v>
      </c>
      <c r="T100" s="42">
        <f t="shared" si="20"/>
        <v>0.3347995986919361</v>
      </c>
      <c r="U100" s="41">
        <f>'[1]generators-p'!E96</f>
        <v>29327.556745317321</v>
      </c>
      <c r="V100" s="42">
        <f t="shared" si="21"/>
        <v>0.31947299172021421</v>
      </c>
      <c r="W100" s="33"/>
      <c r="X100" s="40">
        <v>94</v>
      </c>
      <c r="Y100" s="54">
        <v>1938.9550316</v>
      </c>
      <c r="Z100" s="54">
        <v>8619.3091199999999</v>
      </c>
      <c r="AA100" s="55">
        <f t="shared" si="22"/>
        <v>10558.2641516</v>
      </c>
      <c r="AB100" s="56">
        <f>'[1]generators-p'!J96</f>
        <v>16160.636358976461</v>
      </c>
      <c r="AC100" s="54">
        <f>'[1]links-p0'!E96</f>
        <v>1777.9189263892649</v>
      </c>
      <c r="AD100" s="54">
        <f t="shared" si="23"/>
        <v>12556.988699756006</v>
      </c>
      <c r="AE100" s="33"/>
      <c r="AF100" s="45">
        <v>94</v>
      </c>
      <c r="AG100" s="52">
        <v>0</v>
      </c>
      <c r="AH100" s="52">
        <f>'[1]links-p0'!B96</f>
        <v>0</v>
      </c>
      <c r="AI100" s="33"/>
      <c r="AJ100" s="40">
        <v>94</v>
      </c>
      <c r="AK100" s="23">
        <v>0</v>
      </c>
      <c r="AL100" s="52">
        <f>'[1]links-p0'!H96</f>
        <v>0</v>
      </c>
      <c r="AM100" s="33"/>
      <c r="AN100" s="40">
        <v>94</v>
      </c>
      <c r="AO100" s="23">
        <v>3156.57</v>
      </c>
      <c r="AP100" s="52">
        <v>0</v>
      </c>
      <c r="AQ100" s="62">
        <f t="shared" si="24"/>
        <v>3156.57</v>
      </c>
      <c r="AR100" s="33">
        <f>'[1]links-p0'!C96</f>
        <v>0</v>
      </c>
      <c r="AS100" s="33"/>
      <c r="AT100" s="40">
        <v>94</v>
      </c>
      <c r="AU100" s="23">
        <v>4613</v>
      </c>
      <c r="AV100" s="33">
        <f>'[1]links-p0'!I96</f>
        <v>3135</v>
      </c>
      <c r="AW100" s="33"/>
      <c r="AX100" s="40">
        <v>94</v>
      </c>
      <c r="AY100" s="23">
        <v>0</v>
      </c>
      <c r="AZ100" s="52">
        <v>0</v>
      </c>
      <c r="BA100" s="62">
        <f t="shared" si="25"/>
        <v>0</v>
      </c>
      <c r="BB100" s="33">
        <f>'[1]links-p0'!D96</f>
        <v>0</v>
      </c>
    </row>
    <row r="101" spans="1:54" x14ac:dyDescent="0.35">
      <c r="A101" s="33"/>
      <c r="B101" s="40">
        <f t="shared" si="26"/>
        <v>95</v>
      </c>
      <c r="C101" s="41">
        <v>0</v>
      </c>
      <c r="D101" s="23">
        <v>0</v>
      </c>
      <c r="E101" s="23">
        <v>0</v>
      </c>
      <c r="F101" s="23">
        <f t="shared" si="15"/>
        <v>0</v>
      </c>
      <c r="G101" s="42">
        <f t="shared" si="17"/>
        <v>0</v>
      </c>
      <c r="H101" s="23">
        <f>'[1]generators-p'!B97</f>
        <v>0</v>
      </c>
      <c r="I101" s="23">
        <f>'[1]generators-p'!C97</f>
        <v>0</v>
      </c>
      <c r="J101" s="23">
        <f>'[1]generators-p'!D97</f>
        <v>0</v>
      </c>
      <c r="K101" s="23">
        <v>0</v>
      </c>
      <c r="L101" s="23">
        <f t="shared" si="18"/>
        <v>0</v>
      </c>
      <c r="M101" s="42">
        <f t="shared" si="16"/>
        <v>0</v>
      </c>
      <c r="N101" s="33"/>
      <c r="O101" s="44">
        <f t="shared" si="27"/>
        <v>95</v>
      </c>
      <c r="P101" s="23">
        <v>31505.929199999999</v>
      </c>
      <c r="Q101" s="23">
        <v>1936.6</v>
      </c>
      <c r="R101" s="23">
        <v>421</v>
      </c>
      <c r="S101" s="23">
        <f t="shared" si="19"/>
        <v>33863.529199999997</v>
      </c>
      <c r="T101" s="42">
        <f t="shared" si="20"/>
        <v>0.36888456401865793</v>
      </c>
      <c r="U101" s="41">
        <f>'[1]generators-p'!E97</f>
        <v>32495.56085894713</v>
      </c>
      <c r="V101" s="42">
        <f t="shared" si="21"/>
        <v>0.35398291563758449</v>
      </c>
      <c r="W101" s="33"/>
      <c r="X101" s="40">
        <v>95</v>
      </c>
      <c r="Y101" s="54">
        <v>1964.3494229099999</v>
      </c>
      <c r="Z101" s="54">
        <v>9550.3789799999995</v>
      </c>
      <c r="AA101" s="55">
        <f t="shared" si="22"/>
        <v>11514.728402909999</v>
      </c>
      <c r="AB101" s="56">
        <f>'[1]generators-p'!J97</f>
        <v>17906.331130235831</v>
      </c>
      <c r="AC101" s="54">
        <f>'[1]links-p0'!E97</f>
        <v>1266.2949556981521</v>
      </c>
      <c r="AD101" s="54">
        <f t="shared" si="23"/>
        <v>13420.838260153787</v>
      </c>
      <c r="AE101" s="33"/>
      <c r="AF101" s="45">
        <v>95</v>
      </c>
      <c r="AG101" s="52">
        <v>0</v>
      </c>
      <c r="AH101" s="52">
        <f>'[1]links-p0'!B97</f>
        <v>0</v>
      </c>
      <c r="AI101" s="33"/>
      <c r="AJ101" s="40">
        <v>95</v>
      </c>
      <c r="AK101" s="23">
        <v>0</v>
      </c>
      <c r="AL101" s="52">
        <f>'[1]links-p0'!H97</f>
        <v>0</v>
      </c>
      <c r="AM101" s="33"/>
      <c r="AN101" s="40">
        <v>95</v>
      </c>
      <c r="AO101" s="23">
        <v>0</v>
      </c>
      <c r="AP101" s="52">
        <v>0</v>
      </c>
      <c r="AQ101" s="62">
        <f t="shared" si="24"/>
        <v>0</v>
      </c>
      <c r="AR101" s="33">
        <f>'[1]links-p0'!C97</f>
        <v>0</v>
      </c>
      <c r="AS101" s="33"/>
      <c r="AT101" s="40">
        <v>95</v>
      </c>
      <c r="AU101" s="23">
        <v>4613</v>
      </c>
      <c r="AV101" s="33">
        <f>'[1]links-p0'!I97</f>
        <v>0</v>
      </c>
      <c r="AW101" s="33"/>
      <c r="AX101" s="40">
        <v>95</v>
      </c>
      <c r="AY101" s="23">
        <v>0</v>
      </c>
      <c r="AZ101" s="52">
        <v>0</v>
      </c>
      <c r="BA101" s="62">
        <f t="shared" si="25"/>
        <v>0</v>
      </c>
      <c r="BB101" s="33">
        <f>'[1]links-p0'!D97</f>
        <v>0</v>
      </c>
    </row>
    <row r="102" spans="1:54" x14ac:dyDescent="0.35">
      <c r="A102" s="33"/>
      <c r="B102" s="40">
        <f t="shared" si="26"/>
        <v>96</v>
      </c>
      <c r="C102" s="41">
        <v>0</v>
      </c>
      <c r="D102" s="23">
        <v>0</v>
      </c>
      <c r="E102" s="23">
        <v>0</v>
      </c>
      <c r="F102" s="23">
        <f t="shared" ref="F102:F133" si="28">C102+D102+E102</f>
        <v>0</v>
      </c>
      <c r="G102" s="42">
        <f t="shared" si="17"/>
        <v>0</v>
      </c>
      <c r="H102" s="23">
        <f>'[1]generators-p'!B98</f>
        <v>0</v>
      </c>
      <c r="I102" s="23">
        <f>'[1]generators-p'!C98</f>
        <v>0</v>
      </c>
      <c r="J102" s="23">
        <f>'[1]generators-p'!D98</f>
        <v>0</v>
      </c>
      <c r="K102" s="23">
        <v>0</v>
      </c>
      <c r="L102" s="23">
        <f t="shared" si="18"/>
        <v>0</v>
      </c>
      <c r="M102" s="42">
        <f t="shared" ref="M102:M133" si="29">L102/$I$2</f>
        <v>0</v>
      </c>
      <c r="N102" s="33"/>
      <c r="O102" s="44">
        <f t="shared" si="27"/>
        <v>96</v>
      </c>
      <c r="P102" s="23">
        <v>32662.926599999999</v>
      </c>
      <c r="Q102" s="23">
        <v>1943.5</v>
      </c>
      <c r="R102" s="23">
        <v>422.5</v>
      </c>
      <c r="S102" s="23">
        <f t="shared" si="19"/>
        <v>35028.926599999999</v>
      </c>
      <c r="T102" s="42">
        <f t="shared" si="20"/>
        <v>0.38157955246089859</v>
      </c>
      <c r="U102" s="41">
        <f>'[1]generators-p'!E98</f>
        <v>33692.350464731819</v>
      </c>
      <c r="V102" s="42">
        <f t="shared" si="21"/>
        <v>0.36701986785082119</v>
      </c>
      <c r="W102" s="33"/>
      <c r="X102" s="40">
        <v>96</v>
      </c>
      <c r="Y102" s="54">
        <v>3188.599216000001</v>
      </c>
      <c r="Z102" s="54">
        <v>9902.1129800000017</v>
      </c>
      <c r="AA102" s="55">
        <f t="shared" si="22"/>
        <v>13090.712196000002</v>
      </c>
      <c r="AB102" s="56">
        <f>'[1]generators-p'!J98</f>
        <v>18565.809237643371</v>
      </c>
      <c r="AC102" s="54">
        <f>'[1]links-p0'!E98</f>
        <v>123.97413014557191</v>
      </c>
      <c r="AD102" s="54">
        <f t="shared" si="23"/>
        <v>13082.84835745226</v>
      </c>
      <c r="AE102" s="33"/>
      <c r="AF102" s="45">
        <v>96</v>
      </c>
      <c r="AG102" s="52">
        <v>0</v>
      </c>
      <c r="AH102" s="52">
        <f>'[1]links-p0'!B98</f>
        <v>0</v>
      </c>
      <c r="AI102" s="33"/>
      <c r="AJ102" s="40">
        <v>96</v>
      </c>
      <c r="AK102" s="23">
        <v>0</v>
      </c>
      <c r="AL102" s="52">
        <f>'[1]links-p0'!H98</f>
        <v>0</v>
      </c>
      <c r="AM102" s="33"/>
      <c r="AN102" s="40">
        <v>96</v>
      </c>
      <c r="AO102" s="23">
        <v>0</v>
      </c>
      <c r="AP102" s="52">
        <v>0</v>
      </c>
      <c r="AQ102" s="62">
        <f t="shared" si="24"/>
        <v>0</v>
      </c>
      <c r="AR102" s="33">
        <f>'[1]links-p0'!C98</f>
        <v>0</v>
      </c>
      <c r="AS102" s="33"/>
      <c r="AT102" s="40">
        <v>96</v>
      </c>
      <c r="AU102" s="23">
        <v>4613</v>
      </c>
      <c r="AV102" s="33">
        <f>'[1]links-p0'!I98</f>
        <v>0</v>
      </c>
      <c r="AW102" s="33"/>
      <c r="AX102" s="40">
        <v>96</v>
      </c>
      <c r="AY102" s="23">
        <v>0</v>
      </c>
      <c r="AZ102" s="52">
        <v>0</v>
      </c>
      <c r="BA102" s="62">
        <f t="shared" si="25"/>
        <v>0</v>
      </c>
      <c r="BB102" s="33">
        <f>'[1]links-p0'!D98</f>
        <v>316.0060293980988</v>
      </c>
    </row>
    <row r="103" spans="1:54" x14ac:dyDescent="0.35">
      <c r="A103" s="33"/>
      <c r="B103" s="40">
        <f t="shared" si="26"/>
        <v>97</v>
      </c>
      <c r="C103" s="41">
        <v>0</v>
      </c>
      <c r="D103" s="23">
        <v>0</v>
      </c>
      <c r="E103" s="23">
        <v>0</v>
      </c>
      <c r="F103" s="23">
        <f t="shared" si="28"/>
        <v>0</v>
      </c>
      <c r="G103" s="42">
        <f t="shared" si="17"/>
        <v>0</v>
      </c>
      <c r="H103" s="23">
        <f>'[1]generators-p'!B99</f>
        <v>0</v>
      </c>
      <c r="I103" s="23">
        <f>'[1]generators-p'!C99</f>
        <v>0</v>
      </c>
      <c r="J103" s="23">
        <f>'[1]generators-p'!D99</f>
        <v>0</v>
      </c>
      <c r="K103" s="23">
        <v>0</v>
      </c>
      <c r="L103" s="23">
        <f t="shared" si="18"/>
        <v>0</v>
      </c>
      <c r="M103" s="42">
        <f t="shared" si="29"/>
        <v>0</v>
      </c>
      <c r="N103" s="33"/>
      <c r="O103" s="44">
        <f t="shared" si="27"/>
        <v>97</v>
      </c>
      <c r="P103" s="23">
        <v>30526.931400000001</v>
      </c>
      <c r="Q103" s="23">
        <v>1957.3</v>
      </c>
      <c r="R103" s="23">
        <v>425.5</v>
      </c>
      <c r="S103" s="23">
        <f t="shared" si="19"/>
        <v>32909.731400000004</v>
      </c>
      <c r="T103" s="42">
        <f t="shared" si="20"/>
        <v>0.35849458713417681</v>
      </c>
      <c r="U103" s="41">
        <f>'[1]generators-p'!E99</f>
        <v>31442.18988844772</v>
      </c>
      <c r="V103" s="42">
        <f t="shared" si="21"/>
        <v>0.34250826133006518</v>
      </c>
      <c r="W103" s="33"/>
      <c r="X103" s="40">
        <v>97</v>
      </c>
      <c r="Y103" s="54">
        <v>4695.4149933199997</v>
      </c>
      <c r="Z103" s="54">
        <v>9240.7955499999989</v>
      </c>
      <c r="AA103" s="55">
        <f t="shared" si="22"/>
        <v>13936.210543319998</v>
      </c>
      <c r="AB103" s="56">
        <f>'[1]generators-p'!J99</f>
        <v>17325.882327317351</v>
      </c>
      <c r="AC103" s="54">
        <f>'[1]links-p0'!E99</f>
        <v>1321.3994476243131</v>
      </c>
      <c r="AD103" s="54">
        <f t="shared" si="23"/>
        <v>13053.097242459164</v>
      </c>
      <c r="AE103" s="33"/>
      <c r="AF103" s="45">
        <v>97</v>
      </c>
      <c r="AG103" s="52">
        <v>0</v>
      </c>
      <c r="AH103" s="52">
        <f>'[1]links-p0'!B99</f>
        <v>0</v>
      </c>
      <c r="AI103" s="33"/>
      <c r="AJ103" s="40">
        <v>97</v>
      </c>
      <c r="AK103" s="23">
        <v>0</v>
      </c>
      <c r="AL103" s="52">
        <f>'[1]links-p0'!H99</f>
        <v>0</v>
      </c>
      <c r="AM103" s="33"/>
      <c r="AN103" s="40">
        <v>97</v>
      </c>
      <c r="AO103" s="23">
        <v>0</v>
      </c>
      <c r="AP103" s="52">
        <v>0</v>
      </c>
      <c r="AQ103" s="62">
        <f t="shared" si="24"/>
        <v>0</v>
      </c>
      <c r="AR103" s="33">
        <f>'[1]links-p0'!C99</f>
        <v>0</v>
      </c>
      <c r="AS103" s="33"/>
      <c r="AT103" s="40">
        <v>97</v>
      </c>
      <c r="AU103" s="23">
        <v>4613</v>
      </c>
      <c r="AV103" s="33">
        <f>'[1]links-p0'!I99</f>
        <v>0</v>
      </c>
      <c r="AW103" s="33"/>
      <c r="AX103" s="40">
        <v>97</v>
      </c>
      <c r="AY103" s="23">
        <v>0</v>
      </c>
      <c r="AZ103" s="52">
        <v>0</v>
      </c>
      <c r="BA103" s="62">
        <f t="shared" si="25"/>
        <v>0</v>
      </c>
      <c r="BB103" s="33">
        <f>'[1]links-p0'!D99</f>
        <v>0</v>
      </c>
    </row>
    <row r="104" spans="1:54" x14ac:dyDescent="0.35">
      <c r="A104" s="33"/>
      <c r="B104" s="40">
        <f t="shared" si="26"/>
        <v>98</v>
      </c>
      <c r="C104" s="41">
        <v>0</v>
      </c>
      <c r="D104" s="23">
        <v>0</v>
      </c>
      <c r="E104" s="23">
        <v>0</v>
      </c>
      <c r="F104" s="23">
        <f t="shared" si="28"/>
        <v>0</v>
      </c>
      <c r="G104" s="42">
        <f t="shared" si="17"/>
        <v>0</v>
      </c>
      <c r="H104" s="23">
        <f>'[1]generators-p'!B100</f>
        <v>0</v>
      </c>
      <c r="I104" s="23">
        <f>'[1]generators-p'!C100</f>
        <v>0</v>
      </c>
      <c r="J104" s="23">
        <f>'[1]generators-p'!D100</f>
        <v>0</v>
      </c>
      <c r="K104" s="23">
        <v>0</v>
      </c>
      <c r="L104" s="23">
        <f t="shared" si="18"/>
        <v>0</v>
      </c>
      <c r="M104" s="42">
        <f t="shared" si="29"/>
        <v>0</v>
      </c>
      <c r="N104" s="33"/>
      <c r="O104" s="44">
        <f t="shared" si="27"/>
        <v>98</v>
      </c>
      <c r="P104" s="23">
        <v>29814.933000000001</v>
      </c>
      <c r="Q104" s="23">
        <v>1966.5</v>
      </c>
      <c r="R104" s="23">
        <v>427.5</v>
      </c>
      <c r="S104" s="23">
        <f t="shared" si="19"/>
        <v>32208.933000000001</v>
      </c>
      <c r="T104" s="42">
        <f t="shared" si="20"/>
        <v>0.35086060100348804</v>
      </c>
      <c r="U104" s="41">
        <f>'[1]generators-p'!E100</f>
        <v>30725.5670023684</v>
      </c>
      <c r="V104" s="42">
        <f t="shared" si="21"/>
        <v>0.33470189480116946</v>
      </c>
      <c r="W104" s="33"/>
      <c r="X104" s="40">
        <v>98</v>
      </c>
      <c r="Y104" s="54">
        <v>2549.08539539</v>
      </c>
      <c r="Z104" s="54">
        <v>9030.1818600000006</v>
      </c>
      <c r="AA104" s="55">
        <f t="shared" si="22"/>
        <v>11579.267255390001</v>
      </c>
      <c r="AB104" s="56">
        <f>'[1]generators-p'!J100</f>
        <v>16930.99495333598</v>
      </c>
      <c r="AC104" s="54">
        <f>'[1]links-p0'!E100</f>
        <v>2359.2680196905781</v>
      </c>
      <c r="AD104" s="54">
        <f t="shared" si="23"/>
        <v>13503.18408111859</v>
      </c>
      <c r="AE104" s="33"/>
      <c r="AF104" s="45">
        <v>98</v>
      </c>
      <c r="AG104" s="52">
        <v>0</v>
      </c>
      <c r="AH104" s="52">
        <f>'[1]links-p0'!B100</f>
        <v>0</v>
      </c>
      <c r="AI104" s="33"/>
      <c r="AJ104" s="40">
        <v>98</v>
      </c>
      <c r="AK104" s="23">
        <v>0</v>
      </c>
      <c r="AL104" s="52">
        <f>'[1]links-p0'!H100</f>
        <v>0</v>
      </c>
      <c r="AM104" s="33"/>
      <c r="AN104" s="40">
        <v>98</v>
      </c>
      <c r="AO104" s="23">
        <v>0</v>
      </c>
      <c r="AP104" s="52">
        <v>0</v>
      </c>
      <c r="AQ104" s="62">
        <f t="shared" si="24"/>
        <v>0</v>
      </c>
      <c r="AR104" s="33">
        <f>'[1]links-p0'!C100</f>
        <v>0</v>
      </c>
      <c r="AS104" s="33"/>
      <c r="AT104" s="40">
        <v>98</v>
      </c>
      <c r="AU104" s="23">
        <v>4613</v>
      </c>
      <c r="AV104" s="33">
        <f>'[1]links-p0'!I100</f>
        <v>0</v>
      </c>
      <c r="AW104" s="33"/>
      <c r="AX104" s="40">
        <v>98</v>
      </c>
      <c r="AY104" s="23">
        <v>0</v>
      </c>
      <c r="AZ104" s="52">
        <v>0</v>
      </c>
      <c r="BA104" s="62">
        <f t="shared" si="25"/>
        <v>0</v>
      </c>
      <c r="BB104" s="33">
        <f>'[1]links-p0'!D100</f>
        <v>0</v>
      </c>
    </row>
    <row r="105" spans="1:54" x14ac:dyDescent="0.35">
      <c r="A105" s="33"/>
      <c r="B105" s="40">
        <f t="shared" si="26"/>
        <v>99</v>
      </c>
      <c r="C105" s="41">
        <v>0</v>
      </c>
      <c r="D105" s="23">
        <v>0</v>
      </c>
      <c r="E105" s="23">
        <v>0</v>
      </c>
      <c r="F105" s="23">
        <f t="shared" si="28"/>
        <v>0</v>
      </c>
      <c r="G105" s="42">
        <f t="shared" si="17"/>
        <v>0</v>
      </c>
      <c r="H105" s="23">
        <f>'[1]generators-p'!B101</f>
        <v>0</v>
      </c>
      <c r="I105" s="23">
        <f>'[1]generators-p'!C101</f>
        <v>0</v>
      </c>
      <c r="J105" s="23">
        <f>'[1]generators-p'!D101</f>
        <v>0</v>
      </c>
      <c r="K105" s="23">
        <v>0</v>
      </c>
      <c r="L105" s="23">
        <f t="shared" si="18"/>
        <v>0</v>
      </c>
      <c r="M105" s="42">
        <f t="shared" si="29"/>
        <v>0</v>
      </c>
      <c r="N105" s="33"/>
      <c r="O105" s="44">
        <f t="shared" si="27"/>
        <v>99</v>
      </c>
      <c r="P105" s="23">
        <v>31772.928599999999</v>
      </c>
      <c r="Q105" s="23">
        <v>1961.9</v>
      </c>
      <c r="R105" s="23">
        <v>426.5</v>
      </c>
      <c r="S105" s="23">
        <f t="shared" si="19"/>
        <v>34161.328600000001</v>
      </c>
      <c r="T105" s="42">
        <f t="shared" si="20"/>
        <v>0.37212857326486548</v>
      </c>
      <c r="U105" s="41">
        <f>'[1]generators-p'!E101</f>
        <v>32808.221044500096</v>
      </c>
      <c r="V105" s="42">
        <f t="shared" si="21"/>
        <v>0.35738880743204338</v>
      </c>
      <c r="W105" s="33"/>
      <c r="X105" s="40">
        <v>99</v>
      </c>
      <c r="Y105" s="54">
        <v>4740.2765230300001</v>
      </c>
      <c r="Z105" s="54">
        <v>9642.2693099999997</v>
      </c>
      <c r="AA105" s="55">
        <f t="shared" si="22"/>
        <v>14382.545833029999</v>
      </c>
      <c r="AB105" s="56">
        <f>'[1]generators-p'!J101</f>
        <v>18078.61918022684</v>
      </c>
      <c r="AC105" s="54">
        <f>'[1]links-p0'!E101</f>
        <v>1583.8223389465199</v>
      </c>
      <c r="AD105" s="54">
        <f t="shared" si="23"/>
        <v>13763.709063421351</v>
      </c>
      <c r="AE105" s="33"/>
      <c r="AF105" s="45">
        <v>99</v>
      </c>
      <c r="AG105" s="52">
        <v>0</v>
      </c>
      <c r="AH105" s="52">
        <f>'[1]links-p0'!B101</f>
        <v>0</v>
      </c>
      <c r="AI105" s="33"/>
      <c r="AJ105" s="40">
        <v>99</v>
      </c>
      <c r="AK105" s="23">
        <v>0</v>
      </c>
      <c r="AL105" s="52">
        <f>'[1]links-p0'!H101</f>
        <v>0</v>
      </c>
      <c r="AM105" s="33"/>
      <c r="AN105" s="40">
        <v>99</v>
      </c>
      <c r="AO105" s="23">
        <v>0</v>
      </c>
      <c r="AP105" s="52">
        <v>0</v>
      </c>
      <c r="AQ105" s="62">
        <f t="shared" si="24"/>
        <v>0</v>
      </c>
      <c r="AR105" s="33">
        <f>'[1]links-p0'!C101</f>
        <v>0</v>
      </c>
      <c r="AS105" s="33"/>
      <c r="AT105" s="40">
        <v>99</v>
      </c>
      <c r="AU105" s="23">
        <v>4613</v>
      </c>
      <c r="AV105" s="33">
        <f>'[1]links-p0'!I101</f>
        <v>0</v>
      </c>
      <c r="AW105" s="33"/>
      <c r="AX105" s="40">
        <v>99</v>
      </c>
      <c r="AY105" s="23">
        <v>0</v>
      </c>
      <c r="AZ105" s="52">
        <v>0</v>
      </c>
      <c r="BA105" s="62">
        <f t="shared" si="25"/>
        <v>0</v>
      </c>
      <c r="BB105" s="33">
        <f>'[1]links-p0'!D101</f>
        <v>1065.4878922070859</v>
      </c>
    </row>
    <row r="106" spans="1:54" x14ac:dyDescent="0.35">
      <c r="A106" s="33"/>
      <c r="B106" s="40">
        <f t="shared" si="26"/>
        <v>100</v>
      </c>
      <c r="C106" s="41">
        <v>0</v>
      </c>
      <c r="D106" s="23">
        <v>0</v>
      </c>
      <c r="E106" s="23">
        <v>0</v>
      </c>
      <c r="F106" s="23">
        <f t="shared" si="28"/>
        <v>0</v>
      </c>
      <c r="G106" s="42">
        <f t="shared" si="17"/>
        <v>0</v>
      </c>
      <c r="H106" s="23">
        <f>'[1]generators-p'!B102</f>
        <v>0</v>
      </c>
      <c r="I106" s="23">
        <f>'[1]generators-p'!C102</f>
        <v>0</v>
      </c>
      <c r="J106" s="23">
        <f>'[1]generators-p'!D102</f>
        <v>0</v>
      </c>
      <c r="K106" s="23">
        <v>0</v>
      </c>
      <c r="L106" s="23">
        <f t="shared" si="18"/>
        <v>0</v>
      </c>
      <c r="M106" s="42">
        <f t="shared" si="29"/>
        <v>0</v>
      </c>
      <c r="N106" s="33"/>
      <c r="O106" s="44">
        <f t="shared" si="27"/>
        <v>100</v>
      </c>
      <c r="P106" s="23">
        <v>36934.917000000001</v>
      </c>
      <c r="Q106" s="23">
        <v>1980.3</v>
      </c>
      <c r="R106" s="23">
        <v>430.5</v>
      </c>
      <c r="S106" s="23">
        <f t="shared" si="19"/>
        <v>39345.717000000004</v>
      </c>
      <c r="T106" s="42">
        <f t="shared" si="20"/>
        <v>0.42860351547606862</v>
      </c>
      <c r="U106" s="41">
        <f>'[1]generators-p'!E102</f>
        <v>38083.80541485174</v>
      </c>
      <c r="V106" s="42">
        <f t="shared" si="21"/>
        <v>0.41485717196390121</v>
      </c>
      <c r="W106" s="33"/>
      <c r="X106" s="40">
        <v>100</v>
      </c>
      <c r="Y106" s="54">
        <v>3049.3137721899998</v>
      </c>
      <c r="Z106" s="54">
        <v>11192.75311</v>
      </c>
      <c r="AA106" s="55">
        <f t="shared" si="22"/>
        <v>14242.06688219</v>
      </c>
      <c r="AB106" s="56">
        <f>'[1]generators-p'!J102</f>
        <v>20985.673502232901</v>
      </c>
      <c r="AC106" s="54">
        <f>'[1]links-p0'!E102</f>
        <v>0</v>
      </c>
      <c r="AD106" s="54">
        <f t="shared" si="23"/>
        <v>14689.971451563029</v>
      </c>
      <c r="AE106" s="33"/>
      <c r="AF106" s="45">
        <v>100</v>
      </c>
      <c r="AG106" s="52">
        <v>0</v>
      </c>
      <c r="AH106" s="52">
        <f>'[1]links-p0'!B102</f>
        <v>0</v>
      </c>
      <c r="AI106" s="33"/>
      <c r="AJ106" s="40">
        <v>100</v>
      </c>
      <c r="AK106" s="23">
        <v>0</v>
      </c>
      <c r="AL106" s="52">
        <f>'[1]links-p0'!H102</f>
        <v>0</v>
      </c>
      <c r="AM106" s="33"/>
      <c r="AN106" s="40">
        <v>100</v>
      </c>
      <c r="AO106" s="23">
        <v>0</v>
      </c>
      <c r="AP106" s="52">
        <v>0</v>
      </c>
      <c r="AQ106" s="62">
        <f t="shared" si="24"/>
        <v>0</v>
      </c>
      <c r="AR106" s="33">
        <f>'[1]links-p0'!C102</f>
        <v>0</v>
      </c>
      <c r="AS106" s="33"/>
      <c r="AT106" s="40">
        <v>100</v>
      </c>
      <c r="AU106" s="23">
        <v>4613</v>
      </c>
      <c r="AV106" s="33">
        <f>'[1]links-p0'!I102</f>
        <v>0</v>
      </c>
      <c r="AW106" s="33"/>
      <c r="AX106" s="40">
        <v>100</v>
      </c>
      <c r="AY106" s="23">
        <v>0</v>
      </c>
      <c r="AZ106" s="52">
        <v>0</v>
      </c>
      <c r="BA106" s="62">
        <f t="shared" si="25"/>
        <v>0</v>
      </c>
      <c r="BB106" s="33">
        <f>'[1]links-p0'!D102</f>
        <v>6857.0334255452472</v>
      </c>
    </row>
    <row r="107" spans="1:54" x14ac:dyDescent="0.35">
      <c r="A107" s="33"/>
      <c r="B107" s="40">
        <f t="shared" si="26"/>
        <v>101</v>
      </c>
      <c r="C107" s="41">
        <v>0</v>
      </c>
      <c r="D107" s="23">
        <v>0</v>
      </c>
      <c r="E107" s="23">
        <v>0</v>
      </c>
      <c r="F107" s="23">
        <f t="shared" si="28"/>
        <v>0</v>
      </c>
      <c r="G107" s="42">
        <f t="shared" si="17"/>
        <v>0</v>
      </c>
      <c r="H107" s="23">
        <f>'[1]generators-p'!B103</f>
        <v>0</v>
      </c>
      <c r="I107" s="23">
        <f>'[1]generators-p'!C103</f>
        <v>0</v>
      </c>
      <c r="J107" s="23">
        <f>'[1]generators-p'!D103</f>
        <v>0</v>
      </c>
      <c r="K107" s="23">
        <v>0</v>
      </c>
      <c r="L107" s="23">
        <f t="shared" si="18"/>
        <v>0</v>
      </c>
      <c r="M107" s="42">
        <f t="shared" si="29"/>
        <v>0</v>
      </c>
      <c r="N107" s="33"/>
      <c r="O107" s="44">
        <f t="shared" si="27"/>
        <v>101</v>
      </c>
      <c r="P107" s="23">
        <v>41918.9058</v>
      </c>
      <c r="Q107" s="23">
        <v>2003.3</v>
      </c>
      <c r="R107" s="23">
        <v>435.5</v>
      </c>
      <c r="S107" s="23">
        <f t="shared" si="19"/>
        <v>44357.705800000003</v>
      </c>
      <c r="T107" s="42">
        <f t="shared" si="20"/>
        <v>0.48320046231037544</v>
      </c>
      <c r="U107" s="41">
        <f>'[1]generators-p'!E103</f>
        <v>43215.925984419227</v>
      </c>
      <c r="V107" s="42">
        <f t="shared" si="21"/>
        <v>0.47076274659007128</v>
      </c>
      <c r="W107" s="33"/>
      <c r="X107" s="40">
        <v>101</v>
      </c>
      <c r="Y107" s="54">
        <v>1758.6805558399999</v>
      </c>
      <c r="Z107" s="54">
        <v>12701.07285</v>
      </c>
      <c r="AA107" s="55">
        <f t="shared" si="22"/>
        <v>14459.75340584</v>
      </c>
      <c r="AB107" s="56">
        <f>'[1]generators-p'!J103</f>
        <v>23813.67363178499</v>
      </c>
      <c r="AC107" s="54">
        <f>'[1]links-p0'!E103</f>
        <v>0</v>
      </c>
      <c r="AD107" s="54">
        <f t="shared" si="23"/>
        <v>16669.57154224949</v>
      </c>
      <c r="AE107" s="33"/>
      <c r="AF107" s="45">
        <v>101</v>
      </c>
      <c r="AG107" s="52">
        <v>0</v>
      </c>
      <c r="AH107" s="52">
        <f>'[1]links-p0'!B103</f>
        <v>0</v>
      </c>
      <c r="AI107" s="33"/>
      <c r="AJ107" s="40">
        <v>101</v>
      </c>
      <c r="AK107" s="23">
        <v>0</v>
      </c>
      <c r="AL107" s="52">
        <f>'[1]links-p0'!H103</f>
        <v>0</v>
      </c>
      <c r="AM107" s="33"/>
      <c r="AN107" s="40">
        <v>101</v>
      </c>
      <c r="AO107" s="23">
        <v>0</v>
      </c>
      <c r="AP107" s="52">
        <v>0</v>
      </c>
      <c r="AQ107" s="62">
        <f t="shared" si="24"/>
        <v>0</v>
      </c>
      <c r="AR107" s="33">
        <f>'[1]links-p0'!C103</f>
        <v>0</v>
      </c>
      <c r="AS107" s="33"/>
      <c r="AT107" s="40">
        <v>101</v>
      </c>
      <c r="AU107" s="23">
        <v>4613</v>
      </c>
      <c r="AV107" s="33">
        <f>'[1]links-p0'!I103</f>
        <v>0</v>
      </c>
      <c r="AW107" s="33"/>
      <c r="AX107" s="40">
        <v>101</v>
      </c>
      <c r="AY107" s="23">
        <v>0</v>
      </c>
      <c r="AZ107" s="52">
        <v>0</v>
      </c>
      <c r="BA107" s="62">
        <f t="shared" si="25"/>
        <v>0</v>
      </c>
      <c r="BB107" s="33">
        <f>'[1]links-p0'!D103</f>
        <v>8305.1438078327574</v>
      </c>
    </row>
    <row r="108" spans="1:54" x14ac:dyDescent="0.35">
      <c r="A108" s="33"/>
      <c r="B108" s="40">
        <f t="shared" si="26"/>
        <v>102</v>
      </c>
      <c r="C108" s="41">
        <v>0</v>
      </c>
      <c r="D108" s="23">
        <v>0</v>
      </c>
      <c r="E108" s="23">
        <v>0</v>
      </c>
      <c r="F108" s="23">
        <f t="shared" si="28"/>
        <v>0</v>
      </c>
      <c r="G108" s="42">
        <f t="shared" si="17"/>
        <v>0</v>
      </c>
      <c r="H108" s="23">
        <f>'[1]generators-p'!B104</f>
        <v>0</v>
      </c>
      <c r="I108" s="23">
        <f>'[1]generators-p'!C104</f>
        <v>0</v>
      </c>
      <c r="J108" s="23">
        <f>'[1]generators-p'!D104</f>
        <v>0</v>
      </c>
      <c r="K108" s="23">
        <v>0</v>
      </c>
      <c r="L108" s="23">
        <f t="shared" si="18"/>
        <v>0</v>
      </c>
      <c r="M108" s="42">
        <f t="shared" si="29"/>
        <v>0</v>
      </c>
      <c r="N108" s="33"/>
      <c r="O108" s="44">
        <f t="shared" si="27"/>
        <v>102</v>
      </c>
      <c r="P108" s="23">
        <v>44321.900399999999</v>
      </c>
      <c r="Q108" s="23">
        <v>2024</v>
      </c>
      <c r="R108" s="23">
        <v>440</v>
      </c>
      <c r="S108" s="23">
        <f t="shared" si="19"/>
        <v>46785.900399999999</v>
      </c>
      <c r="T108" s="42">
        <f t="shared" si="20"/>
        <v>0.50965144150640851</v>
      </c>
      <c r="U108" s="41">
        <f>'[1]generators-p'!E104</f>
        <v>45676.77452477238</v>
      </c>
      <c r="V108" s="42">
        <f t="shared" si="21"/>
        <v>0.49756943397232212</v>
      </c>
      <c r="W108" s="33"/>
      <c r="X108" s="40">
        <v>102</v>
      </c>
      <c r="Y108" s="54">
        <v>1468.5428025900001</v>
      </c>
      <c r="Z108" s="54">
        <v>13424.310799999999</v>
      </c>
      <c r="AA108" s="55">
        <f t="shared" si="22"/>
        <v>14892.853602589999</v>
      </c>
      <c r="AB108" s="56">
        <f>'[1]generators-p'!J104</f>
        <v>25169.697890488871</v>
      </c>
      <c r="AC108" s="54">
        <f>'[1]links-p0'!E104</f>
        <v>0</v>
      </c>
      <c r="AD108" s="54">
        <f t="shared" si="23"/>
        <v>17618.788523342209</v>
      </c>
      <c r="AE108" s="33"/>
      <c r="AF108" s="45">
        <v>102</v>
      </c>
      <c r="AG108" s="52">
        <v>0</v>
      </c>
      <c r="AH108" s="52">
        <f>'[1]links-p0'!B104</f>
        <v>0</v>
      </c>
      <c r="AI108" s="33"/>
      <c r="AJ108" s="40">
        <v>102</v>
      </c>
      <c r="AK108" s="23">
        <v>0</v>
      </c>
      <c r="AL108" s="52">
        <f>'[1]links-p0'!H104</f>
        <v>0</v>
      </c>
      <c r="AM108" s="33"/>
      <c r="AN108" s="40">
        <v>102</v>
      </c>
      <c r="AO108" s="23">
        <v>0</v>
      </c>
      <c r="AP108" s="52">
        <v>0</v>
      </c>
      <c r="AQ108" s="62">
        <f t="shared" si="24"/>
        <v>0</v>
      </c>
      <c r="AR108" s="33">
        <f>'[1]links-p0'!C104</f>
        <v>0</v>
      </c>
      <c r="AS108" s="33"/>
      <c r="AT108" s="40">
        <v>102</v>
      </c>
      <c r="AU108" s="23">
        <v>4613</v>
      </c>
      <c r="AV108" s="33">
        <f>'[1]links-p0'!I104</f>
        <v>0</v>
      </c>
      <c r="AW108" s="33"/>
      <c r="AX108" s="40">
        <v>102</v>
      </c>
      <c r="AY108" s="23">
        <v>0</v>
      </c>
      <c r="AZ108" s="52">
        <v>0</v>
      </c>
      <c r="BA108" s="62">
        <f t="shared" si="25"/>
        <v>0</v>
      </c>
      <c r="BB108" s="33">
        <f>'[1]links-p0'!D104</f>
        <v>5219.1889548658928</v>
      </c>
    </row>
    <row r="109" spans="1:54" x14ac:dyDescent="0.35">
      <c r="A109" s="33"/>
      <c r="B109" s="40">
        <f t="shared" si="26"/>
        <v>103</v>
      </c>
      <c r="C109" s="41">
        <v>0</v>
      </c>
      <c r="D109" s="23">
        <v>0</v>
      </c>
      <c r="E109" s="23">
        <v>0</v>
      </c>
      <c r="F109" s="23">
        <f t="shared" si="28"/>
        <v>0</v>
      </c>
      <c r="G109" s="42">
        <f t="shared" si="17"/>
        <v>0</v>
      </c>
      <c r="H109" s="23">
        <f>'[1]generators-p'!B105</f>
        <v>0</v>
      </c>
      <c r="I109" s="23">
        <f>'[1]generators-p'!C105</f>
        <v>0</v>
      </c>
      <c r="J109" s="23">
        <f>'[1]generators-p'!D105</f>
        <v>0</v>
      </c>
      <c r="K109" s="23">
        <v>0</v>
      </c>
      <c r="L109" s="23">
        <f t="shared" si="18"/>
        <v>0</v>
      </c>
      <c r="M109" s="42">
        <f t="shared" si="29"/>
        <v>0</v>
      </c>
      <c r="N109" s="33"/>
      <c r="O109" s="44">
        <f t="shared" si="27"/>
        <v>103</v>
      </c>
      <c r="P109" s="23">
        <v>45745.897199999999</v>
      </c>
      <c r="Q109" s="23">
        <v>2051.6</v>
      </c>
      <c r="R109" s="23">
        <v>446</v>
      </c>
      <c r="S109" s="23">
        <f t="shared" si="19"/>
        <v>48243.497199999998</v>
      </c>
      <c r="T109" s="42">
        <f t="shared" si="20"/>
        <v>0.52552943688330467</v>
      </c>
      <c r="U109" s="41">
        <f>'[1]generators-p'!E105</f>
        <v>47147.468462484481</v>
      </c>
      <c r="V109" s="42">
        <f t="shared" si="21"/>
        <v>0.51359010000549543</v>
      </c>
      <c r="W109" s="33"/>
      <c r="X109" s="40">
        <v>103</v>
      </c>
      <c r="Y109" s="54">
        <v>1286.2306979</v>
      </c>
      <c r="Z109" s="54">
        <v>13856.54531</v>
      </c>
      <c r="AA109" s="55">
        <f t="shared" si="22"/>
        <v>15142.7760079</v>
      </c>
      <c r="AB109" s="56">
        <f>'[1]generators-p'!J105</f>
        <v>25980.108049409169</v>
      </c>
      <c r="AC109" s="54">
        <f>'[1]links-p0'!E105</f>
        <v>0</v>
      </c>
      <c r="AD109" s="54">
        <f t="shared" si="23"/>
        <v>18186.075634586417</v>
      </c>
      <c r="AE109" s="33"/>
      <c r="AF109" s="45">
        <v>103</v>
      </c>
      <c r="AG109" s="52">
        <v>0</v>
      </c>
      <c r="AH109" s="52">
        <f>'[1]links-p0'!B105</f>
        <v>0</v>
      </c>
      <c r="AI109" s="33"/>
      <c r="AJ109" s="40">
        <v>103</v>
      </c>
      <c r="AK109" s="23">
        <v>0</v>
      </c>
      <c r="AL109" s="52">
        <f>'[1]links-p0'!H105</f>
        <v>0</v>
      </c>
      <c r="AM109" s="33"/>
      <c r="AN109" s="40">
        <v>103</v>
      </c>
      <c r="AO109" s="23">
        <v>0</v>
      </c>
      <c r="AP109" s="52">
        <v>0</v>
      </c>
      <c r="AQ109" s="62">
        <f t="shared" si="24"/>
        <v>0</v>
      </c>
      <c r="AR109" s="33">
        <f>'[1]links-p0'!C105</f>
        <v>0</v>
      </c>
      <c r="AS109" s="33"/>
      <c r="AT109" s="40">
        <v>103</v>
      </c>
      <c r="AU109" s="23">
        <v>4613</v>
      </c>
      <c r="AV109" s="33">
        <f>'[1]links-p0'!I105</f>
        <v>0</v>
      </c>
      <c r="AW109" s="33"/>
      <c r="AX109" s="40">
        <v>103</v>
      </c>
      <c r="AY109" s="23">
        <v>0</v>
      </c>
      <c r="AZ109" s="52">
        <v>0</v>
      </c>
      <c r="BA109" s="62">
        <f t="shared" si="25"/>
        <v>0</v>
      </c>
      <c r="BB109" s="33">
        <f>'[1]links-p0'!D105</f>
        <v>6332.2951380279856</v>
      </c>
    </row>
    <row r="110" spans="1:54" x14ac:dyDescent="0.35">
      <c r="A110" s="33"/>
      <c r="B110" s="40">
        <f t="shared" si="26"/>
        <v>104</v>
      </c>
      <c r="C110" s="41">
        <v>0</v>
      </c>
      <c r="D110" s="23">
        <v>0</v>
      </c>
      <c r="E110" s="23">
        <v>0</v>
      </c>
      <c r="F110" s="23">
        <f t="shared" si="28"/>
        <v>0</v>
      </c>
      <c r="G110" s="42">
        <f t="shared" si="17"/>
        <v>0</v>
      </c>
      <c r="H110" s="23">
        <f>'[1]generators-p'!B106</f>
        <v>0</v>
      </c>
      <c r="I110" s="23">
        <f>'[1]generators-p'!C106</f>
        <v>0</v>
      </c>
      <c r="J110" s="23">
        <f>'[1]generators-p'!D106</f>
        <v>0</v>
      </c>
      <c r="K110" s="23">
        <v>0</v>
      </c>
      <c r="L110" s="23">
        <f t="shared" si="18"/>
        <v>0</v>
      </c>
      <c r="M110" s="42">
        <f t="shared" si="29"/>
        <v>0</v>
      </c>
      <c r="N110" s="33"/>
      <c r="O110" s="44">
        <f t="shared" si="27"/>
        <v>104</v>
      </c>
      <c r="P110" s="23">
        <v>48326.8914</v>
      </c>
      <c r="Q110" s="23">
        <v>2081.5</v>
      </c>
      <c r="R110" s="23">
        <v>452.5</v>
      </c>
      <c r="S110" s="23">
        <f t="shared" si="19"/>
        <v>50860.8914</v>
      </c>
      <c r="T110" s="42">
        <f t="shared" si="20"/>
        <v>0.55404141839088972</v>
      </c>
      <c r="U110" s="41">
        <f>'[1]generators-p'!E106</f>
        <v>49863.399898306299</v>
      </c>
      <c r="V110" s="42">
        <f t="shared" si="21"/>
        <v>0.54317547422005596</v>
      </c>
      <c r="W110" s="33"/>
      <c r="X110" s="40">
        <v>104</v>
      </c>
      <c r="Y110" s="54">
        <v>0</v>
      </c>
      <c r="Z110" s="54">
        <v>14722.22133</v>
      </c>
      <c r="AA110" s="55">
        <f t="shared" si="22"/>
        <v>14722.22133</v>
      </c>
      <c r="AB110" s="56">
        <f>'[1]generators-p'!J106</f>
        <v>26867.11981</v>
      </c>
      <c r="AC110" s="54">
        <f>'[1]links-p0'!E106</f>
        <v>0</v>
      </c>
      <c r="AD110" s="54">
        <f t="shared" si="23"/>
        <v>18806.983866999999</v>
      </c>
      <c r="AE110" s="33"/>
      <c r="AF110" s="45">
        <v>104</v>
      </c>
      <c r="AG110" s="52">
        <v>0</v>
      </c>
      <c r="AH110" s="52">
        <f>'[1]links-p0'!B106</f>
        <v>0</v>
      </c>
      <c r="AI110" s="33"/>
      <c r="AJ110" s="40">
        <v>104</v>
      </c>
      <c r="AK110" s="23">
        <v>0</v>
      </c>
      <c r="AL110" s="52">
        <f>'[1]links-p0'!H106</f>
        <v>0</v>
      </c>
      <c r="AM110" s="33"/>
      <c r="AN110" s="40">
        <v>104</v>
      </c>
      <c r="AO110" s="23">
        <v>0</v>
      </c>
      <c r="AP110" s="52">
        <v>0</v>
      </c>
      <c r="AQ110" s="62">
        <f t="shared" si="24"/>
        <v>0</v>
      </c>
      <c r="AR110" s="33">
        <f>'[1]links-p0'!C106</f>
        <v>0</v>
      </c>
      <c r="AS110" s="33"/>
      <c r="AT110" s="40">
        <v>104</v>
      </c>
      <c r="AU110" s="23">
        <v>4613</v>
      </c>
      <c r="AV110" s="33">
        <f>'[1]links-p0'!I106</f>
        <v>0</v>
      </c>
      <c r="AW110" s="33"/>
      <c r="AX110" s="40">
        <v>104</v>
      </c>
      <c r="AY110" s="23">
        <v>0</v>
      </c>
      <c r="AZ110" s="52">
        <v>0</v>
      </c>
      <c r="BA110" s="62">
        <f t="shared" si="25"/>
        <v>0</v>
      </c>
      <c r="BB110" s="33">
        <f>'[1]links-p0'!D106</f>
        <v>6739.603684719812</v>
      </c>
    </row>
    <row r="111" spans="1:54" x14ac:dyDescent="0.35">
      <c r="A111" s="33"/>
      <c r="B111" s="40">
        <f t="shared" si="26"/>
        <v>105</v>
      </c>
      <c r="C111" s="41">
        <v>5229</v>
      </c>
      <c r="D111" s="23">
        <v>91.295000000000002</v>
      </c>
      <c r="E111" s="23">
        <v>2160</v>
      </c>
      <c r="F111" s="23">
        <f t="shared" si="28"/>
        <v>7480.2950000000001</v>
      </c>
      <c r="G111" s="42">
        <f t="shared" si="17"/>
        <v>6.3497262425194184E-2</v>
      </c>
      <c r="H111" s="23">
        <f>'[1]generators-p'!B107</f>
        <v>5229.0000000000018</v>
      </c>
      <c r="I111" s="23">
        <f>'[1]generators-p'!C107</f>
        <v>91.295000000000002</v>
      </c>
      <c r="J111" s="23">
        <f>'[1]generators-p'!D107</f>
        <v>2159.9999999999968</v>
      </c>
      <c r="K111" s="23">
        <v>0</v>
      </c>
      <c r="L111" s="23">
        <f t="shared" si="18"/>
        <v>7480.2949999999983</v>
      </c>
      <c r="M111" s="42">
        <f t="shared" si="29"/>
        <v>6.3497262425194156E-2</v>
      </c>
      <c r="N111" s="33"/>
      <c r="O111" s="44">
        <f t="shared" si="27"/>
        <v>105</v>
      </c>
      <c r="P111" s="23">
        <v>51263.8848</v>
      </c>
      <c r="Q111" s="23">
        <v>2093</v>
      </c>
      <c r="R111" s="23">
        <v>455</v>
      </c>
      <c r="S111" s="23">
        <f t="shared" si="19"/>
        <v>53811.8848</v>
      </c>
      <c r="T111" s="42">
        <f t="shared" si="20"/>
        <v>0.58618738602916343</v>
      </c>
      <c r="U111" s="41">
        <f>'[1]generators-p'!E107</f>
        <v>52849.775181003577</v>
      </c>
      <c r="V111" s="42">
        <f t="shared" si="21"/>
        <v>0.57570686625682821</v>
      </c>
      <c r="W111" s="33"/>
      <c r="X111" s="40">
        <v>105</v>
      </c>
      <c r="Y111" s="54">
        <v>1679.89420554</v>
      </c>
      <c r="Z111" s="54">
        <v>17349.653010000002</v>
      </c>
      <c r="AA111" s="55">
        <f t="shared" si="22"/>
        <v>19029.547215540002</v>
      </c>
      <c r="AB111" s="56">
        <f>'[1]generators-p'!J107</f>
        <v>28013.466514471431</v>
      </c>
      <c r="AC111" s="54">
        <f>'[1]links-p0'!E107</f>
        <v>0</v>
      </c>
      <c r="AD111" s="54">
        <f t="shared" si="23"/>
        <v>19609.426560129999</v>
      </c>
      <c r="AE111" s="33"/>
      <c r="AF111" s="45">
        <v>105</v>
      </c>
      <c r="AG111" s="52">
        <v>0</v>
      </c>
      <c r="AH111" s="52">
        <f>'[1]links-p0'!B107</f>
        <v>0</v>
      </c>
      <c r="AI111" s="33"/>
      <c r="AJ111" s="40">
        <v>105</v>
      </c>
      <c r="AK111" s="23">
        <v>0</v>
      </c>
      <c r="AL111" s="52">
        <f>'[1]links-p0'!H107</f>
        <v>0</v>
      </c>
      <c r="AM111" s="33"/>
      <c r="AN111" s="40">
        <v>105</v>
      </c>
      <c r="AO111" s="23">
        <v>0</v>
      </c>
      <c r="AP111" s="52">
        <v>0</v>
      </c>
      <c r="AQ111" s="62">
        <f t="shared" si="24"/>
        <v>0</v>
      </c>
      <c r="AR111" s="33">
        <f>'[1]links-p0'!C107</f>
        <v>0</v>
      </c>
      <c r="AS111" s="33"/>
      <c r="AT111" s="40">
        <v>105</v>
      </c>
      <c r="AU111" s="23">
        <v>2696.8141957799999</v>
      </c>
      <c r="AV111" s="33">
        <f>'[1]links-p0'!I107</f>
        <v>0</v>
      </c>
      <c r="AW111" s="33"/>
      <c r="AX111" s="40">
        <v>105</v>
      </c>
      <c r="AY111" s="23">
        <v>2897.4</v>
      </c>
      <c r="AZ111" s="52">
        <v>347.33565793999998</v>
      </c>
      <c r="BA111" s="62">
        <f t="shared" si="25"/>
        <v>3244.7356579400002</v>
      </c>
      <c r="BB111" s="33">
        <f>'[1]links-p0'!D107</f>
        <v>13223.43965244709</v>
      </c>
    </row>
    <row r="112" spans="1:54" x14ac:dyDescent="0.35">
      <c r="A112" s="33"/>
      <c r="B112" s="40">
        <f t="shared" si="26"/>
        <v>106</v>
      </c>
      <c r="C112" s="41">
        <v>15521</v>
      </c>
      <c r="D112" s="23">
        <v>240.25</v>
      </c>
      <c r="E112" s="23">
        <v>5880</v>
      </c>
      <c r="F112" s="23">
        <f t="shared" si="28"/>
        <v>21641.25</v>
      </c>
      <c r="G112" s="42">
        <f t="shared" si="17"/>
        <v>0.18370400237680914</v>
      </c>
      <c r="H112" s="23">
        <f>'[1]generators-p'!B108</f>
        <v>5.9009857488490516</v>
      </c>
      <c r="I112" s="23">
        <f>'[1]generators-p'!C108</f>
        <v>240.25</v>
      </c>
      <c r="J112" s="23">
        <f>'[1]generators-p'!D108</f>
        <v>5880</v>
      </c>
      <c r="K112" s="23">
        <v>4013.3492310453239</v>
      </c>
      <c r="L112" s="23">
        <f t="shared" si="18"/>
        <v>6126.1509857488491</v>
      </c>
      <c r="M112" s="42">
        <f t="shared" si="29"/>
        <v>5.2002470062805901E-2</v>
      </c>
      <c r="N112" s="33"/>
      <c r="O112" s="44">
        <f t="shared" si="27"/>
        <v>106</v>
      </c>
      <c r="P112" s="23">
        <v>54823.876799999998</v>
      </c>
      <c r="Q112" s="23">
        <v>2079.1999999999998</v>
      </c>
      <c r="R112" s="23">
        <v>452</v>
      </c>
      <c r="S112" s="23">
        <f t="shared" si="19"/>
        <v>57355.076799999995</v>
      </c>
      <c r="T112" s="42">
        <f t="shared" si="20"/>
        <v>0.62478433286347024</v>
      </c>
      <c r="U112" s="41">
        <f>'[1]generators-p'!E108</f>
        <v>56504.39586789751</v>
      </c>
      <c r="V112" s="42">
        <f t="shared" si="21"/>
        <v>0.61551763585429931</v>
      </c>
      <c r="W112" s="33"/>
      <c r="X112" s="40">
        <v>106</v>
      </c>
      <c r="Y112" s="54">
        <v>5094.7389025400007</v>
      </c>
      <c r="Z112" s="54">
        <v>14350.051337680001</v>
      </c>
      <c r="AA112" s="55">
        <f t="shared" si="22"/>
        <v>19444.790240220002</v>
      </c>
      <c r="AB112" s="56">
        <f>'[1]generators-p'!J108</f>
        <v>28013.466514471431</v>
      </c>
      <c r="AC112" s="54">
        <f>'[1]links-p0'!E108</f>
        <v>0</v>
      </c>
      <c r="AD112" s="54">
        <f t="shared" si="23"/>
        <v>19609.426560129999</v>
      </c>
      <c r="AE112" s="33"/>
      <c r="AF112" s="45">
        <v>106</v>
      </c>
      <c r="AG112" s="52">
        <v>0</v>
      </c>
      <c r="AH112" s="52">
        <f>'[1]links-p0'!B108</f>
        <v>0</v>
      </c>
      <c r="AI112" s="33"/>
      <c r="AJ112" s="40">
        <v>106</v>
      </c>
      <c r="AK112" s="23">
        <v>0</v>
      </c>
      <c r="AL112" s="52">
        <f>'[1]links-p0'!H108</f>
        <v>0</v>
      </c>
      <c r="AM112" s="33"/>
      <c r="AN112" s="40">
        <v>106</v>
      </c>
      <c r="AO112" s="23">
        <v>0</v>
      </c>
      <c r="AP112" s="52">
        <v>0</v>
      </c>
      <c r="AQ112" s="62">
        <f t="shared" si="24"/>
        <v>0</v>
      </c>
      <c r="AR112" s="33">
        <f>'[1]links-p0'!C108</f>
        <v>0</v>
      </c>
      <c r="AS112" s="33"/>
      <c r="AT112" s="40">
        <v>106</v>
      </c>
      <c r="AU112" s="23">
        <v>0</v>
      </c>
      <c r="AV112" s="33">
        <f>'[1]links-p0'!I108</f>
        <v>0</v>
      </c>
      <c r="AW112" s="33"/>
      <c r="AX112" s="40">
        <v>106</v>
      </c>
      <c r="AY112" s="23">
        <v>2897.4</v>
      </c>
      <c r="AZ112" s="52">
        <v>10423.35</v>
      </c>
      <c r="BA112" s="62">
        <f t="shared" si="25"/>
        <v>13320.75</v>
      </c>
      <c r="BB112" s="33">
        <f>'[1]links-p0'!D108</f>
        <v>13320.750632965201</v>
      </c>
    </row>
    <row r="113" spans="1:54" x14ac:dyDescent="0.35">
      <c r="A113" s="33"/>
      <c r="B113" s="40">
        <f t="shared" si="26"/>
        <v>107</v>
      </c>
      <c r="C113" s="41">
        <v>22576</v>
      </c>
      <c r="D113" s="23">
        <v>446.86500000000001</v>
      </c>
      <c r="E113" s="23">
        <v>9390</v>
      </c>
      <c r="F113" s="23">
        <f t="shared" si="28"/>
        <v>32412.865000000002</v>
      </c>
      <c r="G113" s="42">
        <f t="shared" si="17"/>
        <v>0.27513997708076909</v>
      </c>
      <c r="H113" s="23">
        <f>'[1]generators-p'!B109</f>
        <v>10730.355800765459</v>
      </c>
      <c r="I113" s="23">
        <f>'[1]generators-p'!C109</f>
        <v>446.86500000000012</v>
      </c>
      <c r="J113" s="23">
        <f>'[1]generators-p'!D109</f>
        <v>9390</v>
      </c>
      <c r="K113" s="23">
        <v>10592.436355790771</v>
      </c>
      <c r="L113" s="23">
        <f t="shared" si="18"/>
        <v>20567.220800765459</v>
      </c>
      <c r="M113" s="42">
        <f t="shared" si="29"/>
        <v>0.17458699376737372</v>
      </c>
      <c r="N113" s="33"/>
      <c r="O113" s="44">
        <f t="shared" si="27"/>
        <v>107</v>
      </c>
      <c r="P113" s="23">
        <v>57315.871200000001</v>
      </c>
      <c r="Q113" s="23">
        <v>2060.8000000000002</v>
      </c>
      <c r="R113" s="23">
        <v>448</v>
      </c>
      <c r="S113" s="23">
        <f t="shared" si="19"/>
        <v>59824.671200000004</v>
      </c>
      <c r="T113" s="42">
        <f t="shared" si="20"/>
        <v>0.65168629125553657</v>
      </c>
      <c r="U113" s="41">
        <f>'[1]generators-p'!E109</f>
        <v>59127.139771766473</v>
      </c>
      <c r="V113" s="42">
        <f t="shared" si="21"/>
        <v>0.64408789313012094</v>
      </c>
      <c r="W113" s="33"/>
      <c r="X113" s="40">
        <v>107</v>
      </c>
      <c r="Y113" s="54">
        <v>11005</v>
      </c>
      <c r="Z113" s="54">
        <v>8622.3695496300006</v>
      </c>
      <c r="AA113" s="55">
        <f t="shared" si="22"/>
        <v>19627.369549629999</v>
      </c>
      <c r="AB113" s="56">
        <f>'[1]generators-p'!J109</f>
        <v>27990.366683171429</v>
      </c>
      <c r="AC113" s="54">
        <f>'[1]links-p0'!E109</f>
        <v>0</v>
      </c>
      <c r="AD113" s="54">
        <f t="shared" si="23"/>
        <v>19593.256678219997</v>
      </c>
      <c r="AE113" s="33"/>
      <c r="AF113" s="45">
        <v>107</v>
      </c>
      <c r="AG113" s="52">
        <v>0</v>
      </c>
      <c r="AH113" s="52">
        <f>'[1]links-p0'!B109</f>
        <v>0</v>
      </c>
      <c r="AI113" s="33"/>
      <c r="AJ113" s="40">
        <v>107</v>
      </c>
      <c r="AK113" s="23">
        <v>0</v>
      </c>
      <c r="AL113" s="52">
        <f>'[1]links-p0'!H109</f>
        <v>0</v>
      </c>
      <c r="AM113" s="33"/>
      <c r="AN113" s="40">
        <v>107</v>
      </c>
      <c r="AO113" s="23">
        <v>0</v>
      </c>
      <c r="AP113" s="52">
        <v>0</v>
      </c>
      <c r="AQ113" s="62">
        <f t="shared" si="24"/>
        <v>0</v>
      </c>
      <c r="AR113" s="33">
        <f>'[1]links-p0'!C109</f>
        <v>0</v>
      </c>
      <c r="AS113" s="33"/>
      <c r="AT113" s="40">
        <v>107</v>
      </c>
      <c r="AU113" s="23">
        <v>0</v>
      </c>
      <c r="AV113" s="33">
        <f>'[1]links-p0'!I109</f>
        <v>0</v>
      </c>
      <c r="AW113" s="33"/>
      <c r="AX113" s="40">
        <v>107</v>
      </c>
      <c r="AY113" s="23">
        <v>2897.4</v>
      </c>
      <c r="AZ113" s="52">
        <v>10423.35</v>
      </c>
      <c r="BA113" s="62">
        <f t="shared" si="25"/>
        <v>13320.75</v>
      </c>
      <c r="BB113" s="33">
        <f>'[1]links-p0'!D109</f>
        <v>13320.750632965201</v>
      </c>
    </row>
    <row r="114" spans="1:54" x14ac:dyDescent="0.35">
      <c r="A114" s="33"/>
      <c r="B114" s="40">
        <f t="shared" si="26"/>
        <v>108</v>
      </c>
      <c r="C114" s="41">
        <v>20942.68845319</v>
      </c>
      <c r="D114" s="23">
        <v>0</v>
      </c>
      <c r="E114" s="23">
        <v>9925.9883639599993</v>
      </c>
      <c r="F114" s="23">
        <f t="shared" si="28"/>
        <v>30868.676817150001</v>
      </c>
      <c r="G114" s="42">
        <f t="shared" si="17"/>
        <v>0.26203197501931158</v>
      </c>
      <c r="H114" s="23">
        <f>'[1]generators-p'!B110</f>
        <v>26726</v>
      </c>
      <c r="I114" s="23">
        <f>'[1]generators-p'!C110</f>
        <v>677.50499999999522</v>
      </c>
      <c r="J114" s="23">
        <f>'[1]generators-p'!D110</f>
        <v>12180</v>
      </c>
      <c r="K114" s="23">
        <v>15437.191660773629</v>
      </c>
      <c r="L114" s="23">
        <f t="shared" si="18"/>
        <v>39583.504999999997</v>
      </c>
      <c r="M114" s="42">
        <f t="shared" si="29"/>
        <v>0.33600870081915024</v>
      </c>
      <c r="N114" s="33"/>
      <c r="O114" s="44">
        <f t="shared" si="27"/>
        <v>108</v>
      </c>
      <c r="P114" s="23">
        <v>59629.866000000002</v>
      </c>
      <c r="Q114" s="23">
        <v>0</v>
      </c>
      <c r="R114" s="23">
        <v>0</v>
      </c>
      <c r="S114" s="23">
        <f t="shared" si="19"/>
        <v>59629.866000000002</v>
      </c>
      <c r="T114" s="42">
        <f t="shared" si="20"/>
        <v>0.64956422563012117</v>
      </c>
      <c r="U114" s="41">
        <f>'[1]generators-p'!E110</f>
        <v>61539.214438724463</v>
      </c>
      <c r="V114" s="42">
        <f t="shared" si="21"/>
        <v>0.67036327354443537</v>
      </c>
      <c r="W114" s="33"/>
      <c r="X114" s="40">
        <v>108</v>
      </c>
      <c r="Y114" s="54">
        <v>11005</v>
      </c>
      <c r="Z114" s="54">
        <v>9040.4997849499996</v>
      </c>
      <c r="AA114" s="55">
        <f t="shared" si="22"/>
        <v>20045.49978495</v>
      </c>
      <c r="AB114" s="56">
        <f>'[1]generators-p'!J110</f>
        <v>27967.266851871431</v>
      </c>
      <c r="AC114" s="54">
        <f>'[1]links-p0'!E110</f>
        <v>0</v>
      </c>
      <c r="AD114" s="54">
        <f t="shared" si="23"/>
        <v>19577.086796309999</v>
      </c>
      <c r="AE114" s="33"/>
      <c r="AF114" s="45">
        <v>108</v>
      </c>
      <c r="AG114" s="52">
        <v>0</v>
      </c>
      <c r="AH114" s="52">
        <f>'[1]links-p0'!B110</f>
        <v>0</v>
      </c>
      <c r="AI114" s="33"/>
      <c r="AJ114" s="40">
        <v>108</v>
      </c>
      <c r="AK114" s="23">
        <v>0</v>
      </c>
      <c r="AL114" s="52">
        <f>'[1]links-p0'!H110</f>
        <v>0</v>
      </c>
      <c r="AM114" s="33"/>
      <c r="AN114" s="40">
        <v>108</v>
      </c>
      <c r="AO114" s="23">
        <v>0</v>
      </c>
      <c r="AP114" s="52">
        <v>0</v>
      </c>
      <c r="AQ114" s="62">
        <f t="shared" si="24"/>
        <v>0</v>
      </c>
      <c r="AR114" s="33">
        <f>'[1]links-p0'!C110</f>
        <v>0</v>
      </c>
      <c r="AS114" s="33"/>
      <c r="AT114" s="40">
        <v>108</v>
      </c>
      <c r="AU114" s="23">
        <v>0</v>
      </c>
      <c r="AV114" s="33">
        <f>'[1]links-p0'!I110</f>
        <v>0</v>
      </c>
      <c r="AW114" s="33"/>
      <c r="AX114" s="40">
        <v>108</v>
      </c>
      <c r="AY114" s="23">
        <v>2897.4</v>
      </c>
      <c r="AZ114" s="52">
        <v>10423.35</v>
      </c>
      <c r="BA114" s="62">
        <f t="shared" si="25"/>
        <v>13320.75</v>
      </c>
      <c r="BB114" s="33">
        <f>'[1]links-p0'!D110</f>
        <v>13320.750632965201</v>
      </c>
    </row>
    <row r="115" spans="1:54" x14ac:dyDescent="0.35">
      <c r="A115" s="33"/>
      <c r="B115" s="40">
        <f t="shared" si="26"/>
        <v>109</v>
      </c>
      <c r="C115" s="41">
        <v>28635</v>
      </c>
      <c r="D115" s="23">
        <v>855.29</v>
      </c>
      <c r="E115" s="23">
        <v>8070.9330510299997</v>
      </c>
      <c r="F115" s="23">
        <f t="shared" si="28"/>
        <v>37561.22305103</v>
      </c>
      <c r="G115" s="42">
        <f t="shared" si="17"/>
        <v>0.31884235007877426</v>
      </c>
      <c r="H115" s="23">
        <f>'[1]generators-p'!B111</f>
        <v>28634.999999999989</v>
      </c>
      <c r="I115" s="23">
        <f>'[1]generators-p'!C111</f>
        <v>855.29000000000008</v>
      </c>
      <c r="J115" s="23">
        <f>'[1]generators-p'!D111</f>
        <v>13470</v>
      </c>
      <c r="K115" s="23">
        <v>17846.83708050002</v>
      </c>
      <c r="L115" s="23">
        <f t="shared" si="18"/>
        <v>42960.289999999994</v>
      </c>
      <c r="M115" s="42">
        <f t="shared" si="29"/>
        <v>0.36467289164296923</v>
      </c>
      <c r="N115" s="33"/>
      <c r="O115" s="44">
        <f t="shared" si="27"/>
        <v>109</v>
      </c>
      <c r="P115" s="23">
        <v>61320.862200000003</v>
      </c>
      <c r="Q115" s="23">
        <v>1945.8</v>
      </c>
      <c r="R115" s="23">
        <v>423</v>
      </c>
      <c r="S115" s="23">
        <f t="shared" si="19"/>
        <v>63689.662200000006</v>
      </c>
      <c r="T115" s="42">
        <f t="shared" si="20"/>
        <v>0.69378868145682238</v>
      </c>
      <c r="U115" s="41">
        <f>'[1]generators-p'!E111</f>
        <v>63213.31092521768</v>
      </c>
      <c r="V115" s="42">
        <f t="shared" si="21"/>
        <v>0.68859965844389293</v>
      </c>
      <c r="W115" s="33"/>
      <c r="X115" s="40">
        <v>109</v>
      </c>
      <c r="Y115" s="54">
        <v>11005</v>
      </c>
      <c r="Z115" s="54">
        <v>9459.5689300699996</v>
      </c>
      <c r="AA115" s="55">
        <f t="shared" si="22"/>
        <v>20464.56893007</v>
      </c>
      <c r="AB115" s="56">
        <f>'[1]generators-p'!J111</f>
        <v>27967.266851871431</v>
      </c>
      <c r="AC115" s="54">
        <f>'[1]links-p0'!E111</f>
        <v>0</v>
      </c>
      <c r="AD115" s="54">
        <f t="shared" si="23"/>
        <v>19577.086796309999</v>
      </c>
      <c r="AE115" s="33"/>
      <c r="AF115" s="45">
        <v>109</v>
      </c>
      <c r="AG115" s="52">
        <v>0</v>
      </c>
      <c r="AH115" s="52">
        <f>'[1]links-p0'!B111</f>
        <v>0</v>
      </c>
      <c r="AI115" s="33"/>
      <c r="AJ115" s="40">
        <v>109</v>
      </c>
      <c r="AK115" s="23">
        <v>0</v>
      </c>
      <c r="AL115" s="52">
        <f>'[1]links-p0'!H111</f>
        <v>0</v>
      </c>
      <c r="AM115" s="33"/>
      <c r="AN115" s="40">
        <v>109</v>
      </c>
      <c r="AO115" s="23">
        <v>0</v>
      </c>
      <c r="AP115" s="52">
        <v>0</v>
      </c>
      <c r="AQ115" s="62">
        <f t="shared" si="24"/>
        <v>0</v>
      </c>
      <c r="AR115" s="33">
        <f>'[1]links-p0'!C111</f>
        <v>0</v>
      </c>
      <c r="AS115" s="33"/>
      <c r="AT115" s="40">
        <v>109</v>
      </c>
      <c r="AU115" s="23">
        <v>0</v>
      </c>
      <c r="AV115" s="33">
        <f>'[1]links-p0'!I111</f>
        <v>0</v>
      </c>
      <c r="AW115" s="33"/>
      <c r="AX115" s="40">
        <v>109</v>
      </c>
      <c r="AY115" s="23">
        <v>2897.4</v>
      </c>
      <c r="AZ115" s="52">
        <v>10423.35</v>
      </c>
      <c r="BA115" s="62">
        <f t="shared" si="25"/>
        <v>13320.75</v>
      </c>
      <c r="BB115" s="33">
        <f>'[1]links-p0'!D111</f>
        <v>13320.750632965201</v>
      </c>
    </row>
    <row r="116" spans="1:54" x14ac:dyDescent="0.35">
      <c r="A116" s="33"/>
      <c r="B116" s="40">
        <f t="shared" si="26"/>
        <v>110</v>
      </c>
      <c r="C116" s="41">
        <v>26467.085315569999</v>
      </c>
      <c r="D116" s="23">
        <v>0</v>
      </c>
      <c r="E116" s="23">
        <v>7381.7469162400002</v>
      </c>
      <c r="F116" s="23">
        <f t="shared" si="28"/>
        <v>33848.832231809996</v>
      </c>
      <c r="G116" s="42">
        <f t="shared" si="17"/>
        <v>0.28732933433903479</v>
      </c>
      <c r="H116" s="23">
        <f>'[1]generators-p'!B112</f>
        <v>29050</v>
      </c>
      <c r="I116" s="23">
        <f>'[1]generators-p'!C112</f>
        <v>884.12</v>
      </c>
      <c r="J116" s="23">
        <f>'[1]generators-p'!D112</f>
        <v>12960</v>
      </c>
      <c r="K116" s="23">
        <v>17710.498479752408</v>
      </c>
      <c r="L116" s="23">
        <f t="shared" si="18"/>
        <v>42894.12</v>
      </c>
      <c r="M116" s="42">
        <f t="shared" si="29"/>
        <v>0.36411120071304276</v>
      </c>
      <c r="N116" s="33"/>
      <c r="O116" s="44">
        <f t="shared" si="27"/>
        <v>110</v>
      </c>
      <c r="P116" s="23">
        <v>62032.8606</v>
      </c>
      <c r="Q116" s="23">
        <v>0</v>
      </c>
      <c r="R116" s="23">
        <v>0</v>
      </c>
      <c r="S116" s="23">
        <f t="shared" si="19"/>
        <v>62032.8606</v>
      </c>
      <c r="T116" s="42">
        <f t="shared" si="20"/>
        <v>0.67574069442417084</v>
      </c>
      <c r="U116" s="41">
        <f>'[1]generators-p'!E112</f>
        <v>63954.563512551031</v>
      </c>
      <c r="V116" s="42">
        <f t="shared" si="21"/>
        <v>0.69667432295659715</v>
      </c>
      <c r="W116" s="33"/>
      <c r="X116" s="40">
        <v>110</v>
      </c>
      <c r="Y116" s="54">
        <v>11005</v>
      </c>
      <c r="Z116" s="54">
        <v>9476.198694749999</v>
      </c>
      <c r="AA116" s="55">
        <f t="shared" si="22"/>
        <v>20481.198694749997</v>
      </c>
      <c r="AB116" s="56">
        <f>'[1]generators-p'!J112</f>
        <v>27990.366683171429</v>
      </c>
      <c r="AC116" s="54">
        <f>'[1]links-p0'!E112</f>
        <v>0</v>
      </c>
      <c r="AD116" s="54">
        <f t="shared" si="23"/>
        <v>19593.256678219997</v>
      </c>
      <c r="AE116" s="33"/>
      <c r="AF116" s="45">
        <v>110</v>
      </c>
      <c r="AG116" s="52">
        <v>0</v>
      </c>
      <c r="AH116" s="52">
        <f>'[1]links-p0'!B112</f>
        <v>0</v>
      </c>
      <c r="AI116" s="33"/>
      <c r="AJ116" s="40">
        <v>110</v>
      </c>
      <c r="AK116" s="23">
        <v>0</v>
      </c>
      <c r="AL116" s="52">
        <f>'[1]links-p0'!H112</f>
        <v>0</v>
      </c>
      <c r="AM116" s="33"/>
      <c r="AN116" s="40">
        <v>110</v>
      </c>
      <c r="AO116" s="23">
        <v>0</v>
      </c>
      <c r="AP116" s="52">
        <v>0</v>
      </c>
      <c r="AQ116" s="62">
        <f t="shared" si="24"/>
        <v>0</v>
      </c>
      <c r="AR116" s="33">
        <f>'[1]links-p0'!C112</f>
        <v>0</v>
      </c>
      <c r="AS116" s="33"/>
      <c r="AT116" s="40">
        <v>110</v>
      </c>
      <c r="AU116" s="23">
        <v>0</v>
      </c>
      <c r="AV116" s="33">
        <f>'[1]links-p0'!I112</f>
        <v>0</v>
      </c>
      <c r="AW116" s="33"/>
      <c r="AX116" s="40">
        <v>110</v>
      </c>
      <c r="AY116" s="23">
        <v>2897.4</v>
      </c>
      <c r="AZ116" s="52">
        <v>10423.35</v>
      </c>
      <c r="BA116" s="62">
        <f t="shared" si="25"/>
        <v>13320.75</v>
      </c>
      <c r="BB116" s="33">
        <f>'[1]links-p0'!D112</f>
        <v>13320.750632965201</v>
      </c>
    </row>
    <row r="117" spans="1:54" x14ac:dyDescent="0.35">
      <c r="A117" s="33"/>
      <c r="B117" s="40">
        <f t="shared" si="26"/>
        <v>111</v>
      </c>
      <c r="C117" s="41">
        <v>17183.83644255</v>
      </c>
      <c r="D117" s="23">
        <v>0</v>
      </c>
      <c r="E117" s="23">
        <v>7091.3284047699999</v>
      </c>
      <c r="F117" s="23">
        <f t="shared" si="28"/>
        <v>24275.16484732</v>
      </c>
      <c r="G117" s="42">
        <f t="shared" si="17"/>
        <v>0.20606226261465982</v>
      </c>
      <c r="H117" s="23">
        <f>'[1]generators-p'!B113</f>
        <v>26643</v>
      </c>
      <c r="I117" s="23">
        <f>'[1]generators-p'!C113</f>
        <v>715.94499999999528</v>
      </c>
      <c r="J117" s="23">
        <f>'[1]generators-p'!D113</f>
        <v>10050</v>
      </c>
      <c r="K117" s="23">
        <v>13862.286590729231</v>
      </c>
      <c r="L117" s="23">
        <f t="shared" si="18"/>
        <v>37408.944999999992</v>
      </c>
      <c r="M117" s="42">
        <f t="shared" si="29"/>
        <v>0.31754972199821735</v>
      </c>
      <c r="N117" s="33"/>
      <c r="O117" s="44">
        <f t="shared" si="27"/>
        <v>111</v>
      </c>
      <c r="P117" s="23">
        <v>61142.8626</v>
      </c>
      <c r="Q117" s="23">
        <v>0</v>
      </c>
      <c r="R117" s="23">
        <v>0</v>
      </c>
      <c r="S117" s="23">
        <f t="shared" si="19"/>
        <v>61142.8626</v>
      </c>
      <c r="T117" s="42">
        <f t="shared" si="20"/>
        <v>0.66604570598193025</v>
      </c>
      <c r="U117" s="41">
        <f>'[1]generators-p'!E113</f>
        <v>63107.627880642307</v>
      </c>
      <c r="V117" s="42">
        <f t="shared" si="21"/>
        <v>0.68744842451336829</v>
      </c>
      <c r="W117" s="33"/>
      <c r="X117" s="40">
        <v>111</v>
      </c>
      <c r="Y117" s="54">
        <v>11005</v>
      </c>
      <c r="Z117" s="54">
        <v>9218.0752943000007</v>
      </c>
      <c r="AA117" s="55">
        <f t="shared" si="22"/>
        <v>20223.075294300001</v>
      </c>
      <c r="AB117" s="56">
        <f>'[1]generators-p'!J113</f>
        <v>28013.466514471431</v>
      </c>
      <c r="AC117" s="54">
        <f>'[1]links-p0'!E113</f>
        <v>0</v>
      </c>
      <c r="AD117" s="54">
        <f t="shared" si="23"/>
        <v>19609.426560129999</v>
      </c>
      <c r="AE117" s="33"/>
      <c r="AF117" s="45">
        <v>111</v>
      </c>
      <c r="AG117" s="52">
        <v>0</v>
      </c>
      <c r="AH117" s="52">
        <f>'[1]links-p0'!B113</f>
        <v>0</v>
      </c>
      <c r="AI117" s="33"/>
      <c r="AJ117" s="40">
        <v>111</v>
      </c>
      <c r="AK117" s="23">
        <v>0</v>
      </c>
      <c r="AL117" s="52">
        <f>'[1]links-p0'!H113</f>
        <v>0</v>
      </c>
      <c r="AM117" s="33"/>
      <c r="AN117" s="40">
        <v>111</v>
      </c>
      <c r="AO117" s="23">
        <v>0</v>
      </c>
      <c r="AP117" s="52">
        <v>0</v>
      </c>
      <c r="AQ117" s="62">
        <f t="shared" si="24"/>
        <v>0</v>
      </c>
      <c r="AR117" s="33">
        <f>'[1]links-p0'!C113</f>
        <v>0</v>
      </c>
      <c r="AS117" s="33"/>
      <c r="AT117" s="40">
        <v>111</v>
      </c>
      <c r="AU117" s="23">
        <v>0</v>
      </c>
      <c r="AV117" s="33">
        <f>'[1]links-p0'!I113</f>
        <v>0</v>
      </c>
      <c r="AW117" s="33"/>
      <c r="AX117" s="40">
        <v>111</v>
      </c>
      <c r="AY117" s="23">
        <v>2897.4</v>
      </c>
      <c r="AZ117" s="52">
        <v>10423.35</v>
      </c>
      <c r="BA117" s="62">
        <f t="shared" si="25"/>
        <v>13320.75</v>
      </c>
      <c r="BB117" s="33">
        <f>'[1]links-p0'!D113</f>
        <v>13320.750632965201</v>
      </c>
    </row>
    <row r="118" spans="1:54" x14ac:dyDescent="0.35">
      <c r="A118" s="33"/>
      <c r="B118" s="40">
        <f t="shared" si="26"/>
        <v>112</v>
      </c>
      <c r="C118" s="41">
        <v>18924</v>
      </c>
      <c r="D118" s="23">
        <v>403.62</v>
      </c>
      <c r="E118" s="23">
        <v>6000</v>
      </c>
      <c r="F118" s="23">
        <f t="shared" si="28"/>
        <v>25327.62</v>
      </c>
      <c r="G118" s="42">
        <f t="shared" si="17"/>
        <v>0.21499613768515766</v>
      </c>
      <c r="H118" s="23">
        <f>'[1]generators-p'!B114</f>
        <v>18924</v>
      </c>
      <c r="I118" s="23">
        <f>'[1]generators-p'!C114</f>
        <v>403.62</v>
      </c>
      <c r="J118" s="23">
        <f>'[1]generators-p'!D114</f>
        <v>6000</v>
      </c>
      <c r="K118" s="23">
        <v>6954.9585599018519</v>
      </c>
      <c r="L118" s="23">
        <f t="shared" si="18"/>
        <v>25327.62</v>
      </c>
      <c r="M118" s="42">
        <f t="shared" si="29"/>
        <v>0.21499613768515766</v>
      </c>
      <c r="N118" s="33"/>
      <c r="O118" s="44">
        <f t="shared" si="27"/>
        <v>112</v>
      </c>
      <c r="P118" s="23">
        <v>59896.865400000002</v>
      </c>
      <c r="Q118" s="23">
        <v>1715.8</v>
      </c>
      <c r="R118" s="23">
        <v>373</v>
      </c>
      <c r="S118" s="23">
        <f t="shared" si="19"/>
        <v>61985.665400000005</v>
      </c>
      <c r="T118" s="42">
        <f t="shared" si="20"/>
        <v>0.67522658437164351</v>
      </c>
      <c r="U118" s="41">
        <f>'[1]generators-p'!E114</f>
        <v>61800.40762031218</v>
      </c>
      <c r="V118" s="42">
        <f t="shared" si="21"/>
        <v>0.67320852137272824</v>
      </c>
      <c r="W118" s="33"/>
      <c r="X118" s="40">
        <v>112</v>
      </c>
      <c r="Y118" s="54">
        <v>8029.9397307700001</v>
      </c>
      <c r="Z118" s="54">
        <v>11976.08904089</v>
      </c>
      <c r="AA118" s="55">
        <f t="shared" si="22"/>
        <v>20006.02877166</v>
      </c>
      <c r="AB118" s="56">
        <f>'[1]generators-p'!J114</f>
        <v>28013.466514471431</v>
      </c>
      <c r="AC118" s="54">
        <f>'[1]links-p0'!E114</f>
        <v>0</v>
      </c>
      <c r="AD118" s="54">
        <f t="shared" si="23"/>
        <v>19609.426560129999</v>
      </c>
      <c r="AE118" s="33"/>
      <c r="AF118" s="45">
        <v>112</v>
      </c>
      <c r="AG118" s="52">
        <v>0</v>
      </c>
      <c r="AH118" s="52">
        <f>'[1]links-p0'!B114</f>
        <v>0</v>
      </c>
      <c r="AI118" s="33"/>
      <c r="AJ118" s="40">
        <v>112</v>
      </c>
      <c r="AK118" s="23">
        <v>0</v>
      </c>
      <c r="AL118" s="52">
        <f>'[1]links-p0'!H114</f>
        <v>0</v>
      </c>
      <c r="AM118" s="33"/>
      <c r="AN118" s="40">
        <v>112</v>
      </c>
      <c r="AO118" s="23">
        <v>0</v>
      </c>
      <c r="AP118" s="52">
        <v>0</v>
      </c>
      <c r="AQ118" s="62">
        <f t="shared" si="24"/>
        <v>0</v>
      </c>
      <c r="AR118" s="33">
        <f>'[1]links-p0'!C114</f>
        <v>0</v>
      </c>
      <c r="AS118" s="33"/>
      <c r="AT118" s="40">
        <v>112</v>
      </c>
      <c r="AU118" s="23">
        <v>0</v>
      </c>
      <c r="AV118" s="33">
        <f>'[1]links-p0'!I114</f>
        <v>0</v>
      </c>
      <c r="AW118" s="33"/>
      <c r="AX118" s="40">
        <v>112</v>
      </c>
      <c r="AY118" s="23">
        <v>2897.4</v>
      </c>
      <c r="AZ118" s="52">
        <v>10423.35</v>
      </c>
      <c r="BA118" s="62">
        <f t="shared" si="25"/>
        <v>13320.75</v>
      </c>
      <c r="BB118" s="33">
        <f>'[1]links-p0'!D114</f>
        <v>13320.750632965201</v>
      </c>
    </row>
    <row r="119" spans="1:54" x14ac:dyDescent="0.35">
      <c r="A119" s="33"/>
      <c r="B119" s="40">
        <f t="shared" si="26"/>
        <v>113</v>
      </c>
      <c r="C119" s="41">
        <v>4814</v>
      </c>
      <c r="D119" s="23">
        <v>52.854999999999997</v>
      </c>
      <c r="E119" s="23">
        <v>1680</v>
      </c>
      <c r="F119" s="23">
        <f t="shared" si="28"/>
        <v>6546.8549999999996</v>
      </c>
      <c r="G119" s="42">
        <f t="shared" si="17"/>
        <v>5.5573659861635753E-2</v>
      </c>
      <c r="H119" s="23">
        <f>'[1]generators-p'!B115</f>
        <v>4813.9999999999964</v>
      </c>
      <c r="I119" s="23">
        <f>'[1]generators-p'!C115</f>
        <v>52.854999999999521</v>
      </c>
      <c r="J119" s="23">
        <f>'[1]generators-p'!D115</f>
        <v>1680</v>
      </c>
      <c r="K119" s="23">
        <v>0</v>
      </c>
      <c r="L119" s="23">
        <f t="shared" si="18"/>
        <v>6546.8549999999959</v>
      </c>
      <c r="M119" s="42">
        <f t="shared" si="29"/>
        <v>5.5573659861635719E-2</v>
      </c>
      <c r="N119" s="33"/>
      <c r="O119" s="44">
        <f t="shared" si="27"/>
        <v>113</v>
      </c>
      <c r="P119" s="23">
        <v>54289.877999999997</v>
      </c>
      <c r="Q119" s="23">
        <v>1646.8</v>
      </c>
      <c r="R119" s="23">
        <v>358</v>
      </c>
      <c r="S119" s="23">
        <f t="shared" si="19"/>
        <v>56294.678</v>
      </c>
      <c r="T119" s="42">
        <f t="shared" si="20"/>
        <v>0.61323312251224948</v>
      </c>
      <c r="U119" s="41">
        <f>'[1]generators-p'!E115</f>
        <v>56043.466254120212</v>
      </c>
      <c r="V119" s="42">
        <f t="shared" si="21"/>
        <v>0.61049660515731197</v>
      </c>
      <c r="W119" s="33"/>
      <c r="X119" s="40">
        <v>113</v>
      </c>
      <c r="Y119" s="54">
        <v>0</v>
      </c>
      <c r="Z119" s="54">
        <v>18017.84821</v>
      </c>
      <c r="AA119" s="55">
        <f t="shared" si="22"/>
        <v>18017.84821</v>
      </c>
      <c r="AB119" s="56">
        <f>'[1]generators-p'!J115</f>
        <v>27070.60937161429</v>
      </c>
      <c r="AC119" s="54">
        <f>'[1]links-p0'!E115</f>
        <v>0</v>
      </c>
      <c r="AD119" s="54">
        <f t="shared" si="23"/>
        <v>18949.426560130003</v>
      </c>
      <c r="AE119" s="33"/>
      <c r="AF119" s="45">
        <v>113</v>
      </c>
      <c r="AG119" s="52">
        <v>0</v>
      </c>
      <c r="AH119" s="52">
        <f>'[1]links-p0'!B115</f>
        <v>0</v>
      </c>
      <c r="AI119" s="33"/>
      <c r="AJ119" s="40">
        <v>113</v>
      </c>
      <c r="AK119" s="23">
        <v>0</v>
      </c>
      <c r="AL119" s="52">
        <f>'[1]links-p0'!H115</f>
        <v>0</v>
      </c>
      <c r="AM119" s="33"/>
      <c r="AN119" s="40">
        <v>113</v>
      </c>
      <c r="AO119" s="23">
        <v>0</v>
      </c>
      <c r="AP119" s="52">
        <v>0</v>
      </c>
      <c r="AQ119" s="62">
        <f t="shared" si="24"/>
        <v>0</v>
      </c>
      <c r="AR119" s="33">
        <f>'[1]links-p0'!C115</f>
        <v>0</v>
      </c>
      <c r="AS119" s="33"/>
      <c r="AT119" s="40">
        <v>113</v>
      </c>
      <c r="AU119" s="23">
        <v>4613</v>
      </c>
      <c r="AV119" s="33">
        <f>'[1]links-p0'!I115</f>
        <v>0</v>
      </c>
      <c r="AW119" s="33"/>
      <c r="AX119" s="40">
        <v>113</v>
      </c>
      <c r="AY119" s="23">
        <v>0</v>
      </c>
      <c r="AZ119" s="52">
        <v>0</v>
      </c>
      <c r="BA119" s="62">
        <f t="shared" si="25"/>
        <v>0</v>
      </c>
      <c r="BB119" s="33">
        <f>'[1]links-p0'!D115</f>
        <v>13320.750632965201</v>
      </c>
    </row>
    <row r="120" spans="1:54" x14ac:dyDescent="0.35">
      <c r="A120" s="33"/>
      <c r="B120" s="40">
        <f t="shared" si="26"/>
        <v>114</v>
      </c>
      <c r="C120" s="41">
        <v>0</v>
      </c>
      <c r="D120" s="23">
        <v>0</v>
      </c>
      <c r="E120" s="23">
        <v>0</v>
      </c>
      <c r="F120" s="23">
        <f t="shared" si="28"/>
        <v>0</v>
      </c>
      <c r="G120" s="42">
        <f t="shared" si="17"/>
        <v>0</v>
      </c>
      <c r="H120" s="23">
        <f>'[1]generators-p'!B116</f>
        <v>0</v>
      </c>
      <c r="I120" s="23">
        <f>'[1]generators-p'!C116</f>
        <v>0</v>
      </c>
      <c r="J120" s="23">
        <f>'[1]generators-p'!D116</f>
        <v>0</v>
      </c>
      <c r="K120" s="23">
        <v>0</v>
      </c>
      <c r="L120" s="23">
        <f t="shared" si="18"/>
        <v>0</v>
      </c>
      <c r="M120" s="42">
        <f t="shared" si="29"/>
        <v>0</v>
      </c>
      <c r="N120" s="33"/>
      <c r="O120" s="44">
        <f t="shared" si="27"/>
        <v>114</v>
      </c>
      <c r="P120" s="23">
        <v>47525.893199999999</v>
      </c>
      <c r="Q120" s="23">
        <v>1607.7</v>
      </c>
      <c r="R120" s="23">
        <v>349.5</v>
      </c>
      <c r="S120" s="23">
        <f t="shared" si="19"/>
        <v>49483.093199999996</v>
      </c>
      <c r="T120" s="42">
        <f t="shared" si="20"/>
        <v>0.53903269070302984</v>
      </c>
      <c r="U120" s="41">
        <f>'[1]generators-p'!E116</f>
        <v>49015.923932807389</v>
      </c>
      <c r="V120" s="42">
        <f t="shared" si="21"/>
        <v>0.53394368977718243</v>
      </c>
      <c r="W120" s="33"/>
      <c r="X120" s="40">
        <v>114</v>
      </c>
      <c r="Y120" s="54">
        <v>2020.2707168300001</v>
      </c>
      <c r="Z120" s="54">
        <v>14407.50886</v>
      </c>
      <c r="AA120" s="55">
        <f t="shared" si="22"/>
        <v>16427.779576829998</v>
      </c>
      <c r="AB120" s="56">
        <f>'[1]generators-p'!J116</f>
        <v>27016.556978251469</v>
      </c>
      <c r="AC120" s="54">
        <f>'[1]links-p0'!E116</f>
        <v>0</v>
      </c>
      <c r="AD120" s="54">
        <f t="shared" si="23"/>
        <v>18911.589884776025</v>
      </c>
      <c r="AE120" s="33"/>
      <c r="AF120" s="45">
        <v>114</v>
      </c>
      <c r="AG120" s="52">
        <v>0</v>
      </c>
      <c r="AH120" s="52">
        <f>'[1]links-p0'!B116</f>
        <v>0</v>
      </c>
      <c r="AI120" s="33"/>
      <c r="AJ120" s="40">
        <v>114</v>
      </c>
      <c r="AK120" s="23">
        <v>0</v>
      </c>
      <c r="AL120" s="52">
        <f>'[1]links-p0'!H116</f>
        <v>0</v>
      </c>
      <c r="AM120" s="33"/>
      <c r="AN120" s="40">
        <v>114</v>
      </c>
      <c r="AO120" s="23">
        <v>0</v>
      </c>
      <c r="AP120" s="52">
        <v>0</v>
      </c>
      <c r="AQ120" s="62">
        <f t="shared" si="24"/>
        <v>0</v>
      </c>
      <c r="AR120" s="33">
        <f>'[1]links-p0'!C116</f>
        <v>0</v>
      </c>
      <c r="AS120" s="33"/>
      <c r="AT120" s="40">
        <v>114</v>
      </c>
      <c r="AU120" s="23">
        <v>4613</v>
      </c>
      <c r="AV120" s="33">
        <f>'[1]links-p0'!I116</f>
        <v>0</v>
      </c>
      <c r="AW120" s="33"/>
      <c r="AX120" s="40">
        <v>114</v>
      </c>
      <c r="AY120" s="23">
        <v>0</v>
      </c>
      <c r="AZ120" s="52">
        <v>0</v>
      </c>
      <c r="BA120" s="62">
        <f t="shared" si="25"/>
        <v>0</v>
      </c>
      <c r="BB120" s="33">
        <f>'[1]links-p0'!D116</f>
        <v>13320.750632965201</v>
      </c>
    </row>
    <row r="121" spans="1:54" x14ac:dyDescent="0.35">
      <c r="A121" s="33"/>
      <c r="B121" s="40">
        <f t="shared" si="26"/>
        <v>115</v>
      </c>
      <c r="C121" s="41">
        <v>0</v>
      </c>
      <c r="D121" s="23">
        <v>0</v>
      </c>
      <c r="E121" s="23">
        <v>0</v>
      </c>
      <c r="F121" s="23">
        <f t="shared" si="28"/>
        <v>0</v>
      </c>
      <c r="G121" s="42">
        <f t="shared" si="17"/>
        <v>0</v>
      </c>
      <c r="H121" s="23">
        <f>'[1]generators-p'!B117</f>
        <v>0</v>
      </c>
      <c r="I121" s="23">
        <f>'[1]generators-p'!C117</f>
        <v>0</v>
      </c>
      <c r="J121" s="23">
        <f>'[1]generators-p'!D117</f>
        <v>0</v>
      </c>
      <c r="K121" s="23">
        <v>0</v>
      </c>
      <c r="L121" s="23">
        <f t="shared" si="18"/>
        <v>0</v>
      </c>
      <c r="M121" s="42">
        <f t="shared" si="29"/>
        <v>0</v>
      </c>
      <c r="N121" s="33"/>
      <c r="O121" s="44">
        <f t="shared" si="27"/>
        <v>115</v>
      </c>
      <c r="P121" s="23">
        <v>42986.903400000003</v>
      </c>
      <c r="Q121" s="23">
        <v>1575.5</v>
      </c>
      <c r="R121" s="23">
        <v>342.5</v>
      </c>
      <c r="S121" s="23">
        <f t="shared" si="19"/>
        <v>44904.903400000003</v>
      </c>
      <c r="T121" s="42">
        <f t="shared" si="20"/>
        <v>0.48916123346673962</v>
      </c>
      <c r="U121" s="41">
        <f>'[1]generators-p'!E117</f>
        <v>44376.945800292582</v>
      </c>
      <c r="V121" s="42">
        <f t="shared" si="21"/>
        <v>0.48341004882682292</v>
      </c>
      <c r="W121" s="33"/>
      <c r="X121" s="40">
        <v>115</v>
      </c>
      <c r="Y121" s="54">
        <v>2879.1893655899999</v>
      </c>
      <c r="Z121" s="54">
        <v>13042.293879999999</v>
      </c>
      <c r="AA121" s="55">
        <f t="shared" si="22"/>
        <v>15921.48324559</v>
      </c>
      <c r="AB121" s="56">
        <f>'[1]generators-p'!J117</f>
        <v>24453.441179175061</v>
      </c>
      <c r="AC121" s="54">
        <f>'[1]links-p0'!E117</f>
        <v>0</v>
      </c>
      <c r="AD121" s="54">
        <f t="shared" si="23"/>
        <v>17117.408825422543</v>
      </c>
      <c r="AE121" s="33"/>
      <c r="AF121" s="45">
        <v>115</v>
      </c>
      <c r="AG121" s="52">
        <v>0</v>
      </c>
      <c r="AH121" s="52">
        <f>'[1]links-p0'!B117</f>
        <v>0</v>
      </c>
      <c r="AI121" s="33"/>
      <c r="AJ121" s="40">
        <v>115</v>
      </c>
      <c r="AK121" s="23">
        <v>0</v>
      </c>
      <c r="AL121" s="52">
        <f>'[1]links-p0'!H117</f>
        <v>0</v>
      </c>
      <c r="AM121" s="33"/>
      <c r="AN121" s="40">
        <v>115</v>
      </c>
      <c r="AO121" s="23">
        <v>0</v>
      </c>
      <c r="AP121" s="52">
        <v>7328.80704702</v>
      </c>
      <c r="AQ121" s="62">
        <f t="shared" si="24"/>
        <v>7328.80704702</v>
      </c>
      <c r="AR121" s="33">
        <f>'[1]links-p0'!C117</f>
        <v>0</v>
      </c>
      <c r="AS121" s="33"/>
      <c r="AT121" s="40">
        <v>115</v>
      </c>
      <c r="AU121" s="23">
        <v>4613</v>
      </c>
      <c r="AV121" s="33">
        <f>'[1]links-p0'!I117</f>
        <v>0</v>
      </c>
      <c r="AW121" s="33"/>
      <c r="AX121" s="40">
        <v>115</v>
      </c>
      <c r="AY121" s="23">
        <v>0</v>
      </c>
      <c r="AZ121" s="52">
        <v>0</v>
      </c>
      <c r="BA121" s="62">
        <f t="shared" si="25"/>
        <v>0</v>
      </c>
      <c r="BB121" s="33">
        <f>'[1]links-p0'!D117</f>
        <v>13320.750632965201</v>
      </c>
    </row>
    <row r="122" spans="1:54" x14ac:dyDescent="0.35">
      <c r="A122" s="33"/>
      <c r="B122" s="40">
        <f t="shared" si="26"/>
        <v>116</v>
      </c>
      <c r="C122" s="41">
        <v>0</v>
      </c>
      <c r="D122" s="23">
        <v>0</v>
      </c>
      <c r="E122" s="23">
        <v>0</v>
      </c>
      <c r="F122" s="23">
        <f t="shared" si="28"/>
        <v>0</v>
      </c>
      <c r="G122" s="42">
        <f t="shared" si="17"/>
        <v>0</v>
      </c>
      <c r="H122" s="23">
        <f>'[1]generators-p'!B118</f>
        <v>0</v>
      </c>
      <c r="I122" s="23">
        <f>'[1]generators-p'!C118</f>
        <v>0</v>
      </c>
      <c r="J122" s="23">
        <f>'[1]generators-p'!D118</f>
        <v>0</v>
      </c>
      <c r="K122" s="23">
        <v>0</v>
      </c>
      <c r="L122" s="23">
        <f t="shared" si="18"/>
        <v>0</v>
      </c>
      <c r="M122" s="42">
        <f t="shared" si="29"/>
        <v>0</v>
      </c>
      <c r="N122" s="33"/>
      <c r="O122" s="44">
        <f t="shared" si="27"/>
        <v>116</v>
      </c>
      <c r="P122" s="23">
        <v>41829.906000000003</v>
      </c>
      <c r="Q122" s="23">
        <v>1541</v>
      </c>
      <c r="R122" s="23">
        <v>335</v>
      </c>
      <c r="S122" s="23">
        <f t="shared" si="19"/>
        <v>43705.906000000003</v>
      </c>
      <c r="T122" s="42">
        <f t="shared" si="20"/>
        <v>0.47610023115518774</v>
      </c>
      <c r="U122" s="41">
        <f>'[1]generators-p'!E118</f>
        <v>43141.369496151427</v>
      </c>
      <c r="V122" s="42">
        <f t="shared" si="21"/>
        <v>0.46995058263908446</v>
      </c>
      <c r="W122" s="33"/>
      <c r="X122" s="40">
        <v>116</v>
      </c>
      <c r="Y122" s="54">
        <v>3263.9935398499988</v>
      </c>
      <c r="Z122" s="54">
        <v>12679.160830000001</v>
      </c>
      <c r="AA122" s="55">
        <f t="shared" si="22"/>
        <v>15943.154369849999</v>
      </c>
      <c r="AB122" s="56">
        <f>'[1]generators-p'!J118</f>
        <v>23772.590076630298</v>
      </c>
      <c r="AC122" s="54">
        <f>'[1]links-p0'!E118</f>
        <v>0</v>
      </c>
      <c r="AD122" s="54">
        <f t="shared" si="23"/>
        <v>16640.813053641206</v>
      </c>
      <c r="AE122" s="33"/>
      <c r="AF122" s="45">
        <v>116</v>
      </c>
      <c r="AG122" s="52">
        <v>0</v>
      </c>
      <c r="AH122" s="52">
        <f>'[1]links-p0'!B118</f>
        <v>0</v>
      </c>
      <c r="AI122" s="33"/>
      <c r="AJ122" s="40">
        <v>116</v>
      </c>
      <c r="AK122" s="23">
        <v>0</v>
      </c>
      <c r="AL122" s="52">
        <f>'[1]links-p0'!H118</f>
        <v>0</v>
      </c>
      <c r="AM122" s="33"/>
      <c r="AN122" s="40">
        <v>116</v>
      </c>
      <c r="AO122" s="23">
        <v>0</v>
      </c>
      <c r="AP122" s="52">
        <v>5717.4052838600001</v>
      </c>
      <c r="AQ122" s="62">
        <f t="shared" si="24"/>
        <v>5717.4052838600001</v>
      </c>
      <c r="AR122" s="33">
        <f>'[1]links-p0'!C118</f>
        <v>0</v>
      </c>
      <c r="AS122" s="33"/>
      <c r="AT122" s="40">
        <v>116</v>
      </c>
      <c r="AU122" s="23">
        <v>4613</v>
      </c>
      <c r="AV122" s="33">
        <f>'[1]links-p0'!I118</f>
        <v>0</v>
      </c>
      <c r="AW122" s="33"/>
      <c r="AX122" s="40">
        <v>116</v>
      </c>
      <c r="AY122" s="23">
        <v>0</v>
      </c>
      <c r="AZ122" s="52">
        <v>0</v>
      </c>
      <c r="BA122" s="62">
        <f t="shared" si="25"/>
        <v>0</v>
      </c>
      <c r="BB122" s="33">
        <f>'[1]links-p0'!D118</f>
        <v>13320.750632965201</v>
      </c>
    </row>
    <row r="123" spans="1:54" x14ac:dyDescent="0.35">
      <c r="A123" s="33"/>
      <c r="B123" s="40">
        <f t="shared" si="26"/>
        <v>117</v>
      </c>
      <c r="C123" s="41">
        <v>0</v>
      </c>
      <c r="D123" s="23">
        <v>0</v>
      </c>
      <c r="E123" s="23">
        <v>0</v>
      </c>
      <c r="F123" s="23">
        <f t="shared" si="28"/>
        <v>0</v>
      </c>
      <c r="G123" s="42">
        <f t="shared" si="17"/>
        <v>0</v>
      </c>
      <c r="H123" s="23">
        <f>'[1]generators-p'!B119</f>
        <v>0</v>
      </c>
      <c r="I123" s="23">
        <f>'[1]generators-p'!C119</f>
        <v>0</v>
      </c>
      <c r="J123" s="23">
        <f>'[1]generators-p'!D119</f>
        <v>0</v>
      </c>
      <c r="K123" s="23">
        <v>0</v>
      </c>
      <c r="L123" s="23">
        <f t="shared" si="18"/>
        <v>0</v>
      </c>
      <c r="M123" s="42">
        <f t="shared" si="29"/>
        <v>0</v>
      </c>
      <c r="N123" s="33"/>
      <c r="O123" s="44">
        <f t="shared" si="27"/>
        <v>117</v>
      </c>
      <c r="P123" s="23">
        <v>41829.906000000003</v>
      </c>
      <c r="Q123" s="23">
        <v>1520.3</v>
      </c>
      <c r="R123" s="23">
        <v>330.5</v>
      </c>
      <c r="S123" s="23">
        <f t="shared" si="19"/>
        <v>43680.706000000006</v>
      </c>
      <c r="T123" s="42">
        <f t="shared" si="20"/>
        <v>0.47582572075320428</v>
      </c>
      <c r="U123" s="41">
        <f>'[1]generators-p'!E119</f>
        <v>43170.125414566843</v>
      </c>
      <c r="V123" s="42">
        <f t="shared" si="21"/>
        <v>0.47026382862018046</v>
      </c>
      <c r="W123" s="33"/>
      <c r="X123" s="40">
        <v>117</v>
      </c>
      <c r="Y123" s="54">
        <v>3657.5973414199998</v>
      </c>
      <c r="Z123" s="54">
        <v>12687.61196</v>
      </c>
      <c r="AA123" s="55">
        <f t="shared" si="22"/>
        <v>16345.20930142</v>
      </c>
      <c r="AB123" s="56">
        <f>'[1]generators-p'!J119</f>
        <v>23788.435717803739</v>
      </c>
      <c r="AC123" s="54">
        <f>'[1]links-p0'!E119</f>
        <v>0</v>
      </c>
      <c r="AD123" s="54">
        <f t="shared" si="23"/>
        <v>16651.905002462616</v>
      </c>
      <c r="AE123" s="33"/>
      <c r="AF123" s="45">
        <v>117</v>
      </c>
      <c r="AG123" s="52">
        <v>0</v>
      </c>
      <c r="AH123" s="52">
        <f>'[1]links-p0'!B119</f>
        <v>0</v>
      </c>
      <c r="AI123" s="33"/>
      <c r="AJ123" s="40">
        <v>117</v>
      </c>
      <c r="AK123" s="23">
        <v>0</v>
      </c>
      <c r="AL123" s="52">
        <f>'[1]links-p0'!H119</f>
        <v>0</v>
      </c>
      <c r="AM123" s="33"/>
      <c r="AN123" s="40">
        <v>117</v>
      </c>
      <c r="AO123" s="23">
        <v>0</v>
      </c>
      <c r="AP123" s="52">
        <v>0</v>
      </c>
      <c r="AQ123" s="62">
        <f t="shared" si="24"/>
        <v>0</v>
      </c>
      <c r="AR123" s="33">
        <f>'[1]links-p0'!C119</f>
        <v>0</v>
      </c>
      <c r="AS123" s="33"/>
      <c r="AT123" s="40">
        <v>117</v>
      </c>
      <c r="AU123" s="23">
        <v>4613</v>
      </c>
      <c r="AV123" s="33">
        <f>'[1]links-p0'!I119</f>
        <v>0</v>
      </c>
      <c r="AW123" s="33"/>
      <c r="AX123" s="40">
        <v>117</v>
      </c>
      <c r="AY123" s="23">
        <v>0</v>
      </c>
      <c r="AZ123" s="52">
        <v>0</v>
      </c>
      <c r="BA123" s="62">
        <f t="shared" si="25"/>
        <v>0</v>
      </c>
      <c r="BB123" s="33">
        <f>'[1]links-p0'!D119</f>
        <v>13320.750632965201</v>
      </c>
    </row>
    <row r="124" spans="1:54" x14ac:dyDescent="0.35">
      <c r="A124" s="33"/>
      <c r="B124" s="40">
        <f t="shared" si="26"/>
        <v>118</v>
      </c>
      <c r="C124" s="41">
        <v>0</v>
      </c>
      <c r="D124" s="23">
        <v>0</v>
      </c>
      <c r="E124" s="23">
        <v>0</v>
      </c>
      <c r="F124" s="23">
        <f t="shared" si="28"/>
        <v>0</v>
      </c>
      <c r="G124" s="42">
        <f t="shared" si="17"/>
        <v>0</v>
      </c>
      <c r="H124" s="23">
        <f>'[1]generators-p'!B120</f>
        <v>0</v>
      </c>
      <c r="I124" s="23">
        <f>'[1]generators-p'!C120</f>
        <v>0</v>
      </c>
      <c r="J124" s="23">
        <f>'[1]generators-p'!D120</f>
        <v>0</v>
      </c>
      <c r="K124" s="23">
        <v>0</v>
      </c>
      <c r="L124" s="23">
        <f t="shared" si="18"/>
        <v>0</v>
      </c>
      <c r="M124" s="42">
        <f t="shared" si="29"/>
        <v>0</v>
      </c>
      <c r="N124" s="33"/>
      <c r="O124" s="44">
        <f t="shared" si="27"/>
        <v>118</v>
      </c>
      <c r="P124" s="23">
        <v>41740.906199999998</v>
      </c>
      <c r="Q124" s="23">
        <v>1469.7</v>
      </c>
      <c r="R124" s="23">
        <v>319.5</v>
      </c>
      <c r="S124" s="23">
        <f t="shared" si="19"/>
        <v>43530.106199999995</v>
      </c>
      <c r="T124" s="42">
        <f t="shared" si="20"/>
        <v>0.47418519648190949</v>
      </c>
      <c r="U124" s="41">
        <f>'[1]generators-p'!E120</f>
        <v>43085.999807524313</v>
      </c>
      <c r="V124" s="42">
        <f t="shared" si="21"/>
        <v>0.46934742567548415</v>
      </c>
      <c r="W124" s="33"/>
      <c r="X124" s="40">
        <v>118</v>
      </c>
      <c r="Y124" s="54">
        <v>3512.29317575</v>
      </c>
      <c r="Z124" s="54">
        <v>12662.887629999999</v>
      </c>
      <c r="AA124" s="55">
        <f t="shared" si="22"/>
        <v>16175.180805749998</v>
      </c>
      <c r="AB124" s="56">
        <f>'[1]generators-p'!J120</f>
        <v>23742.07920213151</v>
      </c>
      <c r="AC124" s="54">
        <f>'[1]links-p0'!E120</f>
        <v>0</v>
      </c>
      <c r="AD124" s="54">
        <f t="shared" si="23"/>
        <v>16619.455441492057</v>
      </c>
      <c r="AE124" s="33"/>
      <c r="AF124" s="45">
        <v>118</v>
      </c>
      <c r="AG124" s="52">
        <v>0</v>
      </c>
      <c r="AH124" s="52">
        <f>'[1]links-p0'!B120</f>
        <v>0</v>
      </c>
      <c r="AI124" s="33"/>
      <c r="AJ124" s="40">
        <v>118</v>
      </c>
      <c r="AK124" s="23">
        <v>0</v>
      </c>
      <c r="AL124" s="52">
        <f>'[1]links-p0'!H120</f>
        <v>0</v>
      </c>
      <c r="AM124" s="33"/>
      <c r="AN124" s="40">
        <v>118</v>
      </c>
      <c r="AO124" s="23">
        <v>0</v>
      </c>
      <c r="AP124" s="52">
        <v>4495.2225401100004</v>
      </c>
      <c r="AQ124" s="62">
        <f t="shared" si="24"/>
        <v>4495.2225401100004</v>
      </c>
      <c r="AR124" s="33">
        <f>'[1]links-p0'!C120</f>
        <v>0</v>
      </c>
      <c r="AS124" s="33"/>
      <c r="AT124" s="40">
        <v>118</v>
      </c>
      <c r="AU124" s="23">
        <v>4613</v>
      </c>
      <c r="AV124" s="33">
        <f>'[1]links-p0'!I120</f>
        <v>0</v>
      </c>
      <c r="AW124" s="33"/>
      <c r="AX124" s="40">
        <v>118</v>
      </c>
      <c r="AY124" s="23">
        <v>0</v>
      </c>
      <c r="AZ124" s="52">
        <v>0</v>
      </c>
      <c r="BA124" s="62">
        <f t="shared" si="25"/>
        <v>0</v>
      </c>
      <c r="BB124" s="33">
        <f>'[1]links-p0'!D120</f>
        <v>13320.750632965201</v>
      </c>
    </row>
    <row r="125" spans="1:54" x14ac:dyDescent="0.35">
      <c r="A125" s="33"/>
      <c r="B125" s="40">
        <f t="shared" si="26"/>
        <v>119</v>
      </c>
      <c r="C125" s="41">
        <v>0</v>
      </c>
      <c r="D125" s="23">
        <v>0</v>
      </c>
      <c r="E125" s="23">
        <v>0</v>
      </c>
      <c r="F125" s="23">
        <f t="shared" si="28"/>
        <v>0</v>
      </c>
      <c r="G125" s="42">
        <f t="shared" si="17"/>
        <v>0</v>
      </c>
      <c r="H125" s="23">
        <f>'[1]generators-p'!B121</f>
        <v>0</v>
      </c>
      <c r="I125" s="23">
        <f>'[1]generators-p'!C121</f>
        <v>0</v>
      </c>
      <c r="J125" s="23">
        <f>'[1]generators-p'!D121</f>
        <v>0</v>
      </c>
      <c r="K125" s="23">
        <v>0</v>
      </c>
      <c r="L125" s="23">
        <f t="shared" si="18"/>
        <v>0</v>
      </c>
      <c r="M125" s="42">
        <f t="shared" si="29"/>
        <v>0</v>
      </c>
      <c r="N125" s="33"/>
      <c r="O125" s="44">
        <f t="shared" si="27"/>
        <v>119</v>
      </c>
      <c r="P125" s="23">
        <v>42630.904199999997</v>
      </c>
      <c r="Q125" s="23">
        <v>1458.2</v>
      </c>
      <c r="R125" s="23">
        <v>317</v>
      </c>
      <c r="S125" s="23">
        <f t="shared" si="19"/>
        <v>44406.104199999994</v>
      </c>
      <c r="T125" s="42">
        <f t="shared" si="20"/>
        <v>0.48372767914527037</v>
      </c>
      <c r="U125" s="41">
        <f>'[1]generators-p'!E121</f>
        <v>43948.385436640448</v>
      </c>
      <c r="V125" s="42">
        <f t="shared" si="21"/>
        <v>0.47874162510855628</v>
      </c>
      <c r="W125" s="33"/>
      <c r="X125" s="40">
        <v>119</v>
      </c>
      <c r="Y125" s="54">
        <v>3807.2080903199999</v>
      </c>
      <c r="Z125" s="54">
        <v>12916.3413</v>
      </c>
      <c r="AA125" s="55">
        <f t="shared" si="22"/>
        <v>16723.54939032</v>
      </c>
      <c r="AB125" s="56">
        <f>'[1]generators-p'!J121</f>
        <v>24217.287576098021</v>
      </c>
      <c r="AC125" s="54">
        <f>'[1]links-p0'!E121</f>
        <v>0</v>
      </c>
      <c r="AD125" s="54">
        <f t="shared" si="23"/>
        <v>16952.101303268613</v>
      </c>
      <c r="AE125" s="33"/>
      <c r="AF125" s="45">
        <v>119</v>
      </c>
      <c r="AG125" s="52">
        <v>0</v>
      </c>
      <c r="AH125" s="52">
        <f>'[1]links-p0'!B121</f>
        <v>0</v>
      </c>
      <c r="AI125" s="33"/>
      <c r="AJ125" s="40">
        <v>119</v>
      </c>
      <c r="AK125" s="23">
        <v>0</v>
      </c>
      <c r="AL125" s="52">
        <f>'[1]links-p0'!H121</f>
        <v>0</v>
      </c>
      <c r="AM125" s="33"/>
      <c r="AN125" s="40">
        <v>119</v>
      </c>
      <c r="AO125" s="23">
        <v>0</v>
      </c>
      <c r="AP125" s="52">
        <v>4735.6556124700001</v>
      </c>
      <c r="AQ125" s="62">
        <f t="shared" si="24"/>
        <v>4735.6556124700001</v>
      </c>
      <c r="AR125" s="33">
        <f>'[1]links-p0'!C121</f>
        <v>0</v>
      </c>
      <c r="AS125" s="33"/>
      <c r="AT125" s="40">
        <v>119</v>
      </c>
      <c r="AU125" s="23">
        <v>4613</v>
      </c>
      <c r="AV125" s="33">
        <f>'[1]links-p0'!I121</f>
        <v>0</v>
      </c>
      <c r="AW125" s="33"/>
      <c r="AX125" s="40">
        <v>119</v>
      </c>
      <c r="AY125" s="23">
        <v>0</v>
      </c>
      <c r="AZ125" s="52">
        <v>0</v>
      </c>
      <c r="BA125" s="62">
        <f t="shared" si="25"/>
        <v>0</v>
      </c>
      <c r="BB125" s="33">
        <f>'[1]links-p0'!D121</f>
        <v>13320.750632965201</v>
      </c>
    </row>
    <row r="126" spans="1:54" x14ac:dyDescent="0.35">
      <c r="A126" s="33"/>
      <c r="B126" s="40">
        <f t="shared" si="26"/>
        <v>120</v>
      </c>
      <c r="C126" s="41">
        <v>0</v>
      </c>
      <c r="D126" s="23">
        <v>0</v>
      </c>
      <c r="E126" s="23">
        <v>0</v>
      </c>
      <c r="F126" s="23">
        <f t="shared" si="28"/>
        <v>0</v>
      </c>
      <c r="G126" s="42">
        <f t="shared" si="17"/>
        <v>0</v>
      </c>
      <c r="H126" s="23">
        <f>'[1]generators-p'!B122</f>
        <v>0</v>
      </c>
      <c r="I126" s="23">
        <f>'[1]generators-p'!C122</f>
        <v>0</v>
      </c>
      <c r="J126" s="23">
        <f>'[1]generators-p'!D122</f>
        <v>0</v>
      </c>
      <c r="K126" s="23">
        <v>0</v>
      </c>
      <c r="L126" s="23">
        <f t="shared" si="18"/>
        <v>0</v>
      </c>
      <c r="M126" s="42">
        <f t="shared" si="29"/>
        <v>0</v>
      </c>
      <c r="N126" s="33"/>
      <c r="O126" s="44">
        <f t="shared" si="27"/>
        <v>120</v>
      </c>
      <c r="P126" s="23">
        <v>43876.901400000002</v>
      </c>
      <c r="Q126" s="23">
        <v>1455.9</v>
      </c>
      <c r="R126" s="23">
        <v>316.5</v>
      </c>
      <c r="S126" s="23">
        <f t="shared" si="19"/>
        <v>45649.301400000004</v>
      </c>
      <c r="T126" s="42">
        <f t="shared" si="20"/>
        <v>0.49727016180863143</v>
      </c>
      <c r="U126" s="41">
        <f>'[1]generators-p'!E122</f>
        <v>45259.381238917129</v>
      </c>
      <c r="V126" s="42">
        <f t="shared" si="21"/>
        <v>0.49302265624671432</v>
      </c>
      <c r="W126" s="33"/>
      <c r="X126" s="40">
        <v>120</v>
      </c>
      <c r="Y126" s="54">
        <v>6776.2288409700004</v>
      </c>
      <c r="Z126" s="54">
        <v>13301.63984</v>
      </c>
      <c r="AA126" s="55">
        <f t="shared" si="22"/>
        <v>20077.868680970001</v>
      </c>
      <c r="AB126" s="56">
        <f>'[1]generators-p'!J122</f>
        <v>24939.697786151439</v>
      </c>
      <c r="AC126" s="54">
        <f>'[1]links-p0'!E122</f>
        <v>0</v>
      </c>
      <c r="AD126" s="54">
        <f t="shared" si="23"/>
        <v>17457.788450306005</v>
      </c>
      <c r="AE126" s="33"/>
      <c r="AF126" s="45">
        <v>120</v>
      </c>
      <c r="AG126" s="52">
        <v>0</v>
      </c>
      <c r="AH126" s="52">
        <f>'[1]links-p0'!B122</f>
        <v>0</v>
      </c>
      <c r="AI126" s="33"/>
      <c r="AJ126" s="40">
        <v>120</v>
      </c>
      <c r="AK126" s="23">
        <v>0</v>
      </c>
      <c r="AL126" s="52">
        <f>'[1]links-p0'!H122</f>
        <v>0</v>
      </c>
      <c r="AM126" s="33"/>
      <c r="AN126" s="40">
        <v>120</v>
      </c>
      <c r="AO126" s="23">
        <v>0</v>
      </c>
      <c r="AP126" s="52">
        <v>5087.1292435699997</v>
      </c>
      <c r="AQ126" s="62">
        <f t="shared" si="24"/>
        <v>5087.1292435699997</v>
      </c>
      <c r="AR126" s="33">
        <f>'[1]links-p0'!C122</f>
        <v>0</v>
      </c>
      <c r="AS126" s="33"/>
      <c r="AT126" s="40">
        <v>120</v>
      </c>
      <c r="AU126" s="23">
        <v>4613</v>
      </c>
      <c r="AV126" s="33">
        <f>'[1]links-p0'!I122</f>
        <v>0</v>
      </c>
      <c r="AW126" s="33"/>
      <c r="AX126" s="40">
        <v>120</v>
      </c>
      <c r="AY126" s="23">
        <v>2897.4</v>
      </c>
      <c r="AZ126" s="52">
        <v>0</v>
      </c>
      <c r="BA126" s="62">
        <f t="shared" si="25"/>
        <v>2897.4</v>
      </c>
      <c r="BB126" s="33">
        <f>'[1]links-p0'!D122</f>
        <v>13320.750632965201</v>
      </c>
    </row>
    <row r="127" spans="1:54" x14ac:dyDescent="0.35">
      <c r="A127" s="33"/>
      <c r="B127" s="40">
        <f t="shared" si="26"/>
        <v>121</v>
      </c>
      <c r="C127" s="41">
        <v>0</v>
      </c>
      <c r="D127" s="23">
        <v>0</v>
      </c>
      <c r="E127" s="23">
        <v>0</v>
      </c>
      <c r="F127" s="23">
        <f t="shared" si="28"/>
        <v>0</v>
      </c>
      <c r="G127" s="42">
        <f t="shared" si="17"/>
        <v>0</v>
      </c>
      <c r="H127" s="23">
        <f>'[1]generators-p'!B123</f>
        <v>0</v>
      </c>
      <c r="I127" s="23">
        <f>'[1]generators-p'!C123</f>
        <v>0</v>
      </c>
      <c r="J127" s="23">
        <f>'[1]generators-p'!D123</f>
        <v>0</v>
      </c>
      <c r="K127" s="23">
        <v>0</v>
      </c>
      <c r="L127" s="23">
        <f t="shared" si="18"/>
        <v>0</v>
      </c>
      <c r="M127" s="42">
        <f t="shared" si="29"/>
        <v>0</v>
      </c>
      <c r="N127" s="33"/>
      <c r="O127" s="44">
        <f t="shared" si="27"/>
        <v>121</v>
      </c>
      <c r="P127" s="23">
        <v>43965.9012</v>
      </c>
      <c r="Q127" s="23">
        <v>1465.1</v>
      </c>
      <c r="R127" s="23">
        <v>318.5</v>
      </c>
      <c r="S127" s="23">
        <f t="shared" si="19"/>
        <v>45749.501199999999</v>
      </c>
      <c r="T127" s="42">
        <f t="shared" si="20"/>
        <v>0.49836166527595915</v>
      </c>
      <c r="U127" s="41">
        <f>'[1]generators-p'!E123</f>
        <v>45336.453592351907</v>
      </c>
      <c r="V127" s="42">
        <f t="shared" si="21"/>
        <v>0.4938622261960473</v>
      </c>
      <c r="W127" s="33"/>
      <c r="X127" s="40">
        <v>121</v>
      </c>
      <c r="Y127" s="54">
        <v>7842.6955358499999</v>
      </c>
      <c r="Z127" s="54">
        <v>13324.29168</v>
      </c>
      <c r="AA127" s="55">
        <f t="shared" si="22"/>
        <v>21166.98721585</v>
      </c>
      <c r="AB127" s="56">
        <f>'[1]generators-p'!J123</f>
        <v>24982.167681888281</v>
      </c>
      <c r="AC127" s="54">
        <f>'[1]links-p0'!E123</f>
        <v>0</v>
      </c>
      <c r="AD127" s="54">
        <f t="shared" si="23"/>
        <v>17487.517377321794</v>
      </c>
      <c r="AE127" s="33"/>
      <c r="AF127" s="45">
        <v>121</v>
      </c>
      <c r="AG127" s="52">
        <v>0</v>
      </c>
      <c r="AH127" s="52">
        <f>'[1]links-p0'!B123</f>
        <v>0</v>
      </c>
      <c r="AI127" s="33"/>
      <c r="AJ127" s="40">
        <v>121</v>
      </c>
      <c r="AK127" s="23">
        <v>0</v>
      </c>
      <c r="AL127" s="52">
        <f>'[1]links-p0'!H123</f>
        <v>0</v>
      </c>
      <c r="AM127" s="33"/>
      <c r="AN127" s="40">
        <v>121</v>
      </c>
      <c r="AO127" s="23">
        <v>0</v>
      </c>
      <c r="AP127" s="52">
        <v>0</v>
      </c>
      <c r="AQ127" s="62">
        <f t="shared" si="24"/>
        <v>0</v>
      </c>
      <c r="AR127" s="33">
        <f>'[1]links-p0'!C123</f>
        <v>0</v>
      </c>
      <c r="AS127" s="33"/>
      <c r="AT127" s="40">
        <v>121</v>
      </c>
      <c r="AU127" s="23">
        <v>4613</v>
      </c>
      <c r="AV127" s="33">
        <f>'[1]links-p0'!I123</f>
        <v>0</v>
      </c>
      <c r="AW127" s="33"/>
      <c r="AX127" s="40">
        <v>121</v>
      </c>
      <c r="AY127" s="23">
        <v>2897.4</v>
      </c>
      <c r="AZ127" s="52">
        <v>0</v>
      </c>
      <c r="BA127" s="62">
        <f t="shared" si="25"/>
        <v>2897.4</v>
      </c>
      <c r="BB127" s="33">
        <f>'[1]links-p0'!D123</f>
        <v>13320.750632965201</v>
      </c>
    </row>
    <row r="128" spans="1:54" x14ac:dyDescent="0.35">
      <c r="A128" s="33"/>
      <c r="B128" s="40">
        <f t="shared" si="26"/>
        <v>122</v>
      </c>
      <c r="C128" s="41">
        <v>0</v>
      </c>
      <c r="D128" s="23">
        <v>0</v>
      </c>
      <c r="E128" s="23">
        <v>0</v>
      </c>
      <c r="F128" s="23">
        <f t="shared" si="28"/>
        <v>0</v>
      </c>
      <c r="G128" s="42">
        <f t="shared" si="17"/>
        <v>0</v>
      </c>
      <c r="H128" s="23">
        <f>'[1]generators-p'!B124</f>
        <v>0</v>
      </c>
      <c r="I128" s="23">
        <f>'[1]generators-p'!C124</f>
        <v>0</v>
      </c>
      <c r="J128" s="23">
        <f>'[1]generators-p'!D124</f>
        <v>0</v>
      </c>
      <c r="K128" s="23">
        <v>0</v>
      </c>
      <c r="L128" s="23">
        <f t="shared" si="18"/>
        <v>0</v>
      </c>
      <c r="M128" s="42">
        <f t="shared" si="29"/>
        <v>0</v>
      </c>
      <c r="N128" s="33"/>
      <c r="O128" s="44">
        <f t="shared" si="27"/>
        <v>122</v>
      </c>
      <c r="P128" s="23">
        <v>43342.902600000001</v>
      </c>
      <c r="Q128" s="23">
        <v>1485.8</v>
      </c>
      <c r="R128" s="23">
        <v>323</v>
      </c>
      <c r="S128" s="23">
        <f t="shared" si="19"/>
        <v>45151.702600000004</v>
      </c>
      <c r="T128" s="42">
        <f t="shared" si="20"/>
        <v>0.49184968376837424</v>
      </c>
      <c r="U128" s="41">
        <f>'[1]generators-p'!E124</f>
        <v>44732.989467109794</v>
      </c>
      <c r="V128" s="42">
        <f t="shared" si="21"/>
        <v>0.48728852859276156</v>
      </c>
      <c r="W128" s="33"/>
      <c r="X128" s="40">
        <v>122</v>
      </c>
      <c r="Y128" s="54">
        <v>5312.9030457200006</v>
      </c>
      <c r="Z128" s="54">
        <v>13146.93439</v>
      </c>
      <c r="AA128" s="55">
        <f t="shared" si="22"/>
        <v>18459.837435720001</v>
      </c>
      <c r="AB128" s="56">
        <f>'[1]generators-p'!J124</f>
        <v>24649.63523234208</v>
      </c>
      <c r="AC128" s="54">
        <f>'[1]links-p0'!E124</f>
        <v>0</v>
      </c>
      <c r="AD128" s="54">
        <f t="shared" si="23"/>
        <v>17254.744662639456</v>
      </c>
      <c r="AE128" s="33"/>
      <c r="AF128" s="45">
        <v>122</v>
      </c>
      <c r="AG128" s="52">
        <v>0</v>
      </c>
      <c r="AH128" s="52">
        <f>'[1]links-p0'!B124</f>
        <v>0</v>
      </c>
      <c r="AI128" s="33"/>
      <c r="AJ128" s="40">
        <v>122</v>
      </c>
      <c r="AK128" s="23">
        <v>0</v>
      </c>
      <c r="AL128" s="52">
        <f>'[1]links-p0'!H124</f>
        <v>0</v>
      </c>
      <c r="AM128" s="33"/>
      <c r="AN128" s="40">
        <v>122</v>
      </c>
      <c r="AO128" s="23">
        <v>0</v>
      </c>
      <c r="AP128" s="52">
        <v>0</v>
      </c>
      <c r="AQ128" s="62">
        <f t="shared" si="24"/>
        <v>0</v>
      </c>
      <c r="AR128" s="33">
        <f>'[1]links-p0'!C124</f>
        <v>0</v>
      </c>
      <c r="AS128" s="33"/>
      <c r="AT128" s="40">
        <v>122</v>
      </c>
      <c r="AU128" s="23">
        <v>4613</v>
      </c>
      <c r="AV128" s="33">
        <f>'[1]links-p0'!I124</f>
        <v>0</v>
      </c>
      <c r="AW128" s="33"/>
      <c r="AX128" s="40">
        <v>122</v>
      </c>
      <c r="AY128" s="23">
        <v>2897.4</v>
      </c>
      <c r="AZ128" s="52">
        <v>0</v>
      </c>
      <c r="BA128" s="62">
        <f t="shared" si="25"/>
        <v>2897.4</v>
      </c>
      <c r="BB128" s="33">
        <f>'[1]links-p0'!D124</f>
        <v>13320.750632965201</v>
      </c>
    </row>
    <row r="129" spans="1:54" x14ac:dyDescent="0.35">
      <c r="A129" s="33"/>
      <c r="B129" s="40">
        <f t="shared" si="26"/>
        <v>123</v>
      </c>
      <c r="C129" s="41">
        <v>0</v>
      </c>
      <c r="D129" s="23">
        <v>0</v>
      </c>
      <c r="E129" s="23">
        <v>0</v>
      </c>
      <c r="F129" s="23">
        <f t="shared" si="28"/>
        <v>0</v>
      </c>
      <c r="G129" s="42">
        <f t="shared" si="17"/>
        <v>0</v>
      </c>
      <c r="H129" s="23">
        <f>'[1]generators-p'!B125</f>
        <v>0</v>
      </c>
      <c r="I129" s="23">
        <f>'[1]generators-p'!C125</f>
        <v>0</v>
      </c>
      <c r="J129" s="23">
        <f>'[1]generators-p'!D125</f>
        <v>0</v>
      </c>
      <c r="K129" s="23">
        <v>0</v>
      </c>
      <c r="L129" s="23">
        <f t="shared" si="18"/>
        <v>0</v>
      </c>
      <c r="M129" s="42">
        <f t="shared" si="29"/>
        <v>0</v>
      </c>
      <c r="N129" s="33"/>
      <c r="O129" s="44">
        <f t="shared" si="27"/>
        <v>123</v>
      </c>
      <c r="P129" s="23">
        <v>43253.902800000003</v>
      </c>
      <c r="Q129" s="23">
        <v>1501.9</v>
      </c>
      <c r="R129" s="23">
        <v>326.5</v>
      </c>
      <c r="S129" s="23">
        <f t="shared" si="19"/>
        <v>45082.302800000005</v>
      </c>
      <c r="T129" s="42">
        <f t="shared" si="20"/>
        <v>0.49109369301458178</v>
      </c>
      <c r="U129" s="41">
        <f>'[1]generators-p'!E125</f>
        <v>44617.578306515723</v>
      </c>
      <c r="V129" s="42">
        <f t="shared" si="21"/>
        <v>0.48603132366863239</v>
      </c>
      <c r="W129" s="33"/>
      <c r="X129" s="40">
        <v>123</v>
      </c>
      <c r="Y129" s="54">
        <v>8329.5743318000004</v>
      </c>
      <c r="Z129" s="54">
        <v>13113.01556</v>
      </c>
      <c r="AA129" s="55">
        <f t="shared" si="22"/>
        <v>21442.589891800002</v>
      </c>
      <c r="AB129" s="56">
        <f>'[1]generators-p'!J125</f>
        <v>24586.039147120071</v>
      </c>
      <c r="AC129" s="54">
        <f>'[1]links-p0'!E125</f>
        <v>574.98382196449768</v>
      </c>
      <c r="AD129" s="54">
        <f t="shared" si="23"/>
        <v>17612.716078359197</v>
      </c>
      <c r="AE129" s="33"/>
      <c r="AF129" s="45">
        <v>123</v>
      </c>
      <c r="AG129" s="52">
        <v>0</v>
      </c>
      <c r="AH129" s="52">
        <f>'[1]links-p0'!B125</f>
        <v>0</v>
      </c>
      <c r="AI129" s="33"/>
      <c r="AJ129" s="40">
        <v>123</v>
      </c>
      <c r="AK129" s="23">
        <v>0</v>
      </c>
      <c r="AL129" s="52">
        <f>'[1]links-p0'!H125</f>
        <v>0</v>
      </c>
      <c r="AM129" s="33"/>
      <c r="AN129" s="40">
        <v>123</v>
      </c>
      <c r="AO129" s="23">
        <v>0</v>
      </c>
      <c r="AP129" s="52">
        <v>0</v>
      </c>
      <c r="AQ129" s="62">
        <f t="shared" si="24"/>
        <v>0</v>
      </c>
      <c r="AR129" s="33">
        <f>'[1]links-p0'!C125</f>
        <v>0</v>
      </c>
      <c r="AS129" s="33"/>
      <c r="AT129" s="40">
        <v>123</v>
      </c>
      <c r="AU129" s="23">
        <v>4613</v>
      </c>
      <c r="AV129" s="33">
        <f>'[1]links-p0'!I125</f>
        <v>0</v>
      </c>
      <c r="AW129" s="33"/>
      <c r="AX129" s="40">
        <v>123</v>
      </c>
      <c r="AY129" s="23">
        <v>2897.4</v>
      </c>
      <c r="AZ129" s="52">
        <v>0</v>
      </c>
      <c r="BA129" s="62">
        <f t="shared" si="25"/>
        <v>2897.4</v>
      </c>
      <c r="BB129" s="33">
        <f>'[1]links-p0'!D125</f>
        <v>13320.750632965201</v>
      </c>
    </row>
    <row r="130" spans="1:54" x14ac:dyDescent="0.35">
      <c r="A130" s="33"/>
      <c r="B130" s="40">
        <f t="shared" si="26"/>
        <v>124</v>
      </c>
      <c r="C130" s="41">
        <v>0</v>
      </c>
      <c r="D130" s="23">
        <v>0</v>
      </c>
      <c r="E130" s="23">
        <v>0</v>
      </c>
      <c r="F130" s="23">
        <f t="shared" si="28"/>
        <v>0</v>
      </c>
      <c r="G130" s="42">
        <f t="shared" si="17"/>
        <v>0</v>
      </c>
      <c r="H130" s="23">
        <f>'[1]generators-p'!B126</f>
        <v>0</v>
      </c>
      <c r="I130" s="23">
        <f>'[1]generators-p'!C126</f>
        <v>0</v>
      </c>
      <c r="J130" s="23">
        <f>'[1]generators-p'!D126</f>
        <v>0</v>
      </c>
      <c r="K130" s="23">
        <v>0</v>
      </c>
      <c r="L130" s="23">
        <f t="shared" si="18"/>
        <v>0</v>
      </c>
      <c r="M130" s="42">
        <f t="shared" si="29"/>
        <v>0</v>
      </c>
      <c r="N130" s="33"/>
      <c r="O130" s="44">
        <f t="shared" si="27"/>
        <v>124</v>
      </c>
      <c r="P130" s="23">
        <v>43075.903200000001</v>
      </c>
      <c r="Q130" s="23">
        <v>1520.3</v>
      </c>
      <c r="R130" s="23">
        <v>330.5</v>
      </c>
      <c r="S130" s="23">
        <f t="shared" si="19"/>
        <v>44926.703200000004</v>
      </c>
      <c r="T130" s="42">
        <f t="shared" si="20"/>
        <v>0.48939870457234114</v>
      </c>
      <c r="U130" s="41">
        <f>'[1]generators-p'!E126</f>
        <v>44463.425337664652</v>
      </c>
      <c r="V130" s="42">
        <f t="shared" si="21"/>
        <v>0.48435209376997174</v>
      </c>
      <c r="W130" s="33"/>
      <c r="X130" s="40">
        <v>124</v>
      </c>
      <c r="Y130" s="54">
        <v>5885.2909369000008</v>
      </c>
      <c r="Z130" s="54">
        <v>13067.71046</v>
      </c>
      <c r="AA130" s="55">
        <f t="shared" si="22"/>
        <v>18953.001396899999</v>
      </c>
      <c r="AB130" s="56">
        <f>'[1]generators-p'!J126</f>
        <v>24501.094802969881</v>
      </c>
      <c r="AC130" s="54">
        <f>'[1]links-p0'!E126</f>
        <v>2911.2362064599201</v>
      </c>
      <c r="AD130" s="54">
        <f t="shared" si="23"/>
        <v>19188.63170660086</v>
      </c>
      <c r="AE130" s="33"/>
      <c r="AF130" s="45">
        <v>124</v>
      </c>
      <c r="AG130" s="52">
        <v>0</v>
      </c>
      <c r="AH130" s="52">
        <f>'[1]links-p0'!B126</f>
        <v>0</v>
      </c>
      <c r="AI130" s="33"/>
      <c r="AJ130" s="40">
        <v>124</v>
      </c>
      <c r="AK130" s="23">
        <v>0</v>
      </c>
      <c r="AL130" s="52">
        <f>'[1]links-p0'!H126</f>
        <v>0</v>
      </c>
      <c r="AM130" s="33"/>
      <c r="AN130" s="40">
        <v>124</v>
      </c>
      <c r="AO130" s="23">
        <v>0</v>
      </c>
      <c r="AP130" s="52">
        <v>335.77767516</v>
      </c>
      <c r="AQ130" s="62">
        <f t="shared" si="24"/>
        <v>335.77767516</v>
      </c>
      <c r="AR130" s="33">
        <f>'[1]links-p0'!C126</f>
        <v>0</v>
      </c>
      <c r="AS130" s="33"/>
      <c r="AT130" s="40">
        <v>124</v>
      </c>
      <c r="AU130" s="23">
        <v>4613</v>
      </c>
      <c r="AV130" s="33">
        <f>'[1]links-p0'!I126</f>
        <v>0</v>
      </c>
      <c r="AW130" s="33"/>
      <c r="AX130" s="40">
        <v>124</v>
      </c>
      <c r="AY130" s="23">
        <v>2897.4</v>
      </c>
      <c r="AZ130" s="52">
        <v>0</v>
      </c>
      <c r="BA130" s="62">
        <f t="shared" si="25"/>
        <v>2897.4</v>
      </c>
      <c r="BB130" s="33">
        <f>'[1]links-p0'!D126</f>
        <v>13320.750632965201</v>
      </c>
    </row>
    <row r="131" spans="1:54" x14ac:dyDescent="0.35">
      <c r="A131" s="33"/>
      <c r="B131" s="40">
        <f t="shared" si="26"/>
        <v>125</v>
      </c>
      <c r="C131" s="41">
        <v>0</v>
      </c>
      <c r="D131" s="23">
        <v>0</v>
      </c>
      <c r="E131" s="23">
        <v>0</v>
      </c>
      <c r="F131" s="23">
        <f t="shared" si="28"/>
        <v>0</v>
      </c>
      <c r="G131" s="42">
        <f t="shared" si="17"/>
        <v>0</v>
      </c>
      <c r="H131" s="23">
        <f>'[1]generators-p'!B127</f>
        <v>0</v>
      </c>
      <c r="I131" s="23">
        <f>'[1]generators-p'!C127</f>
        <v>0</v>
      </c>
      <c r="J131" s="23">
        <f>'[1]generators-p'!D127</f>
        <v>0</v>
      </c>
      <c r="K131" s="23">
        <v>0</v>
      </c>
      <c r="L131" s="23">
        <f t="shared" si="18"/>
        <v>0</v>
      </c>
      <c r="M131" s="42">
        <f t="shared" si="29"/>
        <v>0</v>
      </c>
      <c r="N131" s="33"/>
      <c r="O131" s="44">
        <f t="shared" si="27"/>
        <v>125</v>
      </c>
      <c r="P131" s="23">
        <v>42630.904199999997</v>
      </c>
      <c r="Q131" s="23">
        <v>1545.6</v>
      </c>
      <c r="R131" s="23">
        <v>336</v>
      </c>
      <c r="S131" s="23">
        <f t="shared" si="19"/>
        <v>44512.504199999996</v>
      </c>
      <c r="T131" s="42">
        <f t="shared" si="20"/>
        <v>0.48488672306475605</v>
      </c>
      <c r="U131" s="41">
        <f>'[1]generators-p'!E127</f>
        <v>43957.397697861968</v>
      </c>
      <c r="V131" s="42">
        <f t="shared" si="21"/>
        <v>0.47883979810263166</v>
      </c>
      <c r="W131" s="33"/>
      <c r="X131" s="40">
        <v>125</v>
      </c>
      <c r="Y131" s="54">
        <v>7834.0281944200005</v>
      </c>
      <c r="Z131" s="54">
        <v>12918.989600000001</v>
      </c>
      <c r="AA131" s="55">
        <f t="shared" si="22"/>
        <v>20753.01779442</v>
      </c>
      <c r="AB131" s="56">
        <f>'[1]generators-p'!J127</f>
        <v>24222.25368621889</v>
      </c>
      <c r="AC131" s="54">
        <f>'[1]links-p0'!E127</f>
        <v>0</v>
      </c>
      <c r="AD131" s="54">
        <f t="shared" si="23"/>
        <v>16955.577580353223</v>
      </c>
      <c r="AE131" s="33"/>
      <c r="AF131" s="45">
        <v>125</v>
      </c>
      <c r="AG131" s="52">
        <v>0</v>
      </c>
      <c r="AH131" s="52">
        <f>'[1]links-p0'!B127</f>
        <v>0</v>
      </c>
      <c r="AI131" s="33"/>
      <c r="AJ131" s="40">
        <v>125</v>
      </c>
      <c r="AK131" s="23">
        <v>0</v>
      </c>
      <c r="AL131" s="52">
        <f>'[1]links-p0'!H127</f>
        <v>0</v>
      </c>
      <c r="AM131" s="33"/>
      <c r="AN131" s="40">
        <v>125</v>
      </c>
      <c r="AO131" s="23">
        <v>0</v>
      </c>
      <c r="AP131" s="52">
        <v>2874.9269169600002</v>
      </c>
      <c r="AQ131" s="62">
        <f t="shared" si="24"/>
        <v>2874.9269169600002</v>
      </c>
      <c r="AR131" s="33">
        <f>'[1]links-p0'!C127</f>
        <v>0</v>
      </c>
      <c r="AS131" s="33"/>
      <c r="AT131" s="40">
        <v>125</v>
      </c>
      <c r="AU131" s="23">
        <v>4613</v>
      </c>
      <c r="AV131" s="33">
        <f>'[1]links-p0'!I127</f>
        <v>0</v>
      </c>
      <c r="AW131" s="33"/>
      <c r="AX131" s="40">
        <v>125</v>
      </c>
      <c r="AY131" s="23">
        <v>2897.4</v>
      </c>
      <c r="AZ131" s="52">
        <v>0</v>
      </c>
      <c r="BA131" s="62">
        <f t="shared" si="25"/>
        <v>2897.4</v>
      </c>
      <c r="BB131" s="33">
        <f>'[1]links-p0'!D127</f>
        <v>13320.750632965201</v>
      </c>
    </row>
    <row r="132" spans="1:54" x14ac:dyDescent="0.35">
      <c r="A132" s="33"/>
      <c r="B132" s="40">
        <f t="shared" si="26"/>
        <v>126</v>
      </c>
      <c r="C132" s="41">
        <v>0</v>
      </c>
      <c r="D132" s="23">
        <v>0</v>
      </c>
      <c r="E132" s="23">
        <v>0</v>
      </c>
      <c r="F132" s="23">
        <f t="shared" si="28"/>
        <v>0</v>
      </c>
      <c r="G132" s="42">
        <f t="shared" si="17"/>
        <v>0</v>
      </c>
      <c r="H132" s="23">
        <f>'[1]generators-p'!B128</f>
        <v>0</v>
      </c>
      <c r="I132" s="23">
        <f>'[1]generators-p'!C128</f>
        <v>0</v>
      </c>
      <c r="J132" s="23">
        <f>'[1]generators-p'!D128</f>
        <v>0</v>
      </c>
      <c r="K132" s="23">
        <v>0</v>
      </c>
      <c r="L132" s="23">
        <f t="shared" si="18"/>
        <v>0</v>
      </c>
      <c r="M132" s="42">
        <f t="shared" si="29"/>
        <v>0</v>
      </c>
      <c r="N132" s="33"/>
      <c r="O132" s="44">
        <f t="shared" si="27"/>
        <v>126</v>
      </c>
      <c r="P132" s="23">
        <v>42096.905400000003</v>
      </c>
      <c r="Q132" s="23">
        <v>1570.9</v>
      </c>
      <c r="R132" s="23">
        <v>341.5</v>
      </c>
      <c r="S132" s="23">
        <f t="shared" si="19"/>
        <v>44009.305400000005</v>
      </c>
      <c r="T132" s="42">
        <f t="shared" si="20"/>
        <v>0.4794052427129471</v>
      </c>
      <c r="U132" s="41">
        <f>'[1]generators-p'!E128</f>
        <v>43398.565898287947</v>
      </c>
      <c r="V132" s="42">
        <f t="shared" si="21"/>
        <v>0.47275229247000478</v>
      </c>
      <c r="W132" s="33"/>
      <c r="X132" s="40">
        <v>126</v>
      </c>
      <c r="Y132" s="54">
        <v>8841.39460908</v>
      </c>
      <c r="Z132" s="54">
        <v>12754.75027</v>
      </c>
      <c r="AA132" s="55">
        <f t="shared" si="22"/>
        <v>21596.144879079999</v>
      </c>
      <c r="AB132" s="56">
        <f>'[1]generators-p'!J128</f>
        <v>23914.315402195622</v>
      </c>
      <c r="AC132" s="54">
        <f>'[1]links-p0'!E128</f>
        <v>1338.2019531674071</v>
      </c>
      <c r="AD132" s="54">
        <f t="shared" si="23"/>
        <v>17676.762148754118</v>
      </c>
      <c r="AE132" s="33"/>
      <c r="AF132" s="45">
        <v>126</v>
      </c>
      <c r="AG132" s="52">
        <v>0</v>
      </c>
      <c r="AH132" s="52">
        <f>'[1]links-p0'!B128</f>
        <v>0</v>
      </c>
      <c r="AI132" s="33"/>
      <c r="AJ132" s="40">
        <v>126</v>
      </c>
      <c r="AK132" s="23">
        <v>0</v>
      </c>
      <c r="AL132" s="52">
        <f>'[1]links-p0'!H128</f>
        <v>0</v>
      </c>
      <c r="AM132" s="33"/>
      <c r="AN132" s="40">
        <v>126</v>
      </c>
      <c r="AO132" s="23">
        <v>0</v>
      </c>
      <c r="AP132" s="52">
        <v>5794.7504322699997</v>
      </c>
      <c r="AQ132" s="62">
        <f t="shared" si="24"/>
        <v>5794.7504322699997</v>
      </c>
      <c r="AR132" s="33">
        <f>'[1]links-p0'!C128</f>
        <v>0</v>
      </c>
      <c r="AS132" s="33"/>
      <c r="AT132" s="40">
        <v>126</v>
      </c>
      <c r="AU132" s="23">
        <v>4613</v>
      </c>
      <c r="AV132" s="33">
        <f>'[1]links-p0'!I128</f>
        <v>0</v>
      </c>
      <c r="AW132" s="33"/>
      <c r="AX132" s="40">
        <v>126</v>
      </c>
      <c r="AY132" s="23">
        <v>2897.4</v>
      </c>
      <c r="AZ132" s="52">
        <v>0</v>
      </c>
      <c r="BA132" s="62">
        <f t="shared" si="25"/>
        <v>2897.4</v>
      </c>
      <c r="BB132" s="33">
        <f>'[1]links-p0'!D128</f>
        <v>13320.750632965201</v>
      </c>
    </row>
    <row r="133" spans="1:54" x14ac:dyDescent="0.35">
      <c r="A133" s="33"/>
      <c r="B133" s="40">
        <f t="shared" si="26"/>
        <v>127</v>
      </c>
      <c r="C133" s="41">
        <v>0</v>
      </c>
      <c r="D133" s="23">
        <v>0</v>
      </c>
      <c r="E133" s="23">
        <v>0</v>
      </c>
      <c r="F133" s="23">
        <f t="shared" si="28"/>
        <v>0</v>
      </c>
      <c r="G133" s="42">
        <f t="shared" si="17"/>
        <v>0</v>
      </c>
      <c r="H133" s="23">
        <f>'[1]generators-p'!B129</f>
        <v>0</v>
      </c>
      <c r="I133" s="23">
        <f>'[1]generators-p'!C129</f>
        <v>0</v>
      </c>
      <c r="J133" s="23">
        <f>'[1]generators-p'!D129</f>
        <v>0</v>
      </c>
      <c r="K133" s="23">
        <v>0</v>
      </c>
      <c r="L133" s="23">
        <f t="shared" si="18"/>
        <v>0</v>
      </c>
      <c r="M133" s="42">
        <f t="shared" si="29"/>
        <v>0</v>
      </c>
      <c r="N133" s="33"/>
      <c r="O133" s="44">
        <f t="shared" si="27"/>
        <v>127</v>
      </c>
      <c r="P133" s="23">
        <v>40672.908600000002</v>
      </c>
      <c r="Q133" s="23">
        <v>1607.7</v>
      </c>
      <c r="R133" s="23">
        <v>349.5</v>
      </c>
      <c r="S133" s="23">
        <f t="shared" si="19"/>
        <v>42630.1086</v>
      </c>
      <c r="T133" s="42">
        <f t="shared" si="20"/>
        <v>0.46438127969777709</v>
      </c>
      <c r="U133" s="41">
        <f>'[1]generators-p'!E129</f>
        <v>41996.963607079451</v>
      </c>
      <c r="V133" s="42">
        <f t="shared" si="21"/>
        <v>0.45748426039141099</v>
      </c>
      <c r="W133" s="33"/>
      <c r="X133" s="40">
        <v>127</v>
      </c>
      <c r="Y133" s="54">
        <v>8921.9328016299987</v>
      </c>
      <c r="Z133" s="54">
        <v>12342.822469999999</v>
      </c>
      <c r="AA133" s="55">
        <f t="shared" si="22"/>
        <v>21264.755271629998</v>
      </c>
      <c r="AB133" s="56">
        <f>'[1]generators-p'!J129</f>
        <v>23141.977455846059</v>
      </c>
      <c r="AC133" s="54">
        <f>'[1]links-p0'!E129</f>
        <v>2488.6766087403971</v>
      </c>
      <c r="AD133" s="54">
        <f t="shared" si="23"/>
        <v>17941.457845210516</v>
      </c>
      <c r="AE133" s="33"/>
      <c r="AF133" s="45">
        <v>127</v>
      </c>
      <c r="AG133" s="52">
        <v>0</v>
      </c>
      <c r="AH133" s="52">
        <f>'[1]links-p0'!B129</f>
        <v>0</v>
      </c>
      <c r="AI133" s="33"/>
      <c r="AJ133" s="40">
        <v>127</v>
      </c>
      <c r="AK133" s="23">
        <v>0</v>
      </c>
      <c r="AL133" s="52">
        <f>'[1]links-p0'!H129</f>
        <v>0</v>
      </c>
      <c r="AM133" s="33"/>
      <c r="AN133" s="40">
        <v>127</v>
      </c>
      <c r="AO133" s="23">
        <v>0</v>
      </c>
      <c r="AP133" s="52">
        <v>4771.8748445000001</v>
      </c>
      <c r="AQ133" s="62">
        <f t="shared" si="24"/>
        <v>4771.8748445000001</v>
      </c>
      <c r="AR133" s="33">
        <f>'[1]links-p0'!C129</f>
        <v>0</v>
      </c>
      <c r="AS133" s="33"/>
      <c r="AT133" s="40">
        <v>127</v>
      </c>
      <c r="AU133" s="23">
        <v>4613</v>
      </c>
      <c r="AV133" s="33">
        <f>'[1]links-p0'!I129</f>
        <v>0</v>
      </c>
      <c r="AW133" s="33"/>
      <c r="AX133" s="40">
        <v>127</v>
      </c>
      <c r="AY133" s="23">
        <v>2897.4</v>
      </c>
      <c r="AZ133" s="52">
        <v>0</v>
      </c>
      <c r="BA133" s="62">
        <f t="shared" si="25"/>
        <v>2897.4</v>
      </c>
      <c r="BB133" s="33">
        <f>'[1]links-p0'!D129</f>
        <v>13320.750632965201</v>
      </c>
    </row>
    <row r="134" spans="1:54" x14ac:dyDescent="0.35">
      <c r="A134" s="33"/>
      <c r="B134" s="40">
        <f t="shared" si="26"/>
        <v>128</v>
      </c>
      <c r="C134" s="41">
        <v>0</v>
      </c>
      <c r="D134" s="23">
        <v>0</v>
      </c>
      <c r="E134" s="23">
        <v>0</v>
      </c>
      <c r="F134" s="23">
        <f t="shared" ref="F134:F165" si="30">C134+D134+E134</f>
        <v>0</v>
      </c>
      <c r="G134" s="42">
        <f t="shared" si="17"/>
        <v>0</v>
      </c>
      <c r="H134" s="23">
        <f>'[1]generators-p'!B130</f>
        <v>0</v>
      </c>
      <c r="I134" s="23">
        <f>'[1]generators-p'!C130</f>
        <v>0</v>
      </c>
      <c r="J134" s="23">
        <f>'[1]generators-p'!D130</f>
        <v>0</v>
      </c>
      <c r="K134" s="23">
        <v>0</v>
      </c>
      <c r="L134" s="23">
        <f t="shared" si="18"/>
        <v>0</v>
      </c>
      <c r="M134" s="42">
        <f t="shared" ref="M134:M165" si="31">L134/$I$2</f>
        <v>0</v>
      </c>
      <c r="N134" s="33"/>
      <c r="O134" s="44">
        <f t="shared" si="27"/>
        <v>128</v>
      </c>
      <c r="P134" s="23">
        <v>38892.912600000003</v>
      </c>
      <c r="Q134" s="23">
        <v>1639.9</v>
      </c>
      <c r="R134" s="23">
        <v>356.5</v>
      </c>
      <c r="S134" s="23">
        <f t="shared" si="19"/>
        <v>40889.312600000005</v>
      </c>
      <c r="T134" s="42">
        <f t="shared" si="20"/>
        <v>0.44541831899415907</v>
      </c>
      <c r="U134" s="41">
        <f>'[1]generators-p'!E130</f>
        <v>40071.69526356073</v>
      </c>
      <c r="V134" s="42">
        <f t="shared" si="21"/>
        <v>0.43651179265707257</v>
      </c>
      <c r="W134" s="33"/>
      <c r="X134" s="40">
        <v>128</v>
      </c>
      <c r="Y134" s="54">
        <v>9360.1852541400003</v>
      </c>
      <c r="Z134" s="54">
        <v>11901.692370000001</v>
      </c>
      <c r="AA134" s="55">
        <f t="shared" si="22"/>
        <v>21261.877624140001</v>
      </c>
      <c r="AB134" s="56">
        <f>'[1]generators-p'!J130</f>
        <v>22548.698603502839</v>
      </c>
      <c r="AC134" s="54">
        <f>'[1]links-p0'!E130</f>
        <v>1769.573203784706</v>
      </c>
      <c r="AD134" s="54">
        <f t="shared" si="23"/>
        <v>17022.790265101281</v>
      </c>
      <c r="AE134" s="33"/>
      <c r="AF134" s="45">
        <v>128</v>
      </c>
      <c r="AG134" s="52">
        <v>0</v>
      </c>
      <c r="AH134" s="52">
        <f>'[1]links-p0'!B130</f>
        <v>0</v>
      </c>
      <c r="AI134" s="33"/>
      <c r="AJ134" s="40">
        <v>128</v>
      </c>
      <c r="AK134" s="23">
        <v>0</v>
      </c>
      <c r="AL134" s="52">
        <f>'[1]links-p0'!H130</f>
        <v>0</v>
      </c>
      <c r="AM134" s="33"/>
      <c r="AN134" s="40">
        <v>128</v>
      </c>
      <c r="AO134" s="23">
        <v>0</v>
      </c>
      <c r="AP134" s="52">
        <v>10447.41</v>
      </c>
      <c r="AQ134" s="62">
        <f t="shared" si="24"/>
        <v>10447.41</v>
      </c>
      <c r="AR134" s="33">
        <f>'[1]links-p0'!C130</f>
        <v>0</v>
      </c>
      <c r="AS134" s="33"/>
      <c r="AT134" s="40">
        <v>128</v>
      </c>
      <c r="AU134" s="23">
        <v>4613</v>
      </c>
      <c r="AV134" s="33">
        <f>'[1]links-p0'!I130</f>
        <v>0</v>
      </c>
      <c r="AW134" s="33"/>
      <c r="AX134" s="40">
        <v>128</v>
      </c>
      <c r="AY134" s="23">
        <v>2897.4</v>
      </c>
      <c r="AZ134" s="52">
        <v>0</v>
      </c>
      <c r="BA134" s="62">
        <f t="shared" si="25"/>
        <v>2897.4</v>
      </c>
      <c r="BB134" s="33">
        <f>'[1]links-p0'!D130</f>
        <v>13320.750632965201</v>
      </c>
    </row>
    <row r="135" spans="1:54" x14ac:dyDescent="0.35">
      <c r="A135" s="33"/>
      <c r="B135" s="40">
        <f t="shared" si="26"/>
        <v>129</v>
      </c>
      <c r="C135" s="41">
        <v>9960</v>
      </c>
      <c r="D135" s="23">
        <v>389.20499999999998</v>
      </c>
      <c r="E135" s="23">
        <v>3810</v>
      </c>
      <c r="F135" s="23">
        <f t="shared" si="30"/>
        <v>14159.205</v>
      </c>
      <c r="G135" s="42">
        <f t="shared" ref="G135:G173" si="32">F135/$F$2</f>
        <v>0.12019188489452909</v>
      </c>
      <c r="H135" s="23">
        <f>'[1]generators-p'!B131</f>
        <v>9960.0000000000018</v>
      </c>
      <c r="I135" s="23">
        <f>'[1]generators-p'!C131</f>
        <v>389.20499999999998</v>
      </c>
      <c r="J135" s="23">
        <f>'[1]generators-p'!D131</f>
        <v>3810</v>
      </c>
      <c r="K135" s="23">
        <v>0</v>
      </c>
      <c r="L135" s="23">
        <f t="shared" ref="L135:L173" si="33">I135+J135+H135</f>
        <v>14159.205000000002</v>
      </c>
      <c r="M135" s="42">
        <f t="shared" si="31"/>
        <v>0.12019188489452912</v>
      </c>
      <c r="N135" s="33"/>
      <c r="O135" s="44">
        <f t="shared" si="27"/>
        <v>129</v>
      </c>
      <c r="P135" s="23">
        <v>38358.913800000002</v>
      </c>
      <c r="Q135" s="23">
        <v>1658.3</v>
      </c>
      <c r="R135" s="23">
        <v>360.5</v>
      </c>
      <c r="S135" s="23">
        <f t="shared" ref="S135:S173" si="34">P135+Q135+R135</f>
        <v>40377.713800000005</v>
      </c>
      <c r="T135" s="42">
        <f t="shared" ref="T135:T173" si="35">S135/$S$2</f>
        <v>0.43984533517502222</v>
      </c>
      <c r="U135" s="41">
        <f>'[1]generators-p'!E131</f>
        <v>39586.955169895176</v>
      </c>
      <c r="V135" s="42">
        <f t="shared" ref="V135:V173" si="36">U135/$U$2</f>
        <v>0.43123138797573823</v>
      </c>
      <c r="W135" s="33"/>
      <c r="X135" s="40">
        <v>129</v>
      </c>
      <c r="Y135" s="54">
        <v>6208.6625355799997</v>
      </c>
      <c r="Z135" s="54">
        <v>14969.390789999999</v>
      </c>
      <c r="AA135" s="55">
        <f t="shared" ref="AA135:AA173" si="37">Z135+Y135</f>
        <v>21178.05332558</v>
      </c>
      <c r="AB135" s="56">
        <f>'[1]generators-p'!J131</f>
        <v>28891.967008143871</v>
      </c>
      <c r="AC135" s="54">
        <f>'[1]links-p0'!E131</f>
        <v>0</v>
      </c>
      <c r="AD135" s="54">
        <f t="shared" ref="AD135:AD173" si="38">(AB135+AC135)*0.7</f>
        <v>20224.376905700708</v>
      </c>
      <c r="AE135" s="33"/>
      <c r="AF135" s="45">
        <v>129</v>
      </c>
      <c r="AG135" s="52">
        <v>0</v>
      </c>
      <c r="AH135" s="52">
        <f>'[1]links-p0'!B131</f>
        <v>0</v>
      </c>
      <c r="AI135" s="33"/>
      <c r="AJ135" s="40">
        <v>129</v>
      </c>
      <c r="AK135" s="23">
        <v>0</v>
      </c>
      <c r="AL135" s="52">
        <f>'[1]links-p0'!H131</f>
        <v>0</v>
      </c>
      <c r="AM135" s="33"/>
      <c r="AN135" s="40">
        <v>129</v>
      </c>
      <c r="AO135" s="23">
        <v>0</v>
      </c>
      <c r="AP135" s="52">
        <v>0</v>
      </c>
      <c r="AQ135" s="62">
        <f t="shared" ref="AQ135:AQ173" si="39">AO135+AP135</f>
        <v>0</v>
      </c>
      <c r="AR135" s="33">
        <f>'[1]links-p0'!C131</f>
        <v>0</v>
      </c>
      <c r="AS135" s="33"/>
      <c r="AT135" s="40">
        <v>129</v>
      </c>
      <c r="AU135" s="23">
        <v>4613</v>
      </c>
      <c r="AV135" s="33">
        <f>'[1]links-p0'!I131</f>
        <v>0</v>
      </c>
      <c r="AW135" s="33"/>
      <c r="AX135" s="40">
        <v>129</v>
      </c>
      <c r="AY135" s="23">
        <v>2897.4</v>
      </c>
      <c r="AZ135" s="52">
        <v>2666.29374831</v>
      </c>
      <c r="BA135" s="62">
        <f t="shared" ref="BA135:BA173" si="40">AY135+AZ135</f>
        <v>5563.69374831</v>
      </c>
      <c r="BB135" s="33">
        <f>'[1]links-p0'!D131</f>
        <v>13320.750632965201</v>
      </c>
    </row>
    <row r="136" spans="1:54" x14ac:dyDescent="0.35">
      <c r="A136" s="33"/>
      <c r="B136" s="40">
        <f t="shared" ref="B136:B173" si="41">B135+1</f>
        <v>130</v>
      </c>
      <c r="C136" s="41">
        <v>25398</v>
      </c>
      <c r="D136" s="23">
        <v>1037.8800000000001</v>
      </c>
      <c r="E136" s="23">
        <v>8910</v>
      </c>
      <c r="F136" s="23">
        <f t="shared" si="30"/>
        <v>35345.880000000005</v>
      </c>
      <c r="G136" s="42">
        <f t="shared" si="32"/>
        <v>0.30003718008573493</v>
      </c>
      <c r="H136" s="23">
        <f>'[1]generators-p'!B132</f>
        <v>25398</v>
      </c>
      <c r="I136" s="23">
        <f>'[1]generators-p'!C132</f>
        <v>1037.8800000000001</v>
      </c>
      <c r="J136" s="23">
        <f>'[1]generators-p'!D132</f>
        <v>8910</v>
      </c>
      <c r="K136" s="23">
        <v>5242.8956664641009</v>
      </c>
      <c r="L136" s="23">
        <f t="shared" si="33"/>
        <v>35345.880000000005</v>
      </c>
      <c r="M136" s="42">
        <f t="shared" si="31"/>
        <v>0.30003718008573493</v>
      </c>
      <c r="N136" s="33"/>
      <c r="O136" s="44">
        <f t="shared" ref="O136:O173" si="42">O135+1</f>
        <v>130</v>
      </c>
      <c r="P136" s="23">
        <v>39070.912199999999</v>
      </c>
      <c r="Q136" s="23">
        <v>1674.4</v>
      </c>
      <c r="R136" s="23">
        <v>364</v>
      </c>
      <c r="S136" s="23">
        <f t="shared" si="34"/>
        <v>41109.3122</v>
      </c>
      <c r="T136" s="42">
        <f t="shared" si="35"/>
        <v>0.44781483401924621</v>
      </c>
      <c r="U136" s="41">
        <f>'[1]generators-p'!E132</f>
        <v>40260.084323157091</v>
      </c>
      <c r="V136" s="42">
        <f t="shared" si="36"/>
        <v>0.43856396553322652</v>
      </c>
      <c r="W136" s="33"/>
      <c r="X136" s="40">
        <v>130</v>
      </c>
      <c r="Y136" s="54">
        <v>761.11607542000002</v>
      </c>
      <c r="Z136" s="54">
        <v>19967.146820000002</v>
      </c>
      <c r="AA136" s="55">
        <f t="shared" si="37"/>
        <v>20728.262895420001</v>
      </c>
      <c r="AB136" s="56">
        <f>'[1]generators-p'!J132</f>
        <v>27987.237526514291</v>
      </c>
      <c r="AC136" s="54">
        <f>'[1]links-p0'!E132</f>
        <v>0</v>
      </c>
      <c r="AD136" s="54">
        <f t="shared" si="38"/>
        <v>19591.066268560004</v>
      </c>
      <c r="AE136" s="33"/>
      <c r="AF136" s="45">
        <v>130</v>
      </c>
      <c r="AG136" s="52">
        <v>0</v>
      </c>
      <c r="AH136" s="52">
        <f>'[1]links-p0'!B132</f>
        <v>0</v>
      </c>
      <c r="AI136" s="33"/>
      <c r="AJ136" s="40">
        <v>130</v>
      </c>
      <c r="AK136" s="23">
        <v>0</v>
      </c>
      <c r="AL136" s="52">
        <f>'[1]links-p0'!H132</f>
        <v>0</v>
      </c>
      <c r="AM136" s="33"/>
      <c r="AN136" s="40">
        <v>130</v>
      </c>
      <c r="AO136" s="23">
        <v>0</v>
      </c>
      <c r="AP136" s="52">
        <v>0</v>
      </c>
      <c r="AQ136" s="62">
        <f t="shared" si="39"/>
        <v>0</v>
      </c>
      <c r="AR136" s="33">
        <f>'[1]links-p0'!C132</f>
        <v>0</v>
      </c>
      <c r="AS136" s="33"/>
      <c r="AT136" s="40">
        <v>130</v>
      </c>
      <c r="AU136" s="23">
        <v>931.99979149000001</v>
      </c>
      <c r="AV136" s="33">
        <f>'[1]links-p0'!I132</f>
        <v>0</v>
      </c>
      <c r="AW136" s="33"/>
      <c r="AX136" s="40">
        <v>130</v>
      </c>
      <c r="AY136" s="23">
        <v>2897.4</v>
      </c>
      <c r="AZ136" s="52">
        <v>10423.35</v>
      </c>
      <c r="BA136" s="62">
        <f t="shared" si="40"/>
        <v>13320.75</v>
      </c>
      <c r="BB136" s="33">
        <f>'[1]links-p0'!D132</f>
        <v>13320.750632965201</v>
      </c>
    </row>
    <row r="137" spans="1:54" x14ac:dyDescent="0.35">
      <c r="A137" s="33"/>
      <c r="B137" s="40">
        <f t="shared" si="41"/>
        <v>131</v>
      </c>
      <c r="C137" s="41">
        <v>30959</v>
      </c>
      <c r="D137" s="23">
        <v>1729.8</v>
      </c>
      <c r="E137" s="23">
        <v>12960</v>
      </c>
      <c r="F137" s="23">
        <f t="shared" si="30"/>
        <v>45648.800000000003</v>
      </c>
      <c r="G137" s="42">
        <f t="shared" si="32"/>
        <v>0.38749458851491875</v>
      </c>
      <c r="H137" s="23">
        <f>'[1]generators-p'!B133</f>
        <v>30959</v>
      </c>
      <c r="I137" s="23">
        <f>'[1]generators-p'!C133</f>
        <v>1729.8</v>
      </c>
      <c r="J137" s="23">
        <f>'[1]generators-p'!D133</f>
        <v>12960</v>
      </c>
      <c r="K137" s="23">
        <v>11351.09073145722</v>
      </c>
      <c r="L137" s="23">
        <f t="shared" si="33"/>
        <v>45648.800000000003</v>
      </c>
      <c r="M137" s="42">
        <f t="shared" si="31"/>
        <v>0.38749458851491875</v>
      </c>
      <c r="N137" s="33"/>
      <c r="O137" s="44">
        <f t="shared" si="42"/>
        <v>131</v>
      </c>
      <c r="P137" s="23">
        <v>40138.909800000001</v>
      </c>
      <c r="Q137" s="23">
        <v>1681.3</v>
      </c>
      <c r="R137" s="23">
        <v>365.5</v>
      </c>
      <c r="S137" s="23">
        <f t="shared" si="34"/>
        <v>42185.709800000004</v>
      </c>
      <c r="T137" s="42">
        <f t="shared" si="35"/>
        <v>0.45954032361726282</v>
      </c>
      <c r="U137" s="41">
        <f>'[1]generators-p'!E133</f>
        <v>41393.020378710047</v>
      </c>
      <c r="V137" s="42">
        <f t="shared" si="36"/>
        <v>0.4509053437884401</v>
      </c>
      <c r="W137" s="33"/>
      <c r="X137" s="40">
        <v>131</v>
      </c>
      <c r="Y137" s="54">
        <v>11005</v>
      </c>
      <c r="Z137" s="54">
        <v>9727.128069710001</v>
      </c>
      <c r="AA137" s="55">
        <f t="shared" si="37"/>
        <v>20732.128069710001</v>
      </c>
      <c r="AB137" s="56">
        <f>'[1]generators-p'!J133</f>
        <v>28010.537536457141</v>
      </c>
      <c r="AC137" s="54">
        <f>'[1]links-p0'!E133</f>
        <v>0</v>
      </c>
      <c r="AD137" s="54">
        <f t="shared" si="38"/>
        <v>19607.376275519997</v>
      </c>
      <c r="AE137" s="33"/>
      <c r="AF137" s="45">
        <v>131</v>
      </c>
      <c r="AG137" s="52">
        <v>0</v>
      </c>
      <c r="AH137" s="52">
        <f>'[1]links-p0'!B133</f>
        <v>0</v>
      </c>
      <c r="AI137" s="33"/>
      <c r="AJ137" s="40">
        <v>131</v>
      </c>
      <c r="AK137" s="23">
        <v>0</v>
      </c>
      <c r="AL137" s="52">
        <f>'[1]links-p0'!H133</f>
        <v>0</v>
      </c>
      <c r="AM137" s="33"/>
      <c r="AN137" s="40">
        <v>131</v>
      </c>
      <c r="AO137" s="23">
        <v>0</v>
      </c>
      <c r="AP137" s="52">
        <v>0</v>
      </c>
      <c r="AQ137" s="62">
        <f t="shared" si="39"/>
        <v>0</v>
      </c>
      <c r="AR137" s="33">
        <f>'[1]links-p0'!C133</f>
        <v>0</v>
      </c>
      <c r="AS137" s="33"/>
      <c r="AT137" s="40">
        <v>131</v>
      </c>
      <c r="AU137" s="23">
        <v>4613</v>
      </c>
      <c r="AV137" s="33">
        <f>'[1]links-p0'!I133</f>
        <v>0</v>
      </c>
      <c r="AW137" s="33"/>
      <c r="AX137" s="40">
        <v>131</v>
      </c>
      <c r="AY137" s="23">
        <v>2897.4</v>
      </c>
      <c r="AZ137" s="52">
        <v>10423.35</v>
      </c>
      <c r="BA137" s="62">
        <f t="shared" si="40"/>
        <v>13320.75</v>
      </c>
      <c r="BB137" s="33">
        <f>'[1]links-p0'!D133</f>
        <v>13320.750632965201</v>
      </c>
    </row>
    <row r="138" spans="1:54" x14ac:dyDescent="0.35">
      <c r="A138" s="33"/>
      <c r="B138" s="40">
        <f t="shared" si="41"/>
        <v>132</v>
      </c>
      <c r="C138" s="41">
        <v>31872</v>
      </c>
      <c r="D138" s="23">
        <v>2200.69</v>
      </c>
      <c r="E138" s="23">
        <v>14880</v>
      </c>
      <c r="F138" s="23">
        <f t="shared" si="30"/>
        <v>48952.69</v>
      </c>
      <c r="G138" s="42">
        <f t="shared" si="32"/>
        <v>0.41554000254658124</v>
      </c>
      <c r="H138" s="23">
        <f>'[1]generators-p'!B134</f>
        <v>31872.000000000011</v>
      </c>
      <c r="I138" s="23">
        <f>'[1]generators-p'!C134</f>
        <v>2200.69</v>
      </c>
      <c r="J138" s="23">
        <f>'[1]generators-p'!D134</f>
        <v>14880</v>
      </c>
      <c r="K138" s="23">
        <v>14094.328122536779</v>
      </c>
      <c r="L138" s="23">
        <f t="shared" si="33"/>
        <v>48952.69000000001</v>
      </c>
      <c r="M138" s="42">
        <f t="shared" si="31"/>
        <v>0.4155400025465813</v>
      </c>
      <c r="N138" s="33"/>
      <c r="O138" s="44">
        <f t="shared" si="42"/>
        <v>132</v>
      </c>
      <c r="P138" s="23">
        <v>41918.9058</v>
      </c>
      <c r="Q138" s="23">
        <v>1695.1</v>
      </c>
      <c r="R138" s="23">
        <v>368.5</v>
      </c>
      <c r="S138" s="23">
        <f t="shared" si="34"/>
        <v>43982.505799999999</v>
      </c>
      <c r="T138" s="42">
        <f t="shared" si="35"/>
        <v>0.47911330743639963</v>
      </c>
      <c r="U138" s="41">
        <f>'[1]generators-p'!E134</f>
        <v>43259.007077160553</v>
      </c>
      <c r="V138" s="42">
        <f t="shared" si="36"/>
        <v>0.47123204056175017</v>
      </c>
      <c r="W138" s="33"/>
      <c r="X138" s="40">
        <v>132</v>
      </c>
      <c r="Y138" s="54">
        <v>11005</v>
      </c>
      <c r="Z138" s="54">
        <v>9704.1983378200002</v>
      </c>
      <c r="AA138" s="55">
        <f t="shared" si="37"/>
        <v>20709.198337820002</v>
      </c>
      <c r="AB138" s="56">
        <f>'[1]generators-p'!J134</f>
        <v>27987.237526514291</v>
      </c>
      <c r="AC138" s="54">
        <f>'[1]links-p0'!E134</f>
        <v>0</v>
      </c>
      <c r="AD138" s="54">
        <f t="shared" si="38"/>
        <v>19591.066268560004</v>
      </c>
      <c r="AE138" s="33"/>
      <c r="AF138" s="45">
        <v>132</v>
      </c>
      <c r="AG138" s="52">
        <v>0</v>
      </c>
      <c r="AH138" s="52">
        <f>'[1]links-p0'!B134</f>
        <v>0</v>
      </c>
      <c r="AI138" s="33"/>
      <c r="AJ138" s="40">
        <v>132</v>
      </c>
      <c r="AK138" s="23">
        <v>0</v>
      </c>
      <c r="AL138" s="52">
        <f>'[1]links-p0'!H134</f>
        <v>0</v>
      </c>
      <c r="AM138" s="33"/>
      <c r="AN138" s="40">
        <v>132</v>
      </c>
      <c r="AO138" s="23">
        <v>0</v>
      </c>
      <c r="AP138" s="52">
        <v>0</v>
      </c>
      <c r="AQ138" s="62">
        <f t="shared" si="39"/>
        <v>0</v>
      </c>
      <c r="AR138" s="33">
        <f>'[1]links-p0'!C134</f>
        <v>0</v>
      </c>
      <c r="AS138" s="33"/>
      <c r="AT138" s="40">
        <v>132</v>
      </c>
      <c r="AU138" s="23">
        <v>2785.1080021299999</v>
      </c>
      <c r="AV138" s="33">
        <f>'[1]links-p0'!I134</f>
        <v>0</v>
      </c>
      <c r="AW138" s="33"/>
      <c r="AX138" s="40">
        <v>132</v>
      </c>
      <c r="AY138" s="23">
        <v>2897.4</v>
      </c>
      <c r="AZ138" s="52">
        <v>10423.35</v>
      </c>
      <c r="BA138" s="62">
        <f t="shared" si="40"/>
        <v>13320.75</v>
      </c>
      <c r="BB138" s="33">
        <f>'[1]links-p0'!D134</f>
        <v>13320.750632965201</v>
      </c>
    </row>
    <row r="139" spans="1:54" x14ac:dyDescent="0.35">
      <c r="A139" s="33"/>
      <c r="B139" s="40">
        <f t="shared" si="41"/>
        <v>133</v>
      </c>
      <c r="C139" s="41">
        <v>31376.143833949998</v>
      </c>
      <c r="D139" s="23">
        <v>0</v>
      </c>
      <c r="E139" s="23">
        <v>14880</v>
      </c>
      <c r="F139" s="23">
        <f t="shared" si="30"/>
        <v>46256.143833950002</v>
      </c>
      <c r="G139" s="42">
        <f t="shared" si="32"/>
        <v>0.39265008984296085</v>
      </c>
      <c r="H139" s="23">
        <f>'[1]generators-p'!B135</f>
        <v>31623.000000000011</v>
      </c>
      <c r="I139" s="23">
        <f>'[1]generators-p'!C135</f>
        <v>2306.4</v>
      </c>
      <c r="J139" s="23">
        <f>'[1]generators-p'!D135</f>
        <v>14880</v>
      </c>
      <c r="K139" s="23">
        <v>14093.980166994919</v>
      </c>
      <c r="L139" s="23">
        <f t="shared" si="33"/>
        <v>48809.400000000009</v>
      </c>
      <c r="M139" s="42">
        <f t="shared" si="31"/>
        <v>0.41432367047239088</v>
      </c>
      <c r="N139" s="33"/>
      <c r="O139" s="44">
        <f t="shared" si="42"/>
        <v>133</v>
      </c>
      <c r="P139" s="23">
        <v>42274.904999999999</v>
      </c>
      <c r="Q139" s="23">
        <v>1713.5</v>
      </c>
      <c r="R139" s="23">
        <v>372.5</v>
      </c>
      <c r="S139" s="23">
        <f t="shared" si="34"/>
        <v>44360.904999999999</v>
      </c>
      <c r="T139" s="42">
        <f t="shared" si="35"/>
        <v>0.48323531205950337</v>
      </c>
      <c r="U139" s="41">
        <f>'[1]generators-p'!E135</f>
        <v>43624.23604781185</v>
      </c>
      <c r="V139" s="42">
        <f t="shared" si="36"/>
        <v>0.47521057832165048</v>
      </c>
      <c r="W139" s="33"/>
      <c r="X139" s="40">
        <v>133</v>
      </c>
      <c r="Y139" s="54">
        <v>11005</v>
      </c>
      <c r="Z139" s="54">
        <v>9699.9226176499997</v>
      </c>
      <c r="AA139" s="55">
        <f t="shared" si="37"/>
        <v>20704.922617650001</v>
      </c>
      <c r="AB139" s="56">
        <f>'[1]generators-p'!J135</f>
        <v>27987.237526514291</v>
      </c>
      <c r="AC139" s="54">
        <f>'[1]links-p0'!E135</f>
        <v>0</v>
      </c>
      <c r="AD139" s="54">
        <f t="shared" si="38"/>
        <v>19591.066268560004</v>
      </c>
      <c r="AE139" s="33"/>
      <c r="AF139" s="45">
        <v>133</v>
      </c>
      <c r="AG139" s="52">
        <v>0</v>
      </c>
      <c r="AH139" s="52">
        <f>'[1]links-p0'!B135</f>
        <v>0</v>
      </c>
      <c r="AI139" s="33"/>
      <c r="AJ139" s="40">
        <v>133</v>
      </c>
      <c r="AK139" s="23">
        <v>0</v>
      </c>
      <c r="AL139" s="52">
        <f>'[1]links-p0'!H135</f>
        <v>0</v>
      </c>
      <c r="AM139" s="33"/>
      <c r="AN139" s="40">
        <v>133</v>
      </c>
      <c r="AO139" s="23">
        <v>0</v>
      </c>
      <c r="AP139" s="52">
        <v>0</v>
      </c>
      <c r="AQ139" s="62">
        <f t="shared" si="39"/>
        <v>0</v>
      </c>
      <c r="AR139" s="33">
        <f>'[1]links-p0'!C135</f>
        <v>0</v>
      </c>
      <c r="AS139" s="33"/>
      <c r="AT139" s="40">
        <v>133</v>
      </c>
      <c r="AU139" s="23">
        <v>0</v>
      </c>
      <c r="AV139" s="33">
        <f>'[1]links-p0'!I135</f>
        <v>0</v>
      </c>
      <c r="AW139" s="33"/>
      <c r="AX139" s="40">
        <v>133</v>
      </c>
      <c r="AY139" s="23">
        <v>2897.4</v>
      </c>
      <c r="AZ139" s="52">
        <v>10423.35</v>
      </c>
      <c r="BA139" s="62">
        <f t="shared" si="40"/>
        <v>13320.75</v>
      </c>
      <c r="BB139" s="33">
        <f>'[1]links-p0'!D135</f>
        <v>13320.750632965201</v>
      </c>
    </row>
    <row r="140" spans="1:54" x14ac:dyDescent="0.35">
      <c r="A140" s="33"/>
      <c r="B140" s="40">
        <f t="shared" si="41"/>
        <v>134</v>
      </c>
      <c r="C140" s="41">
        <v>30627</v>
      </c>
      <c r="D140" s="23">
        <v>2003.6849999999999</v>
      </c>
      <c r="E140" s="23">
        <v>13140</v>
      </c>
      <c r="F140" s="23">
        <f t="shared" si="30"/>
        <v>45770.684999999998</v>
      </c>
      <c r="G140" s="42">
        <f t="shared" si="32"/>
        <v>0.3885292220194389</v>
      </c>
      <c r="H140" s="23">
        <f>'[1]generators-p'!B136</f>
        <v>30627.000000000011</v>
      </c>
      <c r="I140" s="23">
        <f>'[1]generators-p'!C136</f>
        <v>2003.6849999999949</v>
      </c>
      <c r="J140" s="23">
        <f>'[1]generators-p'!D136</f>
        <v>13140</v>
      </c>
      <c r="K140" s="23">
        <v>11702.35895851468</v>
      </c>
      <c r="L140" s="23">
        <f t="shared" si="33"/>
        <v>45770.685000000005</v>
      </c>
      <c r="M140" s="42">
        <f t="shared" si="31"/>
        <v>0.38852922201943896</v>
      </c>
      <c r="N140" s="33"/>
      <c r="O140" s="44">
        <f t="shared" si="42"/>
        <v>134</v>
      </c>
      <c r="P140" s="23">
        <v>41028.907800000001</v>
      </c>
      <c r="Q140" s="23">
        <v>1734.2</v>
      </c>
      <c r="R140" s="23">
        <v>377</v>
      </c>
      <c r="S140" s="23">
        <f t="shared" si="34"/>
        <v>43140.107799999998</v>
      </c>
      <c r="T140" s="42">
        <f t="shared" si="35"/>
        <v>0.46993683864234992</v>
      </c>
      <c r="U140" s="41">
        <f>'[1]generators-p'!E136</f>
        <v>42328.657653815542</v>
      </c>
      <c r="V140" s="42">
        <f t="shared" si="36"/>
        <v>0.46109749317335702</v>
      </c>
      <c r="W140" s="33"/>
      <c r="X140" s="40">
        <v>134</v>
      </c>
      <c r="Y140" s="54">
        <v>11005</v>
      </c>
      <c r="Z140" s="54">
        <v>9578.9561895799998</v>
      </c>
      <c r="AA140" s="55">
        <f t="shared" si="37"/>
        <v>20583.95618958</v>
      </c>
      <c r="AB140" s="56">
        <f>'[1]generators-p'!J136</f>
        <v>28010.537536457141</v>
      </c>
      <c r="AC140" s="54">
        <f>'[1]links-p0'!E136</f>
        <v>0</v>
      </c>
      <c r="AD140" s="54">
        <f t="shared" si="38"/>
        <v>19607.376275519997</v>
      </c>
      <c r="AE140" s="33"/>
      <c r="AF140" s="45">
        <v>134</v>
      </c>
      <c r="AG140" s="52">
        <v>0</v>
      </c>
      <c r="AH140" s="52">
        <f>'[1]links-p0'!B136</f>
        <v>0</v>
      </c>
      <c r="AI140" s="33"/>
      <c r="AJ140" s="40">
        <v>134</v>
      </c>
      <c r="AK140" s="23">
        <v>0</v>
      </c>
      <c r="AL140" s="52">
        <f>'[1]links-p0'!H136</f>
        <v>0</v>
      </c>
      <c r="AM140" s="33"/>
      <c r="AN140" s="40">
        <v>134</v>
      </c>
      <c r="AO140" s="23">
        <v>0</v>
      </c>
      <c r="AP140" s="52">
        <v>0</v>
      </c>
      <c r="AQ140" s="62">
        <f t="shared" si="39"/>
        <v>0</v>
      </c>
      <c r="AR140" s="33">
        <f>'[1]links-p0'!C136</f>
        <v>0</v>
      </c>
      <c r="AS140" s="33"/>
      <c r="AT140" s="40">
        <v>134</v>
      </c>
      <c r="AU140" s="23">
        <v>0</v>
      </c>
      <c r="AV140" s="33">
        <f>'[1]links-p0'!I136</f>
        <v>0</v>
      </c>
      <c r="AW140" s="33"/>
      <c r="AX140" s="40">
        <v>134</v>
      </c>
      <c r="AY140" s="23">
        <v>2897.4</v>
      </c>
      <c r="AZ140" s="52">
        <v>10423.35</v>
      </c>
      <c r="BA140" s="62">
        <f t="shared" si="40"/>
        <v>13320.75</v>
      </c>
      <c r="BB140" s="33">
        <f>'[1]links-p0'!D136</f>
        <v>13320.750632965201</v>
      </c>
    </row>
    <row r="141" spans="1:54" x14ac:dyDescent="0.35">
      <c r="A141" s="33"/>
      <c r="B141" s="40">
        <f t="shared" si="41"/>
        <v>135</v>
      </c>
      <c r="C141" s="41">
        <v>28137</v>
      </c>
      <c r="D141" s="23">
        <v>1388.645</v>
      </c>
      <c r="E141" s="23">
        <v>10050</v>
      </c>
      <c r="F141" s="23">
        <f t="shared" si="30"/>
        <v>39575.645000000004</v>
      </c>
      <c r="G141" s="42">
        <f t="shared" si="32"/>
        <v>0.33594198039132467</v>
      </c>
      <c r="H141" s="23">
        <f>'[1]generators-p'!B137</f>
        <v>28137</v>
      </c>
      <c r="I141" s="23">
        <f>'[1]generators-p'!C137</f>
        <v>1388.645</v>
      </c>
      <c r="J141" s="23">
        <f>'[1]generators-p'!D137</f>
        <v>10050</v>
      </c>
      <c r="K141" s="23">
        <v>7118.8610626114096</v>
      </c>
      <c r="L141" s="23">
        <f t="shared" si="33"/>
        <v>39575.645000000004</v>
      </c>
      <c r="M141" s="42">
        <f t="shared" si="31"/>
        <v>0.33594198039132467</v>
      </c>
      <c r="N141" s="33"/>
      <c r="O141" s="44">
        <f t="shared" si="42"/>
        <v>135</v>
      </c>
      <c r="P141" s="23">
        <v>38625.913200000003</v>
      </c>
      <c r="Q141" s="23">
        <v>1743.4</v>
      </c>
      <c r="R141" s="23">
        <v>379</v>
      </c>
      <c r="S141" s="23">
        <f t="shared" si="34"/>
        <v>40748.313200000004</v>
      </c>
      <c r="T141" s="42">
        <f t="shared" si="35"/>
        <v>0.44388237447140411</v>
      </c>
      <c r="U141" s="41">
        <f>'[1]generators-p'!E137</f>
        <v>39854.978806989493</v>
      </c>
      <c r="V141" s="42">
        <f t="shared" si="36"/>
        <v>0.43415104179954089</v>
      </c>
      <c r="W141" s="33"/>
      <c r="X141" s="40">
        <v>135</v>
      </c>
      <c r="Y141" s="54">
        <v>11005</v>
      </c>
      <c r="Z141" s="54">
        <v>9128.5141428700008</v>
      </c>
      <c r="AA141" s="55">
        <f t="shared" si="37"/>
        <v>20133.514142870001</v>
      </c>
      <c r="AB141" s="56">
        <f>'[1]generators-p'!J137</f>
        <v>27987.237526514291</v>
      </c>
      <c r="AC141" s="54">
        <f>'[1]links-p0'!E137</f>
        <v>0</v>
      </c>
      <c r="AD141" s="54">
        <f t="shared" si="38"/>
        <v>19591.066268560004</v>
      </c>
      <c r="AE141" s="33"/>
      <c r="AF141" s="45">
        <v>135</v>
      </c>
      <c r="AG141" s="52">
        <v>0</v>
      </c>
      <c r="AH141" s="52">
        <f>'[1]links-p0'!B137</f>
        <v>0</v>
      </c>
      <c r="AI141" s="33"/>
      <c r="AJ141" s="40">
        <v>135</v>
      </c>
      <c r="AK141" s="23">
        <v>0</v>
      </c>
      <c r="AL141" s="52">
        <f>'[1]links-p0'!H137</f>
        <v>0</v>
      </c>
      <c r="AM141" s="33"/>
      <c r="AN141" s="40">
        <v>135</v>
      </c>
      <c r="AO141" s="23">
        <v>0</v>
      </c>
      <c r="AP141" s="52">
        <v>0</v>
      </c>
      <c r="AQ141" s="62">
        <f t="shared" si="39"/>
        <v>0</v>
      </c>
      <c r="AR141" s="33">
        <f>'[1]links-p0'!C137</f>
        <v>0</v>
      </c>
      <c r="AS141" s="33"/>
      <c r="AT141" s="40">
        <v>135</v>
      </c>
      <c r="AU141" s="23">
        <v>0</v>
      </c>
      <c r="AV141" s="33">
        <f>'[1]links-p0'!I137</f>
        <v>0</v>
      </c>
      <c r="AW141" s="33"/>
      <c r="AX141" s="40">
        <v>135</v>
      </c>
      <c r="AY141" s="23">
        <v>2897.4</v>
      </c>
      <c r="AZ141" s="52">
        <v>10423.35</v>
      </c>
      <c r="BA141" s="62">
        <f t="shared" si="40"/>
        <v>13320.75</v>
      </c>
      <c r="BB141" s="33">
        <f>'[1]links-p0'!D137</f>
        <v>13320.750632965201</v>
      </c>
    </row>
    <row r="142" spans="1:54" x14ac:dyDescent="0.35">
      <c r="A142" s="33"/>
      <c r="B142" s="40">
        <f t="shared" si="41"/>
        <v>136</v>
      </c>
      <c r="C142" s="41">
        <v>19837</v>
      </c>
      <c r="D142" s="23">
        <v>658.28499999999997</v>
      </c>
      <c r="E142" s="23">
        <v>5940</v>
      </c>
      <c r="F142" s="23">
        <f t="shared" si="30"/>
        <v>26435.285</v>
      </c>
      <c r="G142" s="42">
        <f t="shared" si="32"/>
        <v>0.2243986672891643</v>
      </c>
      <c r="H142" s="23">
        <f>'[1]generators-p'!B138</f>
        <v>19837</v>
      </c>
      <c r="I142" s="23">
        <f>'[1]generators-p'!C138</f>
        <v>658.28499999999997</v>
      </c>
      <c r="J142" s="23">
        <f>'[1]generators-p'!D138</f>
        <v>5940</v>
      </c>
      <c r="K142" s="23">
        <v>0</v>
      </c>
      <c r="L142" s="23">
        <f t="shared" si="33"/>
        <v>26435.285</v>
      </c>
      <c r="M142" s="42">
        <f t="shared" si="31"/>
        <v>0.2243986672891643</v>
      </c>
      <c r="N142" s="33"/>
      <c r="O142" s="44">
        <f t="shared" si="42"/>
        <v>136</v>
      </c>
      <c r="P142" s="23">
        <v>36756.917399999998</v>
      </c>
      <c r="Q142" s="23">
        <v>1741.1</v>
      </c>
      <c r="R142" s="23">
        <v>378.5</v>
      </c>
      <c r="S142" s="23">
        <f t="shared" si="34"/>
        <v>38876.517399999997</v>
      </c>
      <c r="T142" s="42">
        <f t="shared" si="35"/>
        <v>0.42349239758692281</v>
      </c>
      <c r="U142" s="41">
        <f>'[1]generators-p'!E138</f>
        <v>37869.841666917171</v>
      </c>
      <c r="V142" s="42">
        <f t="shared" si="36"/>
        <v>0.41252640710455979</v>
      </c>
      <c r="W142" s="33"/>
      <c r="X142" s="40">
        <v>136</v>
      </c>
      <c r="Y142" s="54">
        <v>5769.1220671900001</v>
      </c>
      <c r="Z142" s="54">
        <v>13929.70820736</v>
      </c>
      <c r="AA142" s="55">
        <f t="shared" si="37"/>
        <v>19698.83027455</v>
      </c>
      <c r="AB142" s="56">
        <f>'[1]generators-p'!J138</f>
        <v>27987.237526514291</v>
      </c>
      <c r="AC142" s="54">
        <f>'[1]links-p0'!E138</f>
        <v>0</v>
      </c>
      <c r="AD142" s="54">
        <f t="shared" si="38"/>
        <v>19591.066268560004</v>
      </c>
      <c r="AE142" s="33"/>
      <c r="AF142" s="45">
        <v>136</v>
      </c>
      <c r="AG142" s="52">
        <v>0</v>
      </c>
      <c r="AH142" s="52">
        <f>'[1]links-p0'!B138</f>
        <v>0</v>
      </c>
      <c r="AI142" s="33"/>
      <c r="AJ142" s="40">
        <v>136</v>
      </c>
      <c r="AK142" s="23">
        <v>0</v>
      </c>
      <c r="AL142" s="52">
        <f>'[1]links-p0'!H138</f>
        <v>0</v>
      </c>
      <c r="AM142" s="33"/>
      <c r="AN142" s="40">
        <v>136</v>
      </c>
      <c r="AO142" s="23">
        <v>0</v>
      </c>
      <c r="AP142" s="52">
        <v>0</v>
      </c>
      <c r="AQ142" s="62">
        <f t="shared" si="39"/>
        <v>0</v>
      </c>
      <c r="AR142" s="33">
        <f>'[1]links-p0'!C138</f>
        <v>0</v>
      </c>
      <c r="AS142" s="33"/>
      <c r="AT142" s="40">
        <v>136</v>
      </c>
      <c r="AU142" s="23">
        <v>0</v>
      </c>
      <c r="AV142" s="33">
        <f>'[1]links-p0'!I138</f>
        <v>0</v>
      </c>
      <c r="AW142" s="33"/>
      <c r="AX142" s="40">
        <v>136</v>
      </c>
      <c r="AY142" s="23">
        <v>2897.4</v>
      </c>
      <c r="AZ142" s="52">
        <v>10423.35</v>
      </c>
      <c r="BA142" s="62">
        <f t="shared" si="40"/>
        <v>13320.75</v>
      </c>
      <c r="BB142" s="33">
        <f>'[1]links-p0'!D138</f>
        <v>13320.750632965201</v>
      </c>
    </row>
    <row r="143" spans="1:54" x14ac:dyDescent="0.35">
      <c r="A143" s="33"/>
      <c r="B143" s="40">
        <f t="shared" si="41"/>
        <v>137</v>
      </c>
      <c r="C143" s="41">
        <v>4648</v>
      </c>
      <c r="D143" s="23">
        <v>81.685000000000002</v>
      </c>
      <c r="E143" s="23">
        <v>1650</v>
      </c>
      <c r="F143" s="23">
        <f t="shared" si="30"/>
        <v>6379.6850000000004</v>
      </c>
      <c r="G143" s="42">
        <f t="shared" si="32"/>
        <v>5.4154619922753708E-2</v>
      </c>
      <c r="H143" s="23">
        <f>'[1]generators-p'!B139</f>
        <v>4647.9999999999973</v>
      </c>
      <c r="I143" s="23">
        <f>'[1]generators-p'!C139</f>
        <v>81.685000000000002</v>
      </c>
      <c r="J143" s="23">
        <f>'[1]generators-p'!D139</f>
        <v>1650</v>
      </c>
      <c r="K143" s="23">
        <v>0</v>
      </c>
      <c r="L143" s="23">
        <f t="shared" si="33"/>
        <v>6379.6849999999977</v>
      </c>
      <c r="M143" s="42">
        <f t="shared" si="31"/>
        <v>5.415461992275368E-2</v>
      </c>
      <c r="N143" s="33"/>
      <c r="O143" s="44">
        <f t="shared" si="42"/>
        <v>137</v>
      </c>
      <c r="P143" s="23">
        <v>30704.931</v>
      </c>
      <c r="Q143" s="23">
        <v>1731.9</v>
      </c>
      <c r="R143" s="23">
        <v>376.5</v>
      </c>
      <c r="S143" s="23">
        <f t="shared" si="34"/>
        <v>32813.331000000006</v>
      </c>
      <c r="T143" s="42">
        <f t="shared" si="35"/>
        <v>0.35744447155658299</v>
      </c>
      <c r="U143" s="41">
        <f>'[1]generators-p'!E139</f>
        <v>31635.808139735909</v>
      </c>
      <c r="V143" s="42">
        <f t="shared" si="36"/>
        <v>0.34461739720278156</v>
      </c>
      <c r="W143" s="33"/>
      <c r="X143" s="40">
        <v>137</v>
      </c>
      <c r="Y143" s="54">
        <v>4830.41390555</v>
      </c>
      <c r="Z143" s="54">
        <v>10802.165069999999</v>
      </c>
      <c r="AA143" s="55">
        <f t="shared" si="37"/>
        <v>15632.578975549999</v>
      </c>
      <c r="AB143" s="56">
        <f>'[1]generators-p'!J139</f>
        <v>23074.12026775318</v>
      </c>
      <c r="AC143" s="54">
        <f>'[1]links-p0'!E139</f>
        <v>630.36182420107434</v>
      </c>
      <c r="AD143" s="54">
        <f t="shared" si="38"/>
        <v>16593.137464367977</v>
      </c>
      <c r="AE143" s="33"/>
      <c r="AF143" s="45">
        <v>137</v>
      </c>
      <c r="AG143" s="52">
        <v>0</v>
      </c>
      <c r="AH143" s="52">
        <f>'[1]links-p0'!B139</f>
        <v>0</v>
      </c>
      <c r="AI143" s="33"/>
      <c r="AJ143" s="40">
        <v>137</v>
      </c>
      <c r="AK143" s="23">
        <v>0</v>
      </c>
      <c r="AL143" s="52">
        <f>'[1]links-p0'!H139</f>
        <v>0</v>
      </c>
      <c r="AM143" s="33"/>
      <c r="AN143" s="40">
        <v>137</v>
      </c>
      <c r="AO143" s="23">
        <v>0</v>
      </c>
      <c r="AP143" s="52">
        <v>7898.4060638499996</v>
      </c>
      <c r="AQ143" s="62">
        <f t="shared" si="39"/>
        <v>7898.4060638499996</v>
      </c>
      <c r="AR143" s="33">
        <f>'[1]links-p0'!C139</f>
        <v>0</v>
      </c>
      <c r="AS143" s="33"/>
      <c r="AT143" s="40">
        <v>137</v>
      </c>
      <c r="AU143" s="23">
        <v>4613</v>
      </c>
      <c r="AV143" s="33">
        <f>'[1]links-p0'!I139</f>
        <v>0</v>
      </c>
      <c r="AW143" s="33"/>
      <c r="AX143" s="40">
        <v>137</v>
      </c>
      <c r="AY143" s="23">
        <v>2897.4</v>
      </c>
      <c r="AZ143" s="52">
        <v>0</v>
      </c>
      <c r="BA143" s="62">
        <f t="shared" si="40"/>
        <v>2897.4</v>
      </c>
      <c r="BB143" s="33">
        <f>'[1]links-p0'!D139</f>
        <v>13320.750632965201</v>
      </c>
    </row>
    <row r="144" spans="1:54" x14ac:dyDescent="0.35">
      <c r="A144" s="33"/>
      <c r="B144" s="40">
        <f t="shared" si="41"/>
        <v>138</v>
      </c>
      <c r="C144" s="41">
        <v>0</v>
      </c>
      <c r="D144" s="23">
        <v>0</v>
      </c>
      <c r="E144" s="23">
        <v>0</v>
      </c>
      <c r="F144" s="23">
        <f t="shared" si="30"/>
        <v>0</v>
      </c>
      <c r="G144" s="42">
        <f t="shared" si="32"/>
        <v>0</v>
      </c>
      <c r="H144" s="23">
        <f>'[1]generators-p'!B140</f>
        <v>0</v>
      </c>
      <c r="I144" s="23">
        <f>'[1]generators-p'!C140</f>
        <v>0</v>
      </c>
      <c r="J144" s="23">
        <f>'[1]generators-p'!D140</f>
        <v>0</v>
      </c>
      <c r="K144" s="23">
        <v>0</v>
      </c>
      <c r="L144" s="23">
        <f t="shared" si="33"/>
        <v>0</v>
      </c>
      <c r="M144" s="42">
        <f t="shared" si="31"/>
        <v>0</v>
      </c>
      <c r="N144" s="33"/>
      <c r="O144" s="44">
        <f t="shared" si="42"/>
        <v>138</v>
      </c>
      <c r="P144" s="23">
        <v>30793.930799999998</v>
      </c>
      <c r="Q144" s="23">
        <v>1718.1</v>
      </c>
      <c r="R144" s="23">
        <v>373.5</v>
      </c>
      <c r="S144" s="23">
        <f t="shared" si="34"/>
        <v>32885.530799999993</v>
      </c>
      <c r="T144" s="42">
        <f t="shared" si="35"/>
        <v>0.35823096346615124</v>
      </c>
      <c r="U144" s="41">
        <f>'[1]generators-p'!E140</f>
        <v>31769.808116109591</v>
      </c>
      <c r="V144" s="42">
        <f t="shared" si="36"/>
        <v>0.34607709511469076</v>
      </c>
      <c r="W144" s="33"/>
      <c r="X144" s="40">
        <v>138</v>
      </c>
      <c r="Y144" s="54">
        <v>7443.6657194400004</v>
      </c>
      <c r="Z144" s="54">
        <v>9340.2061999999987</v>
      </c>
      <c r="AA144" s="55">
        <f t="shared" si="37"/>
        <v>16783.87191944</v>
      </c>
      <c r="AB144" s="56">
        <f>'[1]generators-p'!J140</f>
        <v>17518.12890643967</v>
      </c>
      <c r="AC144" s="54">
        <f>'[1]links-p0'!E140</f>
        <v>7867.7514835802431</v>
      </c>
      <c r="AD144" s="54">
        <f t="shared" si="38"/>
        <v>17770.116273013937</v>
      </c>
      <c r="AE144" s="33"/>
      <c r="AF144" s="45">
        <v>138</v>
      </c>
      <c r="AG144" s="52">
        <v>0</v>
      </c>
      <c r="AH144" s="52">
        <f>'[1]links-p0'!B140</f>
        <v>0</v>
      </c>
      <c r="AI144" s="33"/>
      <c r="AJ144" s="40">
        <v>138</v>
      </c>
      <c r="AK144" s="23">
        <v>0</v>
      </c>
      <c r="AL144" s="52">
        <f>'[1]links-p0'!H140</f>
        <v>0</v>
      </c>
      <c r="AM144" s="33"/>
      <c r="AN144" s="40">
        <v>138</v>
      </c>
      <c r="AO144" s="23">
        <v>0</v>
      </c>
      <c r="AP144" s="52">
        <v>10447.41</v>
      </c>
      <c r="AQ144" s="62">
        <f t="shared" si="39"/>
        <v>10447.41</v>
      </c>
      <c r="AR144" s="33">
        <f>'[1]links-p0'!C140</f>
        <v>0</v>
      </c>
      <c r="AS144" s="33"/>
      <c r="AT144" s="40">
        <v>138</v>
      </c>
      <c r="AU144" s="23">
        <v>4613</v>
      </c>
      <c r="AV144" s="33">
        <f>'[1]links-p0'!I140</f>
        <v>0</v>
      </c>
      <c r="AW144" s="33"/>
      <c r="AX144" s="40">
        <v>138</v>
      </c>
      <c r="AY144" s="23">
        <v>2897.4</v>
      </c>
      <c r="AZ144" s="52">
        <v>0</v>
      </c>
      <c r="BA144" s="62">
        <f t="shared" si="40"/>
        <v>2897.4</v>
      </c>
      <c r="BB144" s="33">
        <f>'[1]links-p0'!D140</f>
        <v>13320.750632965201</v>
      </c>
    </row>
    <row r="145" spans="1:54" x14ac:dyDescent="0.35">
      <c r="A145" s="33"/>
      <c r="B145" s="40">
        <f t="shared" si="41"/>
        <v>139</v>
      </c>
      <c r="C145" s="41">
        <v>0</v>
      </c>
      <c r="D145" s="23">
        <v>0</v>
      </c>
      <c r="E145" s="23">
        <v>0</v>
      </c>
      <c r="F145" s="23">
        <f t="shared" si="30"/>
        <v>0</v>
      </c>
      <c r="G145" s="42">
        <f t="shared" si="32"/>
        <v>0</v>
      </c>
      <c r="H145" s="23">
        <f>'[1]generators-p'!B141</f>
        <v>0</v>
      </c>
      <c r="I145" s="23">
        <f>'[1]generators-p'!C141</f>
        <v>0</v>
      </c>
      <c r="J145" s="23">
        <f>'[1]generators-p'!D141</f>
        <v>0</v>
      </c>
      <c r="K145" s="23">
        <v>0</v>
      </c>
      <c r="L145" s="23">
        <f t="shared" si="33"/>
        <v>0</v>
      </c>
      <c r="M145" s="42">
        <f t="shared" si="31"/>
        <v>0</v>
      </c>
      <c r="N145" s="33"/>
      <c r="O145" s="44">
        <f t="shared" si="42"/>
        <v>139</v>
      </c>
      <c r="P145" s="23">
        <v>34175.923199999997</v>
      </c>
      <c r="Q145" s="23">
        <v>1725</v>
      </c>
      <c r="R145" s="23">
        <v>375</v>
      </c>
      <c r="S145" s="23">
        <f t="shared" si="34"/>
        <v>36275.923199999997</v>
      </c>
      <c r="T145" s="42">
        <f t="shared" si="35"/>
        <v>0.39516342301399343</v>
      </c>
      <c r="U145" s="41">
        <f>'[1]generators-p'!E141</f>
        <v>35284.882191248769</v>
      </c>
      <c r="V145" s="42">
        <f t="shared" si="36"/>
        <v>0.38436774580389899</v>
      </c>
      <c r="W145" s="33"/>
      <c r="X145" s="40">
        <v>139</v>
      </c>
      <c r="Y145" s="54">
        <v>5791.4951658300006</v>
      </c>
      <c r="Z145" s="54">
        <v>10370.154920000001</v>
      </c>
      <c r="AA145" s="55">
        <f t="shared" si="37"/>
        <v>16161.650085830002</v>
      </c>
      <c r="AB145" s="56">
        <f>'[1]generators-p'!J141</f>
        <v>19443.35680650052</v>
      </c>
      <c r="AC145" s="54">
        <f>'[1]links-p0'!E141</f>
        <v>4747.8701763673571</v>
      </c>
      <c r="AD145" s="54">
        <f t="shared" si="38"/>
        <v>16933.858888007511</v>
      </c>
      <c r="AE145" s="33"/>
      <c r="AF145" s="45">
        <v>139</v>
      </c>
      <c r="AG145" s="52">
        <v>0</v>
      </c>
      <c r="AH145" s="52">
        <f>'[1]links-p0'!B141</f>
        <v>0</v>
      </c>
      <c r="AI145" s="33"/>
      <c r="AJ145" s="40">
        <v>139</v>
      </c>
      <c r="AK145" s="23">
        <v>0</v>
      </c>
      <c r="AL145" s="52">
        <f>'[1]links-p0'!H141</f>
        <v>0</v>
      </c>
      <c r="AM145" s="33"/>
      <c r="AN145" s="40">
        <v>139</v>
      </c>
      <c r="AO145" s="23">
        <v>0</v>
      </c>
      <c r="AP145" s="52">
        <v>10447.41</v>
      </c>
      <c r="AQ145" s="62">
        <f t="shared" si="39"/>
        <v>10447.41</v>
      </c>
      <c r="AR145" s="33">
        <f>'[1]links-p0'!C141</f>
        <v>0</v>
      </c>
      <c r="AS145" s="33"/>
      <c r="AT145" s="40">
        <v>139</v>
      </c>
      <c r="AU145" s="23">
        <v>4613</v>
      </c>
      <c r="AV145" s="33">
        <f>'[1]links-p0'!I141</f>
        <v>0</v>
      </c>
      <c r="AW145" s="33"/>
      <c r="AX145" s="40">
        <v>139</v>
      </c>
      <c r="AY145" s="23">
        <v>2897.4</v>
      </c>
      <c r="AZ145" s="52">
        <v>0</v>
      </c>
      <c r="BA145" s="62">
        <f t="shared" si="40"/>
        <v>2897.4</v>
      </c>
      <c r="BB145" s="33">
        <f>'[1]links-p0'!D141</f>
        <v>13320.750632965201</v>
      </c>
    </row>
    <row r="146" spans="1:54" x14ac:dyDescent="0.35">
      <c r="A146" s="33"/>
      <c r="B146" s="40">
        <f t="shared" si="41"/>
        <v>140</v>
      </c>
      <c r="C146" s="41">
        <v>0</v>
      </c>
      <c r="D146" s="23">
        <v>0</v>
      </c>
      <c r="E146" s="23">
        <v>0</v>
      </c>
      <c r="F146" s="23">
        <f t="shared" si="30"/>
        <v>0</v>
      </c>
      <c r="G146" s="42">
        <f t="shared" si="32"/>
        <v>0</v>
      </c>
      <c r="H146" s="23">
        <f>'[1]generators-p'!B142</f>
        <v>0</v>
      </c>
      <c r="I146" s="23">
        <f>'[1]generators-p'!C142</f>
        <v>0</v>
      </c>
      <c r="J146" s="23">
        <f>'[1]generators-p'!D142</f>
        <v>0</v>
      </c>
      <c r="K146" s="23">
        <v>0</v>
      </c>
      <c r="L146" s="23">
        <f t="shared" si="33"/>
        <v>0</v>
      </c>
      <c r="M146" s="42">
        <f t="shared" si="31"/>
        <v>0</v>
      </c>
      <c r="N146" s="33"/>
      <c r="O146" s="44">
        <f t="shared" si="42"/>
        <v>140</v>
      </c>
      <c r="P146" s="23">
        <v>36845.917200000004</v>
      </c>
      <c r="Q146" s="23">
        <v>1734.2</v>
      </c>
      <c r="R146" s="23">
        <v>377</v>
      </c>
      <c r="S146" s="23">
        <f t="shared" si="34"/>
        <v>38957.117200000001</v>
      </c>
      <c r="T146" s="42">
        <f t="shared" si="35"/>
        <v>0.42437039296381907</v>
      </c>
      <c r="U146" s="41">
        <f>'[1]generators-p'!E142</f>
        <v>37972.3074040961</v>
      </c>
      <c r="V146" s="42">
        <f t="shared" si="36"/>
        <v>0.41364259403719944</v>
      </c>
      <c r="W146" s="33"/>
      <c r="X146" s="40">
        <v>140</v>
      </c>
      <c r="Y146" s="54">
        <v>7620.5864294099993</v>
      </c>
      <c r="Z146" s="54">
        <v>11159.983770000001</v>
      </c>
      <c r="AA146" s="55">
        <f t="shared" si="37"/>
        <v>18780.570199410002</v>
      </c>
      <c r="AB146" s="56">
        <f>'[1]generators-p'!J142</f>
        <v>20924.23371636125</v>
      </c>
      <c r="AC146" s="54">
        <f>'[1]links-p0'!E142</f>
        <v>3936.4541379544239</v>
      </c>
      <c r="AD146" s="54">
        <f t="shared" si="38"/>
        <v>17402.48149802097</v>
      </c>
      <c r="AE146" s="33"/>
      <c r="AF146" s="45">
        <v>140</v>
      </c>
      <c r="AG146" s="52">
        <v>0</v>
      </c>
      <c r="AH146" s="52">
        <f>'[1]links-p0'!B142</f>
        <v>0</v>
      </c>
      <c r="AI146" s="33"/>
      <c r="AJ146" s="40">
        <v>140</v>
      </c>
      <c r="AK146" s="23">
        <v>0</v>
      </c>
      <c r="AL146" s="52">
        <f>'[1]links-p0'!H142</f>
        <v>0</v>
      </c>
      <c r="AM146" s="33"/>
      <c r="AN146" s="40">
        <v>140</v>
      </c>
      <c r="AO146" s="23">
        <v>0</v>
      </c>
      <c r="AP146" s="52">
        <v>10447.41</v>
      </c>
      <c r="AQ146" s="62">
        <f t="shared" si="39"/>
        <v>10447.41</v>
      </c>
      <c r="AR146" s="33">
        <f>'[1]links-p0'!C142</f>
        <v>0</v>
      </c>
      <c r="AS146" s="33"/>
      <c r="AT146" s="40">
        <v>140</v>
      </c>
      <c r="AU146" s="23">
        <v>4613</v>
      </c>
      <c r="AV146" s="33">
        <f>'[1]links-p0'!I142</f>
        <v>0</v>
      </c>
      <c r="AW146" s="33"/>
      <c r="AX146" s="40">
        <v>140</v>
      </c>
      <c r="AY146" s="23">
        <v>2897.4</v>
      </c>
      <c r="AZ146" s="52">
        <v>0</v>
      </c>
      <c r="BA146" s="62">
        <f t="shared" si="40"/>
        <v>2897.4</v>
      </c>
      <c r="BB146" s="33">
        <f>'[1]links-p0'!D142</f>
        <v>13320.750632965201</v>
      </c>
    </row>
    <row r="147" spans="1:54" x14ac:dyDescent="0.35">
      <c r="A147" s="33"/>
      <c r="B147" s="40">
        <f t="shared" si="41"/>
        <v>141</v>
      </c>
      <c r="C147" s="41">
        <v>0</v>
      </c>
      <c r="D147" s="23">
        <v>0</v>
      </c>
      <c r="E147" s="23">
        <v>0</v>
      </c>
      <c r="F147" s="23">
        <f t="shared" si="30"/>
        <v>0</v>
      </c>
      <c r="G147" s="42">
        <f t="shared" si="32"/>
        <v>0</v>
      </c>
      <c r="H147" s="23">
        <f>'[1]generators-p'!B143</f>
        <v>0</v>
      </c>
      <c r="I147" s="23">
        <f>'[1]generators-p'!C143</f>
        <v>0</v>
      </c>
      <c r="J147" s="23">
        <f>'[1]generators-p'!D143</f>
        <v>0</v>
      </c>
      <c r="K147" s="23">
        <v>0</v>
      </c>
      <c r="L147" s="23">
        <f t="shared" si="33"/>
        <v>0</v>
      </c>
      <c r="M147" s="42">
        <f t="shared" si="31"/>
        <v>0</v>
      </c>
      <c r="N147" s="33"/>
      <c r="O147" s="44">
        <f t="shared" si="42"/>
        <v>141</v>
      </c>
      <c r="P147" s="23">
        <v>38447.9136</v>
      </c>
      <c r="Q147" s="23">
        <v>1766.4</v>
      </c>
      <c r="R147" s="23">
        <v>384</v>
      </c>
      <c r="S147" s="23">
        <f t="shared" si="34"/>
        <v>40598.313600000001</v>
      </c>
      <c r="T147" s="42">
        <f t="shared" si="35"/>
        <v>0.44224838834071534</v>
      </c>
      <c r="U147" s="41">
        <f>'[1]generators-p'!E143</f>
        <v>39676.274901108052</v>
      </c>
      <c r="V147" s="42">
        <f t="shared" si="36"/>
        <v>0.43220437191701999</v>
      </c>
      <c r="W147" s="33"/>
      <c r="X147" s="40">
        <v>141</v>
      </c>
      <c r="Y147" s="54">
        <v>6515.6665876799998</v>
      </c>
      <c r="Z147" s="54">
        <v>11660.776589999999</v>
      </c>
      <c r="AA147" s="55">
        <f t="shared" si="37"/>
        <v>18176.443177679997</v>
      </c>
      <c r="AB147" s="56">
        <f>'[1]generators-p'!J143</f>
        <v>21863.18677426035</v>
      </c>
      <c r="AC147" s="54">
        <f>'[1]links-p0'!E143</f>
        <v>1815.7159001995969</v>
      </c>
      <c r="AD147" s="54">
        <f t="shared" si="38"/>
        <v>16575.231872121964</v>
      </c>
      <c r="AE147" s="33"/>
      <c r="AF147" s="45">
        <v>141</v>
      </c>
      <c r="AG147" s="52">
        <v>0</v>
      </c>
      <c r="AH147" s="52">
        <f>'[1]links-p0'!B143</f>
        <v>0</v>
      </c>
      <c r="AI147" s="33"/>
      <c r="AJ147" s="40">
        <v>141</v>
      </c>
      <c r="AK147" s="23">
        <v>0</v>
      </c>
      <c r="AL147" s="52">
        <f>'[1]links-p0'!H143</f>
        <v>0</v>
      </c>
      <c r="AM147" s="33"/>
      <c r="AN147" s="40">
        <v>141</v>
      </c>
      <c r="AO147" s="23">
        <v>0</v>
      </c>
      <c r="AP147" s="52">
        <v>10447.41</v>
      </c>
      <c r="AQ147" s="62">
        <f t="shared" si="39"/>
        <v>10447.41</v>
      </c>
      <c r="AR147" s="33">
        <f>'[1]links-p0'!C143</f>
        <v>0</v>
      </c>
      <c r="AS147" s="33"/>
      <c r="AT147" s="40">
        <v>141</v>
      </c>
      <c r="AU147" s="23">
        <v>3458.3974297899999</v>
      </c>
      <c r="AV147" s="33">
        <f>'[1]links-p0'!I143</f>
        <v>0</v>
      </c>
      <c r="AW147" s="33"/>
      <c r="AX147" s="40">
        <v>141</v>
      </c>
      <c r="AY147" s="23">
        <v>2897.4</v>
      </c>
      <c r="AZ147" s="52">
        <v>0</v>
      </c>
      <c r="BA147" s="62">
        <f t="shared" si="40"/>
        <v>2897.4</v>
      </c>
      <c r="BB147" s="33">
        <f>'[1]links-p0'!D143</f>
        <v>13320.750632965201</v>
      </c>
    </row>
    <row r="148" spans="1:54" x14ac:dyDescent="0.35">
      <c r="A148" s="33"/>
      <c r="B148" s="40">
        <f t="shared" si="41"/>
        <v>142</v>
      </c>
      <c r="C148" s="41">
        <v>0</v>
      </c>
      <c r="D148" s="23">
        <v>0</v>
      </c>
      <c r="E148" s="23">
        <v>0</v>
      </c>
      <c r="F148" s="23">
        <f t="shared" si="30"/>
        <v>0</v>
      </c>
      <c r="G148" s="42">
        <f t="shared" si="32"/>
        <v>0</v>
      </c>
      <c r="H148" s="23">
        <f>'[1]generators-p'!B144</f>
        <v>0</v>
      </c>
      <c r="I148" s="23">
        <f>'[1]generators-p'!C144</f>
        <v>0</v>
      </c>
      <c r="J148" s="23">
        <f>'[1]generators-p'!D144</f>
        <v>0</v>
      </c>
      <c r="K148" s="23">
        <v>0</v>
      </c>
      <c r="L148" s="23">
        <f t="shared" si="33"/>
        <v>0</v>
      </c>
      <c r="M148" s="42">
        <f t="shared" si="31"/>
        <v>0</v>
      </c>
      <c r="N148" s="33"/>
      <c r="O148" s="44">
        <f t="shared" si="42"/>
        <v>142</v>
      </c>
      <c r="P148" s="23">
        <v>40761.9084</v>
      </c>
      <c r="Q148" s="23">
        <v>1805.5</v>
      </c>
      <c r="R148" s="23">
        <v>392.5</v>
      </c>
      <c r="S148" s="23">
        <f t="shared" si="34"/>
        <v>42959.9084</v>
      </c>
      <c r="T148" s="42">
        <f t="shared" si="35"/>
        <v>0.46797387793873191</v>
      </c>
      <c r="U148" s="41">
        <f>'[1]generators-p'!E144</f>
        <v>42088.032491575963</v>
      </c>
      <c r="V148" s="42">
        <f t="shared" si="36"/>
        <v>0.4584762983315428</v>
      </c>
      <c r="W148" s="33"/>
      <c r="X148" s="40">
        <v>142</v>
      </c>
      <c r="Y148" s="54">
        <v>4383.9132482300001</v>
      </c>
      <c r="Z148" s="54">
        <v>12369.58734</v>
      </c>
      <c r="AA148" s="55">
        <f t="shared" si="37"/>
        <v>16753.500588229999</v>
      </c>
      <c r="AB148" s="56">
        <f>'[1]generators-p'!J144</f>
        <v>23192.159990270811</v>
      </c>
      <c r="AC148" s="54">
        <f>'[1]links-p0'!E144</f>
        <v>8.0253155818697266</v>
      </c>
      <c r="AD148" s="54">
        <f t="shared" si="38"/>
        <v>16240.129714096875</v>
      </c>
      <c r="AE148" s="33"/>
      <c r="AF148" s="45">
        <v>142</v>
      </c>
      <c r="AG148" s="52">
        <v>0</v>
      </c>
      <c r="AH148" s="52">
        <f>'[1]links-p0'!B144</f>
        <v>0</v>
      </c>
      <c r="AI148" s="33"/>
      <c r="AJ148" s="40">
        <v>142</v>
      </c>
      <c r="AK148" s="23">
        <v>0</v>
      </c>
      <c r="AL148" s="52">
        <f>'[1]links-p0'!H144</f>
        <v>0</v>
      </c>
      <c r="AM148" s="33"/>
      <c r="AN148" s="40">
        <v>142</v>
      </c>
      <c r="AO148" s="23">
        <v>0</v>
      </c>
      <c r="AP148" s="52">
        <v>8416.2643414199993</v>
      </c>
      <c r="AQ148" s="62">
        <f t="shared" si="39"/>
        <v>8416.2643414199993</v>
      </c>
      <c r="AR148" s="33">
        <f>'[1]links-p0'!C144</f>
        <v>0</v>
      </c>
      <c r="AS148" s="33"/>
      <c r="AT148" s="40">
        <v>142</v>
      </c>
      <c r="AU148" s="23">
        <v>4613</v>
      </c>
      <c r="AV148" s="33">
        <f>'[1]links-p0'!I144</f>
        <v>0</v>
      </c>
      <c r="AW148" s="33"/>
      <c r="AX148" s="40">
        <v>142</v>
      </c>
      <c r="AY148" s="23">
        <v>2897.4</v>
      </c>
      <c r="AZ148" s="52">
        <v>0</v>
      </c>
      <c r="BA148" s="62">
        <f t="shared" si="40"/>
        <v>2897.4</v>
      </c>
      <c r="BB148" s="33">
        <f>'[1]links-p0'!D144</f>
        <v>13320.750632965201</v>
      </c>
    </row>
    <row r="149" spans="1:54" x14ac:dyDescent="0.35">
      <c r="A149" s="33"/>
      <c r="B149" s="40">
        <f t="shared" si="41"/>
        <v>143</v>
      </c>
      <c r="C149" s="41">
        <v>0</v>
      </c>
      <c r="D149" s="23">
        <v>0</v>
      </c>
      <c r="E149" s="23">
        <v>0</v>
      </c>
      <c r="F149" s="23">
        <f t="shared" si="30"/>
        <v>0</v>
      </c>
      <c r="G149" s="42">
        <f t="shared" si="32"/>
        <v>0</v>
      </c>
      <c r="H149" s="23">
        <f>'[1]generators-p'!B145</f>
        <v>0</v>
      </c>
      <c r="I149" s="23">
        <f>'[1]generators-p'!C145</f>
        <v>0</v>
      </c>
      <c r="J149" s="23">
        <f>'[1]generators-p'!D145</f>
        <v>0</v>
      </c>
      <c r="K149" s="23">
        <v>0</v>
      </c>
      <c r="L149" s="23">
        <f t="shared" si="33"/>
        <v>0</v>
      </c>
      <c r="M149" s="42">
        <f t="shared" si="31"/>
        <v>0</v>
      </c>
      <c r="N149" s="33"/>
      <c r="O149" s="44">
        <f t="shared" si="42"/>
        <v>143</v>
      </c>
      <c r="P149" s="23">
        <v>43253.902800000003</v>
      </c>
      <c r="Q149" s="23">
        <v>1851.5</v>
      </c>
      <c r="R149" s="23">
        <v>402.5</v>
      </c>
      <c r="S149" s="23">
        <f t="shared" si="34"/>
        <v>45507.902800000003</v>
      </c>
      <c r="T149" s="42">
        <f t="shared" si="35"/>
        <v>0.49572986869252439</v>
      </c>
      <c r="U149" s="41">
        <f>'[1]generators-p'!E145</f>
        <v>44627.775519484123</v>
      </c>
      <c r="V149" s="42">
        <f t="shared" si="36"/>
        <v>0.48614240466192871</v>
      </c>
      <c r="W149" s="33"/>
      <c r="X149" s="40">
        <v>143</v>
      </c>
      <c r="Y149" s="54">
        <v>4574.3140657500007</v>
      </c>
      <c r="Z149" s="54">
        <v>13116.01247</v>
      </c>
      <c r="AA149" s="55">
        <f t="shared" si="37"/>
        <v>17690.326535749999</v>
      </c>
      <c r="AB149" s="56">
        <f>'[1]generators-p'!J145</f>
        <v>24591.658212222861</v>
      </c>
      <c r="AC149" s="54">
        <f>'[1]links-p0'!E145</f>
        <v>0</v>
      </c>
      <c r="AD149" s="54">
        <f t="shared" si="38"/>
        <v>17214.160748556002</v>
      </c>
      <c r="AE149" s="33"/>
      <c r="AF149" s="45">
        <v>143</v>
      </c>
      <c r="AG149" s="52">
        <v>0</v>
      </c>
      <c r="AH149" s="52">
        <f>'[1]links-p0'!B145</f>
        <v>0</v>
      </c>
      <c r="AI149" s="33"/>
      <c r="AJ149" s="40">
        <v>143</v>
      </c>
      <c r="AK149" s="23">
        <v>0</v>
      </c>
      <c r="AL149" s="52">
        <f>'[1]links-p0'!H145</f>
        <v>0</v>
      </c>
      <c r="AM149" s="33"/>
      <c r="AN149" s="40">
        <v>143</v>
      </c>
      <c r="AO149" s="23">
        <v>0</v>
      </c>
      <c r="AP149" s="52">
        <v>2012.12705351</v>
      </c>
      <c r="AQ149" s="62">
        <f t="shared" si="39"/>
        <v>2012.12705351</v>
      </c>
      <c r="AR149" s="33">
        <f>'[1]links-p0'!C145</f>
        <v>0</v>
      </c>
      <c r="AS149" s="33"/>
      <c r="AT149" s="40">
        <v>143</v>
      </c>
      <c r="AU149" s="23">
        <v>3821.1880371500001</v>
      </c>
      <c r="AV149" s="33">
        <f>'[1]links-p0'!I145</f>
        <v>0</v>
      </c>
      <c r="AW149" s="33"/>
      <c r="AX149" s="40">
        <v>143</v>
      </c>
      <c r="AY149" s="23">
        <v>2897.4</v>
      </c>
      <c r="AZ149" s="52">
        <v>0</v>
      </c>
      <c r="BA149" s="62">
        <f t="shared" si="40"/>
        <v>2897.4</v>
      </c>
      <c r="BB149" s="33">
        <f>'[1]links-p0'!D145</f>
        <v>13320.750632965201</v>
      </c>
    </row>
    <row r="150" spans="1:54" x14ac:dyDescent="0.35">
      <c r="A150" s="33"/>
      <c r="B150" s="40">
        <f t="shared" si="41"/>
        <v>144</v>
      </c>
      <c r="C150" s="41">
        <v>0</v>
      </c>
      <c r="D150" s="23">
        <v>0</v>
      </c>
      <c r="E150" s="23">
        <v>0</v>
      </c>
      <c r="F150" s="23">
        <f t="shared" si="30"/>
        <v>0</v>
      </c>
      <c r="G150" s="42">
        <f t="shared" si="32"/>
        <v>0</v>
      </c>
      <c r="H150" s="23">
        <f>'[1]generators-p'!B146</f>
        <v>0</v>
      </c>
      <c r="I150" s="23">
        <f>'[1]generators-p'!C146</f>
        <v>0</v>
      </c>
      <c r="J150" s="23">
        <f>'[1]generators-p'!D146</f>
        <v>0</v>
      </c>
      <c r="K150" s="23">
        <v>0</v>
      </c>
      <c r="L150" s="23">
        <f t="shared" si="33"/>
        <v>0</v>
      </c>
      <c r="M150" s="42">
        <f t="shared" si="31"/>
        <v>0</v>
      </c>
      <c r="N150" s="33"/>
      <c r="O150" s="44">
        <f t="shared" si="42"/>
        <v>144</v>
      </c>
      <c r="P150" s="23">
        <v>46635.895199999999</v>
      </c>
      <c r="Q150" s="23">
        <v>1911.3</v>
      </c>
      <c r="R150" s="23">
        <v>415.5</v>
      </c>
      <c r="S150" s="23">
        <f t="shared" si="34"/>
        <v>48962.695200000002</v>
      </c>
      <c r="T150" s="42">
        <f t="shared" si="35"/>
        <v>0.53336385482321313</v>
      </c>
      <c r="U150" s="41">
        <f>'[1]generators-p'!E146</f>
        <v>48063.671812902583</v>
      </c>
      <c r="V150" s="42">
        <f t="shared" si="36"/>
        <v>0.52357055040318801</v>
      </c>
      <c r="W150" s="33"/>
      <c r="X150" s="40">
        <v>144</v>
      </c>
      <c r="Y150" s="54">
        <v>4338.7120720900002</v>
      </c>
      <c r="Z150" s="54">
        <v>14125.81565</v>
      </c>
      <c r="AA150" s="55">
        <f t="shared" si="37"/>
        <v>18464.527722090002</v>
      </c>
      <c r="AB150" s="56">
        <f>'[1]generators-p'!J146</f>
        <v>26484.972102884982</v>
      </c>
      <c r="AC150" s="54">
        <f>'[1]links-p0'!E146</f>
        <v>0</v>
      </c>
      <c r="AD150" s="54">
        <f t="shared" si="38"/>
        <v>18539.480472019484</v>
      </c>
      <c r="AE150" s="33"/>
      <c r="AF150" s="45">
        <v>144</v>
      </c>
      <c r="AG150" s="52">
        <v>0</v>
      </c>
      <c r="AH150" s="52">
        <f>'[1]links-p0'!B146</f>
        <v>0</v>
      </c>
      <c r="AI150" s="33"/>
      <c r="AJ150" s="40">
        <v>144</v>
      </c>
      <c r="AK150" s="23">
        <v>0</v>
      </c>
      <c r="AL150" s="52">
        <f>'[1]links-p0'!H146</f>
        <v>0</v>
      </c>
      <c r="AM150" s="33"/>
      <c r="AN150" s="40">
        <v>144</v>
      </c>
      <c r="AO150" s="23">
        <v>0</v>
      </c>
      <c r="AP150" s="52">
        <v>0</v>
      </c>
      <c r="AQ150" s="62">
        <f t="shared" si="39"/>
        <v>0</v>
      </c>
      <c r="AR150" s="33">
        <f>'[1]links-p0'!C146</f>
        <v>0</v>
      </c>
      <c r="AS150" s="33"/>
      <c r="AT150" s="40">
        <v>144</v>
      </c>
      <c r="AU150" s="23">
        <v>0</v>
      </c>
      <c r="AV150" s="33">
        <f>'[1]links-p0'!I146</f>
        <v>0</v>
      </c>
      <c r="AW150" s="33"/>
      <c r="AX150" s="40">
        <v>144</v>
      </c>
      <c r="AY150" s="23">
        <v>2897.4</v>
      </c>
      <c r="AZ150" s="52">
        <v>0</v>
      </c>
      <c r="BA150" s="62">
        <f t="shared" si="40"/>
        <v>2897.4</v>
      </c>
      <c r="BB150" s="33">
        <f>'[1]links-p0'!D146</f>
        <v>13320.750632965201</v>
      </c>
    </row>
    <row r="151" spans="1:54" x14ac:dyDescent="0.35">
      <c r="A151" s="33"/>
      <c r="B151" s="40">
        <f t="shared" si="41"/>
        <v>145</v>
      </c>
      <c r="C151" s="41">
        <v>0</v>
      </c>
      <c r="D151" s="23">
        <v>0</v>
      </c>
      <c r="E151" s="23">
        <v>0</v>
      </c>
      <c r="F151" s="23">
        <f t="shared" si="30"/>
        <v>0</v>
      </c>
      <c r="G151" s="42">
        <f t="shared" si="32"/>
        <v>0</v>
      </c>
      <c r="H151" s="23">
        <f>'[1]generators-p'!B147</f>
        <v>0</v>
      </c>
      <c r="I151" s="23">
        <f>'[1]generators-p'!C147</f>
        <v>0</v>
      </c>
      <c r="J151" s="23">
        <f>'[1]generators-p'!D147</f>
        <v>0</v>
      </c>
      <c r="K151" s="23">
        <v>0</v>
      </c>
      <c r="L151" s="23">
        <f t="shared" si="33"/>
        <v>0</v>
      </c>
      <c r="M151" s="42">
        <f t="shared" si="31"/>
        <v>0</v>
      </c>
      <c r="N151" s="33"/>
      <c r="O151" s="44">
        <f t="shared" si="42"/>
        <v>145</v>
      </c>
      <c r="P151" s="23">
        <v>50195.887199999997</v>
      </c>
      <c r="Q151" s="23">
        <v>1948.1</v>
      </c>
      <c r="R151" s="23">
        <v>423.5</v>
      </c>
      <c r="S151" s="23">
        <f t="shared" si="34"/>
        <v>52567.487199999996</v>
      </c>
      <c r="T151" s="42">
        <f t="shared" si="35"/>
        <v>0.57263182708459048</v>
      </c>
      <c r="U151" s="41">
        <f>'[1]generators-p'!E147</f>
        <v>51779.41225214921</v>
      </c>
      <c r="V151" s="42">
        <f t="shared" si="36"/>
        <v>0.56404711396047935</v>
      </c>
      <c r="W151" s="33"/>
      <c r="X151" s="40">
        <v>145</v>
      </c>
      <c r="Y151" s="54">
        <v>3688.063829780001</v>
      </c>
      <c r="Z151" s="54">
        <v>15217.863810000001</v>
      </c>
      <c r="AA151" s="55">
        <f t="shared" si="37"/>
        <v>18905.927639780002</v>
      </c>
      <c r="AB151" s="56">
        <f>'[1]generators-p'!J147</f>
        <v>27894.036120971428</v>
      </c>
      <c r="AC151" s="54">
        <f>'[1]links-p0'!E147</f>
        <v>0</v>
      </c>
      <c r="AD151" s="54">
        <f t="shared" si="38"/>
        <v>19525.825284679999</v>
      </c>
      <c r="AE151" s="33"/>
      <c r="AF151" s="45">
        <v>145</v>
      </c>
      <c r="AG151" s="52">
        <v>0</v>
      </c>
      <c r="AH151" s="52">
        <f>'[1]links-p0'!B147</f>
        <v>0</v>
      </c>
      <c r="AI151" s="33"/>
      <c r="AJ151" s="40">
        <v>145</v>
      </c>
      <c r="AK151" s="23">
        <v>0</v>
      </c>
      <c r="AL151" s="52">
        <f>'[1]links-p0'!H147</f>
        <v>0</v>
      </c>
      <c r="AM151" s="33"/>
      <c r="AN151" s="40">
        <v>145</v>
      </c>
      <c r="AO151" s="23">
        <v>0</v>
      </c>
      <c r="AP151" s="52">
        <v>7817.5124999999998</v>
      </c>
      <c r="AQ151" s="62">
        <f t="shared" si="39"/>
        <v>7817.5124999999998</v>
      </c>
      <c r="AR151" s="33">
        <f>'[1]links-p0'!C147</f>
        <v>0</v>
      </c>
      <c r="AS151" s="33"/>
      <c r="AT151" s="40">
        <v>145</v>
      </c>
      <c r="AU151" s="23">
        <v>0</v>
      </c>
      <c r="AV151" s="33">
        <f>'[1]links-p0'!I147</f>
        <v>0</v>
      </c>
      <c r="AW151" s="33"/>
      <c r="AX151" s="40">
        <v>145</v>
      </c>
      <c r="AY151" s="23">
        <v>2897.4</v>
      </c>
      <c r="AZ151" s="52">
        <v>10423.35</v>
      </c>
      <c r="BA151" s="62">
        <f t="shared" si="40"/>
        <v>13320.75</v>
      </c>
      <c r="BB151" s="33">
        <f>'[1]links-p0'!D147</f>
        <v>13320.750632965201</v>
      </c>
    </row>
    <row r="152" spans="1:54" x14ac:dyDescent="0.35">
      <c r="A152" s="33"/>
      <c r="B152" s="40">
        <f t="shared" si="41"/>
        <v>146</v>
      </c>
      <c r="C152" s="41">
        <v>0</v>
      </c>
      <c r="D152" s="23">
        <v>0</v>
      </c>
      <c r="E152" s="23">
        <v>0</v>
      </c>
      <c r="F152" s="23">
        <f t="shared" si="30"/>
        <v>0</v>
      </c>
      <c r="G152" s="42">
        <f t="shared" si="32"/>
        <v>0</v>
      </c>
      <c r="H152" s="23">
        <f>'[1]generators-p'!B148</f>
        <v>0</v>
      </c>
      <c r="I152" s="23">
        <f>'[1]generators-p'!C148</f>
        <v>0</v>
      </c>
      <c r="J152" s="23">
        <f>'[1]generators-p'!D148</f>
        <v>0</v>
      </c>
      <c r="K152" s="23">
        <v>0</v>
      </c>
      <c r="L152" s="23">
        <f t="shared" si="33"/>
        <v>0</v>
      </c>
      <c r="M152" s="42">
        <f t="shared" si="31"/>
        <v>0</v>
      </c>
      <c r="N152" s="33"/>
      <c r="O152" s="44">
        <f t="shared" si="42"/>
        <v>146</v>
      </c>
      <c r="P152" s="23">
        <v>53755.879200000003</v>
      </c>
      <c r="Q152" s="23">
        <v>1978</v>
      </c>
      <c r="R152" s="23">
        <v>430</v>
      </c>
      <c r="S152" s="23">
        <f t="shared" si="34"/>
        <v>56163.879200000003</v>
      </c>
      <c r="T152" s="42">
        <f t="shared" si="35"/>
        <v>0.61180829587864027</v>
      </c>
      <c r="U152" s="41">
        <f>'[1]generators-p'!E148</f>
        <v>52768.048143811691</v>
      </c>
      <c r="V152" s="42">
        <f t="shared" si="36"/>
        <v>0.5748165915809369</v>
      </c>
      <c r="W152" s="33"/>
      <c r="X152" s="40">
        <v>146</v>
      </c>
      <c r="Y152" s="54">
        <v>3347.57674597</v>
      </c>
      <c r="Z152" s="54">
        <v>16008.17467982</v>
      </c>
      <c r="AA152" s="55">
        <f t="shared" si="37"/>
        <v>19355.75142579</v>
      </c>
      <c r="AB152" s="56">
        <f>'[1]generators-p'!J148</f>
        <v>27894.036120971428</v>
      </c>
      <c r="AC152" s="54">
        <f>'[1]links-p0'!E148</f>
        <v>0</v>
      </c>
      <c r="AD152" s="54">
        <f t="shared" si="38"/>
        <v>19525.825284679999</v>
      </c>
      <c r="AE152" s="33"/>
      <c r="AF152" s="45">
        <v>146</v>
      </c>
      <c r="AG152" s="52">
        <v>0</v>
      </c>
      <c r="AH152" s="52">
        <f>'[1]links-p0'!B148</f>
        <v>0</v>
      </c>
      <c r="AI152" s="33"/>
      <c r="AJ152" s="40">
        <v>146</v>
      </c>
      <c r="AK152" s="23">
        <v>0</v>
      </c>
      <c r="AL152" s="52">
        <f>'[1]links-p0'!H148</f>
        <v>0</v>
      </c>
      <c r="AM152" s="33"/>
      <c r="AN152" s="40">
        <v>146</v>
      </c>
      <c r="AO152" s="23">
        <v>0</v>
      </c>
      <c r="AP152" s="52">
        <v>7817.5124999999998</v>
      </c>
      <c r="AQ152" s="62">
        <f t="shared" si="39"/>
        <v>7817.5124999999998</v>
      </c>
      <c r="AR152" s="33">
        <f>'[1]links-p0'!C148</f>
        <v>0</v>
      </c>
      <c r="AS152" s="33"/>
      <c r="AT152" s="40">
        <v>146</v>
      </c>
      <c r="AU152" s="23">
        <v>0</v>
      </c>
      <c r="AV152" s="33">
        <f>'[1]links-p0'!I148</f>
        <v>0</v>
      </c>
      <c r="AW152" s="33"/>
      <c r="AX152" s="40">
        <v>146</v>
      </c>
      <c r="AY152" s="23">
        <v>2897.4</v>
      </c>
      <c r="AZ152" s="52">
        <v>10423.35</v>
      </c>
      <c r="BA152" s="62">
        <f t="shared" si="40"/>
        <v>13320.75</v>
      </c>
      <c r="BB152" s="33">
        <f>'[1]links-p0'!D148</f>
        <v>13320.750632965201</v>
      </c>
    </row>
    <row r="153" spans="1:54" x14ac:dyDescent="0.35">
      <c r="A153" s="33"/>
      <c r="B153" s="40">
        <f t="shared" si="41"/>
        <v>147</v>
      </c>
      <c r="C153" s="41">
        <v>0</v>
      </c>
      <c r="D153" s="23">
        <v>0</v>
      </c>
      <c r="E153" s="23">
        <v>0</v>
      </c>
      <c r="F153" s="23">
        <f t="shared" si="30"/>
        <v>0</v>
      </c>
      <c r="G153" s="42">
        <f t="shared" si="32"/>
        <v>0</v>
      </c>
      <c r="H153" s="23">
        <f>'[1]generators-p'!B149</f>
        <v>0</v>
      </c>
      <c r="I153" s="23">
        <f>'[1]generators-p'!C149</f>
        <v>0</v>
      </c>
      <c r="J153" s="23">
        <f>'[1]generators-p'!D149</f>
        <v>0</v>
      </c>
      <c r="K153" s="23">
        <v>0</v>
      </c>
      <c r="L153" s="23">
        <f t="shared" si="33"/>
        <v>0</v>
      </c>
      <c r="M153" s="42">
        <f t="shared" si="31"/>
        <v>0</v>
      </c>
      <c r="N153" s="33"/>
      <c r="O153" s="44">
        <f t="shared" si="42"/>
        <v>147</v>
      </c>
      <c r="P153" s="23">
        <v>57582.870600000002</v>
      </c>
      <c r="Q153" s="23">
        <v>2010.2</v>
      </c>
      <c r="R153" s="23">
        <v>437</v>
      </c>
      <c r="S153" s="23">
        <f t="shared" si="34"/>
        <v>60030.070599999999</v>
      </c>
      <c r="T153" s="42">
        <f t="shared" si="35"/>
        <v>0.65392376236113803</v>
      </c>
      <c r="U153" s="41">
        <f>'[1]generators-p'!E149</f>
        <v>52982.743530801687</v>
      </c>
      <c r="V153" s="42">
        <f t="shared" si="36"/>
        <v>0.57715532638199307</v>
      </c>
      <c r="W153" s="33"/>
      <c r="X153" s="40">
        <v>147</v>
      </c>
      <c r="Y153" s="54">
        <v>2362.84976216</v>
      </c>
      <c r="Z153" s="54">
        <v>17450.658319999999</v>
      </c>
      <c r="AA153" s="55">
        <f t="shared" si="37"/>
        <v>19813.508082159999</v>
      </c>
      <c r="AB153" s="56">
        <f>'[1]generators-p'!J149</f>
        <v>27894.036120971428</v>
      </c>
      <c r="AC153" s="54">
        <f>'[1]links-p0'!E149</f>
        <v>0</v>
      </c>
      <c r="AD153" s="54">
        <f t="shared" si="38"/>
        <v>19525.825284679999</v>
      </c>
      <c r="AE153" s="33"/>
      <c r="AF153" s="45">
        <v>147</v>
      </c>
      <c r="AG153" s="52">
        <v>0</v>
      </c>
      <c r="AH153" s="52">
        <f>'[1]links-p0'!B149</f>
        <v>0</v>
      </c>
      <c r="AI153" s="33"/>
      <c r="AJ153" s="40">
        <v>147</v>
      </c>
      <c r="AK153" s="23">
        <v>0</v>
      </c>
      <c r="AL153" s="52">
        <f>'[1]links-p0'!H149</f>
        <v>0</v>
      </c>
      <c r="AM153" s="33"/>
      <c r="AN153" s="40">
        <v>147</v>
      </c>
      <c r="AO153" s="23">
        <v>0</v>
      </c>
      <c r="AP153" s="52">
        <v>7817.5124999999998</v>
      </c>
      <c r="AQ153" s="62">
        <f t="shared" si="39"/>
        <v>7817.5124999999998</v>
      </c>
      <c r="AR153" s="33">
        <f>'[1]links-p0'!C149</f>
        <v>0</v>
      </c>
      <c r="AS153" s="33"/>
      <c r="AT153" s="40">
        <v>147</v>
      </c>
      <c r="AU153" s="23">
        <v>0</v>
      </c>
      <c r="AV153" s="33">
        <f>'[1]links-p0'!I149</f>
        <v>0</v>
      </c>
      <c r="AW153" s="33"/>
      <c r="AX153" s="40">
        <v>147</v>
      </c>
      <c r="AY153" s="23">
        <v>2897.4</v>
      </c>
      <c r="AZ153" s="52">
        <v>10423.35</v>
      </c>
      <c r="BA153" s="62">
        <f t="shared" si="40"/>
        <v>13320.75</v>
      </c>
      <c r="BB153" s="33">
        <f>'[1]links-p0'!D149</f>
        <v>13320.750632965201</v>
      </c>
    </row>
    <row r="154" spans="1:54" x14ac:dyDescent="0.35">
      <c r="A154" s="33"/>
      <c r="B154" s="40">
        <f t="shared" si="41"/>
        <v>148</v>
      </c>
      <c r="C154" s="41">
        <v>0</v>
      </c>
      <c r="D154" s="23">
        <v>0</v>
      </c>
      <c r="E154" s="23">
        <v>0</v>
      </c>
      <c r="F154" s="23">
        <f t="shared" si="30"/>
        <v>0</v>
      </c>
      <c r="G154" s="42">
        <f t="shared" si="32"/>
        <v>0</v>
      </c>
      <c r="H154" s="23">
        <f>'[1]generators-p'!B150</f>
        <v>0</v>
      </c>
      <c r="I154" s="23">
        <f>'[1]generators-p'!C150</f>
        <v>0</v>
      </c>
      <c r="J154" s="23">
        <f>'[1]generators-p'!D150</f>
        <v>0</v>
      </c>
      <c r="K154" s="23">
        <v>0</v>
      </c>
      <c r="L154" s="23">
        <f t="shared" si="33"/>
        <v>0</v>
      </c>
      <c r="M154" s="42">
        <f t="shared" si="31"/>
        <v>0</v>
      </c>
      <c r="N154" s="33"/>
      <c r="O154" s="44">
        <f t="shared" si="42"/>
        <v>148</v>
      </c>
      <c r="P154" s="23">
        <v>61320.862200000003</v>
      </c>
      <c r="Q154" s="23">
        <v>2037.8</v>
      </c>
      <c r="R154" s="23">
        <v>443</v>
      </c>
      <c r="S154" s="23">
        <f t="shared" si="34"/>
        <v>63801.662200000006</v>
      </c>
      <c r="T154" s="42">
        <f t="shared" si="35"/>
        <v>0.69500872768785993</v>
      </c>
      <c r="U154" s="41">
        <f>'[1]generators-p'!E150</f>
        <v>53115.586940411689</v>
      </c>
      <c r="V154" s="42">
        <f t="shared" si="36"/>
        <v>0.57860242549996499</v>
      </c>
      <c r="W154" s="33"/>
      <c r="X154" s="40">
        <v>148</v>
      </c>
      <c r="Y154" s="54">
        <v>1733.46511558</v>
      </c>
      <c r="Z154" s="54">
        <v>18585.97956</v>
      </c>
      <c r="AA154" s="55">
        <f t="shared" si="37"/>
        <v>20319.444675579998</v>
      </c>
      <c r="AB154" s="56">
        <f>'[1]generators-p'!J150</f>
        <v>27940.63612657144</v>
      </c>
      <c r="AC154" s="54">
        <f>'[1]links-p0'!E150</f>
        <v>0</v>
      </c>
      <c r="AD154" s="54">
        <f t="shared" si="38"/>
        <v>19558.445288600007</v>
      </c>
      <c r="AE154" s="33"/>
      <c r="AF154" s="45">
        <v>148</v>
      </c>
      <c r="AG154" s="52">
        <v>0</v>
      </c>
      <c r="AH154" s="52">
        <f>'[1]links-p0'!B150</f>
        <v>0</v>
      </c>
      <c r="AI154" s="33"/>
      <c r="AJ154" s="40">
        <v>148</v>
      </c>
      <c r="AK154" s="23">
        <v>0</v>
      </c>
      <c r="AL154" s="52">
        <f>'[1]links-p0'!H150</f>
        <v>0</v>
      </c>
      <c r="AM154" s="33"/>
      <c r="AN154" s="40">
        <v>148</v>
      </c>
      <c r="AO154" s="23">
        <v>0</v>
      </c>
      <c r="AP154" s="52">
        <v>0</v>
      </c>
      <c r="AQ154" s="62">
        <f t="shared" si="39"/>
        <v>0</v>
      </c>
      <c r="AR154" s="33">
        <f>'[1]links-p0'!C150</f>
        <v>0</v>
      </c>
      <c r="AS154" s="33"/>
      <c r="AT154" s="40">
        <v>148</v>
      </c>
      <c r="AU154" s="23">
        <v>0</v>
      </c>
      <c r="AV154" s="33">
        <f>'[1]links-p0'!I150</f>
        <v>0</v>
      </c>
      <c r="AW154" s="33"/>
      <c r="AX154" s="40">
        <v>148</v>
      </c>
      <c r="AY154" s="23">
        <v>2897.4</v>
      </c>
      <c r="AZ154" s="52">
        <v>10423.35</v>
      </c>
      <c r="BA154" s="62">
        <f t="shared" si="40"/>
        <v>13320.75</v>
      </c>
      <c r="BB154" s="33">
        <f>'[1]links-p0'!D150</f>
        <v>13320.750632965201</v>
      </c>
    </row>
    <row r="155" spans="1:54" x14ac:dyDescent="0.35">
      <c r="A155" s="33"/>
      <c r="B155" s="40">
        <f t="shared" si="41"/>
        <v>149</v>
      </c>
      <c r="C155" s="41">
        <v>0</v>
      </c>
      <c r="D155" s="23">
        <v>0</v>
      </c>
      <c r="E155" s="23">
        <v>0</v>
      </c>
      <c r="F155" s="23">
        <f t="shared" si="30"/>
        <v>0</v>
      </c>
      <c r="G155" s="42">
        <f t="shared" si="32"/>
        <v>0</v>
      </c>
      <c r="H155" s="23">
        <f>'[1]generators-p'!B151</f>
        <v>0</v>
      </c>
      <c r="I155" s="23">
        <f>'[1]generators-p'!C151</f>
        <v>0</v>
      </c>
      <c r="J155" s="23">
        <f>'[1]generators-p'!D151</f>
        <v>0</v>
      </c>
      <c r="K155" s="23">
        <v>0</v>
      </c>
      <c r="L155" s="23">
        <f t="shared" si="33"/>
        <v>0</v>
      </c>
      <c r="M155" s="42">
        <f t="shared" si="31"/>
        <v>0</v>
      </c>
      <c r="N155" s="33"/>
      <c r="O155" s="44">
        <f t="shared" si="42"/>
        <v>149</v>
      </c>
      <c r="P155" s="23">
        <v>63100.858200000002</v>
      </c>
      <c r="Q155" s="23">
        <v>2056.1999999999998</v>
      </c>
      <c r="R155" s="23">
        <v>447</v>
      </c>
      <c r="S155" s="23">
        <f t="shared" si="34"/>
        <v>65604.058199999999</v>
      </c>
      <c r="T155" s="42">
        <f t="shared" si="35"/>
        <v>0.7146427138185486</v>
      </c>
      <c r="U155" s="41">
        <f>'[1]generators-p'!E151</f>
        <v>53494.455261731688</v>
      </c>
      <c r="V155" s="42">
        <f t="shared" si="36"/>
        <v>0.58272954038823277</v>
      </c>
      <c r="W155" s="33"/>
      <c r="X155" s="40">
        <v>149</v>
      </c>
      <c r="Y155" s="54">
        <v>1650.7757558799999</v>
      </c>
      <c r="Z155" s="54">
        <v>19126.883829999999</v>
      </c>
      <c r="AA155" s="55">
        <f t="shared" si="37"/>
        <v>20777.659585879999</v>
      </c>
      <c r="AB155" s="56">
        <f>'[1]generators-p'!J151</f>
        <v>27987.236117871431</v>
      </c>
      <c r="AC155" s="54">
        <f>'[1]links-p0'!E151</f>
        <v>0</v>
      </c>
      <c r="AD155" s="54">
        <f t="shared" si="38"/>
        <v>19591.065282510001</v>
      </c>
      <c r="AE155" s="33"/>
      <c r="AF155" s="45">
        <v>149</v>
      </c>
      <c r="AG155" s="52">
        <v>0</v>
      </c>
      <c r="AH155" s="52">
        <f>'[1]links-p0'!B151</f>
        <v>0</v>
      </c>
      <c r="AI155" s="33"/>
      <c r="AJ155" s="40">
        <v>149</v>
      </c>
      <c r="AK155" s="23">
        <v>0</v>
      </c>
      <c r="AL155" s="52">
        <f>'[1]links-p0'!H151</f>
        <v>0</v>
      </c>
      <c r="AM155" s="33"/>
      <c r="AN155" s="40">
        <v>149</v>
      </c>
      <c r="AO155" s="23">
        <v>0</v>
      </c>
      <c r="AP155" s="52">
        <v>0</v>
      </c>
      <c r="AQ155" s="62">
        <f t="shared" si="39"/>
        <v>0</v>
      </c>
      <c r="AR155" s="33">
        <f>'[1]links-p0'!C151</f>
        <v>0</v>
      </c>
      <c r="AS155" s="33"/>
      <c r="AT155" s="40">
        <v>149</v>
      </c>
      <c r="AU155" s="23">
        <v>0</v>
      </c>
      <c r="AV155" s="33">
        <f>'[1]links-p0'!I151</f>
        <v>0</v>
      </c>
      <c r="AW155" s="33"/>
      <c r="AX155" s="40">
        <v>149</v>
      </c>
      <c r="AY155" s="23">
        <v>2897.4</v>
      </c>
      <c r="AZ155" s="52">
        <v>10423.35</v>
      </c>
      <c r="BA155" s="62">
        <f t="shared" si="40"/>
        <v>13320.75</v>
      </c>
      <c r="BB155" s="33">
        <f>'[1]links-p0'!D151</f>
        <v>13320.750632965201</v>
      </c>
    </row>
    <row r="156" spans="1:54" x14ac:dyDescent="0.35">
      <c r="A156" s="33"/>
      <c r="B156" s="40">
        <f t="shared" si="41"/>
        <v>150</v>
      </c>
      <c r="C156" s="41">
        <v>0</v>
      </c>
      <c r="D156" s="23">
        <v>0</v>
      </c>
      <c r="E156" s="23">
        <v>0</v>
      </c>
      <c r="F156" s="23">
        <f t="shared" si="30"/>
        <v>0</v>
      </c>
      <c r="G156" s="42">
        <f t="shared" si="32"/>
        <v>0</v>
      </c>
      <c r="H156" s="23">
        <f>'[1]generators-p'!B152</f>
        <v>0</v>
      </c>
      <c r="I156" s="23">
        <f>'[1]generators-p'!C152</f>
        <v>0</v>
      </c>
      <c r="J156" s="23">
        <f>'[1]generators-p'!D152</f>
        <v>0</v>
      </c>
      <c r="K156" s="23">
        <v>0</v>
      </c>
      <c r="L156" s="23">
        <f t="shared" si="33"/>
        <v>0</v>
      </c>
      <c r="M156" s="42">
        <f t="shared" si="31"/>
        <v>0</v>
      </c>
      <c r="N156" s="33"/>
      <c r="O156" s="44">
        <f t="shared" si="42"/>
        <v>150</v>
      </c>
      <c r="P156" s="23">
        <v>62032.8606</v>
      </c>
      <c r="Q156" s="23">
        <v>2060.8000000000002</v>
      </c>
      <c r="R156" s="23">
        <v>448</v>
      </c>
      <c r="S156" s="23">
        <f t="shared" si="34"/>
        <v>64541.660600000003</v>
      </c>
      <c r="T156" s="42">
        <f t="shared" si="35"/>
        <v>0.70306972999941175</v>
      </c>
      <c r="U156" s="41">
        <f>'[1]generators-p'!E152</f>
        <v>55146.096211241689</v>
      </c>
      <c r="V156" s="42">
        <f t="shared" si="36"/>
        <v>0.600721311062134</v>
      </c>
      <c r="W156" s="33"/>
      <c r="X156" s="40">
        <v>150</v>
      </c>
      <c r="Y156" s="54">
        <v>11005</v>
      </c>
      <c r="Z156" s="54">
        <v>9805.0834021299997</v>
      </c>
      <c r="AA156" s="55">
        <f t="shared" si="37"/>
        <v>20810.08340213</v>
      </c>
      <c r="AB156" s="56">
        <f>'[1]generators-p'!J152</f>
        <v>28010.536127814288</v>
      </c>
      <c r="AC156" s="54">
        <f>'[1]links-p0'!E152</f>
        <v>0</v>
      </c>
      <c r="AD156" s="54">
        <f t="shared" si="38"/>
        <v>19607.375289470001</v>
      </c>
      <c r="AE156" s="33"/>
      <c r="AF156" s="45">
        <v>150</v>
      </c>
      <c r="AG156" s="52">
        <v>0</v>
      </c>
      <c r="AH156" s="52">
        <f>'[1]links-p0'!B152</f>
        <v>0</v>
      </c>
      <c r="AI156" s="33"/>
      <c r="AJ156" s="40">
        <v>150</v>
      </c>
      <c r="AK156" s="23">
        <v>0</v>
      </c>
      <c r="AL156" s="52">
        <f>'[1]links-p0'!H152</f>
        <v>0</v>
      </c>
      <c r="AM156" s="33"/>
      <c r="AN156" s="40">
        <v>150</v>
      </c>
      <c r="AO156" s="23">
        <v>0</v>
      </c>
      <c r="AP156" s="52">
        <v>6511.5986926699998</v>
      </c>
      <c r="AQ156" s="62">
        <f t="shared" si="39"/>
        <v>6511.5986926699998</v>
      </c>
      <c r="AR156" s="33">
        <f>'[1]links-p0'!C152</f>
        <v>0</v>
      </c>
      <c r="AS156" s="33"/>
      <c r="AT156" s="40">
        <v>150</v>
      </c>
      <c r="AU156" s="23">
        <v>0</v>
      </c>
      <c r="AV156" s="33">
        <f>'[1]links-p0'!I152</f>
        <v>0</v>
      </c>
      <c r="AW156" s="33"/>
      <c r="AX156" s="40">
        <v>150</v>
      </c>
      <c r="AY156" s="23">
        <v>2897.4</v>
      </c>
      <c r="AZ156" s="52">
        <v>10423.35</v>
      </c>
      <c r="BA156" s="62">
        <f t="shared" si="40"/>
        <v>13320.75</v>
      </c>
      <c r="BB156" s="33">
        <f>'[1]links-p0'!D152</f>
        <v>13320.750632965201</v>
      </c>
    </row>
    <row r="157" spans="1:54" x14ac:dyDescent="0.35">
      <c r="A157" s="33"/>
      <c r="B157" s="40">
        <f t="shared" si="41"/>
        <v>151</v>
      </c>
      <c r="C157" s="41">
        <v>0</v>
      </c>
      <c r="D157" s="23">
        <v>0</v>
      </c>
      <c r="E157" s="23">
        <v>0</v>
      </c>
      <c r="F157" s="23">
        <f t="shared" si="30"/>
        <v>0</v>
      </c>
      <c r="G157" s="42">
        <f t="shared" si="32"/>
        <v>0</v>
      </c>
      <c r="H157" s="23">
        <f>'[1]generators-p'!B153</f>
        <v>0</v>
      </c>
      <c r="I157" s="23">
        <f>'[1]generators-p'!C153</f>
        <v>0</v>
      </c>
      <c r="J157" s="23">
        <f>'[1]generators-p'!D153</f>
        <v>0</v>
      </c>
      <c r="K157" s="23">
        <v>0</v>
      </c>
      <c r="L157" s="23">
        <f t="shared" si="33"/>
        <v>0</v>
      </c>
      <c r="M157" s="42">
        <f t="shared" si="31"/>
        <v>0</v>
      </c>
      <c r="N157" s="33"/>
      <c r="O157" s="44">
        <f t="shared" si="42"/>
        <v>151</v>
      </c>
      <c r="P157" s="23">
        <v>59718.8658</v>
      </c>
      <c r="Q157" s="23">
        <v>2079.1999999999998</v>
      </c>
      <c r="R157" s="23">
        <v>452</v>
      </c>
      <c r="S157" s="23">
        <f t="shared" si="34"/>
        <v>62250.065799999997</v>
      </c>
      <c r="T157" s="42">
        <f t="shared" si="35"/>
        <v>0.67810676929579361</v>
      </c>
      <c r="U157" s="41">
        <f>'[1]generators-p'!E153</f>
        <v>59263.547759377398</v>
      </c>
      <c r="V157" s="42">
        <f t="shared" si="36"/>
        <v>0.64557382215840775</v>
      </c>
      <c r="W157" s="33"/>
      <c r="X157" s="40">
        <v>151</v>
      </c>
      <c r="Y157" s="54">
        <v>2696.17329612</v>
      </c>
      <c r="Z157" s="54">
        <v>18096.087370000001</v>
      </c>
      <c r="AA157" s="55">
        <f t="shared" si="37"/>
        <v>20792.260666120001</v>
      </c>
      <c r="AB157" s="56">
        <f>'[1]generators-p'!J153</f>
        <v>27987.236117871431</v>
      </c>
      <c r="AC157" s="54">
        <f>'[1]links-p0'!E153</f>
        <v>0</v>
      </c>
      <c r="AD157" s="54">
        <f t="shared" si="38"/>
        <v>19591.065282510001</v>
      </c>
      <c r="AE157" s="33"/>
      <c r="AF157" s="45">
        <v>151</v>
      </c>
      <c r="AG157" s="52">
        <v>0</v>
      </c>
      <c r="AH157" s="52">
        <f>'[1]links-p0'!B153</f>
        <v>0</v>
      </c>
      <c r="AI157" s="33"/>
      <c r="AJ157" s="40">
        <v>151</v>
      </c>
      <c r="AK157" s="23">
        <v>0</v>
      </c>
      <c r="AL157" s="52">
        <f>'[1]links-p0'!H153</f>
        <v>0</v>
      </c>
      <c r="AM157" s="33"/>
      <c r="AN157" s="40">
        <v>151</v>
      </c>
      <c r="AO157" s="23">
        <v>0</v>
      </c>
      <c r="AP157" s="52">
        <v>562.79134395000005</v>
      </c>
      <c r="AQ157" s="62">
        <f t="shared" si="39"/>
        <v>562.79134395000005</v>
      </c>
      <c r="AR157" s="33">
        <f>'[1]links-p0'!C153</f>
        <v>0</v>
      </c>
      <c r="AS157" s="33"/>
      <c r="AT157" s="40">
        <v>151</v>
      </c>
      <c r="AU157" s="23">
        <v>0</v>
      </c>
      <c r="AV157" s="33">
        <f>'[1]links-p0'!I153</f>
        <v>0</v>
      </c>
      <c r="AW157" s="33"/>
      <c r="AX157" s="40">
        <v>151</v>
      </c>
      <c r="AY157" s="23">
        <v>2897.4</v>
      </c>
      <c r="AZ157" s="52">
        <v>10423.35</v>
      </c>
      <c r="BA157" s="62">
        <f t="shared" si="40"/>
        <v>13320.75</v>
      </c>
      <c r="BB157" s="33">
        <f>'[1]links-p0'!D153</f>
        <v>13320.750632965201</v>
      </c>
    </row>
    <row r="158" spans="1:54" x14ac:dyDescent="0.35">
      <c r="A158" s="33"/>
      <c r="B158" s="40">
        <f t="shared" si="41"/>
        <v>152</v>
      </c>
      <c r="C158" s="41">
        <v>0</v>
      </c>
      <c r="D158" s="23">
        <v>0</v>
      </c>
      <c r="E158" s="23">
        <v>0</v>
      </c>
      <c r="F158" s="23">
        <f t="shared" si="30"/>
        <v>0</v>
      </c>
      <c r="G158" s="42">
        <f t="shared" si="32"/>
        <v>0</v>
      </c>
      <c r="H158" s="23">
        <f>'[1]generators-p'!B154</f>
        <v>0</v>
      </c>
      <c r="I158" s="23">
        <f>'[1]generators-p'!C154</f>
        <v>0</v>
      </c>
      <c r="J158" s="23">
        <f>'[1]generators-p'!D154</f>
        <v>0</v>
      </c>
      <c r="K158" s="23">
        <v>0</v>
      </c>
      <c r="L158" s="23">
        <f t="shared" si="33"/>
        <v>0</v>
      </c>
      <c r="M158" s="42">
        <f t="shared" si="31"/>
        <v>0</v>
      </c>
      <c r="N158" s="33"/>
      <c r="O158" s="44">
        <f t="shared" si="42"/>
        <v>152</v>
      </c>
      <c r="P158" s="23">
        <v>56959.872000000003</v>
      </c>
      <c r="Q158" s="23">
        <v>2097.6</v>
      </c>
      <c r="R158" s="23">
        <v>456</v>
      </c>
      <c r="S158" s="23">
        <f t="shared" si="34"/>
        <v>59513.472000000002</v>
      </c>
      <c r="T158" s="42">
        <f t="shared" si="35"/>
        <v>0.64829631437105528</v>
      </c>
      <c r="U158" s="41">
        <f>'[1]generators-p'!E154</f>
        <v>58733.792707671659</v>
      </c>
      <c r="V158" s="42">
        <f t="shared" si="36"/>
        <v>0.63980305738870513</v>
      </c>
      <c r="W158" s="33"/>
      <c r="X158" s="40">
        <v>152</v>
      </c>
      <c r="Y158" s="54">
        <v>11005</v>
      </c>
      <c r="Z158" s="54">
        <v>9766.5536188099995</v>
      </c>
      <c r="AA158" s="55">
        <f t="shared" si="37"/>
        <v>20771.553618810001</v>
      </c>
      <c r="AB158" s="56">
        <f>'[1]generators-p'!J154</f>
        <v>27987.236117871431</v>
      </c>
      <c r="AC158" s="54">
        <f>'[1]links-p0'!E154</f>
        <v>0</v>
      </c>
      <c r="AD158" s="54">
        <f t="shared" si="38"/>
        <v>19591.065282510001</v>
      </c>
      <c r="AE158" s="33"/>
      <c r="AF158" s="45">
        <v>152</v>
      </c>
      <c r="AG158" s="52">
        <v>0</v>
      </c>
      <c r="AH158" s="52">
        <f>'[1]links-p0'!B154</f>
        <v>0</v>
      </c>
      <c r="AI158" s="33"/>
      <c r="AJ158" s="40">
        <v>152</v>
      </c>
      <c r="AK158" s="23">
        <v>0</v>
      </c>
      <c r="AL158" s="52">
        <f>'[1]links-p0'!H154</f>
        <v>0</v>
      </c>
      <c r="AM158" s="33"/>
      <c r="AN158" s="40">
        <v>152</v>
      </c>
      <c r="AO158" s="23">
        <v>0</v>
      </c>
      <c r="AP158" s="52">
        <v>7211.9239925399997</v>
      </c>
      <c r="AQ158" s="62">
        <f t="shared" si="39"/>
        <v>7211.9239925399997</v>
      </c>
      <c r="AR158" s="33">
        <f>'[1]links-p0'!C154</f>
        <v>0</v>
      </c>
      <c r="AS158" s="33"/>
      <c r="AT158" s="40">
        <v>152</v>
      </c>
      <c r="AU158" s="23">
        <v>0</v>
      </c>
      <c r="AV158" s="33">
        <f>'[1]links-p0'!I154</f>
        <v>0</v>
      </c>
      <c r="AW158" s="33"/>
      <c r="AX158" s="40">
        <v>152</v>
      </c>
      <c r="AY158" s="23">
        <v>2897.4</v>
      </c>
      <c r="AZ158" s="52">
        <v>0</v>
      </c>
      <c r="BA158" s="62">
        <f t="shared" si="40"/>
        <v>2897.4</v>
      </c>
      <c r="BB158" s="33">
        <f>'[1]links-p0'!D154</f>
        <v>13320.750632965201</v>
      </c>
    </row>
    <row r="159" spans="1:54" x14ac:dyDescent="0.35">
      <c r="A159" s="33"/>
      <c r="B159" s="40">
        <f t="shared" si="41"/>
        <v>153</v>
      </c>
      <c r="C159" s="41">
        <v>2490</v>
      </c>
      <c r="D159" s="23">
        <v>0</v>
      </c>
      <c r="E159" s="23">
        <v>1110</v>
      </c>
      <c r="F159" s="23">
        <f t="shared" si="30"/>
        <v>3600</v>
      </c>
      <c r="G159" s="42">
        <f t="shared" si="32"/>
        <v>3.0558974576630874E-2</v>
      </c>
      <c r="H159" s="23">
        <f>'[1]generators-p'!B155</f>
        <v>2490.0000000000032</v>
      </c>
      <c r="I159" s="23">
        <f>'[1]generators-p'!C155</f>
        <v>0</v>
      </c>
      <c r="J159" s="23">
        <f>'[1]generators-p'!D155</f>
        <v>1109.999999999997</v>
      </c>
      <c r="K159" s="23">
        <v>0</v>
      </c>
      <c r="L159" s="23">
        <f t="shared" si="33"/>
        <v>3600</v>
      </c>
      <c r="M159" s="42">
        <f t="shared" si="31"/>
        <v>3.0558974576630874E-2</v>
      </c>
      <c r="N159" s="33"/>
      <c r="O159" s="44">
        <f t="shared" si="42"/>
        <v>153</v>
      </c>
      <c r="P159" s="23">
        <v>53933.878799999999</v>
      </c>
      <c r="Q159" s="23">
        <v>2099.9</v>
      </c>
      <c r="R159" s="23">
        <v>456.5</v>
      </c>
      <c r="S159" s="23">
        <f t="shared" si="34"/>
        <v>56490.2788</v>
      </c>
      <c r="T159" s="42">
        <f t="shared" si="35"/>
        <v>0.6153638548232131</v>
      </c>
      <c r="U159" s="41">
        <f>'[1]generators-p'!E155</f>
        <v>55616.747486144748</v>
      </c>
      <c r="V159" s="42">
        <f t="shared" si="36"/>
        <v>0.60584824243783475</v>
      </c>
      <c r="W159" s="33"/>
      <c r="X159" s="40">
        <v>153</v>
      </c>
      <c r="Y159" s="54">
        <v>11005</v>
      </c>
      <c r="Z159" s="54">
        <v>9746.717199050001</v>
      </c>
      <c r="AA159" s="55">
        <f t="shared" si="37"/>
        <v>20751.717199049999</v>
      </c>
      <c r="AB159" s="56">
        <f>'[1]generators-p'!J155</f>
        <v>27987.236117871431</v>
      </c>
      <c r="AC159" s="54">
        <f>'[1]links-p0'!E155</f>
        <v>0</v>
      </c>
      <c r="AD159" s="54">
        <f t="shared" si="38"/>
        <v>19591.065282510001</v>
      </c>
      <c r="AE159" s="33"/>
      <c r="AF159" s="45">
        <v>153</v>
      </c>
      <c r="AG159" s="52">
        <v>0</v>
      </c>
      <c r="AH159" s="52">
        <f>'[1]links-p0'!B155</f>
        <v>0</v>
      </c>
      <c r="AI159" s="33"/>
      <c r="AJ159" s="40">
        <v>153</v>
      </c>
      <c r="AK159" s="23">
        <v>0</v>
      </c>
      <c r="AL159" s="52">
        <f>'[1]links-p0'!H155</f>
        <v>0</v>
      </c>
      <c r="AM159" s="33"/>
      <c r="AN159" s="40">
        <v>153</v>
      </c>
      <c r="AO159" s="23">
        <v>0</v>
      </c>
      <c r="AP159" s="52">
        <v>6322.18954536</v>
      </c>
      <c r="AQ159" s="62">
        <f t="shared" si="39"/>
        <v>6322.18954536</v>
      </c>
      <c r="AR159" s="33">
        <f>'[1]links-p0'!C155</f>
        <v>0</v>
      </c>
      <c r="AS159" s="33"/>
      <c r="AT159" s="40">
        <v>153</v>
      </c>
      <c r="AU159" s="23">
        <v>0</v>
      </c>
      <c r="AV159" s="33">
        <f>'[1]links-p0'!I155</f>
        <v>0</v>
      </c>
      <c r="AW159" s="33"/>
      <c r="AX159" s="40">
        <v>153</v>
      </c>
      <c r="AY159" s="23">
        <v>2897.4</v>
      </c>
      <c r="AZ159" s="52">
        <v>0</v>
      </c>
      <c r="BA159" s="62">
        <f t="shared" si="40"/>
        <v>2897.4</v>
      </c>
      <c r="BB159" s="33">
        <f>'[1]links-p0'!D155</f>
        <v>13320.750632965201</v>
      </c>
    </row>
    <row r="160" spans="1:54" x14ac:dyDescent="0.35">
      <c r="A160" s="33"/>
      <c r="B160" s="40">
        <f t="shared" si="41"/>
        <v>154</v>
      </c>
      <c r="C160" s="41">
        <v>6806</v>
      </c>
      <c r="D160" s="23">
        <v>81.685000000000002</v>
      </c>
      <c r="E160" s="23">
        <v>3210</v>
      </c>
      <c r="F160" s="23">
        <f t="shared" si="30"/>
        <v>10097.685000000001</v>
      </c>
      <c r="G160" s="42">
        <f t="shared" si="32"/>
        <v>8.5715249777174152E-2</v>
      </c>
      <c r="H160" s="23">
        <f>'[1]generators-p'!B156</f>
        <v>1925.1691948856219</v>
      </c>
      <c r="I160" s="23">
        <f>'[1]generators-p'!C156</f>
        <v>81.685000000000002</v>
      </c>
      <c r="J160" s="23">
        <f>'[1]generators-p'!D156</f>
        <v>3210</v>
      </c>
      <c r="K160" s="23">
        <v>0</v>
      </c>
      <c r="L160" s="23">
        <f t="shared" si="33"/>
        <v>5216.8541948856218</v>
      </c>
      <c r="M160" s="42">
        <f t="shared" si="31"/>
        <v>4.428380964208329E-2</v>
      </c>
      <c r="N160" s="33"/>
      <c r="O160" s="44">
        <f t="shared" si="42"/>
        <v>154</v>
      </c>
      <c r="P160" s="23">
        <v>53666.879399999998</v>
      </c>
      <c r="Q160" s="23">
        <v>2093</v>
      </c>
      <c r="R160" s="23">
        <v>455</v>
      </c>
      <c r="S160" s="23">
        <f t="shared" si="34"/>
        <v>56214.879399999998</v>
      </c>
      <c r="T160" s="42">
        <f t="shared" si="35"/>
        <v>0.61236385482321309</v>
      </c>
      <c r="U160" s="41">
        <f>'[1]generators-p'!E156</f>
        <v>55314.942901686067</v>
      </c>
      <c r="V160" s="42">
        <f t="shared" si="36"/>
        <v>0.60256060363623953</v>
      </c>
      <c r="W160" s="33"/>
      <c r="X160" s="40">
        <v>154</v>
      </c>
      <c r="Y160" s="54">
        <v>6342.1974667499999</v>
      </c>
      <c r="Z160" s="54">
        <v>14391.62647098</v>
      </c>
      <c r="AA160" s="55">
        <f t="shared" si="37"/>
        <v>20733.823937729998</v>
      </c>
      <c r="AB160" s="56">
        <f>'[1]generators-p'!J156</f>
        <v>27987.236117871431</v>
      </c>
      <c r="AC160" s="54">
        <f>'[1]links-p0'!E156</f>
        <v>0</v>
      </c>
      <c r="AD160" s="54">
        <f t="shared" si="38"/>
        <v>19591.065282510001</v>
      </c>
      <c r="AE160" s="33"/>
      <c r="AF160" s="45">
        <v>154</v>
      </c>
      <c r="AG160" s="52">
        <v>0</v>
      </c>
      <c r="AH160" s="52">
        <f>'[1]links-p0'!B156</f>
        <v>0</v>
      </c>
      <c r="AI160" s="33"/>
      <c r="AJ160" s="40">
        <v>154</v>
      </c>
      <c r="AK160" s="23">
        <v>0</v>
      </c>
      <c r="AL160" s="52">
        <f>'[1]links-p0'!H156</f>
        <v>0</v>
      </c>
      <c r="AM160" s="33"/>
      <c r="AN160" s="40">
        <v>154</v>
      </c>
      <c r="AO160" s="23">
        <v>0</v>
      </c>
      <c r="AP160" s="52">
        <v>4283.9895957500003</v>
      </c>
      <c r="AQ160" s="62">
        <f t="shared" si="39"/>
        <v>4283.9895957500003</v>
      </c>
      <c r="AR160" s="33">
        <f>'[1]links-p0'!C156</f>
        <v>0</v>
      </c>
      <c r="AS160" s="33"/>
      <c r="AT160" s="40">
        <v>154</v>
      </c>
      <c r="AU160" s="23">
        <v>0</v>
      </c>
      <c r="AV160" s="33">
        <f>'[1]links-p0'!I156</f>
        <v>0</v>
      </c>
      <c r="AW160" s="33"/>
      <c r="AX160" s="40">
        <v>154</v>
      </c>
      <c r="AY160" s="23">
        <v>2897.4</v>
      </c>
      <c r="AZ160" s="52">
        <v>10423.35</v>
      </c>
      <c r="BA160" s="62">
        <f t="shared" si="40"/>
        <v>13320.75</v>
      </c>
      <c r="BB160" s="33">
        <f>'[1]links-p0'!D156</f>
        <v>13320.750632965201</v>
      </c>
    </row>
    <row r="161" spans="1:54" x14ac:dyDescent="0.35">
      <c r="A161" s="33"/>
      <c r="B161" s="40">
        <f t="shared" si="41"/>
        <v>155</v>
      </c>
      <c r="C161" s="41">
        <v>11288</v>
      </c>
      <c r="D161" s="23">
        <v>134.54</v>
      </c>
      <c r="E161" s="23">
        <v>5370</v>
      </c>
      <c r="F161" s="23">
        <f t="shared" si="30"/>
        <v>16792.54</v>
      </c>
      <c r="G161" s="42">
        <f t="shared" si="32"/>
        <v>0.14254522303807141</v>
      </c>
      <c r="H161" s="23">
        <f>'[1]generators-p'!B157</f>
        <v>0</v>
      </c>
      <c r="I161" s="23">
        <f>'[1]generators-p'!C157</f>
        <v>0</v>
      </c>
      <c r="J161" s="23">
        <f>'[1]generators-p'!D157</f>
        <v>3020.1951357934672</v>
      </c>
      <c r="K161" s="23">
        <v>2154.5275102495361</v>
      </c>
      <c r="L161" s="23">
        <f t="shared" si="33"/>
        <v>3020.1951357934672</v>
      </c>
      <c r="M161" s="42">
        <f t="shared" si="31"/>
        <v>2.5637240658660219E-2</v>
      </c>
      <c r="N161" s="33"/>
      <c r="O161" s="44">
        <f t="shared" si="42"/>
        <v>155</v>
      </c>
      <c r="P161" s="23">
        <v>55001.876400000001</v>
      </c>
      <c r="Q161" s="23">
        <v>2093</v>
      </c>
      <c r="R161" s="23">
        <v>455</v>
      </c>
      <c r="S161" s="23">
        <f t="shared" si="34"/>
        <v>57549.876400000001</v>
      </c>
      <c r="T161" s="42">
        <f t="shared" si="35"/>
        <v>0.62690633748657398</v>
      </c>
      <c r="U161" s="41">
        <f>'[1]generators-p'!E157</f>
        <v>56767.414212998687</v>
      </c>
      <c r="V161" s="42">
        <f t="shared" si="36"/>
        <v>0.61838276568139239</v>
      </c>
      <c r="W161" s="33"/>
      <c r="X161" s="40">
        <v>155</v>
      </c>
      <c r="Y161" s="54">
        <v>11005</v>
      </c>
      <c r="Z161" s="54">
        <v>9732.9149350600001</v>
      </c>
      <c r="AA161" s="55">
        <f t="shared" si="37"/>
        <v>20737.914935059998</v>
      </c>
      <c r="AB161" s="56">
        <f>'[1]generators-p'!J157</f>
        <v>28010.536127814288</v>
      </c>
      <c r="AC161" s="54">
        <f>'[1]links-p0'!E157</f>
        <v>0</v>
      </c>
      <c r="AD161" s="54">
        <f t="shared" si="38"/>
        <v>19607.375289470001</v>
      </c>
      <c r="AE161" s="33"/>
      <c r="AF161" s="45">
        <v>155</v>
      </c>
      <c r="AG161" s="52">
        <v>0</v>
      </c>
      <c r="AH161" s="52">
        <f>'[1]links-p0'!B157</f>
        <v>0</v>
      </c>
      <c r="AI161" s="33"/>
      <c r="AJ161" s="40">
        <v>155</v>
      </c>
      <c r="AK161" s="23">
        <v>0</v>
      </c>
      <c r="AL161" s="52">
        <f>'[1]links-p0'!H157</f>
        <v>0</v>
      </c>
      <c r="AM161" s="33"/>
      <c r="AN161" s="40">
        <v>155</v>
      </c>
      <c r="AO161" s="23">
        <v>0</v>
      </c>
      <c r="AP161" s="52">
        <v>2998.62965033</v>
      </c>
      <c r="AQ161" s="62">
        <f t="shared" si="39"/>
        <v>2998.62965033</v>
      </c>
      <c r="AR161" s="33">
        <f>'[1]links-p0'!C157</f>
        <v>0</v>
      </c>
      <c r="AS161" s="33"/>
      <c r="AT161" s="40">
        <v>155</v>
      </c>
      <c r="AU161" s="23">
        <v>0</v>
      </c>
      <c r="AV161" s="33">
        <f>'[1]links-p0'!I157</f>
        <v>0</v>
      </c>
      <c r="AW161" s="33"/>
      <c r="AX161" s="40">
        <v>155</v>
      </c>
      <c r="AY161" s="23">
        <v>2897.4</v>
      </c>
      <c r="AZ161" s="52">
        <v>10423.35</v>
      </c>
      <c r="BA161" s="62">
        <f t="shared" si="40"/>
        <v>13320.75</v>
      </c>
      <c r="BB161" s="33">
        <f>'[1]links-p0'!D157</f>
        <v>13320.750632965201</v>
      </c>
    </row>
    <row r="162" spans="1:54" x14ac:dyDescent="0.35">
      <c r="A162" s="33"/>
      <c r="B162" s="40">
        <f t="shared" si="41"/>
        <v>156</v>
      </c>
      <c r="C162" s="41">
        <v>15272</v>
      </c>
      <c r="D162" s="23">
        <v>172.98</v>
      </c>
      <c r="E162" s="23">
        <v>7200</v>
      </c>
      <c r="F162" s="23">
        <f t="shared" si="30"/>
        <v>22644.98</v>
      </c>
      <c r="G162" s="42">
        <f t="shared" si="32"/>
        <v>0.19222426891897626</v>
      </c>
      <c r="H162" s="23">
        <f>'[1]generators-p'!B158</f>
        <v>0</v>
      </c>
      <c r="I162" s="23">
        <f>'[1]generators-p'!C158</f>
        <v>0</v>
      </c>
      <c r="J162" s="23">
        <f>'[1]generators-p'!D158</f>
        <v>0</v>
      </c>
      <c r="K162" s="23">
        <v>6417.1567046409509</v>
      </c>
      <c r="L162" s="23">
        <f t="shared" si="33"/>
        <v>0</v>
      </c>
      <c r="M162" s="42">
        <f t="shared" si="31"/>
        <v>0</v>
      </c>
      <c r="N162" s="33"/>
      <c r="O162" s="44">
        <f t="shared" si="42"/>
        <v>156</v>
      </c>
      <c r="P162" s="23">
        <v>58561.868399999999</v>
      </c>
      <c r="Q162" s="23">
        <v>2099.9</v>
      </c>
      <c r="R162" s="23">
        <v>456.5</v>
      </c>
      <c r="S162" s="23">
        <f t="shared" si="34"/>
        <v>61118.268400000001</v>
      </c>
      <c r="T162" s="42">
        <f t="shared" si="35"/>
        <v>0.66577779472286436</v>
      </c>
      <c r="U162" s="41">
        <f>'[1]generators-p'!E158</f>
        <v>56705.27785357074</v>
      </c>
      <c r="V162" s="42">
        <f t="shared" si="36"/>
        <v>0.61770589754629901</v>
      </c>
      <c r="W162" s="33"/>
      <c r="X162" s="40">
        <v>156</v>
      </c>
      <c r="Y162" s="54">
        <v>11005</v>
      </c>
      <c r="Z162" s="54">
        <v>9709.6356661299997</v>
      </c>
      <c r="AA162" s="55">
        <f t="shared" si="37"/>
        <v>20714.635666130001</v>
      </c>
      <c r="AB162" s="56">
        <f>'[1]generators-p'!J158</f>
        <v>27987.236117871431</v>
      </c>
      <c r="AC162" s="54">
        <f>'[1]links-p0'!E158</f>
        <v>0</v>
      </c>
      <c r="AD162" s="54">
        <f t="shared" si="38"/>
        <v>19591.065282510001</v>
      </c>
      <c r="AE162" s="33"/>
      <c r="AF162" s="45">
        <v>156</v>
      </c>
      <c r="AG162" s="52">
        <v>0</v>
      </c>
      <c r="AH162" s="52">
        <f>'[1]links-p0'!B158</f>
        <v>0</v>
      </c>
      <c r="AI162" s="33"/>
      <c r="AJ162" s="40">
        <v>156</v>
      </c>
      <c r="AK162" s="23">
        <v>0</v>
      </c>
      <c r="AL162" s="52">
        <f>'[1]links-p0'!H158</f>
        <v>0</v>
      </c>
      <c r="AM162" s="33"/>
      <c r="AN162" s="40">
        <v>156</v>
      </c>
      <c r="AO162" s="23">
        <v>0</v>
      </c>
      <c r="AP162" s="52">
        <v>551.08658912999999</v>
      </c>
      <c r="AQ162" s="62">
        <f t="shared" si="39"/>
        <v>551.08658912999999</v>
      </c>
      <c r="AR162" s="33">
        <f>'[1]links-p0'!C158</f>
        <v>0</v>
      </c>
      <c r="AS162" s="33"/>
      <c r="AT162" s="40">
        <v>156</v>
      </c>
      <c r="AU162" s="23">
        <v>0</v>
      </c>
      <c r="AV162" s="33">
        <f>'[1]links-p0'!I158</f>
        <v>0</v>
      </c>
      <c r="AW162" s="33"/>
      <c r="AX162" s="40">
        <v>156</v>
      </c>
      <c r="AY162" s="23">
        <v>2897.4</v>
      </c>
      <c r="AZ162" s="52">
        <v>10423.35</v>
      </c>
      <c r="BA162" s="62">
        <f t="shared" si="40"/>
        <v>13320.75</v>
      </c>
      <c r="BB162" s="33">
        <f>'[1]links-p0'!D158</f>
        <v>13320.750632965201</v>
      </c>
    </row>
    <row r="163" spans="1:54" x14ac:dyDescent="0.35">
      <c r="A163" s="33"/>
      <c r="B163" s="40">
        <f t="shared" si="41"/>
        <v>157</v>
      </c>
      <c r="C163" s="41">
        <v>17347</v>
      </c>
      <c r="D163" s="23">
        <v>187.39500000000001</v>
      </c>
      <c r="E163" s="23">
        <v>8160</v>
      </c>
      <c r="F163" s="23">
        <f t="shared" si="30"/>
        <v>25694.395</v>
      </c>
      <c r="G163" s="42">
        <f t="shared" si="32"/>
        <v>0.21810954543525318</v>
      </c>
      <c r="H163" s="23">
        <f>'[1]generators-p'!B159</f>
        <v>0</v>
      </c>
      <c r="I163" s="23">
        <f>'[1]generators-p'!C159</f>
        <v>0</v>
      </c>
      <c r="J163" s="23">
        <f>'[1]generators-p'!D159</f>
        <v>0</v>
      </c>
      <c r="K163" s="23">
        <v>9087.8612929844039</v>
      </c>
      <c r="L163" s="23">
        <f t="shared" si="33"/>
        <v>0</v>
      </c>
      <c r="M163" s="42">
        <f t="shared" si="31"/>
        <v>0</v>
      </c>
      <c r="N163" s="33"/>
      <c r="O163" s="44">
        <f t="shared" si="42"/>
        <v>157</v>
      </c>
      <c r="P163" s="23">
        <v>61943.860800000002</v>
      </c>
      <c r="Q163" s="23">
        <v>2111.4</v>
      </c>
      <c r="R163" s="23">
        <v>459</v>
      </c>
      <c r="S163" s="23">
        <f t="shared" si="34"/>
        <v>64514.260800000004</v>
      </c>
      <c r="T163" s="42">
        <f t="shared" si="35"/>
        <v>0.70277125658225836</v>
      </c>
      <c r="U163" s="41">
        <f>'[1]generators-p'!E159</f>
        <v>54172.493488607288</v>
      </c>
      <c r="V163" s="42">
        <f t="shared" si="36"/>
        <v>0.59011559380965195</v>
      </c>
      <c r="W163" s="33"/>
      <c r="X163" s="40">
        <v>157</v>
      </c>
      <c r="Y163" s="54">
        <v>11005</v>
      </c>
      <c r="Z163" s="54">
        <v>9705.2606661300015</v>
      </c>
      <c r="AA163" s="55">
        <f t="shared" si="37"/>
        <v>20710.260666130001</v>
      </c>
      <c r="AB163" s="56">
        <f>'[1]generators-p'!J159</f>
        <v>27987.236117871431</v>
      </c>
      <c r="AC163" s="54">
        <f>'[1]links-p0'!E159</f>
        <v>0</v>
      </c>
      <c r="AD163" s="54">
        <f t="shared" si="38"/>
        <v>19591.065282510001</v>
      </c>
      <c r="AE163" s="33"/>
      <c r="AF163" s="45">
        <v>157</v>
      </c>
      <c r="AG163" s="52">
        <v>0</v>
      </c>
      <c r="AH163" s="52">
        <f>'[1]links-p0'!B159</f>
        <v>0</v>
      </c>
      <c r="AI163" s="33"/>
      <c r="AJ163" s="40">
        <v>157</v>
      </c>
      <c r="AK163" s="23">
        <v>0</v>
      </c>
      <c r="AL163" s="52">
        <f>'[1]links-p0'!H159</f>
        <v>0</v>
      </c>
      <c r="AM163" s="33"/>
      <c r="AN163" s="40">
        <v>157</v>
      </c>
      <c r="AO163" s="23">
        <v>0</v>
      </c>
      <c r="AP163" s="52">
        <v>0</v>
      </c>
      <c r="AQ163" s="62">
        <f t="shared" si="39"/>
        <v>0</v>
      </c>
      <c r="AR163" s="33">
        <f>'[1]links-p0'!C159</f>
        <v>0</v>
      </c>
      <c r="AS163" s="33"/>
      <c r="AT163" s="40">
        <v>157</v>
      </c>
      <c r="AU163" s="23">
        <v>0</v>
      </c>
      <c r="AV163" s="33">
        <f>'[1]links-p0'!I159</f>
        <v>0</v>
      </c>
      <c r="AW163" s="33"/>
      <c r="AX163" s="40">
        <v>157</v>
      </c>
      <c r="AY163" s="23">
        <v>2897.4</v>
      </c>
      <c r="AZ163" s="52">
        <v>10423.35</v>
      </c>
      <c r="BA163" s="62">
        <f t="shared" si="40"/>
        <v>13320.75</v>
      </c>
      <c r="BB163" s="33">
        <f>'[1]links-p0'!D159</f>
        <v>13320.750632965201</v>
      </c>
    </row>
    <row r="164" spans="1:54" x14ac:dyDescent="0.35">
      <c r="A164" s="33"/>
      <c r="B164" s="40">
        <f t="shared" si="41"/>
        <v>158</v>
      </c>
      <c r="C164" s="41">
        <v>17347</v>
      </c>
      <c r="D164" s="23">
        <v>163.37</v>
      </c>
      <c r="E164" s="23">
        <v>7920</v>
      </c>
      <c r="F164" s="23">
        <f t="shared" si="30"/>
        <v>25430.37</v>
      </c>
      <c r="G164" s="42">
        <f t="shared" si="32"/>
        <v>0.21586834175119901</v>
      </c>
      <c r="H164" s="23">
        <f>'[1]generators-p'!B160</f>
        <v>12431.76995275785</v>
      </c>
      <c r="I164" s="23">
        <f>'[1]generators-p'!C160</f>
        <v>163.37</v>
      </c>
      <c r="J164" s="23">
        <f>'[1]generators-p'!D160</f>
        <v>7920</v>
      </c>
      <c r="K164" s="23">
        <v>9596.1976506932133</v>
      </c>
      <c r="L164" s="23">
        <f t="shared" si="33"/>
        <v>20515.139952757851</v>
      </c>
      <c r="M164" s="42">
        <f t="shared" si="31"/>
        <v>0.17414490007009761</v>
      </c>
      <c r="N164" s="33"/>
      <c r="O164" s="44">
        <f t="shared" si="42"/>
        <v>158</v>
      </c>
      <c r="P164" s="23">
        <v>64168.855799999998</v>
      </c>
      <c r="Q164" s="23">
        <v>2118.3000000000002</v>
      </c>
      <c r="R164" s="23">
        <v>460.5</v>
      </c>
      <c r="S164" s="23">
        <f t="shared" si="34"/>
        <v>66747.655799999993</v>
      </c>
      <c r="T164" s="42">
        <f t="shared" si="35"/>
        <v>0.72710023115518763</v>
      </c>
      <c r="U164" s="41">
        <f>'[1]generators-p'!E160</f>
        <v>66150.663740676406</v>
      </c>
      <c r="V164" s="42">
        <f t="shared" si="36"/>
        <v>0.72059703551289223</v>
      </c>
      <c r="W164" s="33"/>
      <c r="X164" s="40">
        <v>158</v>
      </c>
      <c r="Y164" s="54">
        <v>11005</v>
      </c>
      <c r="Z164" s="54">
        <v>9720.9360255899992</v>
      </c>
      <c r="AA164" s="55">
        <f t="shared" si="37"/>
        <v>20725.936025589999</v>
      </c>
      <c r="AB164" s="56">
        <f>'[1]generators-p'!J160</f>
        <v>28010.536127814288</v>
      </c>
      <c r="AC164" s="54">
        <f>'[1]links-p0'!E160</f>
        <v>0</v>
      </c>
      <c r="AD164" s="54">
        <f t="shared" si="38"/>
        <v>19607.375289470001</v>
      </c>
      <c r="AE164" s="33"/>
      <c r="AF164" s="45">
        <v>158</v>
      </c>
      <c r="AG164" s="52">
        <v>0</v>
      </c>
      <c r="AH164" s="52">
        <f>'[1]links-p0'!B160</f>
        <v>0</v>
      </c>
      <c r="AI164" s="33"/>
      <c r="AJ164" s="40">
        <v>158</v>
      </c>
      <c r="AK164" s="23">
        <v>0</v>
      </c>
      <c r="AL164" s="52">
        <f>'[1]links-p0'!H160</f>
        <v>0</v>
      </c>
      <c r="AM164" s="33"/>
      <c r="AN164" s="40">
        <v>158</v>
      </c>
      <c r="AO164" s="23">
        <v>0</v>
      </c>
      <c r="AP164" s="52">
        <v>0</v>
      </c>
      <c r="AQ164" s="62">
        <f t="shared" si="39"/>
        <v>0</v>
      </c>
      <c r="AR164" s="33">
        <f>'[1]links-p0'!C160</f>
        <v>0</v>
      </c>
      <c r="AS164" s="33"/>
      <c r="AT164" s="40">
        <v>158</v>
      </c>
      <c r="AU164" s="23">
        <v>0</v>
      </c>
      <c r="AV164" s="33">
        <f>'[1]links-p0'!I160</f>
        <v>0</v>
      </c>
      <c r="AW164" s="33"/>
      <c r="AX164" s="40">
        <v>158</v>
      </c>
      <c r="AY164" s="23">
        <v>2897.4</v>
      </c>
      <c r="AZ164" s="52">
        <v>10423.35</v>
      </c>
      <c r="BA164" s="62">
        <f t="shared" si="40"/>
        <v>13320.75</v>
      </c>
      <c r="BB164" s="33">
        <f>'[1]links-p0'!D160</f>
        <v>13320.750632965201</v>
      </c>
    </row>
    <row r="165" spans="1:54" x14ac:dyDescent="0.35">
      <c r="A165" s="33"/>
      <c r="B165" s="40">
        <f t="shared" si="41"/>
        <v>159</v>
      </c>
      <c r="C165" s="41">
        <v>0</v>
      </c>
      <c r="D165" s="23">
        <v>0</v>
      </c>
      <c r="E165" s="23">
        <v>6120</v>
      </c>
      <c r="F165" s="23">
        <f t="shared" si="30"/>
        <v>6120</v>
      </c>
      <c r="G165" s="42">
        <f t="shared" si="32"/>
        <v>5.1950256780272486E-2</v>
      </c>
      <c r="H165" s="23">
        <f>'[1]generators-p'!B161</f>
        <v>14442.000000000009</v>
      </c>
      <c r="I165" s="23">
        <f>'[1]generators-p'!C161</f>
        <v>105.7099999999995</v>
      </c>
      <c r="J165" s="23">
        <f>'[1]generators-p'!D161</f>
        <v>6120</v>
      </c>
      <c r="K165" s="23">
        <v>7399.0791086554927</v>
      </c>
      <c r="L165" s="23">
        <f t="shared" si="33"/>
        <v>20667.710000000006</v>
      </c>
      <c r="M165" s="42">
        <f t="shared" si="31"/>
        <v>0.17544000679088328</v>
      </c>
      <c r="N165" s="33"/>
      <c r="O165" s="44">
        <f t="shared" si="42"/>
        <v>159</v>
      </c>
      <c r="P165" s="23">
        <v>54278.957296679997</v>
      </c>
      <c r="Q165" s="23">
        <v>0</v>
      </c>
      <c r="R165" s="23">
        <v>0</v>
      </c>
      <c r="S165" s="23">
        <f t="shared" si="34"/>
        <v>54278.957296679997</v>
      </c>
      <c r="T165" s="42">
        <f t="shared" si="35"/>
        <v>0.59127533280769673</v>
      </c>
      <c r="U165" s="41">
        <f>'[1]generators-p'!E161</f>
        <v>67868.771710827787</v>
      </c>
      <c r="V165" s="42">
        <f t="shared" si="36"/>
        <v>0.73931284938341679</v>
      </c>
      <c r="W165" s="33"/>
      <c r="X165" s="40">
        <v>159</v>
      </c>
      <c r="Y165" s="54">
        <v>11005</v>
      </c>
      <c r="Z165" s="54">
        <v>9705.6840200400002</v>
      </c>
      <c r="AA165" s="55">
        <f t="shared" si="37"/>
        <v>20710.68402004</v>
      </c>
      <c r="AB165" s="56">
        <f>'[1]generators-p'!J161</f>
        <v>27987.236117871431</v>
      </c>
      <c r="AC165" s="54">
        <f>'[1]links-p0'!E161</f>
        <v>0</v>
      </c>
      <c r="AD165" s="54">
        <f t="shared" si="38"/>
        <v>19591.065282510001</v>
      </c>
      <c r="AE165" s="33"/>
      <c r="AF165" s="45">
        <v>159</v>
      </c>
      <c r="AG165" s="52">
        <v>0</v>
      </c>
      <c r="AH165" s="52">
        <f>'[1]links-p0'!B161</f>
        <v>0</v>
      </c>
      <c r="AI165" s="33"/>
      <c r="AJ165" s="40">
        <v>159</v>
      </c>
      <c r="AK165" s="23">
        <v>0</v>
      </c>
      <c r="AL165" s="52">
        <f>'[1]links-p0'!H161</f>
        <v>0</v>
      </c>
      <c r="AM165" s="33"/>
      <c r="AN165" s="40">
        <v>159</v>
      </c>
      <c r="AO165" s="23">
        <v>0</v>
      </c>
      <c r="AP165" s="52">
        <v>0</v>
      </c>
      <c r="AQ165" s="62">
        <f t="shared" si="39"/>
        <v>0</v>
      </c>
      <c r="AR165" s="33">
        <f>'[1]links-p0'!C161</f>
        <v>0</v>
      </c>
      <c r="AS165" s="33"/>
      <c r="AT165" s="40">
        <v>159</v>
      </c>
      <c r="AU165" s="23">
        <v>0</v>
      </c>
      <c r="AV165" s="33">
        <f>'[1]links-p0'!I161</f>
        <v>0</v>
      </c>
      <c r="AW165" s="33"/>
      <c r="AX165" s="40">
        <v>159</v>
      </c>
      <c r="AY165" s="23">
        <v>2897.4</v>
      </c>
      <c r="AZ165" s="52">
        <v>10423.35</v>
      </c>
      <c r="BA165" s="62">
        <f t="shared" si="40"/>
        <v>13320.75</v>
      </c>
      <c r="BB165" s="33">
        <f>'[1]links-p0'!D161</f>
        <v>13320.750632965201</v>
      </c>
    </row>
    <row r="166" spans="1:54" x14ac:dyDescent="0.35">
      <c r="A166" s="33"/>
      <c r="B166" s="40">
        <f t="shared" si="41"/>
        <v>160</v>
      </c>
      <c r="C166" s="41">
        <v>4904.2486502900001</v>
      </c>
      <c r="D166" s="23">
        <v>0</v>
      </c>
      <c r="E166" s="23">
        <v>3570</v>
      </c>
      <c r="F166" s="23">
        <f t="shared" ref="F166:F173" si="43">C166+D166+E166</f>
        <v>8474.2486502899992</v>
      </c>
      <c r="G166" s="42">
        <f t="shared" si="32"/>
        <v>7.1934541405627939E-2</v>
      </c>
      <c r="H166" s="23">
        <f>'[1]generators-p'!B162</f>
        <v>9296</v>
      </c>
      <c r="I166" s="23">
        <f>'[1]generators-p'!C162</f>
        <v>0</v>
      </c>
      <c r="J166" s="23">
        <f>'[1]generators-p'!D162</f>
        <v>3569.99999999997</v>
      </c>
      <c r="K166" s="23">
        <v>4267.8395470833011</v>
      </c>
      <c r="L166" s="23">
        <f t="shared" si="33"/>
        <v>12865.999999999971</v>
      </c>
      <c r="M166" s="42">
        <f t="shared" ref="M166:M173" si="44">L166/$I$2</f>
        <v>0.10921437969525886</v>
      </c>
      <c r="N166" s="33"/>
      <c r="O166" s="44">
        <f t="shared" si="42"/>
        <v>160</v>
      </c>
      <c r="P166" s="23">
        <v>69152.844599999997</v>
      </c>
      <c r="Q166" s="23">
        <v>0</v>
      </c>
      <c r="R166" s="23">
        <v>0</v>
      </c>
      <c r="S166" s="23">
        <f t="shared" si="34"/>
        <v>69152.844599999997</v>
      </c>
      <c r="T166" s="42">
        <f t="shared" si="35"/>
        <v>0.7533006019620957</v>
      </c>
      <c r="U166" s="41">
        <f>'[1]generators-p'!E162</f>
        <v>71329.542902751273</v>
      </c>
      <c r="V166" s="42">
        <f t="shared" si="36"/>
        <v>0.77701196410832341</v>
      </c>
      <c r="W166" s="33"/>
      <c r="X166" s="40">
        <v>160</v>
      </c>
      <c r="Y166" s="54">
        <v>11005</v>
      </c>
      <c r="Z166" s="54">
        <v>9705.2071681800007</v>
      </c>
      <c r="AA166" s="55">
        <f t="shared" si="37"/>
        <v>20710.207168180001</v>
      </c>
      <c r="AB166" s="56">
        <f>'[1]generators-p'!J162</f>
        <v>27987.236117871431</v>
      </c>
      <c r="AC166" s="54">
        <f>'[1]links-p0'!E162</f>
        <v>0</v>
      </c>
      <c r="AD166" s="54">
        <f t="shared" si="38"/>
        <v>19591.065282510001</v>
      </c>
      <c r="AE166" s="33"/>
      <c r="AF166" s="45">
        <v>160</v>
      </c>
      <c r="AG166" s="52">
        <v>0</v>
      </c>
      <c r="AH166" s="52">
        <f>'[1]links-p0'!B162</f>
        <v>0</v>
      </c>
      <c r="AI166" s="33"/>
      <c r="AJ166" s="40">
        <v>160</v>
      </c>
      <c r="AK166" s="23">
        <v>0</v>
      </c>
      <c r="AL166" s="52">
        <f>'[1]links-p0'!H162</f>
        <v>0</v>
      </c>
      <c r="AM166" s="33"/>
      <c r="AN166" s="40">
        <v>160</v>
      </c>
      <c r="AO166" s="23">
        <v>0</v>
      </c>
      <c r="AP166" s="52">
        <v>0</v>
      </c>
      <c r="AQ166" s="62">
        <f t="shared" si="39"/>
        <v>0</v>
      </c>
      <c r="AR166" s="33">
        <f>'[1]links-p0'!C162</f>
        <v>0</v>
      </c>
      <c r="AS166" s="33"/>
      <c r="AT166" s="40">
        <v>160</v>
      </c>
      <c r="AU166" s="23">
        <v>0</v>
      </c>
      <c r="AV166" s="33">
        <f>'[1]links-p0'!I162</f>
        <v>0</v>
      </c>
      <c r="AW166" s="33"/>
      <c r="AX166" s="40">
        <v>160</v>
      </c>
      <c r="AY166" s="23">
        <v>2897.4</v>
      </c>
      <c r="AZ166" s="52">
        <v>10423.35</v>
      </c>
      <c r="BA166" s="62">
        <f t="shared" si="40"/>
        <v>13320.75</v>
      </c>
      <c r="BB166" s="33">
        <f>'[1]links-p0'!D162</f>
        <v>13320.750632965201</v>
      </c>
    </row>
    <row r="167" spans="1:54" x14ac:dyDescent="0.35">
      <c r="A167" s="33"/>
      <c r="B167" s="40">
        <f t="shared" si="41"/>
        <v>161</v>
      </c>
      <c r="C167" s="41">
        <v>2324</v>
      </c>
      <c r="D167" s="23">
        <v>0</v>
      </c>
      <c r="E167" s="23">
        <v>960</v>
      </c>
      <c r="F167" s="23">
        <f t="shared" si="43"/>
        <v>3284</v>
      </c>
      <c r="G167" s="42">
        <f t="shared" si="32"/>
        <v>2.7876575697126607E-2</v>
      </c>
      <c r="H167" s="23">
        <f>'[1]generators-p'!B163</f>
        <v>2324</v>
      </c>
      <c r="I167" s="23">
        <f>'[1]generators-p'!C163</f>
        <v>0</v>
      </c>
      <c r="J167" s="23">
        <f>'[1]generators-p'!D163</f>
        <v>960</v>
      </c>
      <c r="K167" s="23">
        <v>0</v>
      </c>
      <c r="L167" s="23">
        <f t="shared" si="33"/>
        <v>3284</v>
      </c>
      <c r="M167" s="42">
        <f t="shared" si="44"/>
        <v>2.7876575697126607E-2</v>
      </c>
      <c r="N167" s="33"/>
      <c r="O167" s="44">
        <f t="shared" si="42"/>
        <v>161</v>
      </c>
      <c r="P167" s="23">
        <v>68173.846799999999</v>
      </c>
      <c r="Q167" s="23">
        <v>2122.9</v>
      </c>
      <c r="R167" s="23">
        <v>461.5</v>
      </c>
      <c r="S167" s="23">
        <f t="shared" si="34"/>
        <v>70758.246799999994</v>
      </c>
      <c r="T167" s="42">
        <f t="shared" si="35"/>
        <v>0.77078868145682222</v>
      </c>
      <c r="U167" s="41">
        <f>'[1]generators-p'!E163</f>
        <v>70326.101748658868</v>
      </c>
      <c r="V167" s="42">
        <f t="shared" si="36"/>
        <v>0.76608120876798058</v>
      </c>
      <c r="W167" s="33"/>
      <c r="X167" s="40">
        <v>161</v>
      </c>
      <c r="Y167" s="54">
        <v>0</v>
      </c>
      <c r="Z167" s="54">
        <v>20705.6624151</v>
      </c>
      <c r="AA167" s="55">
        <f t="shared" si="37"/>
        <v>20705.6624151</v>
      </c>
      <c r="AB167" s="56">
        <f>'[1]generators-p'!J163</f>
        <v>29232.437138101439</v>
      </c>
      <c r="AC167" s="54">
        <f>'[1]links-p0'!E163</f>
        <v>0</v>
      </c>
      <c r="AD167" s="54">
        <f t="shared" si="38"/>
        <v>20462.705996671008</v>
      </c>
      <c r="AE167" s="33"/>
      <c r="AF167" s="45">
        <v>161</v>
      </c>
      <c r="AG167" s="52">
        <v>0</v>
      </c>
      <c r="AH167" s="52">
        <f>'[1]links-p0'!B163</f>
        <v>0</v>
      </c>
      <c r="AI167" s="33"/>
      <c r="AJ167" s="40">
        <v>161</v>
      </c>
      <c r="AK167" s="23">
        <v>0</v>
      </c>
      <c r="AL167" s="52">
        <f>'[1]links-p0'!H163</f>
        <v>0</v>
      </c>
      <c r="AM167" s="33"/>
      <c r="AN167" s="40">
        <v>161</v>
      </c>
      <c r="AO167" s="23">
        <v>0</v>
      </c>
      <c r="AP167" s="52">
        <v>2973.3030961999998</v>
      </c>
      <c r="AQ167" s="62">
        <f t="shared" si="39"/>
        <v>2973.3030961999998</v>
      </c>
      <c r="AR167" s="33">
        <f>'[1]links-p0'!C163</f>
        <v>0</v>
      </c>
      <c r="AS167" s="33"/>
      <c r="AT167" s="40">
        <v>161</v>
      </c>
      <c r="AU167" s="23">
        <v>0</v>
      </c>
      <c r="AV167" s="33">
        <f>'[1]links-p0'!I163</f>
        <v>0</v>
      </c>
      <c r="AW167" s="33"/>
      <c r="AX167" s="40">
        <v>161</v>
      </c>
      <c r="AY167" s="23">
        <v>2897.4</v>
      </c>
      <c r="AZ167" s="52">
        <v>0</v>
      </c>
      <c r="BA167" s="62">
        <f t="shared" si="40"/>
        <v>2897.4</v>
      </c>
      <c r="BB167" s="33">
        <f>'[1]links-p0'!D163</f>
        <v>13320.750632965201</v>
      </c>
    </row>
    <row r="168" spans="1:54" x14ac:dyDescent="0.35">
      <c r="A168" s="33"/>
      <c r="B168" s="40">
        <f t="shared" si="41"/>
        <v>162</v>
      </c>
      <c r="C168" s="41">
        <v>0</v>
      </c>
      <c r="D168" s="23">
        <v>0</v>
      </c>
      <c r="E168" s="23">
        <v>0</v>
      </c>
      <c r="F168" s="23">
        <f t="shared" si="43"/>
        <v>0</v>
      </c>
      <c r="G168" s="42">
        <f t="shared" si="32"/>
        <v>0</v>
      </c>
      <c r="H168" s="23">
        <f>'[1]generators-p'!B164</f>
        <v>0</v>
      </c>
      <c r="I168" s="23">
        <f>'[1]generators-p'!C164</f>
        <v>0</v>
      </c>
      <c r="J168" s="23">
        <f>'[1]generators-p'!D164</f>
        <v>0</v>
      </c>
      <c r="K168" s="23">
        <v>0</v>
      </c>
      <c r="L168" s="23">
        <f t="shared" si="33"/>
        <v>0</v>
      </c>
      <c r="M168" s="42">
        <f t="shared" si="44"/>
        <v>0</v>
      </c>
      <c r="N168" s="33"/>
      <c r="O168" s="44">
        <f t="shared" si="42"/>
        <v>162</v>
      </c>
      <c r="P168" s="23">
        <v>63812.856599999999</v>
      </c>
      <c r="Q168" s="23">
        <v>2118.3000000000002</v>
      </c>
      <c r="R168" s="23">
        <v>460.5</v>
      </c>
      <c r="S168" s="23">
        <f t="shared" si="34"/>
        <v>66391.656600000002</v>
      </c>
      <c r="T168" s="42">
        <f t="shared" si="35"/>
        <v>0.72322223577829148</v>
      </c>
      <c r="U168" s="41">
        <f>'[1]generators-p'!E164</f>
        <v>65799.846327957581</v>
      </c>
      <c r="V168" s="42">
        <f t="shared" si="36"/>
        <v>0.71677548674351776</v>
      </c>
      <c r="W168" s="33"/>
      <c r="X168" s="40">
        <v>162</v>
      </c>
      <c r="Y168" s="54">
        <v>11005</v>
      </c>
      <c r="Z168" s="54">
        <v>9716.0780009000009</v>
      </c>
      <c r="AA168" s="55">
        <f t="shared" si="37"/>
        <v>20721.078000900001</v>
      </c>
      <c r="AB168" s="56">
        <f>'[1]generators-p'!J164</f>
        <v>30324.703599872741</v>
      </c>
      <c r="AC168" s="54">
        <f>'[1]links-p0'!E164</f>
        <v>0</v>
      </c>
      <c r="AD168" s="54">
        <f t="shared" si="38"/>
        <v>21227.292519910916</v>
      </c>
      <c r="AE168" s="33"/>
      <c r="AF168" s="45">
        <v>162</v>
      </c>
      <c r="AG168" s="52">
        <v>0</v>
      </c>
      <c r="AH168" s="52">
        <f>'[1]links-p0'!B164</f>
        <v>0</v>
      </c>
      <c r="AI168" s="33"/>
      <c r="AJ168" s="40">
        <v>162</v>
      </c>
      <c r="AK168" s="23">
        <v>0</v>
      </c>
      <c r="AL168" s="52">
        <f>'[1]links-p0'!H164</f>
        <v>0</v>
      </c>
      <c r="AM168" s="33"/>
      <c r="AN168" s="40">
        <v>162</v>
      </c>
      <c r="AO168" s="23">
        <v>0</v>
      </c>
      <c r="AP168" s="52">
        <v>0</v>
      </c>
      <c r="AQ168" s="62">
        <f t="shared" si="39"/>
        <v>0</v>
      </c>
      <c r="AR168" s="33">
        <f>'[1]links-p0'!C164</f>
        <v>0</v>
      </c>
      <c r="AS168" s="33"/>
      <c r="AT168" s="40">
        <v>162</v>
      </c>
      <c r="AU168" s="23">
        <v>2064.9701558299998</v>
      </c>
      <c r="AV168" s="33">
        <f>'[1]links-p0'!I164</f>
        <v>0</v>
      </c>
      <c r="AW168" s="33"/>
      <c r="AX168" s="40">
        <v>162</v>
      </c>
      <c r="AY168" s="23">
        <v>2897.4</v>
      </c>
      <c r="AZ168" s="52">
        <v>0</v>
      </c>
      <c r="BA168" s="62">
        <f t="shared" si="40"/>
        <v>2897.4</v>
      </c>
      <c r="BB168" s="33">
        <f>'[1]links-p0'!D164</f>
        <v>13320.750632965201</v>
      </c>
    </row>
    <row r="169" spans="1:54" x14ac:dyDescent="0.35">
      <c r="A169" s="33"/>
      <c r="B169" s="40">
        <f t="shared" si="41"/>
        <v>163</v>
      </c>
      <c r="C169" s="41">
        <v>0</v>
      </c>
      <c r="D169" s="23">
        <v>0</v>
      </c>
      <c r="E169" s="23">
        <v>0</v>
      </c>
      <c r="F169" s="23">
        <f t="shared" si="43"/>
        <v>0</v>
      </c>
      <c r="G169" s="42">
        <f t="shared" si="32"/>
        <v>0</v>
      </c>
      <c r="H169" s="23">
        <f>'[1]generators-p'!B165</f>
        <v>0</v>
      </c>
      <c r="I169" s="23">
        <f>'[1]generators-p'!C165</f>
        <v>0</v>
      </c>
      <c r="J169" s="23">
        <f>'[1]generators-p'!D165</f>
        <v>0</v>
      </c>
      <c r="K169" s="23">
        <v>0</v>
      </c>
      <c r="L169" s="23">
        <f t="shared" si="33"/>
        <v>0</v>
      </c>
      <c r="M169" s="42">
        <f t="shared" si="44"/>
        <v>0</v>
      </c>
      <c r="N169" s="33"/>
      <c r="O169" s="44">
        <f t="shared" si="42"/>
        <v>163</v>
      </c>
      <c r="P169" s="23">
        <v>62032.8606</v>
      </c>
      <c r="Q169" s="23">
        <v>2122.9</v>
      </c>
      <c r="R169" s="23">
        <v>461.5</v>
      </c>
      <c r="S169" s="23">
        <f t="shared" si="34"/>
        <v>64617.260600000001</v>
      </c>
      <c r="T169" s="42">
        <f t="shared" si="35"/>
        <v>0.70389326120536211</v>
      </c>
      <c r="U169" s="41">
        <f>'[1]generators-p'!E165</f>
        <v>63999.609488092967</v>
      </c>
      <c r="V169" s="42">
        <f t="shared" si="36"/>
        <v>0.69716502092698418</v>
      </c>
      <c r="W169" s="33"/>
      <c r="X169" s="40">
        <v>163</v>
      </c>
      <c r="Y169" s="54">
        <v>1892.16127736</v>
      </c>
      <c r="Z169" s="54">
        <v>18809.354790000001</v>
      </c>
      <c r="AA169" s="55">
        <f t="shared" si="37"/>
        <v>20701.51606736</v>
      </c>
      <c r="AB169" s="56">
        <f>'[1]generators-p'!J165</f>
        <v>30372.494945269271</v>
      </c>
      <c r="AC169" s="54">
        <f>'[1]links-p0'!E165</f>
        <v>0</v>
      </c>
      <c r="AD169" s="54">
        <f t="shared" si="38"/>
        <v>21260.74646168849</v>
      </c>
      <c r="AE169" s="33"/>
      <c r="AF169" s="45">
        <v>163</v>
      </c>
      <c r="AG169" s="52">
        <v>0</v>
      </c>
      <c r="AH169" s="52">
        <f>'[1]links-p0'!B165</f>
        <v>0</v>
      </c>
      <c r="AI169" s="33"/>
      <c r="AJ169" s="40">
        <v>163</v>
      </c>
      <c r="AK169" s="23">
        <v>0</v>
      </c>
      <c r="AL169" s="52">
        <f>'[1]links-p0'!H165</f>
        <v>0</v>
      </c>
      <c r="AM169" s="33"/>
      <c r="AN169" s="40">
        <v>163</v>
      </c>
      <c r="AO169" s="23">
        <v>0</v>
      </c>
      <c r="AP169" s="52">
        <v>0</v>
      </c>
      <c r="AQ169" s="62">
        <f t="shared" si="39"/>
        <v>0</v>
      </c>
      <c r="AR169" s="33">
        <f>'[1]links-p0'!C165</f>
        <v>0</v>
      </c>
      <c r="AS169" s="33"/>
      <c r="AT169" s="40">
        <v>163</v>
      </c>
      <c r="AU169" s="23">
        <v>4613</v>
      </c>
      <c r="AV169" s="33">
        <f>'[1]links-p0'!I165</f>
        <v>0</v>
      </c>
      <c r="AW169" s="33"/>
      <c r="AX169" s="40">
        <v>163</v>
      </c>
      <c r="AY169" s="23">
        <v>2897.4</v>
      </c>
      <c r="AZ169" s="52">
        <v>10423.35</v>
      </c>
      <c r="BA169" s="62">
        <f t="shared" si="40"/>
        <v>13320.75</v>
      </c>
      <c r="BB169" s="33">
        <f>'[1]links-p0'!D165</f>
        <v>13320.750632965201</v>
      </c>
    </row>
    <row r="170" spans="1:54" x14ac:dyDescent="0.35">
      <c r="A170" s="33"/>
      <c r="B170" s="40">
        <f t="shared" si="41"/>
        <v>164</v>
      </c>
      <c r="C170" s="41">
        <v>0</v>
      </c>
      <c r="D170" s="23">
        <v>0</v>
      </c>
      <c r="E170" s="23">
        <v>0</v>
      </c>
      <c r="F170" s="23">
        <f t="shared" si="43"/>
        <v>0</v>
      </c>
      <c r="G170" s="42">
        <f t="shared" si="32"/>
        <v>0</v>
      </c>
      <c r="H170" s="23">
        <f>'[1]generators-p'!B166</f>
        <v>0</v>
      </c>
      <c r="I170" s="23">
        <f>'[1]generators-p'!C166</f>
        <v>0</v>
      </c>
      <c r="J170" s="23">
        <f>'[1]generators-p'!D166</f>
        <v>0</v>
      </c>
      <c r="K170" s="23">
        <v>0</v>
      </c>
      <c r="L170" s="23">
        <f t="shared" si="33"/>
        <v>0</v>
      </c>
      <c r="M170" s="42">
        <f t="shared" si="44"/>
        <v>0</v>
      </c>
      <c r="N170" s="33"/>
      <c r="O170" s="44">
        <f t="shared" si="42"/>
        <v>164</v>
      </c>
      <c r="P170" s="23">
        <v>62566.859400000001</v>
      </c>
      <c r="Q170" s="23">
        <v>2129.8000000000002</v>
      </c>
      <c r="R170" s="23">
        <v>463</v>
      </c>
      <c r="S170" s="23">
        <f t="shared" si="34"/>
        <v>65159.659400000004</v>
      </c>
      <c r="T170" s="42">
        <f t="shared" si="35"/>
        <v>0.70980175773803433</v>
      </c>
      <c r="U170" s="41">
        <f>'[1]generators-p'!E166</f>
        <v>64502.616731058319</v>
      </c>
      <c r="V170" s="42">
        <f t="shared" si="36"/>
        <v>0.70264441459630977</v>
      </c>
      <c r="W170" s="33"/>
      <c r="X170" s="40">
        <v>164</v>
      </c>
      <c r="Y170" s="54">
        <v>11005</v>
      </c>
      <c r="Z170" s="54">
        <v>9667.2280535799982</v>
      </c>
      <c r="AA170" s="55">
        <f t="shared" si="37"/>
        <v>20672.228053579998</v>
      </c>
      <c r="AB170" s="56">
        <f>'[1]generators-p'!J166</f>
        <v>30347.03341847593</v>
      </c>
      <c r="AC170" s="54">
        <f>'[1]links-p0'!E166</f>
        <v>0</v>
      </c>
      <c r="AD170" s="54">
        <f t="shared" si="38"/>
        <v>21242.923392933149</v>
      </c>
      <c r="AE170" s="33"/>
      <c r="AF170" s="45">
        <v>164</v>
      </c>
      <c r="AG170" s="52">
        <v>0</v>
      </c>
      <c r="AH170" s="52">
        <f>'[1]links-p0'!B166</f>
        <v>0</v>
      </c>
      <c r="AI170" s="33"/>
      <c r="AJ170" s="40">
        <v>164</v>
      </c>
      <c r="AK170" s="23">
        <v>0</v>
      </c>
      <c r="AL170" s="52">
        <f>'[1]links-p0'!H166</f>
        <v>0</v>
      </c>
      <c r="AM170" s="33"/>
      <c r="AN170" s="40">
        <v>164</v>
      </c>
      <c r="AO170" s="23">
        <v>0</v>
      </c>
      <c r="AP170" s="52">
        <v>0</v>
      </c>
      <c r="AQ170" s="62">
        <f t="shared" si="39"/>
        <v>0</v>
      </c>
      <c r="AR170" s="33">
        <f>'[1]links-p0'!C166</f>
        <v>0</v>
      </c>
      <c r="AS170" s="33"/>
      <c r="AT170" s="40">
        <v>164</v>
      </c>
      <c r="AU170" s="23">
        <v>3999.9155957399998</v>
      </c>
      <c r="AV170" s="33">
        <f>'[1]links-p0'!I166</f>
        <v>0</v>
      </c>
      <c r="AW170" s="33"/>
      <c r="AX170" s="40">
        <v>164</v>
      </c>
      <c r="AY170" s="23">
        <v>2897.4</v>
      </c>
      <c r="AZ170" s="52">
        <v>10423.35</v>
      </c>
      <c r="BA170" s="62">
        <f t="shared" si="40"/>
        <v>13320.75</v>
      </c>
      <c r="BB170" s="33">
        <f>'[1]links-p0'!D166</f>
        <v>13320.750632965201</v>
      </c>
    </row>
    <row r="171" spans="1:54" x14ac:dyDescent="0.35">
      <c r="A171" s="33"/>
      <c r="B171" s="40">
        <f t="shared" si="41"/>
        <v>165</v>
      </c>
      <c r="C171" s="41">
        <v>0</v>
      </c>
      <c r="D171" s="23">
        <v>0</v>
      </c>
      <c r="E171" s="23">
        <v>0</v>
      </c>
      <c r="F171" s="23">
        <f t="shared" si="43"/>
        <v>0</v>
      </c>
      <c r="G171" s="42">
        <f t="shared" si="32"/>
        <v>0</v>
      </c>
      <c r="H171" s="23">
        <f>'[1]generators-p'!B167</f>
        <v>0</v>
      </c>
      <c r="I171" s="23">
        <f>'[1]generators-p'!C167</f>
        <v>0</v>
      </c>
      <c r="J171" s="23">
        <f>'[1]generators-p'!D167</f>
        <v>0</v>
      </c>
      <c r="K171" s="23">
        <v>0</v>
      </c>
      <c r="L171" s="23">
        <f t="shared" si="33"/>
        <v>0</v>
      </c>
      <c r="M171" s="42">
        <f t="shared" si="44"/>
        <v>0</v>
      </c>
      <c r="N171" s="33"/>
      <c r="O171" s="44">
        <f t="shared" si="42"/>
        <v>165</v>
      </c>
      <c r="P171" s="23">
        <v>63812.856599999999</v>
      </c>
      <c r="Q171" s="23">
        <v>2136.6999999999998</v>
      </c>
      <c r="R171" s="23">
        <v>464.5</v>
      </c>
      <c r="S171" s="23">
        <f t="shared" si="34"/>
        <v>66414.056599999996</v>
      </c>
      <c r="T171" s="42">
        <f t="shared" si="35"/>
        <v>0.72346624502449886</v>
      </c>
      <c r="U171" s="41">
        <f>'[1]generators-p'!E167</f>
        <v>65809.387631394566</v>
      </c>
      <c r="V171" s="42">
        <f t="shared" si="36"/>
        <v>0.71687942273724525</v>
      </c>
      <c r="W171" s="33"/>
      <c r="X171" s="40">
        <v>165</v>
      </c>
      <c r="Y171" s="54">
        <v>2865.70849761</v>
      </c>
      <c r="Z171" s="54">
        <v>17760.502118320001</v>
      </c>
      <c r="AA171" s="55">
        <f t="shared" si="37"/>
        <v>20626.210615930002</v>
      </c>
      <c r="AB171" s="56">
        <f>'[1]generators-p'!J167</f>
        <v>30328.135473652681</v>
      </c>
      <c r="AC171" s="54">
        <f>'[1]links-p0'!E167</f>
        <v>0</v>
      </c>
      <c r="AD171" s="54">
        <f t="shared" si="38"/>
        <v>21229.694831556877</v>
      </c>
      <c r="AE171" s="33"/>
      <c r="AF171" s="45">
        <v>165</v>
      </c>
      <c r="AG171" s="52">
        <v>0</v>
      </c>
      <c r="AH171" s="52">
        <f>'[1]links-p0'!B167</f>
        <v>0</v>
      </c>
      <c r="AI171" s="33"/>
      <c r="AJ171" s="40">
        <v>165</v>
      </c>
      <c r="AK171" s="23">
        <v>0</v>
      </c>
      <c r="AL171" s="52">
        <f>'[1]links-p0'!H167</f>
        <v>0</v>
      </c>
      <c r="AM171" s="33"/>
      <c r="AN171" s="40">
        <v>165</v>
      </c>
      <c r="AO171" s="23">
        <v>0</v>
      </c>
      <c r="AP171" s="52">
        <v>0</v>
      </c>
      <c r="AQ171" s="62">
        <f t="shared" si="39"/>
        <v>0</v>
      </c>
      <c r="AR171" s="33">
        <f>'[1]links-p0'!C167</f>
        <v>0</v>
      </c>
      <c r="AS171" s="33"/>
      <c r="AT171" s="40">
        <v>165</v>
      </c>
      <c r="AU171" s="23">
        <v>2460.2040297899998</v>
      </c>
      <c r="AV171" s="33">
        <f>'[1]links-p0'!I167</f>
        <v>0</v>
      </c>
      <c r="AW171" s="33"/>
      <c r="AX171" s="40">
        <v>165</v>
      </c>
      <c r="AY171" s="23">
        <v>2897.4</v>
      </c>
      <c r="AZ171" s="52">
        <v>10423.35</v>
      </c>
      <c r="BA171" s="62">
        <f t="shared" si="40"/>
        <v>13320.75</v>
      </c>
      <c r="BB171" s="33">
        <f>'[1]links-p0'!D167</f>
        <v>13320.750632965201</v>
      </c>
    </row>
    <row r="172" spans="1:54" x14ac:dyDescent="0.35">
      <c r="A172" s="33"/>
      <c r="B172" s="40">
        <f t="shared" si="41"/>
        <v>166</v>
      </c>
      <c r="C172" s="41">
        <v>0</v>
      </c>
      <c r="D172" s="23">
        <v>0</v>
      </c>
      <c r="E172" s="23">
        <v>0</v>
      </c>
      <c r="F172" s="23">
        <f t="shared" si="43"/>
        <v>0</v>
      </c>
      <c r="G172" s="42">
        <f t="shared" si="32"/>
        <v>0</v>
      </c>
      <c r="H172" s="23">
        <f>'[1]generators-p'!B168</f>
        <v>0</v>
      </c>
      <c r="I172" s="23">
        <f>'[1]generators-p'!C168</f>
        <v>0</v>
      </c>
      <c r="J172" s="23">
        <f>'[1]generators-p'!D168</f>
        <v>0</v>
      </c>
      <c r="K172" s="23">
        <v>0</v>
      </c>
      <c r="L172" s="23">
        <f t="shared" si="33"/>
        <v>0</v>
      </c>
      <c r="M172" s="42">
        <f t="shared" si="44"/>
        <v>0</v>
      </c>
      <c r="N172" s="33"/>
      <c r="O172" s="44">
        <f t="shared" si="42"/>
        <v>166</v>
      </c>
      <c r="P172" s="23">
        <v>65325.853199999998</v>
      </c>
      <c r="Q172" s="23">
        <v>2141.3000000000002</v>
      </c>
      <c r="R172" s="23">
        <v>465.5</v>
      </c>
      <c r="S172" s="23">
        <f t="shared" si="34"/>
        <v>67932.653200000001</v>
      </c>
      <c r="T172" s="42">
        <f t="shared" si="35"/>
        <v>0.74000872768785986</v>
      </c>
      <c r="U172" s="41">
        <f>'[1]generators-p'!E168</f>
        <v>67338.832060564164</v>
      </c>
      <c r="V172" s="42">
        <f t="shared" si="36"/>
        <v>0.73354007373179642</v>
      </c>
      <c r="W172" s="33"/>
      <c r="X172" s="40">
        <v>166</v>
      </c>
      <c r="Y172" s="54">
        <v>11005</v>
      </c>
      <c r="Z172" s="54">
        <v>9568.4753805399996</v>
      </c>
      <c r="AA172" s="55">
        <f t="shared" si="37"/>
        <v>20573.47538054</v>
      </c>
      <c r="AB172" s="56">
        <f>'[1]generators-p'!J168</f>
        <v>30280.860992014299</v>
      </c>
      <c r="AC172" s="54">
        <f>'[1]links-p0'!E168</f>
        <v>0</v>
      </c>
      <c r="AD172" s="54">
        <f t="shared" si="38"/>
        <v>21196.602694410009</v>
      </c>
      <c r="AE172" s="33"/>
      <c r="AF172" s="45">
        <v>166</v>
      </c>
      <c r="AG172" s="52">
        <v>0</v>
      </c>
      <c r="AH172" s="52">
        <f>'[1]links-p0'!B168</f>
        <v>0</v>
      </c>
      <c r="AI172" s="33"/>
      <c r="AJ172" s="40">
        <v>166</v>
      </c>
      <c r="AK172" s="23">
        <v>0</v>
      </c>
      <c r="AL172" s="52">
        <f>'[1]links-p0'!H168</f>
        <v>0</v>
      </c>
      <c r="AM172" s="33"/>
      <c r="AN172" s="40">
        <v>166</v>
      </c>
      <c r="AO172" s="23">
        <v>0</v>
      </c>
      <c r="AP172" s="52">
        <v>9483.59832689</v>
      </c>
      <c r="AQ172" s="62">
        <f t="shared" si="39"/>
        <v>9483.59832689</v>
      </c>
      <c r="AR172" s="33">
        <f>'[1]links-p0'!C168</f>
        <v>0</v>
      </c>
      <c r="AS172" s="33"/>
      <c r="AT172" s="40">
        <v>166</v>
      </c>
      <c r="AU172" s="23">
        <v>4613</v>
      </c>
      <c r="AV172" s="33">
        <f>'[1]links-p0'!I168</f>
        <v>0</v>
      </c>
      <c r="AW172" s="33"/>
      <c r="AX172" s="40">
        <v>166</v>
      </c>
      <c r="AY172" s="23">
        <v>2897.4</v>
      </c>
      <c r="AZ172" s="52">
        <v>10423.35</v>
      </c>
      <c r="BA172" s="62">
        <f t="shared" si="40"/>
        <v>13320.75</v>
      </c>
      <c r="BB172" s="33">
        <f>'[1]links-p0'!D168</f>
        <v>13320.750632965201</v>
      </c>
    </row>
    <row r="173" spans="1:54" x14ac:dyDescent="0.35">
      <c r="A173" s="33"/>
      <c r="B173" s="46">
        <f t="shared" si="41"/>
        <v>167</v>
      </c>
      <c r="C173" s="47">
        <v>0</v>
      </c>
      <c r="D173" s="24">
        <v>0</v>
      </c>
      <c r="E173" s="24">
        <v>0</v>
      </c>
      <c r="F173" s="24">
        <f t="shared" si="43"/>
        <v>0</v>
      </c>
      <c r="G173" s="48">
        <f t="shared" si="32"/>
        <v>0</v>
      </c>
      <c r="H173" s="23">
        <f>'[1]generators-p'!B169</f>
        <v>0</v>
      </c>
      <c r="I173" s="23">
        <f>'[1]generators-p'!C169</f>
        <v>0</v>
      </c>
      <c r="J173" s="23">
        <f>'[1]generators-p'!D169</f>
        <v>0</v>
      </c>
      <c r="K173" s="23">
        <v>0</v>
      </c>
      <c r="L173" s="23">
        <f t="shared" si="33"/>
        <v>0</v>
      </c>
      <c r="M173" s="42">
        <f t="shared" si="44"/>
        <v>0</v>
      </c>
      <c r="N173" s="33"/>
      <c r="O173" s="44">
        <f t="shared" si="42"/>
        <v>167</v>
      </c>
      <c r="P173" s="23">
        <v>67016.849400000006</v>
      </c>
      <c r="Q173" s="23">
        <v>2159.6999999999998</v>
      </c>
      <c r="R173" s="23">
        <v>469.5</v>
      </c>
      <c r="S173" s="23">
        <f t="shared" si="34"/>
        <v>69646.049400000004</v>
      </c>
      <c r="T173" s="42">
        <f t="shared" si="35"/>
        <v>0.75867321497432461</v>
      </c>
      <c r="U173" s="47">
        <f>'[1]generators-p'!E169</f>
        <v>69117.832394977377</v>
      </c>
      <c r="V173" s="48">
        <f t="shared" si="36"/>
        <v>0.75291920456229067</v>
      </c>
      <c r="W173" s="33"/>
      <c r="X173" s="46">
        <v>167</v>
      </c>
      <c r="Y173" s="57">
        <v>264.50591250999997</v>
      </c>
      <c r="Z173" s="57">
        <v>20313.590609999999</v>
      </c>
      <c r="AA173" s="58">
        <f t="shared" si="37"/>
        <v>20578.096522510001</v>
      </c>
      <c r="AB173" s="59">
        <f>'[1]generators-p'!J169</f>
        <v>30276.437901834612</v>
      </c>
      <c r="AC173" s="57">
        <f>'[1]links-p0'!E169</f>
        <v>0</v>
      </c>
      <c r="AD173" s="57">
        <f t="shared" si="38"/>
        <v>21193.506531284227</v>
      </c>
      <c r="AE173" s="33"/>
      <c r="AF173" s="49">
        <v>167</v>
      </c>
      <c r="AG173" s="53">
        <v>0</v>
      </c>
      <c r="AH173" s="53">
        <f>'[1]links-p0'!B169</f>
        <v>0</v>
      </c>
      <c r="AI173" s="33"/>
      <c r="AJ173" s="46">
        <v>167</v>
      </c>
      <c r="AK173" s="23">
        <v>0</v>
      </c>
      <c r="AL173" s="53">
        <f>'[1]links-p0'!H169</f>
        <v>0</v>
      </c>
      <c r="AM173" s="33"/>
      <c r="AN173" s="46">
        <v>167</v>
      </c>
      <c r="AO173" s="23">
        <v>0</v>
      </c>
      <c r="AP173" s="53">
        <v>0</v>
      </c>
      <c r="AQ173" s="63">
        <f t="shared" si="39"/>
        <v>0</v>
      </c>
      <c r="AR173" s="65">
        <f>'[1]links-p0'!C169</f>
        <v>0</v>
      </c>
      <c r="AS173" s="33"/>
      <c r="AT173" s="46">
        <v>167</v>
      </c>
      <c r="AU173" s="23">
        <v>1388.2723531900001</v>
      </c>
      <c r="AV173" s="65">
        <f>'[1]links-p0'!I169</f>
        <v>0</v>
      </c>
      <c r="AW173" s="33"/>
      <c r="AX173" s="46">
        <v>167</v>
      </c>
      <c r="AY173" s="23">
        <v>2897.4</v>
      </c>
      <c r="AZ173" s="53">
        <v>10423.35</v>
      </c>
      <c r="BA173" s="62">
        <f t="shared" si="40"/>
        <v>13320.75</v>
      </c>
      <c r="BB173" s="65">
        <f>'[1]links-p0'!D169</f>
        <v>13320.750632965201</v>
      </c>
    </row>
    <row r="174" spans="1:54" s="51" customFormat="1" x14ac:dyDescent="0.35">
      <c r="A174" s="23"/>
      <c r="B174" s="50"/>
      <c r="N174" s="23"/>
      <c r="O174" s="50"/>
      <c r="W174" s="23"/>
      <c r="X174" s="50"/>
      <c r="AE174" s="23"/>
      <c r="AI174" s="23"/>
      <c r="AM174" s="23"/>
      <c r="AQ174" s="54"/>
      <c r="AS174" s="23"/>
      <c r="AW174" s="23"/>
      <c r="BA174" s="54"/>
    </row>
    <row r="175" spans="1:54" x14ac:dyDescent="0.35">
      <c r="AQ175" s="54"/>
      <c r="BA175" s="54"/>
    </row>
    <row r="176" spans="1:54" x14ac:dyDescent="0.35">
      <c r="AQ176" s="54"/>
      <c r="BA176" s="54"/>
    </row>
    <row r="177" spans="43:53" x14ac:dyDescent="0.35">
      <c r="AQ177" s="54"/>
      <c r="BA177" s="54"/>
    </row>
    <row r="178" spans="43:53" x14ac:dyDescent="0.35">
      <c r="AQ178" s="54"/>
      <c r="BA178" s="54"/>
    </row>
    <row r="179" spans="43:53" x14ac:dyDescent="0.35">
      <c r="AQ179" s="54"/>
      <c r="BA179" s="54"/>
    </row>
    <row r="180" spans="43:53" x14ac:dyDescent="0.35">
      <c r="AQ180" s="54"/>
      <c r="BA180" s="54"/>
    </row>
    <row r="181" spans="43:53" x14ac:dyDescent="0.35">
      <c r="AQ181" s="54"/>
      <c r="BA181" s="54"/>
    </row>
    <row r="182" spans="43:53" x14ac:dyDescent="0.35">
      <c r="AQ182" s="54"/>
      <c r="BA182" s="54"/>
    </row>
    <row r="183" spans="43:53" x14ac:dyDescent="0.35">
      <c r="AQ183" s="54"/>
      <c r="BA183" s="54"/>
    </row>
    <row r="184" spans="43:53" x14ac:dyDescent="0.35">
      <c r="AQ184" s="54"/>
      <c r="BA184" s="54"/>
    </row>
    <row r="185" spans="43:53" x14ac:dyDescent="0.35">
      <c r="AQ185" s="54"/>
      <c r="BA185" s="54"/>
    </row>
    <row r="186" spans="43:53" x14ac:dyDescent="0.35">
      <c r="AQ186" s="54"/>
      <c r="BA186" s="54"/>
    </row>
    <row r="187" spans="43:53" x14ac:dyDescent="0.35">
      <c r="AQ187" s="54"/>
      <c r="BA187" s="54"/>
    </row>
    <row r="188" spans="43:53" x14ac:dyDescent="0.35">
      <c r="AQ188" s="54"/>
      <c r="BA188" s="54"/>
    </row>
    <row r="189" spans="43:53" x14ac:dyDescent="0.35">
      <c r="AQ189" s="54"/>
      <c r="BA189" s="54"/>
    </row>
    <row r="190" spans="43:53" x14ac:dyDescent="0.35">
      <c r="AQ190" s="54"/>
      <c r="BA190" s="54"/>
    </row>
    <row r="191" spans="43:53" x14ac:dyDescent="0.35">
      <c r="AQ191" s="54"/>
      <c r="BA191" s="54"/>
    </row>
    <row r="192" spans="43:53" x14ac:dyDescent="0.35">
      <c r="AQ192" s="54"/>
      <c r="BA192" s="54"/>
    </row>
    <row r="193" spans="43:53" x14ac:dyDescent="0.35">
      <c r="AQ193" s="54"/>
      <c r="BA193" s="54"/>
    </row>
    <row r="194" spans="43:53" x14ac:dyDescent="0.35">
      <c r="AQ194" s="54"/>
      <c r="BA194" s="54"/>
    </row>
    <row r="195" spans="43:53" x14ac:dyDescent="0.35">
      <c r="AQ195" s="54"/>
      <c r="BA195" s="54"/>
    </row>
    <row r="196" spans="43:53" x14ac:dyDescent="0.35">
      <c r="AQ196" s="54"/>
      <c r="BA196" s="54"/>
    </row>
    <row r="197" spans="43:53" x14ac:dyDescent="0.35">
      <c r="AQ197" s="54"/>
      <c r="BA197" s="54"/>
    </row>
    <row r="198" spans="43:53" x14ac:dyDescent="0.35">
      <c r="AQ198" s="54"/>
      <c r="BA198" s="54"/>
    </row>
    <row r="199" spans="43:53" x14ac:dyDescent="0.35">
      <c r="AQ199" s="54"/>
      <c r="BA199" s="54"/>
    </row>
    <row r="200" spans="43:53" x14ac:dyDescent="0.35">
      <c r="AQ200" s="54"/>
      <c r="BA200" s="54"/>
    </row>
    <row r="201" spans="43:53" x14ac:dyDescent="0.35">
      <c r="AQ201" s="54"/>
      <c r="BA201" s="54"/>
    </row>
    <row r="202" spans="43:53" x14ac:dyDescent="0.35">
      <c r="AQ202" s="54"/>
      <c r="BA202" s="54"/>
    </row>
    <row r="203" spans="43:53" x14ac:dyDescent="0.35">
      <c r="AQ203" s="54"/>
      <c r="BA203" s="54"/>
    </row>
    <row r="204" spans="43:53" x14ac:dyDescent="0.35">
      <c r="AQ204" s="54"/>
      <c r="BA204" s="54"/>
    </row>
    <row r="205" spans="43:53" x14ac:dyDescent="0.35">
      <c r="AQ205" s="54"/>
      <c r="BA205" s="54"/>
    </row>
    <row r="206" spans="43:53" x14ac:dyDescent="0.35">
      <c r="AQ206" s="54"/>
      <c r="BA206" s="54"/>
    </row>
    <row r="207" spans="43:53" x14ac:dyDescent="0.35">
      <c r="AQ207" s="54"/>
      <c r="BA207" s="54"/>
    </row>
    <row r="208" spans="43:53" x14ac:dyDescent="0.35">
      <c r="AQ208" s="54"/>
      <c r="BA208" s="54"/>
    </row>
    <row r="209" spans="43:53" x14ac:dyDescent="0.35">
      <c r="AQ209" s="54"/>
      <c r="BA209" s="54"/>
    </row>
    <row r="210" spans="43:53" x14ac:dyDescent="0.35">
      <c r="AQ210" s="54"/>
      <c r="BA210" s="54"/>
    </row>
    <row r="211" spans="43:53" x14ac:dyDescent="0.35">
      <c r="AQ211" s="54"/>
      <c r="BA211" s="54"/>
    </row>
    <row r="212" spans="43:53" x14ac:dyDescent="0.35">
      <c r="AQ212" s="54"/>
      <c r="BA212" s="54"/>
    </row>
    <row r="213" spans="43:53" x14ac:dyDescent="0.35">
      <c r="AQ213" s="54"/>
      <c r="BA213" s="54"/>
    </row>
    <row r="214" spans="43:53" x14ac:dyDescent="0.35">
      <c r="AQ214" s="54"/>
      <c r="BA214" s="54"/>
    </row>
    <row r="215" spans="43:53" x14ac:dyDescent="0.35">
      <c r="AQ215" s="54"/>
      <c r="BA215" s="54"/>
    </row>
    <row r="216" spans="43:53" x14ac:dyDescent="0.35">
      <c r="AQ216" s="54"/>
      <c r="BA216" s="54"/>
    </row>
    <row r="217" spans="43:53" x14ac:dyDescent="0.35">
      <c r="AQ217" s="54"/>
      <c r="BA217" s="54"/>
    </row>
    <row r="218" spans="43:53" x14ac:dyDescent="0.35">
      <c r="AQ218" s="54"/>
      <c r="BA218" s="54"/>
    </row>
    <row r="219" spans="43:53" x14ac:dyDescent="0.35">
      <c r="AQ219" s="54"/>
      <c r="BA219" s="54"/>
    </row>
    <row r="220" spans="43:53" x14ac:dyDescent="0.35">
      <c r="AQ220" s="54"/>
      <c r="BA220" s="54"/>
    </row>
    <row r="221" spans="43:53" x14ac:dyDescent="0.35">
      <c r="AQ221" s="54"/>
      <c r="BA221" s="54"/>
    </row>
    <row r="222" spans="43:53" x14ac:dyDescent="0.35">
      <c r="AQ222" s="54"/>
      <c r="BA222" s="54"/>
    </row>
    <row r="223" spans="43:53" x14ac:dyDescent="0.35">
      <c r="AQ223" s="54"/>
      <c r="BA223" s="54"/>
    </row>
    <row r="224" spans="43:53" x14ac:dyDescent="0.35">
      <c r="AQ224" s="54"/>
      <c r="BA224" s="54"/>
    </row>
    <row r="225" spans="43:53" x14ac:dyDescent="0.35">
      <c r="AQ225" s="54"/>
      <c r="BA225" s="54"/>
    </row>
    <row r="226" spans="43:53" x14ac:dyDescent="0.35">
      <c r="AQ226" s="54"/>
      <c r="BA226" s="54"/>
    </row>
    <row r="227" spans="43:53" x14ac:dyDescent="0.35">
      <c r="AQ227" s="54"/>
      <c r="BA227" s="54"/>
    </row>
    <row r="228" spans="43:53" x14ac:dyDescent="0.35">
      <c r="AQ228" s="54"/>
      <c r="BA228" s="54"/>
    </row>
    <row r="229" spans="43:53" x14ac:dyDescent="0.35">
      <c r="AQ229" s="54"/>
      <c r="BA229" s="54"/>
    </row>
    <row r="230" spans="43:53" x14ac:dyDescent="0.35">
      <c r="AQ230" s="54"/>
      <c r="BA230" s="54"/>
    </row>
    <row r="231" spans="43:53" x14ac:dyDescent="0.35">
      <c r="AQ231" s="54"/>
      <c r="BA231" s="54"/>
    </row>
    <row r="232" spans="43:53" x14ac:dyDescent="0.35">
      <c r="AQ232" s="54"/>
      <c r="BA232" s="54"/>
    </row>
    <row r="233" spans="43:53" x14ac:dyDescent="0.35">
      <c r="AQ233" s="54"/>
      <c r="BA233" s="54"/>
    </row>
    <row r="234" spans="43:53" x14ac:dyDescent="0.35">
      <c r="AQ234" s="54"/>
      <c r="BA234" s="54"/>
    </row>
    <row r="235" spans="43:53" x14ac:dyDescent="0.35">
      <c r="AQ235" s="54"/>
      <c r="BA235" s="54"/>
    </row>
    <row r="236" spans="43:53" x14ac:dyDescent="0.35">
      <c r="AQ236" s="54"/>
      <c r="BA236" s="54"/>
    </row>
    <row r="237" spans="43:53" x14ac:dyDescent="0.35">
      <c r="AQ237" s="54"/>
      <c r="BA237" s="54"/>
    </row>
    <row r="238" spans="43:53" x14ac:dyDescent="0.35">
      <c r="AQ238" s="54"/>
      <c r="BA238" s="54"/>
    </row>
    <row r="239" spans="43:53" x14ac:dyDescent="0.35">
      <c r="AQ239" s="54"/>
      <c r="BA239" s="54"/>
    </row>
    <row r="240" spans="43:53" x14ac:dyDescent="0.35">
      <c r="AQ240" s="54"/>
      <c r="BA240" s="54"/>
    </row>
    <row r="241" spans="43:53" x14ac:dyDescent="0.35">
      <c r="AQ241" s="54"/>
      <c r="BA241" s="54"/>
    </row>
    <row r="242" spans="43:53" x14ac:dyDescent="0.35">
      <c r="AQ242" s="54"/>
      <c r="BA242" s="54"/>
    </row>
    <row r="243" spans="43:53" x14ac:dyDescent="0.35">
      <c r="AQ243" s="54"/>
      <c r="BA243" s="54"/>
    </row>
    <row r="244" spans="43:53" x14ac:dyDescent="0.35">
      <c r="AQ244" s="54"/>
      <c r="BA244" s="54"/>
    </row>
    <row r="245" spans="43:53" x14ac:dyDescent="0.35">
      <c r="AQ245" s="54"/>
      <c r="BA245" s="54"/>
    </row>
    <row r="246" spans="43:53" x14ac:dyDescent="0.35">
      <c r="AQ246" s="54"/>
      <c r="BA246" s="54"/>
    </row>
    <row r="247" spans="43:53" x14ac:dyDescent="0.35">
      <c r="AQ247" s="54"/>
      <c r="BA247" s="54"/>
    </row>
    <row r="248" spans="43:53" x14ac:dyDescent="0.35">
      <c r="AQ248" s="54"/>
      <c r="BA248" s="54"/>
    </row>
    <row r="249" spans="43:53" x14ac:dyDescent="0.35">
      <c r="AQ249" s="54"/>
      <c r="BA249" s="54"/>
    </row>
    <row r="250" spans="43:53" x14ac:dyDescent="0.35">
      <c r="AQ250" s="54"/>
      <c r="BA250" s="54"/>
    </row>
    <row r="251" spans="43:53" x14ac:dyDescent="0.35">
      <c r="AQ251" s="54"/>
      <c r="BA251" s="54"/>
    </row>
    <row r="252" spans="43:53" x14ac:dyDescent="0.35">
      <c r="AQ252" s="54"/>
      <c r="BA252" s="54"/>
    </row>
    <row r="253" spans="43:53" x14ac:dyDescent="0.35">
      <c r="AQ253" s="54"/>
      <c r="BA253" s="54"/>
    </row>
    <row r="254" spans="43:53" x14ac:dyDescent="0.35">
      <c r="AQ254" s="54"/>
      <c r="BA254" s="54"/>
    </row>
    <row r="255" spans="43:53" x14ac:dyDescent="0.35">
      <c r="AQ255" s="54"/>
      <c r="BA255" s="54"/>
    </row>
    <row r="256" spans="43:53" x14ac:dyDescent="0.35">
      <c r="AQ256" s="54"/>
      <c r="BA256" s="54"/>
    </row>
    <row r="257" spans="43:53" x14ac:dyDescent="0.35">
      <c r="AQ257" s="54"/>
      <c r="BA257" s="54"/>
    </row>
    <row r="258" spans="43:53" x14ac:dyDescent="0.35">
      <c r="AQ258" s="54"/>
      <c r="BA258" s="54"/>
    </row>
    <row r="259" spans="43:53" x14ac:dyDescent="0.35">
      <c r="AQ259" s="54"/>
      <c r="BA259" s="54"/>
    </row>
    <row r="260" spans="43:53" x14ac:dyDescent="0.35">
      <c r="AQ260" s="54"/>
      <c r="BA260" s="54"/>
    </row>
    <row r="261" spans="43:53" x14ac:dyDescent="0.35">
      <c r="AQ261" s="54"/>
      <c r="BA261" s="54"/>
    </row>
    <row r="262" spans="43:53" x14ac:dyDescent="0.35">
      <c r="AQ262" s="54"/>
      <c r="BA262" s="54"/>
    </row>
    <row r="263" spans="43:53" x14ac:dyDescent="0.35">
      <c r="AQ263" s="54"/>
      <c r="BA263" s="54"/>
    </row>
    <row r="264" spans="43:53" x14ac:dyDescent="0.35">
      <c r="AQ264" s="54"/>
      <c r="BA264" s="54"/>
    </row>
    <row r="265" spans="43:53" x14ac:dyDescent="0.35">
      <c r="AQ265" s="54"/>
      <c r="BA265" s="54"/>
    </row>
    <row r="266" spans="43:53" x14ac:dyDescent="0.35">
      <c r="AQ266" s="54"/>
      <c r="BA266" s="54"/>
    </row>
    <row r="267" spans="43:53" x14ac:dyDescent="0.35">
      <c r="AQ267" s="54"/>
      <c r="BA267" s="54"/>
    </row>
    <row r="268" spans="43:53" x14ac:dyDescent="0.35">
      <c r="AQ268" s="54"/>
      <c r="BA268" s="54"/>
    </row>
    <row r="269" spans="43:53" x14ac:dyDescent="0.35">
      <c r="AQ269" s="54"/>
      <c r="BA269" s="54"/>
    </row>
    <row r="270" spans="43:53" x14ac:dyDescent="0.35">
      <c r="AQ270" s="54"/>
      <c r="BA270" s="54"/>
    </row>
    <row r="271" spans="43:53" x14ac:dyDescent="0.35">
      <c r="AQ271" s="54"/>
      <c r="BA271" s="54"/>
    </row>
    <row r="272" spans="43:53" x14ac:dyDescent="0.35">
      <c r="AQ272" s="54"/>
      <c r="BA272" s="54"/>
    </row>
    <row r="273" spans="43:53" x14ac:dyDescent="0.35">
      <c r="AQ273" s="54"/>
      <c r="BA273" s="54"/>
    </row>
    <row r="274" spans="43:53" x14ac:dyDescent="0.35">
      <c r="AQ274" s="54"/>
      <c r="BA274" s="54"/>
    </row>
    <row r="275" spans="43:53" x14ac:dyDescent="0.35">
      <c r="AQ275" s="54"/>
      <c r="BA275" s="54"/>
    </row>
    <row r="276" spans="43:53" x14ac:dyDescent="0.35">
      <c r="AQ276" s="54"/>
      <c r="BA276" s="54"/>
    </row>
    <row r="277" spans="43:53" x14ac:dyDescent="0.35">
      <c r="AQ277" s="54"/>
      <c r="BA277" s="54"/>
    </row>
    <row r="278" spans="43:53" x14ac:dyDescent="0.35">
      <c r="AQ278" s="54"/>
      <c r="BA278" s="54"/>
    </row>
    <row r="279" spans="43:53" x14ac:dyDescent="0.35">
      <c r="AQ279" s="54"/>
      <c r="BA279" s="54"/>
    </row>
    <row r="280" spans="43:53" x14ac:dyDescent="0.35">
      <c r="AQ280" s="54"/>
      <c r="BA280" s="54"/>
    </row>
    <row r="281" spans="43:53" x14ac:dyDescent="0.35">
      <c r="AQ281" s="54"/>
      <c r="BA281" s="54"/>
    </row>
    <row r="282" spans="43:53" x14ac:dyDescent="0.35">
      <c r="AQ282" s="54"/>
      <c r="BA282" s="54"/>
    </row>
    <row r="283" spans="43:53" x14ac:dyDescent="0.35">
      <c r="AQ283" s="54"/>
      <c r="BA283" s="54"/>
    </row>
    <row r="284" spans="43:53" x14ac:dyDescent="0.35">
      <c r="AQ284" s="54"/>
      <c r="BA284" s="54"/>
    </row>
    <row r="285" spans="43:53" x14ac:dyDescent="0.35">
      <c r="AQ285" s="54"/>
      <c r="BA285" s="54"/>
    </row>
    <row r="286" spans="43:53" x14ac:dyDescent="0.35">
      <c r="AQ286" s="54"/>
      <c r="BA286" s="54"/>
    </row>
    <row r="287" spans="43:53" x14ac:dyDescent="0.35">
      <c r="AQ287" s="54"/>
      <c r="BA287" s="54"/>
    </row>
    <row r="288" spans="43:53" x14ac:dyDescent="0.35">
      <c r="AQ288" s="54"/>
      <c r="BA288" s="54"/>
    </row>
    <row r="289" spans="43:53" x14ac:dyDescent="0.35">
      <c r="AQ289" s="54"/>
      <c r="BA289" s="54"/>
    </row>
    <row r="290" spans="43:53" x14ac:dyDescent="0.35">
      <c r="AQ290" s="54"/>
      <c r="BA290" s="54"/>
    </row>
    <row r="291" spans="43:53" x14ac:dyDescent="0.35">
      <c r="AQ291" s="54"/>
      <c r="BA291" s="54"/>
    </row>
    <row r="292" spans="43:53" x14ac:dyDescent="0.35">
      <c r="AQ292" s="54"/>
      <c r="BA292" s="54"/>
    </row>
    <row r="293" spans="43:53" x14ac:dyDescent="0.35">
      <c r="AQ293" s="54"/>
      <c r="BA293" s="54"/>
    </row>
    <row r="294" spans="43:53" x14ac:dyDescent="0.35">
      <c r="AQ294" s="54"/>
      <c r="BA294" s="54"/>
    </row>
    <row r="295" spans="43:53" x14ac:dyDescent="0.35">
      <c r="AQ295" s="54"/>
      <c r="BA295" s="54"/>
    </row>
    <row r="296" spans="43:53" x14ac:dyDescent="0.35">
      <c r="AQ296" s="54"/>
      <c r="BA296" s="54"/>
    </row>
    <row r="297" spans="43:53" x14ac:dyDescent="0.35">
      <c r="AQ297" s="54"/>
      <c r="BA297" s="54"/>
    </row>
    <row r="298" spans="43:53" x14ac:dyDescent="0.35">
      <c r="AQ298" s="54"/>
      <c r="BA298" s="54"/>
    </row>
    <row r="299" spans="43:53" x14ac:dyDescent="0.35">
      <c r="AQ299" s="54"/>
      <c r="BA299" s="54"/>
    </row>
    <row r="300" spans="43:53" x14ac:dyDescent="0.35">
      <c r="AQ300" s="54"/>
      <c r="BA300" s="54"/>
    </row>
    <row r="301" spans="43:53" x14ac:dyDescent="0.35">
      <c r="AQ301" s="54"/>
      <c r="BA301" s="54"/>
    </row>
    <row r="302" spans="43:53" x14ac:dyDescent="0.35">
      <c r="AQ302" s="54"/>
      <c r="BA302" s="54"/>
    </row>
    <row r="303" spans="43:53" x14ac:dyDescent="0.35">
      <c r="AQ303" s="54"/>
      <c r="BA303" s="54"/>
    </row>
    <row r="304" spans="43:53" x14ac:dyDescent="0.35">
      <c r="AQ304" s="54"/>
      <c r="BA304" s="54"/>
    </row>
    <row r="305" spans="43:53" x14ac:dyDescent="0.35">
      <c r="AQ305" s="54"/>
      <c r="BA305" s="54"/>
    </row>
    <row r="306" spans="43:53" x14ac:dyDescent="0.35">
      <c r="AQ306" s="54"/>
      <c r="BA306" s="54"/>
    </row>
    <row r="307" spans="43:53" x14ac:dyDescent="0.35">
      <c r="AQ307" s="54"/>
      <c r="BA307" s="54"/>
    </row>
    <row r="308" spans="43:53" x14ac:dyDescent="0.35">
      <c r="AQ308" s="54"/>
      <c r="BA308" s="54"/>
    </row>
    <row r="309" spans="43:53" x14ac:dyDescent="0.35">
      <c r="AQ309" s="54"/>
      <c r="BA309" s="54"/>
    </row>
    <row r="310" spans="43:53" x14ac:dyDescent="0.35">
      <c r="AQ310" s="54"/>
      <c r="BA310" s="54"/>
    </row>
    <row r="311" spans="43:53" x14ac:dyDescent="0.35">
      <c r="AQ311" s="54"/>
      <c r="BA311" s="54"/>
    </row>
    <row r="312" spans="43:53" x14ac:dyDescent="0.35">
      <c r="AQ312" s="54"/>
      <c r="BA312" s="54"/>
    </row>
    <row r="313" spans="43:53" x14ac:dyDescent="0.35">
      <c r="AQ313" s="54"/>
      <c r="BA313" s="54"/>
    </row>
    <row r="314" spans="43:53" x14ac:dyDescent="0.35">
      <c r="AQ314" s="54"/>
      <c r="BA314" s="54"/>
    </row>
    <row r="315" spans="43:53" x14ac:dyDescent="0.35">
      <c r="AQ315" s="54"/>
      <c r="BA315" s="54"/>
    </row>
    <row r="316" spans="43:53" x14ac:dyDescent="0.35">
      <c r="AQ316" s="54"/>
      <c r="BA316" s="54"/>
    </row>
    <row r="317" spans="43:53" x14ac:dyDescent="0.35">
      <c r="AQ317" s="54"/>
      <c r="BA317" s="54"/>
    </row>
    <row r="318" spans="43:53" x14ac:dyDescent="0.35">
      <c r="AQ318" s="54"/>
      <c r="BA318" s="54"/>
    </row>
    <row r="319" spans="43:53" x14ac:dyDescent="0.35">
      <c r="AQ319" s="54"/>
      <c r="BA319" s="54"/>
    </row>
    <row r="320" spans="43:53" x14ac:dyDescent="0.35">
      <c r="AQ320" s="54"/>
      <c r="BA320" s="54"/>
    </row>
    <row r="321" spans="43:53" x14ac:dyDescent="0.35">
      <c r="AQ321" s="54"/>
      <c r="BA321" s="54"/>
    </row>
    <row r="322" spans="43:53" x14ac:dyDescent="0.35">
      <c r="AQ322" s="54"/>
      <c r="BA322" s="54"/>
    </row>
    <row r="323" spans="43:53" x14ac:dyDescent="0.35">
      <c r="AQ323" s="54"/>
      <c r="BA323" s="54"/>
    </row>
    <row r="324" spans="43:53" x14ac:dyDescent="0.35">
      <c r="AQ324" s="54"/>
      <c r="BA324" s="54"/>
    </row>
    <row r="325" spans="43:53" x14ac:dyDescent="0.35">
      <c r="AQ325" s="54"/>
      <c r="BA325" s="54"/>
    </row>
    <row r="326" spans="43:53" x14ac:dyDescent="0.35">
      <c r="AQ326" s="54"/>
      <c r="BA326" s="54"/>
    </row>
    <row r="327" spans="43:53" x14ac:dyDescent="0.35">
      <c r="AQ327" s="54"/>
      <c r="BA327" s="54"/>
    </row>
    <row r="328" spans="43:53" x14ac:dyDescent="0.35">
      <c r="AQ328" s="54"/>
      <c r="BA328" s="54"/>
    </row>
    <row r="329" spans="43:53" x14ac:dyDescent="0.35">
      <c r="AQ329" s="54"/>
      <c r="BA329" s="54"/>
    </row>
    <row r="330" spans="43:53" x14ac:dyDescent="0.35">
      <c r="AQ330" s="54"/>
      <c r="BA330" s="54"/>
    </row>
    <row r="331" spans="43:53" x14ac:dyDescent="0.35">
      <c r="AQ331" s="54"/>
      <c r="BA331" s="54"/>
    </row>
    <row r="332" spans="43:53" x14ac:dyDescent="0.35">
      <c r="AQ332" s="54"/>
      <c r="BA332" s="54"/>
    </row>
    <row r="333" spans="43:53" x14ac:dyDescent="0.35">
      <c r="AQ333" s="54"/>
      <c r="BA333" s="54"/>
    </row>
    <row r="334" spans="43:53" x14ac:dyDescent="0.35">
      <c r="AQ334" s="54"/>
      <c r="BA334" s="54"/>
    </row>
    <row r="335" spans="43:53" x14ac:dyDescent="0.35">
      <c r="AQ335" s="54"/>
      <c r="BA335" s="54"/>
    </row>
    <row r="336" spans="43:53" x14ac:dyDescent="0.35">
      <c r="AQ336" s="54"/>
      <c r="BA336" s="54"/>
    </row>
    <row r="337" spans="43:53" x14ac:dyDescent="0.35">
      <c r="AQ337" s="54"/>
      <c r="BA337" s="54"/>
    </row>
    <row r="338" spans="43:53" x14ac:dyDescent="0.35">
      <c r="AQ338" s="54"/>
      <c r="BA338" s="54"/>
    </row>
    <row r="339" spans="43:53" x14ac:dyDescent="0.35">
      <c r="AQ339" s="54"/>
      <c r="BA339" s="54"/>
    </row>
    <row r="340" spans="43:53" x14ac:dyDescent="0.35">
      <c r="AQ340" s="54"/>
      <c r="BA340" s="54"/>
    </row>
    <row r="341" spans="43:53" x14ac:dyDescent="0.35">
      <c r="AQ341" s="54"/>
      <c r="BA341" s="54"/>
    </row>
    <row r="342" spans="43:53" x14ac:dyDescent="0.35">
      <c r="AQ342" s="54"/>
      <c r="BA342" s="54"/>
    </row>
    <row r="343" spans="43:53" x14ac:dyDescent="0.35">
      <c r="AQ343" s="54"/>
      <c r="BA343" s="54"/>
    </row>
    <row r="344" spans="43:53" x14ac:dyDescent="0.35">
      <c r="AQ344" s="54"/>
      <c r="BA344" s="54"/>
    </row>
    <row r="345" spans="43:53" x14ac:dyDescent="0.35">
      <c r="AQ345" s="54"/>
      <c r="BA345" s="54"/>
    </row>
    <row r="346" spans="43:53" x14ac:dyDescent="0.35">
      <c r="AQ346" s="54"/>
      <c r="BA346" s="54"/>
    </row>
    <row r="347" spans="43:53" x14ac:dyDescent="0.35">
      <c r="AQ347" s="54"/>
      <c r="BA347" s="54"/>
    </row>
    <row r="348" spans="43:53" x14ac:dyDescent="0.35">
      <c r="AQ348" s="54"/>
      <c r="BA348" s="54"/>
    </row>
    <row r="349" spans="43:53" x14ac:dyDescent="0.35">
      <c r="AQ349" s="54"/>
      <c r="BA349" s="54"/>
    </row>
    <row r="350" spans="43:53" x14ac:dyDescent="0.35">
      <c r="AQ350" s="54"/>
      <c r="BA350" s="54"/>
    </row>
    <row r="351" spans="43:53" x14ac:dyDescent="0.35">
      <c r="AQ351" s="54"/>
      <c r="BA351" s="54"/>
    </row>
    <row r="352" spans="43:53" x14ac:dyDescent="0.35">
      <c r="AQ352" s="54"/>
      <c r="BA352" s="54"/>
    </row>
    <row r="353" spans="43:53" x14ac:dyDescent="0.35">
      <c r="AQ353" s="54"/>
      <c r="BA353" s="54"/>
    </row>
    <row r="354" spans="43:53" x14ac:dyDescent="0.35">
      <c r="AQ354" s="54"/>
      <c r="BA354" s="54"/>
    </row>
    <row r="355" spans="43:53" x14ac:dyDescent="0.35">
      <c r="AQ355" s="54"/>
      <c r="BA355" s="54"/>
    </row>
    <row r="356" spans="43:53" x14ac:dyDescent="0.35">
      <c r="AQ356" s="54"/>
      <c r="BA356" s="54"/>
    </row>
    <row r="357" spans="43:53" x14ac:dyDescent="0.35">
      <c r="AQ357" s="54"/>
      <c r="BA357" s="54"/>
    </row>
    <row r="358" spans="43:53" x14ac:dyDescent="0.35">
      <c r="AQ358" s="54"/>
      <c r="BA358" s="54"/>
    </row>
    <row r="359" spans="43:53" x14ac:dyDescent="0.35">
      <c r="AQ359" s="54"/>
      <c r="BA359" s="54"/>
    </row>
    <row r="360" spans="43:53" x14ac:dyDescent="0.35">
      <c r="AQ360" s="54"/>
      <c r="BA360" s="54"/>
    </row>
    <row r="361" spans="43:53" x14ac:dyDescent="0.35">
      <c r="AQ361" s="54"/>
      <c r="BA361" s="54"/>
    </row>
    <row r="362" spans="43:53" x14ac:dyDescent="0.35">
      <c r="AQ362" s="54"/>
      <c r="BA362" s="54"/>
    </row>
    <row r="363" spans="43:53" x14ac:dyDescent="0.35">
      <c r="AQ363" s="54"/>
      <c r="BA363" s="54"/>
    </row>
    <row r="364" spans="43:53" x14ac:dyDescent="0.35">
      <c r="AQ364" s="54"/>
      <c r="BA364" s="54"/>
    </row>
    <row r="365" spans="43:53" x14ac:dyDescent="0.35">
      <c r="AQ365" s="54"/>
      <c r="BA365" s="54"/>
    </row>
    <row r="366" spans="43:53" x14ac:dyDescent="0.35">
      <c r="AQ366" s="54"/>
      <c r="BA366" s="54"/>
    </row>
    <row r="367" spans="43:53" x14ac:dyDescent="0.35">
      <c r="AQ367" s="54"/>
      <c r="BA367" s="54"/>
    </row>
    <row r="368" spans="43:53" x14ac:dyDescent="0.35">
      <c r="AQ368" s="54"/>
      <c r="BA368" s="54"/>
    </row>
    <row r="369" spans="43:53" x14ac:dyDescent="0.35">
      <c r="AQ369" s="54"/>
      <c r="BA369" s="54"/>
    </row>
    <row r="370" spans="43:53" x14ac:dyDescent="0.35">
      <c r="AQ370" s="54"/>
      <c r="BA370" s="54"/>
    </row>
    <row r="371" spans="43:53" x14ac:dyDescent="0.35">
      <c r="AQ371" s="54"/>
      <c r="BA371" s="54"/>
    </row>
    <row r="372" spans="43:53" x14ac:dyDescent="0.35">
      <c r="AQ372" s="54"/>
      <c r="BA372" s="54"/>
    </row>
    <row r="373" spans="43:53" x14ac:dyDescent="0.35">
      <c r="AQ373" s="54"/>
      <c r="BA373" s="54"/>
    </row>
    <row r="374" spans="43:53" x14ac:dyDescent="0.35">
      <c r="AQ374" s="54"/>
      <c r="BA374" s="54"/>
    </row>
    <row r="375" spans="43:53" x14ac:dyDescent="0.35">
      <c r="AQ375" s="54"/>
      <c r="BA375" s="54"/>
    </row>
    <row r="376" spans="43:53" x14ac:dyDescent="0.35">
      <c r="AQ376" s="54"/>
      <c r="BA376" s="54"/>
    </row>
    <row r="377" spans="43:53" x14ac:dyDescent="0.35">
      <c r="AQ377" s="54"/>
      <c r="BA377" s="54"/>
    </row>
    <row r="378" spans="43:53" x14ac:dyDescent="0.35">
      <c r="AQ378" s="54"/>
      <c r="BA378" s="54"/>
    </row>
    <row r="379" spans="43:53" x14ac:dyDescent="0.35">
      <c r="AQ379" s="54"/>
      <c r="BA379" s="54"/>
    </row>
    <row r="380" spans="43:53" x14ac:dyDescent="0.35">
      <c r="AQ380" s="54"/>
      <c r="BA380" s="54"/>
    </row>
    <row r="381" spans="43:53" x14ac:dyDescent="0.35">
      <c r="AQ381" s="54"/>
      <c r="BA381" s="54"/>
    </row>
    <row r="382" spans="43:53" x14ac:dyDescent="0.35">
      <c r="AQ382" s="54"/>
      <c r="BA382" s="54"/>
    </row>
    <row r="383" spans="43:53" x14ac:dyDescent="0.35">
      <c r="AQ383" s="54"/>
      <c r="BA383" s="54"/>
    </row>
    <row r="384" spans="43:53" x14ac:dyDescent="0.35">
      <c r="AQ384" s="54"/>
      <c r="BA384" s="54"/>
    </row>
    <row r="385" spans="43:53" x14ac:dyDescent="0.35">
      <c r="AQ385" s="54"/>
      <c r="BA385" s="54"/>
    </row>
    <row r="386" spans="43:53" x14ac:dyDescent="0.35">
      <c r="AQ386" s="54"/>
      <c r="BA386" s="54"/>
    </row>
    <row r="387" spans="43:53" x14ac:dyDescent="0.35">
      <c r="AQ387" s="54"/>
      <c r="BA387" s="54"/>
    </row>
    <row r="388" spans="43:53" x14ac:dyDescent="0.35">
      <c r="AQ388" s="54"/>
      <c r="BA388" s="54"/>
    </row>
    <row r="389" spans="43:53" x14ac:dyDescent="0.35">
      <c r="AQ389" s="54"/>
      <c r="BA389" s="54"/>
    </row>
    <row r="390" spans="43:53" x14ac:dyDescent="0.35">
      <c r="AQ390" s="54"/>
      <c r="BA390" s="54"/>
    </row>
    <row r="391" spans="43:53" x14ac:dyDescent="0.35">
      <c r="AQ391" s="54"/>
      <c r="BA391" s="54"/>
    </row>
    <row r="392" spans="43:53" x14ac:dyDescent="0.35">
      <c r="AQ392" s="54"/>
      <c r="BA392" s="54"/>
    </row>
    <row r="393" spans="43:53" x14ac:dyDescent="0.35">
      <c r="AQ393" s="54"/>
      <c r="BA393" s="54"/>
    </row>
    <row r="394" spans="43:53" x14ac:dyDescent="0.35">
      <c r="AQ394" s="54"/>
      <c r="BA394" s="54"/>
    </row>
    <row r="395" spans="43:53" x14ac:dyDescent="0.35">
      <c r="AQ395" s="54"/>
      <c r="BA395" s="54"/>
    </row>
    <row r="396" spans="43:53" x14ac:dyDescent="0.35">
      <c r="AQ396" s="54"/>
      <c r="BA396" s="54"/>
    </row>
    <row r="397" spans="43:53" x14ac:dyDescent="0.35">
      <c r="AQ397" s="54"/>
      <c r="BA397" s="54"/>
    </row>
    <row r="398" spans="43:53" x14ac:dyDescent="0.35">
      <c r="AQ398" s="54"/>
      <c r="BA398" s="54"/>
    </row>
    <row r="399" spans="43:53" x14ac:dyDescent="0.35">
      <c r="AQ399" s="54"/>
      <c r="BA399" s="54"/>
    </row>
    <row r="400" spans="43:53" x14ac:dyDescent="0.35">
      <c r="AQ400" s="54"/>
      <c r="BA400" s="54"/>
    </row>
    <row r="401" spans="43:53" x14ac:dyDescent="0.35">
      <c r="AQ401" s="54"/>
      <c r="BA401" s="54"/>
    </row>
    <row r="402" spans="43:53" x14ac:dyDescent="0.35">
      <c r="AQ402" s="54"/>
      <c r="BA402" s="54"/>
    </row>
    <row r="403" spans="43:53" x14ac:dyDescent="0.35">
      <c r="AQ403" s="54"/>
      <c r="BA403" s="54"/>
    </row>
    <row r="404" spans="43:53" x14ac:dyDescent="0.35">
      <c r="AQ404" s="54"/>
      <c r="BA404" s="54"/>
    </row>
    <row r="405" spans="43:53" x14ac:dyDescent="0.35">
      <c r="AQ405" s="54"/>
      <c r="BA405" s="54"/>
    </row>
    <row r="406" spans="43:53" x14ac:dyDescent="0.35">
      <c r="AQ406" s="54"/>
      <c r="BA406" s="54"/>
    </row>
    <row r="407" spans="43:53" x14ac:dyDescent="0.35">
      <c r="AQ407" s="54"/>
      <c r="BA407" s="54"/>
    </row>
    <row r="408" spans="43:53" x14ac:dyDescent="0.35">
      <c r="AQ408" s="54"/>
      <c r="BA408" s="54"/>
    </row>
    <row r="409" spans="43:53" x14ac:dyDescent="0.35">
      <c r="AQ409" s="54"/>
      <c r="BA409" s="54"/>
    </row>
    <row r="410" spans="43:53" x14ac:dyDescent="0.35">
      <c r="AQ410" s="54"/>
      <c r="BA410" s="54"/>
    </row>
    <row r="411" spans="43:53" x14ac:dyDescent="0.35">
      <c r="AQ411" s="54"/>
      <c r="BA411" s="54"/>
    </row>
    <row r="412" spans="43:53" x14ac:dyDescent="0.35">
      <c r="AQ412" s="54"/>
      <c r="BA412" s="54"/>
    </row>
    <row r="413" spans="43:53" x14ac:dyDescent="0.35">
      <c r="AQ413" s="54"/>
      <c r="BA413" s="54"/>
    </row>
    <row r="414" spans="43:53" x14ac:dyDescent="0.35">
      <c r="AQ414" s="54"/>
      <c r="BA414" s="54"/>
    </row>
    <row r="415" spans="43:53" x14ac:dyDescent="0.35">
      <c r="AQ415" s="54"/>
      <c r="BA415" s="54"/>
    </row>
    <row r="416" spans="43:53" x14ac:dyDescent="0.35">
      <c r="AQ416" s="54"/>
      <c r="BA416" s="54"/>
    </row>
    <row r="417" spans="43:53" x14ac:dyDescent="0.35">
      <c r="AQ417" s="54"/>
      <c r="BA417" s="54"/>
    </row>
    <row r="418" spans="43:53" x14ac:dyDescent="0.35">
      <c r="AQ418" s="54"/>
      <c r="BA418" s="54"/>
    </row>
    <row r="419" spans="43:53" x14ac:dyDescent="0.35">
      <c r="AQ419" s="54"/>
      <c r="BA419" s="54"/>
    </row>
    <row r="420" spans="43:53" x14ac:dyDescent="0.35">
      <c r="AQ420" s="54"/>
      <c r="BA420" s="54"/>
    </row>
    <row r="421" spans="43:53" x14ac:dyDescent="0.35">
      <c r="AQ421" s="54"/>
      <c r="BA421" s="54"/>
    </row>
    <row r="422" spans="43:53" x14ac:dyDescent="0.35">
      <c r="AQ422" s="54"/>
      <c r="BA422" s="54"/>
    </row>
    <row r="423" spans="43:53" x14ac:dyDescent="0.35">
      <c r="AQ423" s="54"/>
      <c r="BA423" s="54"/>
    </row>
    <row r="424" spans="43:53" x14ac:dyDescent="0.35">
      <c r="AQ424" s="54"/>
      <c r="BA424" s="54"/>
    </row>
    <row r="425" spans="43:53" x14ac:dyDescent="0.35">
      <c r="AQ425" s="54"/>
      <c r="BA425" s="54"/>
    </row>
    <row r="426" spans="43:53" x14ac:dyDescent="0.35">
      <c r="AQ426" s="54"/>
      <c r="BA426" s="54"/>
    </row>
    <row r="427" spans="43:53" x14ac:dyDescent="0.35">
      <c r="AQ427" s="54"/>
      <c r="BA427" s="54"/>
    </row>
    <row r="428" spans="43:53" x14ac:dyDescent="0.35">
      <c r="AQ428" s="54"/>
      <c r="BA428" s="54"/>
    </row>
    <row r="429" spans="43:53" x14ac:dyDescent="0.35">
      <c r="AQ429" s="54"/>
      <c r="BA429" s="54"/>
    </row>
    <row r="430" spans="43:53" x14ac:dyDescent="0.35">
      <c r="AQ430" s="54"/>
      <c r="BA430" s="54"/>
    </row>
    <row r="431" spans="43:53" x14ac:dyDescent="0.35">
      <c r="AQ431" s="54"/>
      <c r="BA431" s="54"/>
    </row>
    <row r="432" spans="43:53" x14ac:dyDescent="0.35">
      <c r="AQ432" s="54"/>
      <c r="BA432" s="54"/>
    </row>
    <row r="433" spans="43:53" x14ac:dyDescent="0.35">
      <c r="AQ433" s="54"/>
      <c r="BA433" s="54"/>
    </row>
    <row r="434" spans="43:53" x14ac:dyDescent="0.35">
      <c r="AQ434" s="54"/>
      <c r="BA434" s="54"/>
    </row>
    <row r="435" spans="43:53" x14ac:dyDescent="0.35">
      <c r="AQ435" s="54"/>
      <c r="BA435" s="54"/>
    </row>
    <row r="436" spans="43:53" x14ac:dyDescent="0.35">
      <c r="AQ436" s="54"/>
      <c r="BA436" s="54"/>
    </row>
    <row r="437" spans="43:53" x14ac:dyDescent="0.35">
      <c r="AQ437" s="54"/>
      <c r="BA437" s="54"/>
    </row>
    <row r="438" spans="43:53" x14ac:dyDescent="0.35">
      <c r="AQ438" s="54"/>
      <c r="BA438" s="54"/>
    </row>
    <row r="439" spans="43:53" x14ac:dyDescent="0.35">
      <c r="AQ439" s="54"/>
      <c r="BA439" s="54"/>
    </row>
    <row r="440" spans="43:53" x14ac:dyDescent="0.35">
      <c r="AQ440" s="54"/>
      <c r="BA440" s="54"/>
    </row>
    <row r="441" spans="43:53" x14ac:dyDescent="0.35">
      <c r="AQ441" s="54"/>
      <c r="BA441" s="54"/>
    </row>
    <row r="442" spans="43:53" x14ac:dyDescent="0.35">
      <c r="AQ442" s="54"/>
      <c r="BA442" s="54"/>
    </row>
    <row r="443" spans="43:53" x14ac:dyDescent="0.35">
      <c r="AQ443" s="54"/>
      <c r="BA443" s="54"/>
    </row>
    <row r="444" spans="43:53" x14ac:dyDescent="0.35">
      <c r="AQ444" s="54"/>
      <c r="BA444" s="54"/>
    </row>
    <row r="445" spans="43:53" x14ac:dyDescent="0.35">
      <c r="AQ445" s="54"/>
      <c r="BA445" s="54"/>
    </row>
    <row r="446" spans="43:53" x14ac:dyDescent="0.35">
      <c r="AQ446" s="54"/>
      <c r="BA446" s="54"/>
    </row>
    <row r="447" spans="43:53" x14ac:dyDescent="0.35">
      <c r="AQ447" s="54"/>
      <c r="BA447" s="54"/>
    </row>
    <row r="448" spans="43:53" x14ac:dyDescent="0.35">
      <c r="AQ448" s="54"/>
      <c r="BA448" s="54"/>
    </row>
    <row r="449" spans="43:53" x14ac:dyDescent="0.35">
      <c r="AQ449" s="54"/>
      <c r="BA449" s="54"/>
    </row>
    <row r="450" spans="43:53" x14ac:dyDescent="0.35">
      <c r="AQ450" s="54"/>
      <c r="BA450" s="54"/>
    </row>
    <row r="451" spans="43:53" x14ac:dyDescent="0.35">
      <c r="AQ451" s="54"/>
      <c r="BA451" s="54"/>
    </row>
    <row r="452" spans="43:53" x14ac:dyDescent="0.35">
      <c r="AQ452" s="54"/>
      <c r="BA452" s="54"/>
    </row>
    <row r="453" spans="43:53" x14ac:dyDescent="0.35">
      <c r="AQ453" s="54"/>
      <c r="BA453" s="54"/>
    </row>
    <row r="454" spans="43:53" x14ac:dyDescent="0.35">
      <c r="AQ454" s="54"/>
      <c r="BA454" s="54"/>
    </row>
    <row r="455" spans="43:53" x14ac:dyDescent="0.35">
      <c r="AQ455" s="54"/>
      <c r="BA455" s="54"/>
    </row>
    <row r="456" spans="43:53" x14ac:dyDescent="0.35">
      <c r="AQ456" s="54"/>
      <c r="BA456" s="54"/>
    </row>
    <row r="457" spans="43:53" x14ac:dyDescent="0.35">
      <c r="AQ457" s="54"/>
      <c r="BA457" s="54"/>
    </row>
    <row r="458" spans="43:53" x14ac:dyDescent="0.35">
      <c r="AQ458" s="54"/>
      <c r="BA458" s="54"/>
    </row>
    <row r="459" spans="43:53" x14ac:dyDescent="0.35">
      <c r="AQ459" s="54"/>
      <c r="BA459" s="54"/>
    </row>
    <row r="460" spans="43:53" x14ac:dyDescent="0.35">
      <c r="AQ460" s="54"/>
      <c r="BA460" s="54"/>
    </row>
    <row r="461" spans="43:53" x14ac:dyDescent="0.35">
      <c r="AQ461" s="54"/>
      <c r="BA461" s="54"/>
    </row>
    <row r="462" spans="43:53" x14ac:dyDescent="0.35">
      <c r="AQ462" s="54"/>
      <c r="BA462" s="54"/>
    </row>
    <row r="463" spans="43:53" x14ac:dyDescent="0.35">
      <c r="AQ463" s="54"/>
      <c r="BA463" s="54"/>
    </row>
    <row r="464" spans="43:53" x14ac:dyDescent="0.35">
      <c r="AQ464" s="54"/>
      <c r="BA464" s="54"/>
    </row>
    <row r="465" spans="43:53" x14ac:dyDescent="0.35">
      <c r="AQ465" s="54"/>
      <c r="BA465" s="54"/>
    </row>
    <row r="466" spans="43:53" x14ac:dyDescent="0.35">
      <c r="AQ466" s="54"/>
      <c r="BA466" s="54"/>
    </row>
    <row r="467" spans="43:53" x14ac:dyDescent="0.35">
      <c r="AQ467" s="54"/>
      <c r="BA467" s="54"/>
    </row>
    <row r="468" spans="43:53" x14ac:dyDescent="0.35">
      <c r="AQ468" s="54"/>
      <c r="BA468" s="54"/>
    </row>
    <row r="469" spans="43:53" x14ac:dyDescent="0.35">
      <c r="AQ469" s="54"/>
      <c r="BA469" s="54"/>
    </row>
    <row r="470" spans="43:53" x14ac:dyDescent="0.35">
      <c r="AQ470" s="54"/>
      <c r="BA470" s="54"/>
    </row>
    <row r="471" spans="43:53" x14ac:dyDescent="0.35">
      <c r="AQ471" s="54"/>
      <c r="BA471" s="54"/>
    </row>
    <row r="472" spans="43:53" x14ac:dyDescent="0.35">
      <c r="AQ472" s="54"/>
      <c r="BA472" s="54"/>
    </row>
    <row r="473" spans="43:53" x14ac:dyDescent="0.35">
      <c r="AQ473" s="54"/>
      <c r="BA473" s="54"/>
    </row>
    <row r="474" spans="43:53" x14ac:dyDescent="0.35">
      <c r="AQ474" s="54"/>
      <c r="BA474" s="54"/>
    </row>
    <row r="475" spans="43:53" x14ac:dyDescent="0.35">
      <c r="AQ475" s="54"/>
      <c r="BA475" s="54"/>
    </row>
    <row r="476" spans="43:53" x14ac:dyDescent="0.35">
      <c r="AQ476" s="54"/>
      <c r="BA476" s="54"/>
    </row>
    <row r="477" spans="43:53" x14ac:dyDescent="0.35">
      <c r="AQ477" s="54"/>
      <c r="BA477" s="54"/>
    </row>
    <row r="478" spans="43:53" x14ac:dyDescent="0.35">
      <c r="AQ478" s="54"/>
      <c r="BA478" s="54"/>
    </row>
    <row r="479" spans="43:53" x14ac:dyDescent="0.35">
      <c r="AQ479" s="54"/>
      <c r="BA479" s="54"/>
    </row>
    <row r="480" spans="43:53" x14ac:dyDescent="0.35">
      <c r="AQ480" s="54"/>
      <c r="BA480" s="54"/>
    </row>
    <row r="481" spans="43:53" x14ac:dyDescent="0.35">
      <c r="AQ481" s="54"/>
      <c r="BA481" s="54"/>
    </row>
    <row r="482" spans="43:53" x14ac:dyDescent="0.35">
      <c r="AQ482" s="54"/>
      <c r="BA482" s="54"/>
    </row>
    <row r="483" spans="43:53" x14ac:dyDescent="0.35">
      <c r="AQ483" s="54"/>
      <c r="BA483" s="54"/>
    </row>
    <row r="484" spans="43:53" x14ac:dyDescent="0.35">
      <c r="AQ484" s="54"/>
      <c r="BA484" s="54"/>
    </row>
    <row r="485" spans="43:53" x14ac:dyDescent="0.35">
      <c r="AQ485" s="54"/>
      <c r="BA485" s="54"/>
    </row>
    <row r="486" spans="43:53" x14ac:dyDescent="0.35">
      <c r="AQ486" s="54"/>
      <c r="BA486" s="54"/>
    </row>
    <row r="487" spans="43:53" x14ac:dyDescent="0.35">
      <c r="AQ487" s="54"/>
      <c r="BA487" s="54"/>
    </row>
    <row r="488" spans="43:53" x14ac:dyDescent="0.35">
      <c r="AQ488" s="54"/>
      <c r="BA488" s="54"/>
    </row>
    <row r="489" spans="43:53" x14ac:dyDescent="0.35">
      <c r="AQ489" s="54"/>
      <c r="BA489" s="54"/>
    </row>
    <row r="490" spans="43:53" x14ac:dyDescent="0.35">
      <c r="AQ490" s="54"/>
      <c r="BA490" s="54"/>
    </row>
    <row r="491" spans="43:53" x14ac:dyDescent="0.35">
      <c r="AQ491" s="54"/>
      <c r="BA491" s="54"/>
    </row>
    <row r="492" spans="43:53" x14ac:dyDescent="0.35">
      <c r="AQ492" s="54"/>
      <c r="BA492" s="54"/>
    </row>
    <row r="493" spans="43:53" x14ac:dyDescent="0.35">
      <c r="AQ493" s="54"/>
      <c r="BA493" s="54"/>
    </row>
    <row r="494" spans="43:53" x14ac:dyDescent="0.35">
      <c r="AQ494" s="54"/>
      <c r="BA494" s="54"/>
    </row>
    <row r="495" spans="43:53" x14ac:dyDescent="0.35">
      <c r="AQ495" s="54"/>
      <c r="BA495" s="54"/>
    </row>
    <row r="496" spans="43:53" x14ac:dyDescent="0.35">
      <c r="AQ496" s="54"/>
      <c r="BA496" s="54"/>
    </row>
    <row r="497" spans="43:53" x14ac:dyDescent="0.35">
      <c r="AQ497" s="54"/>
      <c r="BA497" s="54"/>
    </row>
    <row r="498" spans="43:53" x14ac:dyDescent="0.35">
      <c r="AQ498" s="54"/>
      <c r="BA498" s="54"/>
    </row>
    <row r="499" spans="43:53" x14ac:dyDescent="0.35">
      <c r="AQ499" s="54"/>
      <c r="BA499" s="54"/>
    </row>
    <row r="500" spans="43:53" x14ac:dyDescent="0.35">
      <c r="AQ500" s="54"/>
      <c r="BA500" s="54"/>
    </row>
    <row r="501" spans="43:53" x14ac:dyDescent="0.35">
      <c r="AQ501" s="54"/>
      <c r="BA501" s="54"/>
    </row>
    <row r="502" spans="43:53" x14ac:dyDescent="0.35">
      <c r="AQ502" s="54"/>
      <c r="BA502" s="54"/>
    </row>
    <row r="503" spans="43:53" x14ac:dyDescent="0.35">
      <c r="AQ503" s="54"/>
      <c r="BA503" s="54"/>
    </row>
    <row r="504" spans="43:53" x14ac:dyDescent="0.35">
      <c r="AQ504" s="54"/>
      <c r="BA504" s="54"/>
    </row>
    <row r="505" spans="43:53" x14ac:dyDescent="0.35">
      <c r="AQ505" s="54"/>
      <c r="BA505" s="54"/>
    </row>
    <row r="506" spans="43:53" x14ac:dyDescent="0.35">
      <c r="AQ506" s="54"/>
      <c r="BA506" s="54"/>
    </row>
    <row r="507" spans="43:53" x14ac:dyDescent="0.35">
      <c r="AQ507" s="54"/>
      <c r="BA507" s="54"/>
    </row>
    <row r="508" spans="43:53" x14ac:dyDescent="0.35">
      <c r="AQ508" s="54"/>
      <c r="BA508" s="54"/>
    </row>
    <row r="509" spans="43:53" x14ac:dyDescent="0.35">
      <c r="AQ509" s="54"/>
      <c r="BA509" s="54"/>
    </row>
    <row r="510" spans="43:53" x14ac:dyDescent="0.35">
      <c r="AQ510" s="54"/>
      <c r="BA510" s="54"/>
    </row>
    <row r="511" spans="43:53" x14ac:dyDescent="0.35">
      <c r="AQ511" s="54"/>
      <c r="BA511" s="54"/>
    </row>
    <row r="512" spans="43:53" x14ac:dyDescent="0.35">
      <c r="AQ512" s="54"/>
      <c r="BA512" s="54"/>
    </row>
    <row r="513" spans="43:53" x14ac:dyDescent="0.35">
      <c r="AQ513" s="54"/>
      <c r="BA513" s="54"/>
    </row>
    <row r="514" spans="43:53" x14ac:dyDescent="0.35">
      <c r="AQ514" s="54"/>
      <c r="BA514" s="54"/>
    </row>
    <row r="515" spans="43:53" x14ac:dyDescent="0.35">
      <c r="AQ515" s="54"/>
      <c r="BA515" s="54"/>
    </row>
    <row r="516" spans="43:53" x14ac:dyDescent="0.35">
      <c r="AQ516" s="54"/>
      <c r="BA516" s="54"/>
    </row>
    <row r="517" spans="43:53" x14ac:dyDescent="0.35">
      <c r="AQ517" s="54"/>
      <c r="BA517" s="54"/>
    </row>
    <row r="518" spans="43:53" x14ac:dyDescent="0.35">
      <c r="AQ518" s="54"/>
      <c r="BA518" s="54"/>
    </row>
    <row r="519" spans="43:53" x14ac:dyDescent="0.35">
      <c r="AQ519" s="54"/>
      <c r="BA519" s="54"/>
    </row>
    <row r="520" spans="43:53" x14ac:dyDescent="0.35">
      <c r="AQ520" s="54"/>
      <c r="BA520" s="54"/>
    </row>
    <row r="521" spans="43:53" x14ac:dyDescent="0.35">
      <c r="AQ521" s="54"/>
      <c r="BA521" s="54"/>
    </row>
    <row r="522" spans="43:53" x14ac:dyDescent="0.35">
      <c r="AQ522" s="54"/>
      <c r="BA522" s="54"/>
    </row>
    <row r="523" spans="43:53" x14ac:dyDescent="0.35">
      <c r="AQ523" s="54"/>
      <c r="BA523" s="54"/>
    </row>
    <row r="524" spans="43:53" x14ac:dyDescent="0.35">
      <c r="AQ524" s="54"/>
      <c r="BA524" s="54"/>
    </row>
    <row r="525" spans="43:53" x14ac:dyDescent="0.35">
      <c r="AQ525" s="54"/>
      <c r="BA525" s="54"/>
    </row>
    <row r="526" spans="43:53" x14ac:dyDescent="0.35">
      <c r="AQ526" s="54"/>
      <c r="BA526" s="54"/>
    </row>
    <row r="527" spans="43:53" x14ac:dyDescent="0.35">
      <c r="AQ527" s="54"/>
      <c r="BA527" s="54"/>
    </row>
    <row r="528" spans="43:53" x14ac:dyDescent="0.35">
      <c r="AQ528" s="54"/>
      <c r="BA528" s="54"/>
    </row>
    <row r="529" spans="43:53" x14ac:dyDescent="0.35">
      <c r="AQ529" s="54"/>
      <c r="BA529" s="54"/>
    </row>
    <row r="530" spans="43:53" x14ac:dyDescent="0.35">
      <c r="AQ530" s="54"/>
      <c r="BA530" s="54"/>
    </row>
    <row r="531" spans="43:53" x14ac:dyDescent="0.35">
      <c r="AQ531" s="54"/>
      <c r="BA531" s="54"/>
    </row>
    <row r="532" spans="43:53" x14ac:dyDescent="0.35">
      <c r="AQ532" s="54"/>
      <c r="BA532" s="54"/>
    </row>
    <row r="533" spans="43:53" x14ac:dyDescent="0.35">
      <c r="AQ533" s="54"/>
      <c r="BA533" s="54"/>
    </row>
    <row r="534" spans="43:53" x14ac:dyDescent="0.35">
      <c r="AQ534" s="54"/>
      <c r="BA534" s="54"/>
    </row>
    <row r="535" spans="43:53" x14ac:dyDescent="0.35">
      <c r="AQ535" s="54"/>
      <c r="BA535" s="54"/>
    </row>
    <row r="536" spans="43:53" x14ac:dyDescent="0.35">
      <c r="AQ536" s="54"/>
      <c r="BA536" s="54"/>
    </row>
    <row r="537" spans="43:53" x14ac:dyDescent="0.35">
      <c r="AQ537" s="54"/>
      <c r="BA537" s="54"/>
    </row>
    <row r="538" spans="43:53" x14ac:dyDescent="0.35">
      <c r="AQ538" s="54"/>
      <c r="BA538" s="54"/>
    </row>
    <row r="539" spans="43:53" x14ac:dyDescent="0.35">
      <c r="AQ539" s="54"/>
      <c r="BA539" s="54"/>
    </row>
    <row r="540" spans="43:53" x14ac:dyDescent="0.35">
      <c r="AQ540" s="54"/>
      <c r="BA540" s="54"/>
    </row>
    <row r="541" spans="43:53" x14ac:dyDescent="0.35">
      <c r="AQ541" s="54"/>
      <c r="BA541" s="54"/>
    </row>
    <row r="542" spans="43:53" x14ac:dyDescent="0.35">
      <c r="AQ542" s="54"/>
      <c r="BA542" s="54"/>
    </row>
    <row r="543" spans="43:53" x14ac:dyDescent="0.35">
      <c r="AQ543" s="54"/>
      <c r="BA543" s="54"/>
    </row>
    <row r="544" spans="43:53" x14ac:dyDescent="0.35">
      <c r="AQ544" s="54"/>
      <c r="BA544" s="54"/>
    </row>
    <row r="545" spans="43:53" x14ac:dyDescent="0.35">
      <c r="AQ545" s="54"/>
      <c r="BA545" s="54"/>
    </row>
    <row r="546" spans="43:53" x14ac:dyDescent="0.35">
      <c r="AQ546" s="54"/>
      <c r="BA546" s="54"/>
    </row>
    <row r="547" spans="43:53" x14ac:dyDescent="0.35">
      <c r="AQ547" s="54"/>
      <c r="BA547" s="54"/>
    </row>
    <row r="548" spans="43:53" x14ac:dyDescent="0.35">
      <c r="AQ548" s="54"/>
      <c r="BA548" s="54"/>
    </row>
    <row r="549" spans="43:53" x14ac:dyDescent="0.35">
      <c r="AQ549" s="54"/>
      <c r="BA549" s="54"/>
    </row>
    <row r="550" spans="43:53" x14ac:dyDescent="0.35">
      <c r="AQ550" s="54"/>
      <c r="BA550" s="54"/>
    </row>
    <row r="551" spans="43:53" x14ac:dyDescent="0.35">
      <c r="AQ551" s="54"/>
      <c r="BA551" s="54"/>
    </row>
    <row r="552" spans="43:53" x14ac:dyDescent="0.35">
      <c r="AQ552" s="54"/>
      <c r="BA552" s="54"/>
    </row>
    <row r="553" spans="43:53" x14ac:dyDescent="0.35">
      <c r="AQ553" s="54"/>
      <c r="BA553" s="54"/>
    </row>
    <row r="554" spans="43:53" x14ac:dyDescent="0.35">
      <c r="AQ554" s="54"/>
      <c r="BA554" s="54"/>
    </row>
    <row r="555" spans="43:53" x14ac:dyDescent="0.35">
      <c r="AQ555" s="54"/>
      <c r="BA555" s="54"/>
    </row>
    <row r="556" spans="43:53" x14ac:dyDescent="0.35">
      <c r="AQ556" s="54"/>
      <c r="BA556" s="54"/>
    </row>
    <row r="557" spans="43:53" x14ac:dyDescent="0.35">
      <c r="AQ557" s="54"/>
      <c r="BA557" s="54"/>
    </row>
    <row r="558" spans="43:53" x14ac:dyDescent="0.35">
      <c r="AQ558" s="54"/>
      <c r="BA558" s="54"/>
    </row>
    <row r="559" spans="43:53" x14ac:dyDescent="0.35">
      <c r="AQ559" s="54"/>
      <c r="BA559" s="54"/>
    </row>
    <row r="560" spans="43:53" x14ac:dyDescent="0.35">
      <c r="AQ560" s="54"/>
      <c r="BA560" s="54"/>
    </row>
    <row r="561" spans="43:53" x14ac:dyDescent="0.35">
      <c r="AQ561" s="54"/>
      <c r="BA561" s="54"/>
    </row>
    <row r="562" spans="43:53" x14ac:dyDescent="0.35">
      <c r="AQ562" s="54"/>
      <c r="BA562" s="54"/>
    </row>
    <row r="563" spans="43:53" x14ac:dyDescent="0.35">
      <c r="AQ563" s="54"/>
      <c r="BA563" s="54"/>
    </row>
    <row r="564" spans="43:53" x14ac:dyDescent="0.35">
      <c r="AQ564" s="54"/>
      <c r="BA564" s="54"/>
    </row>
    <row r="565" spans="43:53" x14ac:dyDescent="0.35">
      <c r="AQ565" s="54"/>
      <c r="BA565" s="54"/>
    </row>
    <row r="566" spans="43:53" x14ac:dyDescent="0.35">
      <c r="AQ566" s="54"/>
      <c r="BA566" s="54"/>
    </row>
    <row r="567" spans="43:53" x14ac:dyDescent="0.35">
      <c r="AQ567" s="54"/>
      <c r="BA567" s="54"/>
    </row>
    <row r="568" spans="43:53" x14ac:dyDescent="0.35">
      <c r="AQ568" s="54"/>
      <c r="BA568" s="54"/>
    </row>
    <row r="569" spans="43:53" x14ac:dyDescent="0.35">
      <c r="AQ569" s="54"/>
      <c r="BA569" s="54"/>
    </row>
    <row r="570" spans="43:53" x14ac:dyDescent="0.35">
      <c r="AQ570" s="54"/>
      <c r="BA570" s="54"/>
    </row>
    <row r="571" spans="43:53" x14ac:dyDescent="0.35">
      <c r="AQ571" s="54"/>
      <c r="BA571" s="54"/>
    </row>
    <row r="572" spans="43:53" x14ac:dyDescent="0.35">
      <c r="AQ572" s="54"/>
      <c r="BA572" s="54"/>
    </row>
    <row r="573" spans="43:53" x14ac:dyDescent="0.35">
      <c r="AQ573" s="54"/>
      <c r="BA573" s="54"/>
    </row>
    <row r="574" spans="43:53" x14ac:dyDescent="0.35">
      <c r="AQ574" s="54"/>
      <c r="BA574" s="54"/>
    </row>
    <row r="575" spans="43:53" x14ac:dyDescent="0.35">
      <c r="AQ575" s="54"/>
      <c r="BA575" s="54"/>
    </row>
    <row r="576" spans="43:53" x14ac:dyDescent="0.35">
      <c r="AQ576" s="54"/>
      <c r="BA576" s="54"/>
    </row>
    <row r="577" spans="43:53" x14ac:dyDescent="0.35">
      <c r="AQ577" s="54"/>
      <c r="BA577" s="54"/>
    </row>
    <row r="578" spans="43:53" x14ac:dyDescent="0.35">
      <c r="AQ578" s="54"/>
      <c r="BA578" s="54"/>
    </row>
    <row r="579" spans="43:53" x14ac:dyDescent="0.35">
      <c r="AQ579" s="54"/>
      <c r="BA579" s="54"/>
    </row>
    <row r="580" spans="43:53" x14ac:dyDescent="0.35">
      <c r="AQ580" s="54"/>
      <c r="BA580" s="54"/>
    </row>
    <row r="581" spans="43:53" x14ac:dyDescent="0.35">
      <c r="AQ581" s="54"/>
      <c r="BA581" s="54"/>
    </row>
    <row r="582" spans="43:53" x14ac:dyDescent="0.35">
      <c r="AQ582" s="54"/>
      <c r="BA582" s="54"/>
    </row>
    <row r="583" spans="43:53" x14ac:dyDescent="0.35">
      <c r="AQ583" s="54"/>
      <c r="BA583" s="54"/>
    </row>
    <row r="584" spans="43:53" x14ac:dyDescent="0.35">
      <c r="AQ584" s="54"/>
      <c r="BA584" s="54"/>
    </row>
    <row r="585" spans="43:53" x14ac:dyDescent="0.35">
      <c r="AQ585" s="54"/>
      <c r="BA585" s="54"/>
    </row>
    <row r="586" spans="43:53" x14ac:dyDescent="0.35">
      <c r="AQ586" s="54"/>
      <c r="BA586" s="54"/>
    </row>
    <row r="587" spans="43:53" x14ac:dyDescent="0.35">
      <c r="AQ587" s="54"/>
      <c r="BA587" s="54"/>
    </row>
    <row r="588" spans="43:53" x14ac:dyDescent="0.35">
      <c r="AQ588" s="54"/>
      <c r="BA588" s="54"/>
    </row>
    <row r="589" spans="43:53" x14ac:dyDescent="0.35">
      <c r="AQ589" s="54"/>
      <c r="BA589" s="54"/>
    </row>
    <row r="590" spans="43:53" x14ac:dyDescent="0.35">
      <c r="AQ590" s="54"/>
      <c r="BA590" s="54"/>
    </row>
    <row r="591" spans="43:53" x14ac:dyDescent="0.35">
      <c r="AQ591" s="54"/>
      <c r="BA591" s="54"/>
    </row>
    <row r="592" spans="43:53" x14ac:dyDescent="0.35">
      <c r="AQ592" s="54"/>
      <c r="BA592" s="54"/>
    </row>
    <row r="593" spans="43:53" x14ac:dyDescent="0.35">
      <c r="AQ593" s="54"/>
      <c r="BA593" s="54"/>
    </row>
    <row r="594" spans="43:53" x14ac:dyDescent="0.35">
      <c r="AQ594" s="54"/>
      <c r="BA594" s="54"/>
    </row>
    <row r="595" spans="43:53" x14ac:dyDescent="0.35">
      <c r="AQ595" s="54"/>
      <c r="BA595" s="54"/>
    </row>
    <row r="596" spans="43:53" x14ac:dyDescent="0.35">
      <c r="AQ596" s="54"/>
      <c r="BA596" s="54"/>
    </row>
    <row r="597" spans="43:53" x14ac:dyDescent="0.35">
      <c r="AQ597" s="54"/>
      <c r="BA597" s="54"/>
    </row>
    <row r="598" spans="43:53" x14ac:dyDescent="0.35">
      <c r="AQ598" s="54"/>
      <c r="BA598" s="54"/>
    </row>
    <row r="599" spans="43:53" x14ac:dyDescent="0.35">
      <c r="AQ599" s="54"/>
      <c r="BA599" s="54"/>
    </row>
    <row r="600" spans="43:53" x14ac:dyDescent="0.35">
      <c r="AQ600" s="54"/>
      <c r="BA600" s="54"/>
    </row>
    <row r="601" spans="43:53" x14ac:dyDescent="0.35">
      <c r="AQ601" s="54"/>
      <c r="BA601" s="54"/>
    </row>
    <row r="602" spans="43:53" x14ac:dyDescent="0.35">
      <c r="AQ602" s="54"/>
      <c r="BA602" s="54"/>
    </row>
    <row r="603" spans="43:53" x14ac:dyDescent="0.35">
      <c r="AQ603" s="54"/>
      <c r="BA603" s="54"/>
    </row>
    <row r="604" spans="43:53" x14ac:dyDescent="0.35">
      <c r="AQ604" s="54"/>
      <c r="BA604" s="54"/>
    </row>
    <row r="605" spans="43:53" x14ac:dyDescent="0.35">
      <c r="AQ605" s="54"/>
      <c r="BA605" s="54"/>
    </row>
    <row r="606" spans="43:53" x14ac:dyDescent="0.35">
      <c r="AQ606" s="54"/>
      <c r="BA606" s="54"/>
    </row>
    <row r="607" spans="43:53" x14ac:dyDescent="0.35">
      <c r="AQ607" s="54"/>
      <c r="BA607" s="54"/>
    </row>
    <row r="608" spans="43:53" x14ac:dyDescent="0.35">
      <c r="AQ608" s="54"/>
      <c r="BA608" s="54"/>
    </row>
    <row r="609" spans="43:53" x14ac:dyDescent="0.35">
      <c r="AQ609" s="54"/>
      <c r="BA609" s="54"/>
    </row>
    <row r="610" spans="43:53" x14ac:dyDescent="0.35">
      <c r="AQ610" s="54"/>
      <c r="BA610" s="54"/>
    </row>
    <row r="611" spans="43:53" x14ac:dyDescent="0.35">
      <c r="AQ611" s="54"/>
      <c r="BA611" s="54"/>
    </row>
    <row r="612" spans="43:53" x14ac:dyDescent="0.35">
      <c r="AQ612" s="54"/>
      <c r="BA612" s="54"/>
    </row>
    <row r="613" spans="43:53" x14ac:dyDescent="0.35">
      <c r="AQ613" s="54"/>
      <c r="BA613" s="54"/>
    </row>
    <row r="614" spans="43:53" x14ac:dyDescent="0.35">
      <c r="AQ614" s="54"/>
      <c r="BA614" s="54"/>
    </row>
    <row r="615" spans="43:53" x14ac:dyDescent="0.35">
      <c r="AQ615" s="54"/>
      <c r="BA615" s="54"/>
    </row>
    <row r="616" spans="43:53" x14ac:dyDescent="0.35">
      <c r="AQ616" s="54"/>
      <c r="BA616" s="54"/>
    </row>
    <row r="617" spans="43:53" x14ac:dyDescent="0.35">
      <c r="AQ617" s="54"/>
      <c r="BA617" s="54"/>
    </row>
    <row r="618" spans="43:53" x14ac:dyDescent="0.35">
      <c r="AQ618" s="54"/>
      <c r="BA618" s="54"/>
    </row>
    <row r="619" spans="43:53" x14ac:dyDescent="0.35">
      <c r="AQ619" s="54"/>
      <c r="BA619" s="54"/>
    </row>
    <row r="620" spans="43:53" x14ac:dyDescent="0.35">
      <c r="AQ620" s="54"/>
      <c r="BA620" s="54"/>
    </row>
    <row r="621" spans="43:53" x14ac:dyDescent="0.35">
      <c r="AQ621" s="54"/>
      <c r="BA621" s="54"/>
    </row>
    <row r="622" spans="43:53" x14ac:dyDescent="0.35">
      <c r="AQ622" s="54"/>
      <c r="BA622" s="54"/>
    </row>
    <row r="623" spans="43:53" x14ac:dyDescent="0.35">
      <c r="AQ623" s="54"/>
      <c r="BA623" s="54"/>
    </row>
    <row r="624" spans="43:53" x14ac:dyDescent="0.35">
      <c r="AQ624" s="54"/>
      <c r="BA624" s="54"/>
    </row>
    <row r="625" spans="43:53" x14ac:dyDescent="0.35">
      <c r="AQ625" s="54"/>
      <c r="BA625" s="54"/>
    </row>
    <row r="626" spans="43:53" x14ac:dyDescent="0.35">
      <c r="AQ626" s="54"/>
      <c r="BA626" s="54"/>
    </row>
    <row r="627" spans="43:53" x14ac:dyDescent="0.35">
      <c r="AQ627" s="54"/>
      <c r="BA627" s="54"/>
    </row>
    <row r="628" spans="43:53" x14ac:dyDescent="0.35">
      <c r="AQ628" s="54"/>
      <c r="BA628" s="54"/>
    </row>
    <row r="629" spans="43:53" x14ac:dyDescent="0.35">
      <c r="AQ629" s="54"/>
      <c r="BA629" s="54"/>
    </row>
    <row r="630" spans="43:53" x14ac:dyDescent="0.35">
      <c r="AQ630" s="54"/>
      <c r="BA630" s="54"/>
    </row>
    <row r="631" spans="43:53" x14ac:dyDescent="0.35">
      <c r="AQ631" s="54"/>
      <c r="BA631" s="54"/>
    </row>
    <row r="632" spans="43:53" x14ac:dyDescent="0.35">
      <c r="AQ632" s="54"/>
      <c r="BA632" s="54"/>
    </row>
    <row r="633" spans="43:53" x14ac:dyDescent="0.35">
      <c r="AQ633" s="54"/>
      <c r="BA633" s="54"/>
    </row>
    <row r="634" spans="43:53" x14ac:dyDescent="0.35">
      <c r="AQ634" s="54"/>
      <c r="BA634" s="54"/>
    </row>
    <row r="635" spans="43:53" x14ac:dyDescent="0.35">
      <c r="AQ635" s="54"/>
      <c r="BA635" s="54"/>
    </row>
    <row r="636" spans="43:53" x14ac:dyDescent="0.35">
      <c r="AQ636" s="54"/>
      <c r="BA636" s="54"/>
    </row>
    <row r="637" spans="43:53" x14ac:dyDescent="0.35">
      <c r="AQ637" s="54"/>
      <c r="BA637" s="54"/>
    </row>
    <row r="638" spans="43:53" x14ac:dyDescent="0.35">
      <c r="AQ638" s="54"/>
      <c r="BA638" s="54"/>
    </row>
    <row r="639" spans="43:53" x14ac:dyDescent="0.35">
      <c r="AQ639" s="54"/>
      <c r="BA639" s="54"/>
    </row>
    <row r="640" spans="43:53" x14ac:dyDescent="0.35">
      <c r="AQ640" s="54"/>
      <c r="BA640" s="54"/>
    </row>
    <row r="641" spans="43:53" x14ac:dyDescent="0.35">
      <c r="AQ641" s="54"/>
      <c r="BA641" s="54"/>
    </row>
    <row r="642" spans="43:53" x14ac:dyDescent="0.35">
      <c r="AQ642" s="54"/>
      <c r="BA642" s="54"/>
    </row>
    <row r="643" spans="43:53" x14ac:dyDescent="0.35">
      <c r="AQ643" s="54"/>
      <c r="BA643" s="54"/>
    </row>
    <row r="644" spans="43:53" x14ac:dyDescent="0.35">
      <c r="AQ644" s="54"/>
      <c r="BA644" s="54"/>
    </row>
    <row r="645" spans="43:53" x14ac:dyDescent="0.35">
      <c r="AQ645" s="54"/>
      <c r="BA645" s="54"/>
    </row>
    <row r="646" spans="43:53" x14ac:dyDescent="0.35">
      <c r="AQ646" s="54"/>
      <c r="BA646" s="54"/>
    </row>
    <row r="647" spans="43:53" x14ac:dyDescent="0.35">
      <c r="AQ647" s="54"/>
      <c r="BA647" s="54"/>
    </row>
    <row r="648" spans="43:53" x14ac:dyDescent="0.35">
      <c r="AQ648" s="54"/>
      <c r="BA648" s="54"/>
    </row>
    <row r="649" spans="43:53" x14ac:dyDescent="0.35">
      <c r="AQ649" s="54"/>
      <c r="BA649" s="54"/>
    </row>
    <row r="650" spans="43:53" x14ac:dyDescent="0.35">
      <c r="AQ650" s="54"/>
      <c r="BA650" s="54"/>
    </row>
    <row r="651" spans="43:53" x14ac:dyDescent="0.35">
      <c r="AQ651" s="54"/>
      <c r="BA651" s="54"/>
    </row>
    <row r="652" spans="43:53" x14ac:dyDescent="0.35">
      <c r="AQ652" s="54"/>
      <c r="BA652" s="54"/>
    </row>
    <row r="653" spans="43:53" x14ac:dyDescent="0.35">
      <c r="AQ653" s="54"/>
      <c r="BA653" s="54"/>
    </row>
    <row r="654" spans="43:53" x14ac:dyDescent="0.35">
      <c r="AQ654" s="54"/>
      <c r="BA654" s="54"/>
    </row>
    <row r="655" spans="43:53" x14ac:dyDescent="0.35">
      <c r="AQ655" s="54"/>
      <c r="BA655" s="54"/>
    </row>
    <row r="656" spans="43:53" x14ac:dyDescent="0.35">
      <c r="AQ656" s="54"/>
      <c r="BA656" s="54"/>
    </row>
    <row r="657" spans="43:53" x14ac:dyDescent="0.35">
      <c r="AQ657" s="54"/>
      <c r="BA657" s="54"/>
    </row>
    <row r="658" spans="43:53" x14ac:dyDescent="0.35">
      <c r="AQ658" s="54"/>
      <c r="BA658" s="54"/>
    </row>
    <row r="659" spans="43:53" x14ac:dyDescent="0.35">
      <c r="AQ659" s="54"/>
      <c r="BA659" s="54"/>
    </row>
    <row r="660" spans="43:53" x14ac:dyDescent="0.35">
      <c r="AQ660" s="54"/>
      <c r="BA660" s="54"/>
    </row>
    <row r="661" spans="43:53" x14ac:dyDescent="0.35">
      <c r="AQ661" s="54"/>
      <c r="BA661" s="54"/>
    </row>
    <row r="662" spans="43:53" x14ac:dyDescent="0.35">
      <c r="AQ662" s="54"/>
      <c r="BA662" s="54"/>
    </row>
    <row r="663" spans="43:53" x14ac:dyDescent="0.35">
      <c r="AQ663" s="54"/>
      <c r="BA663" s="54"/>
    </row>
    <row r="664" spans="43:53" x14ac:dyDescent="0.35">
      <c r="AQ664" s="54"/>
      <c r="BA664" s="54"/>
    </row>
    <row r="665" spans="43:53" x14ac:dyDescent="0.35">
      <c r="AQ665" s="54"/>
      <c r="BA665" s="54"/>
    </row>
    <row r="666" spans="43:53" x14ac:dyDescent="0.35">
      <c r="AQ666" s="54"/>
      <c r="BA666" s="54"/>
    </row>
    <row r="667" spans="43:53" x14ac:dyDescent="0.35">
      <c r="AQ667" s="54"/>
      <c r="BA667" s="54"/>
    </row>
    <row r="668" spans="43:53" x14ac:dyDescent="0.35">
      <c r="AQ668" s="54"/>
      <c r="BA668" s="54"/>
    </row>
    <row r="669" spans="43:53" x14ac:dyDescent="0.35">
      <c r="AQ669" s="54"/>
      <c r="BA669" s="54"/>
    </row>
    <row r="670" spans="43:53" x14ac:dyDescent="0.35">
      <c r="AQ670" s="54"/>
      <c r="BA670" s="54"/>
    </row>
    <row r="671" spans="43:53" x14ac:dyDescent="0.35">
      <c r="AQ671" s="54"/>
      <c r="BA671" s="54"/>
    </row>
    <row r="672" spans="43:53" x14ac:dyDescent="0.35">
      <c r="AQ672" s="54"/>
      <c r="BA672" s="54"/>
    </row>
    <row r="673" spans="43:53" x14ac:dyDescent="0.35">
      <c r="AQ673" s="54"/>
      <c r="BA673" s="54"/>
    </row>
    <row r="674" spans="43:53" x14ac:dyDescent="0.35">
      <c r="AQ674" s="54"/>
      <c r="BA674" s="54"/>
    </row>
    <row r="675" spans="43:53" x14ac:dyDescent="0.35">
      <c r="AQ675" s="54"/>
      <c r="BA675" s="54"/>
    </row>
    <row r="676" spans="43:53" x14ac:dyDescent="0.35">
      <c r="AQ676" s="54"/>
      <c r="BA676" s="54"/>
    </row>
    <row r="677" spans="43:53" x14ac:dyDescent="0.35">
      <c r="AQ677" s="54"/>
      <c r="BA677" s="54"/>
    </row>
    <row r="678" spans="43:53" x14ac:dyDescent="0.35">
      <c r="AQ678" s="54"/>
      <c r="BA678" s="54"/>
    </row>
    <row r="679" spans="43:53" x14ac:dyDescent="0.35">
      <c r="AQ679" s="54"/>
      <c r="BA679" s="54"/>
    </row>
    <row r="680" spans="43:53" x14ac:dyDescent="0.35">
      <c r="AQ680" s="54"/>
      <c r="BA680" s="54"/>
    </row>
    <row r="681" spans="43:53" x14ac:dyDescent="0.35">
      <c r="AQ681" s="54"/>
      <c r="BA681" s="54"/>
    </row>
    <row r="682" spans="43:53" x14ac:dyDescent="0.35">
      <c r="AQ682" s="54"/>
      <c r="BA682" s="54"/>
    </row>
    <row r="683" spans="43:53" x14ac:dyDescent="0.35">
      <c r="AQ683" s="54"/>
      <c r="BA683" s="54"/>
    </row>
    <row r="684" spans="43:53" x14ac:dyDescent="0.35">
      <c r="AQ684" s="54"/>
      <c r="BA684" s="54"/>
    </row>
    <row r="685" spans="43:53" x14ac:dyDescent="0.35">
      <c r="AQ685" s="54"/>
      <c r="BA685" s="54"/>
    </row>
    <row r="686" spans="43:53" x14ac:dyDescent="0.35">
      <c r="AQ686" s="54"/>
      <c r="BA686" s="54"/>
    </row>
    <row r="687" spans="43:53" x14ac:dyDescent="0.35">
      <c r="AQ687" s="54"/>
      <c r="BA687" s="54"/>
    </row>
    <row r="688" spans="43:53" x14ac:dyDescent="0.35">
      <c r="AQ688" s="54"/>
      <c r="BA688" s="54"/>
    </row>
    <row r="689" spans="43:53" x14ac:dyDescent="0.35">
      <c r="AQ689" s="54"/>
      <c r="BA689" s="54"/>
    </row>
    <row r="690" spans="43:53" x14ac:dyDescent="0.35">
      <c r="AQ690" s="54"/>
      <c r="BA690" s="54"/>
    </row>
    <row r="691" spans="43:53" x14ac:dyDescent="0.35">
      <c r="AQ691" s="54"/>
      <c r="BA691" s="54"/>
    </row>
    <row r="692" spans="43:53" x14ac:dyDescent="0.35">
      <c r="AQ692" s="54"/>
      <c r="BA692" s="54"/>
    </row>
    <row r="693" spans="43:53" x14ac:dyDescent="0.35">
      <c r="AQ693" s="54"/>
      <c r="BA693" s="54"/>
    </row>
    <row r="694" spans="43:53" x14ac:dyDescent="0.35">
      <c r="AQ694" s="54"/>
      <c r="BA694" s="54"/>
    </row>
    <row r="695" spans="43:53" x14ac:dyDescent="0.35">
      <c r="AQ695" s="54"/>
      <c r="BA695" s="54"/>
    </row>
    <row r="696" spans="43:53" x14ac:dyDescent="0.35">
      <c r="AQ696" s="54"/>
      <c r="BA696" s="54"/>
    </row>
    <row r="697" spans="43:53" x14ac:dyDescent="0.35">
      <c r="AQ697" s="54"/>
      <c r="BA697" s="54"/>
    </row>
    <row r="698" spans="43:53" x14ac:dyDescent="0.35">
      <c r="AQ698" s="54"/>
      <c r="BA698" s="54"/>
    </row>
    <row r="699" spans="43:53" x14ac:dyDescent="0.35">
      <c r="AQ699" s="54"/>
      <c r="BA699" s="54"/>
    </row>
    <row r="700" spans="43:53" x14ac:dyDescent="0.35">
      <c r="AQ700" s="54"/>
      <c r="BA700" s="54"/>
    </row>
    <row r="701" spans="43:53" x14ac:dyDescent="0.35">
      <c r="AQ701" s="54"/>
      <c r="BA701" s="54"/>
    </row>
    <row r="702" spans="43:53" x14ac:dyDescent="0.35">
      <c r="AQ702" s="54"/>
      <c r="BA702" s="54"/>
    </row>
    <row r="703" spans="43:53" x14ac:dyDescent="0.35">
      <c r="AQ703" s="54"/>
      <c r="BA703" s="54"/>
    </row>
    <row r="704" spans="43:53" x14ac:dyDescent="0.35">
      <c r="AQ704" s="54"/>
      <c r="BA704" s="54"/>
    </row>
    <row r="705" spans="43:53" x14ac:dyDescent="0.35">
      <c r="AQ705" s="54"/>
      <c r="BA705" s="54"/>
    </row>
    <row r="706" spans="43:53" x14ac:dyDescent="0.35">
      <c r="AQ706" s="54"/>
      <c r="BA706" s="54"/>
    </row>
    <row r="707" spans="43:53" x14ac:dyDescent="0.35">
      <c r="AQ707" s="54"/>
      <c r="BA707" s="54"/>
    </row>
    <row r="708" spans="43:53" x14ac:dyDescent="0.35">
      <c r="AQ708" s="54"/>
      <c r="BA708" s="54"/>
    </row>
    <row r="709" spans="43:53" x14ac:dyDescent="0.35">
      <c r="AQ709" s="54"/>
      <c r="BA709" s="54"/>
    </row>
    <row r="710" spans="43:53" x14ac:dyDescent="0.35">
      <c r="AQ710" s="54"/>
      <c r="BA710" s="54"/>
    </row>
    <row r="711" spans="43:53" x14ac:dyDescent="0.35">
      <c r="AQ711" s="54"/>
      <c r="BA711" s="54"/>
    </row>
    <row r="712" spans="43:53" x14ac:dyDescent="0.35">
      <c r="AQ712" s="54"/>
      <c r="BA712" s="54"/>
    </row>
    <row r="713" spans="43:53" x14ac:dyDescent="0.35">
      <c r="AQ713" s="54"/>
      <c r="BA713" s="54"/>
    </row>
    <row r="714" spans="43:53" x14ac:dyDescent="0.35">
      <c r="AQ714" s="54"/>
      <c r="BA714" s="54"/>
    </row>
    <row r="715" spans="43:53" x14ac:dyDescent="0.35">
      <c r="AQ715" s="54"/>
      <c r="BA715" s="54"/>
    </row>
    <row r="716" spans="43:53" x14ac:dyDescent="0.35">
      <c r="AQ716" s="54"/>
      <c r="BA716" s="54"/>
    </row>
    <row r="717" spans="43:53" x14ac:dyDescent="0.35">
      <c r="AQ717" s="54"/>
      <c r="BA717" s="54"/>
    </row>
    <row r="718" spans="43:53" x14ac:dyDescent="0.35">
      <c r="AQ718" s="54"/>
      <c r="BA718" s="54"/>
    </row>
    <row r="719" spans="43:53" x14ac:dyDescent="0.35">
      <c r="AQ719" s="54"/>
      <c r="BA719" s="54"/>
    </row>
    <row r="720" spans="43:53" x14ac:dyDescent="0.35">
      <c r="AQ720" s="54"/>
      <c r="BA720" s="54"/>
    </row>
    <row r="721" spans="43:53" x14ac:dyDescent="0.35">
      <c r="AQ721" s="54"/>
      <c r="BA721" s="54"/>
    </row>
    <row r="722" spans="43:53" x14ac:dyDescent="0.35">
      <c r="AQ722" s="54"/>
      <c r="BA722" s="54"/>
    </row>
    <row r="723" spans="43:53" x14ac:dyDescent="0.35">
      <c r="AQ723" s="54"/>
      <c r="BA723" s="54"/>
    </row>
    <row r="724" spans="43:53" x14ac:dyDescent="0.35">
      <c r="AQ724" s="54"/>
      <c r="BA724" s="54"/>
    </row>
    <row r="725" spans="43:53" x14ac:dyDescent="0.35">
      <c r="AQ725" s="54"/>
      <c r="BA725" s="54"/>
    </row>
    <row r="726" spans="43:53" x14ac:dyDescent="0.35">
      <c r="AQ726" s="54"/>
      <c r="BA726" s="54"/>
    </row>
    <row r="727" spans="43:53" x14ac:dyDescent="0.35">
      <c r="AQ727" s="54"/>
      <c r="BA727" s="54"/>
    </row>
    <row r="728" spans="43:53" x14ac:dyDescent="0.35">
      <c r="AQ728" s="54"/>
      <c r="BA728" s="54"/>
    </row>
    <row r="729" spans="43:53" x14ac:dyDescent="0.35">
      <c r="AQ729" s="54"/>
      <c r="BA729" s="54"/>
    </row>
    <row r="730" spans="43:53" x14ac:dyDescent="0.35">
      <c r="AQ730" s="54"/>
      <c r="BA730" s="54"/>
    </row>
    <row r="731" spans="43:53" x14ac:dyDescent="0.35">
      <c r="AQ731" s="54"/>
      <c r="BA731" s="54"/>
    </row>
    <row r="732" spans="43:53" x14ac:dyDescent="0.35">
      <c r="AQ732" s="54"/>
      <c r="BA732" s="54"/>
    </row>
    <row r="733" spans="43:53" x14ac:dyDescent="0.35">
      <c r="AQ733" s="54"/>
      <c r="BA733" s="54"/>
    </row>
    <row r="734" spans="43:53" x14ac:dyDescent="0.35">
      <c r="AQ734" s="54"/>
      <c r="BA734" s="54"/>
    </row>
    <row r="735" spans="43:53" x14ac:dyDescent="0.35">
      <c r="AQ735" s="54"/>
      <c r="BA735" s="54"/>
    </row>
    <row r="736" spans="43:53" x14ac:dyDescent="0.35">
      <c r="AQ736" s="54"/>
      <c r="BA736" s="54"/>
    </row>
    <row r="737" spans="43:53" x14ac:dyDescent="0.35">
      <c r="AQ737" s="54"/>
      <c r="BA737" s="54"/>
    </row>
    <row r="738" spans="43:53" x14ac:dyDescent="0.35">
      <c r="AQ738" s="54"/>
      <c r="BA738" s="54"/>
    </row>
    <row r="739" spans="43:53" x14ac:dyDescent="0.35">
      <c r="AQ739" s="54"/>
      <c r="BA739" s="54"/>
    </row>
    <row r="740" spans="43:53" x14ac:dyDescent="0.35">
      <c r="AQ740" s="54"/>
      <c r="BA740" s="54"/>
    </row>
    <row r="741" spans="43:53" x14ac:dyDescent="0.35">
      <c r="AQ741" s="54"/>
      <c r="BA741" s="54"/>
    </row>
    <row r="742" spans="43:53" x14ac:dyDescent="0.35">
      <c r="AQ742" s="54"/>
      <c r="BA742" s="54"/>
    </row>
    <row r="743" spans="43:53" x14ac:dyDescent="0.35">
      <c r="AQ743" s="54"/>
      <c r="BA743" s="54"/>
    </row>
    <row r="744" spans="43:53" x14ac:dyDescent="0.35">
      <c r="AQ744" s="54"/>
      <c r="BA744" s="54"/>
    </row>
    <row r="745" spans="43:53" x14ac:dyDescent="0.35">
      <c r="AQ745" s="54"/>
      <c r="BA745" s="54"/>
    </row>
    <row r="746" spans="43:53" x14ac:dyDescent="0.35">
      <c r="AQ746" s="54"/>
      <c r="BA746" s="54"/>
    </row>
    <row r="747" spans="43:53" x14ac:dyDescent="0.35">
      <c r="AQ747" s="54"/>
      <c r="BA747" s="54"/>
    </row>
    <row r="748" spans="43:53" x14ac:dyDescent="0.35">
      <c r="AQ748" s="54"/>
      <c r="BA748" s="54"/>
    </row>
    <row r="749" spans="43:53" x14ac:dyDescent="0.35">
      <c r="AQ749" s="54"/>
      <c r="BA749" s="54"/>
    </row>
    <row r="750" spans="43:53" x14ac:dyDescent="0.35">
      <c r="AQ750" s="54"/>
      <c r="BA750" s="54"/>
    </row>
    <row r="751" spans="43:53" x14ac:dyDescent="0.35">
      <c r="AQ751" s="54"/>
      <c r="BA751" s="54"/>
    </row>
    <row r="752" spans="43:53" x14ac:dyDescent="0.35">
      <c r="AQ752" s="54"/>
      <c r="BA752" s="54"/>
    </row>
    <row r="753" spans="43:53" x14ac:dyDescent="0.35">
      <c r="AQ753" s="54"/>
      <c r="BA753" s="54"/>
    </row>
    <row r="754" spans="43:53" x14ac:dyDescent="0.35">
      <c r="AQ754" s="54"/>
      <c r="BA754" s="54"/>
    </row>
    <row r="755" spans="43:53" x14ac:dyDescent="0.35">
      <c r="AQ755" s="54"/>
      <c r="BA755" s="54"/>
    </row>
    <row r="756" spans="43:53" x14ac:dyDescent="0.35">
      <c r="AQ756" s="54"/>
      <c r="BA756" s="54"/>
    </row>
    <row r="757" spans="43:53" x14ac:dyDescent="0.35">
      <c r="AQ757" s="54"/>
      <c r="BA757" s="54"/>
    </row>
    <row r="758" spans="43:53" x14ac:dyDescent="0.35">
      <c r="AQ758" s="54"/>
      <c r="BA758" s="54"/>
    </row>
    <row r="759" spans="43:53" x14ac:dyDescent="0.35">
      <c r="AQ759" s="54"/>
      <c r="BA759" s="54"/>
    </row>
    <row r="760" spans="43:53" x14ac:dyDescent="0.35">
      <c r="AQ760" s="54"/>
      <c r="BA760" s="54"/>
    </row>
    <row r="761" spans="43:53" x14ac:dyDescent="0.35">
      <c r="AQ761" s="54"/>
      <c r="BA761" s="54"/>
    </row>
    <row r="762" spans="43:53" x14ac:dyDescent="0.35">
      <c r="AQ762" s="54"/>
      <c r="BA762" s="54"/>
    </row>
    <row r="763" spans="43:53" x14ac:dyDescent="0.35">
      <c r="AQ763" s="54"/>
      <c r="BA763" s="54"/>
    </row>
    <row r="764" spans="43:53" x14ac:dyDescent="0.35">
      <c r="AQ764" s="54"/>
      <c r="BA764" s="54"/>
    </row>
    <row r="765" spans="43:53" x14ac:dyDescent="0.35">
      <c r="AQ765" s="54"/>
      <c r="BA765" s="54"/>
    </row>
    <row r="766" spans="43:53" x14ac:dyDescent="0.35">
      <c r="AQ766" s="54"/>
      <c r="BA766" s="54"/>
    </row>
    <row r="767" spans="43:53" x14ac:dyDescent="0.35">
      <c r="AQ767" s="54"/>
      <c r="BA767" s="54"/>
    </row>
    <row r="768" spans="43:53" x14ac:dyDescent="0.35">
      <c r="AQ768" s="54"/>
      <c r="BA768" s="54"/>
    </row>
    <row r="769" spans="43:53" x14ac:dyDescent="0.35">
      <c r="AQ769" s="54"/>
      <c r="BA769" s="54"/>
    </row>
    <row r="770" spans="43:53" x14ac:dyDescent="0.35">
      <c r="AQ770" s="54"/>
      <c r="BA770" s="54"/>
    </row>
    <row r="771" spans="43:53" x14ac:dyDescent="0.35">
      <c r="AQ771" s="54"/>
      <c r="BA771" s="54"/>
    </row>
    <row r="772" spans="43:53" x14ac:dyDescent="0.35">
      <c r="AQ772" s="54"/>
      <c r="BA772" s="54"/>
    </row>
    <row r="773" spans="43:53" x14ac:dyDescent="0.35">
      <c r="AQ773" s="54"/>
      <c r="BA773" s="54"/>
    </row>
    <row r="774" spans="43:53" x14ac:dyDescent="0.35">
      <c r="AQ774" s="54"/>
      <c r="BA774" s="54"/>
    </row>
    <row r="775" spans="43:53" x14ac:dyDescent="0.35">
      <c r="AQ775" s="54"/>
      <c r="BA775" s="54"/>
    </row>
    <row r="776" spans="43:53" x14ac:dyDescent="0.35">
      <c r="AQ776" s="54"/>
      <c r="BA776" s="54"/>
    </row>
    <row r="777" spans="43:53" x14ac:dyDescent="0.35">
      <c r="AQ777" s="54"/>
      <c r="BA777" s="54"/>
    </row>
    <row r="778" spans="43:53" x14ac:dyDescent="0.35">
      <c r="AQ778" s="54"/>
      <c r="BA778" s="54"/>
    </row>
    <row r="779" spans="43:53" x14ac:dyDescent="0.35">
      <c r="AQ779" s="54"/>
      <c r="BA779" s="54"/>
    </row>
    <row r="780" spans="43:53" x14ac:dyDescent="0.35">
      <c r="AQ780" s="54"/>
      <c r="BA780" s="54"/>
    </row>
    <row r="781" spans="43:53" x14ac:dyDescent="0.35">
      <c r="AQ781" s="54"/>
      <c r="BA781" s="54"/>
    </row>
    <row r="782" spans="43:53" x14ac:dyDescent="0.35">
      <c r="AQ782" s="54"/>
      <c r="BA782" s="54"/>
    </row>
    <row r="783" spans="43:53" x14ac:dyDescent="0.35">
      <c r="AQ783" s="54"/>
      <c r="BA783" s="54"/>
    </row>
    <row r="784" spans="43:53" x14ac:dyDescent="0.35">
      <c r="AQ784" s="54"/>
      <c r="BA784" s="54"/>
    </row>
    <row r="785" spans="43:53" x14ac:dyDescent="0.35">
      <c r="AQ785" s="54"/>
      <c r="BA785" s="54"/>
    </row>
    <row r="786" spans="43:53" x14ac:dyDescent="0.35">
      <c r="AQ786" s="54"/>
      <c r="BA786" s="54"/>
    </row>
    <row r="787" spans="43:53" x14ac:dyDescent="0.35">
      <c r="AQ787" s="54"/>
      <c r="BA787" s="54"/>
    </row>
    <row r="788" spans="43:53" x14ac:dyDescent="0.35">
      <c r="AQ788" s="54"/>
      <c r="BA788" s="54"/>
    </row>
    <row r="789" spans="43:53" x14ac:dyDescent="0.35">
      <c r="AQ789" s="54"/>
      <c r="BA789" s="54"/>
    </row>
    <row r="790" spans="43:53" x14ac:dyDescent="0.35">
      <c r="AQ790" s="54"/>
      <c r="BA790" s="54"/>
    </row>
    <row r="791" spans="43:53" x14ac:dyDescent="0.35">
      <c r="AQ791" s="54"/>
      <c r="BA791" s="54"/>
    </row>
    <row r="792" spans="43:53" x14ac:dyDescent="0.35">
      <c r="AQ792" s="54"/>
      <c r="BA792" s="54"/>
    </row>
    <row r="793" spans="43:53" x14ac:dyDescent="0.35">
      <c r="AQ793" s="54"/>
      <c r="BA793" s="54"/>
    </row>
    <row r="794" spans="43:53" x14ac:dyDescent="0.35">
      <c r="AQ794" s="54"/>
      <c r="BA794" s="54"/>
    </row>
    <row r="795" spans="43:53" x14ac:dyDescent="0.35">
      <c r="AQ795" s="54"/>
      <c r="BA795" s="54"/>
    </row>
    <row r="796" spans="43:53" x14ac:dyDescent="0.35">
      <c r="AQ796" s="54"/>
      <c r="BA796" s="54"/>
    </row>
    <row r="797" spans="43:53" x14ac:dyDescent="0.35">
      <c r="AQ797" s="54"/>
      <c r="BA797" s="54"/>
    </row>
    <row r="798" spans="43:53" x14ac:dyDescent="0.35">
      <c r="AQ798" s="54"/>
      <c r="BA798" s="54"/>
    </row>
    <row r="799" spans="43:53" x14ac:dyDescent="0.35">
      <c r="AQ799" s="54"/>
      <c r="BA799" s="54"/>
    </row>
    <row r="800" spans="43:53" x14ac:dyDescent="0.35">
      <c r="AQ800" s="54"/>
      <c r="BA800" s="54"/>
    </row>
    <row r="801" spans="43:53" x14ac:dyDescent="0.35">
      <c r="AQ801" s="54"/>
      <c r="BA801" s="54"/>
    </row>
    <row r="802" spans="43:53" x14ac:dyDescent="0.35">
      <c r="AQ802" s="54"/>
      <c r="BA802" s="54"/>
    </row>
    <row r="803" spans="43:53" x14ac:dyDescent="0.35">
      <c r="AQ803" s="54"/>
      <c r="BA803" s="54"/>
    </row>
    <row r="804" spans="43:53" x14ac:dyDescent="0.35">
      <c r="AQ804" s="54"/>
      <c r="BA804" s="54"/>
    </row>
    <row r="805" spans="43:53" x14ac:dyDescent="0.35">
      <c r="AQ805" s="54"/>
      <c r="BA805" s="54"/>
    </row>
    <row r="806" spans="43:53" x14ac:dyDescent="0.35">
      <c r="AQ806" s="54"/>
      <c r="BA806" s="54"/>
    </row>
    <row r="807" spans="43:53" x14ac:dyDescent="0.35">
      <c r="AQ807" s="54"/>
      <c r="BA807" s="54"/>
    </row>
    <row r="808" spans="43:53" x14ac:dyDescent="0.35">
      <c r="AQ808" s="54"/>
      <c r="BA808" s="54"/>
    </row>
    <row r="809" spans="43:53" x14ac:dyDescent="0.35">
      <c r="AQ809" s="54"/>
      <c r="BA809" s="54"/>
    </row>
    <row r="810" spans="43:53" x14ac:dyDescent="0.35">
      <c r="AQ810" s="54"/>
      <c r="BA810" s="54"/>
    </row>
    <row r="811" spans="43:53" x14ac:dyDescent="0.35">
      <c r="AQ811" s="54"/>
      <c r="BA811" s="54"/>
    </row>
    <row r="812" spans="43:53" x14ac:dyDescent="0.35">
      <c r="AQ812" s="54"/>
      <c r="BA812" s="54"/>
    </row>
    <row r="813" spans="43:53" x14ac:dyDescent="0.35">
      <c r="AQ813" s="54"/>
      <c r="BA813" s="54"/>
    </row>
    <row r="814" spans="43:53" x14ac:dyDescent="0.35">
      <c r="AQ814" s="54"/>
      <c r="BA814" s="54"/>
    </row>
    <row r="815" spans="43:53" x14ac:dyDescent="0.35">
      <c r="AQ815" s="54"/>
      <c r="BA815" s="54"/>
    </row>
    <row r="816" spans="43:53" x14ac:dyDescent="0.35">
      <c r="AQ816" s="54"/>
      <c r="BA816" s="54"/>
    </row>
    <row r="817" spans="43:53" x14ac:dyDescent="0.35">
      <c r="AQ817" s="54"/>
      <c r="BA817" s="54"/>
    </row>
    <row r="818" spans="43:53" x14ac:dyDescent="0.35">
      <c r="AQ818" s="54"/>
      <c r="BA818" s="54"/>
    </row>
    <row r="819" spans="43:53" x14ac:dyDescent="0.35">
      <c r="AQ819" s="54"/>
      <c r="BA819" s="54"/>
    </row>
    <row r="820" spans="43:53" x14ac:dyDescent="0.35">
      <c r="AQ820" s="54"/>
      <c r="BA820" s="54"/>
    </row>
    <row r="821" spans="43:53" x14ac:dyDescent="0.35">
      <c r="AQ821" s="54"/>
      <c r="BA821" s="54"/>
    </row>
    <row r="822" spans="43:53" x14ac:dyDescent="0.35">
      <c r="AQ822" s="54"/>
      <c r="BA822" s="54"/>
    </row>
    <row r="823" spans="43:53" x14ac:dyDescent="0.35">
      <c r="AQ823" s="54"/>
      <c r="BA823" s="54"/>
    </row>
    <row r="824" spans="43:53" x14ac:dyDescent="0.35">
      <c r="AQ824" s="54"/>
      <c r="BA824" s="54"/>
    </row>
    <row r="825" spans="43:53" x14ac:dyDescent="0.35">
      <c r="AQ825" s="54"/>
      <c r="BA825" s="54"/>
    </row>
    <row r="826" spans="43:53" x14ac:dyDescent="0.35">
      <c r="AQ826" s="54"/>
      <c r="BA826" s="54"/>
    </row>
    <row r="827" spans="43:53" x14ac:dyDescent="0.35">
      <c r="AQ827" s="54"/>
      <c r="BA827" s="54"/>
    </row>
    <row r="828" spans="43:53" x14ac:dyDescent="0.35">
      <c r="AQ828" s="54"/>
      <c r="BA828" s="54"/>
    </row>
    <row r="829" spans="43:53" x14ac:dyDescent="0.35">
      <c r="AQ829" s="54"/>
      <c r="BA829" s="54"/>
    </row>
    <row r="830" spans="43:53" x14ac:dyDescent="0.35">
      <c r="AQ830" s="54"/>
      <c r="BA830" s="54"/>
    </row>
    <row r="831" spans="43:53" x14ac:dyDescent="0.35">
      <c r="AQ831" s="54"/>
      <c r="BA831" s="54"/>
    </row>
    <row r="832" spans="43:53" x14ac:dyDescent="0.35">
      <c r="AQ832" s="54"/>
      <c r="BA832" s="54"/>
    </row>
    <row r="833" spans="43:53" x14ac:dyDescent="0.35">
      <c r="AQ833" s="54"/>
      <c r="BA833" s="54"/>
    </row>
    <row r="834" spans="43:53" x14ac:dyDescent="0.35">
      <c r="AQ834" s="54"/>
      <c r="BA834" s="54"/>
    </row>
    <row r="835" spans="43:53" x14ac:dyDescent="0.35">
      <c r="AQ835" s="54"/>
      <c r="BA835" s="54"/>
    </row>
    <row r="836" spans="43:53" x14ac:dyDescent="0.35">
      <c r="AQ836" s="54"/>
      <c r="BA836" s="54"/>
    </row>
    <row r="837" spans="43:53" x14ac:dyDescent="0.35">
      <c r="AQ837" s="54"/>
      <c r="BA837" s="54"/>
    </row>
    <row r="838" spans="43:53" x14ac:dyDescent="0.35">
      <c r="AQ838" s="54"/>
      <c r="BA838" s="54"/>
    </row>
    <row r="839" spans="43:53" x14ac:dyDescent="0.35">
      <c r="AQ839" s="54"/>
      <c r="BA839" s="54"/>
    </row>
    <row r="840" spans="43:53" x14ac:dyDescent="0.35">
      <c r="AQ840" s="54"/>
      <c r="BA840" s="54"/>
    </row>
    <row r="841" spans="43:53" x14ac:dyDescent="0.35">
      <c r="AQ841" s="54"/>
      <c r="BA841" s="54"/>
    </row>
    <row r="842" spans="43:53" x14ac:dyDescent="0.35">
      <c r="AQ842" s="54"/>
      <c r="BA842" s="54"/>
    </row>
    <row r="843" spans="43:53" x14ac:dyDescent="0.35">
      <c r="AQ843" s="54"/>
      <c r="BA843" s="54"/>
    </row>
    <row r="844" spans="43:53" x14ac:dyDescent="0.35">
      <c r="AQ844" s="54"/>
      <c r="BA844" s="54"/>
    </row>
    <row r="845" spans="43:53" x14ac:dyDescent="0.35">
      <c r="AQ845" s="54"/>
      <c r="BA845" s="54"/>
    </row>
    <row r="846" spans="43:53" x14ac:dyDescent="0.35">
      <c r="AQ846" s="54"/>
      <c r="BA846" s="54"/>
    </row>
    <row r="847" spans="43:53" x14ac:dyDescent="0.35">
      <c r="AQ847" s="54"/>
      <c r="BA847" s="54"/>
    </row>
    <row r="848" spans="43:53" x14ac:dyDescent="0.35">
      <c r="AQ848" s="54"/>
      <c r="BA848" s="54"/>
    </row>
    <row r="849" spans="43:53" x14ac:dyDescent="0.35">
      <c r="AQ849" s="54"/>
      <c r="BA849" s="54"/>
    </row>
    <row r="850" spans="43:53" x14ac:dyDescent="0.35">
      <c r="AQ850" s="54"/>
      <c r="BA850" s="54"/>
    </row>
    <row r="851" spans="43:53" x14ac:dyDescent="0.35">
      <c r="AQ851" s="54"/>
      <c r="BA851" s="54"/>
    </row>
    <row r="852" spans="43:53" x14ac:dyDescent="0.35">
      <c r="AQ852" s="54"/>
      <c r="BA852" s="54"/>
    </row>
    <row r="853" spans="43:53" x14ac:dyDescent="0.35">
      <c r="AQ853" s="54"/>
      <c r="BA853" s="54"/>
    </row>
    <row r="854" spans="43:53" x14ac:dyDescent="0.35">
      <c r="AQ854" s="54"/>
      <c r="BA854" s="54"/>
    </row>
    <row r="855" spans="43:53" x14ac:dyDescent="0.35">
      <c r="AQ855" s="54"/>
      <c r="BA855" s="54"/>
    </row>
    <row r="856" spans="43:53" x14ac:dyDescent="0.35">
      <c r="AQ856" s="54"/>
      <c r="BA856" s="54"/>
    </row>
    <row r="857" spans="43:53" x14ac:dyDescent="0.35">
      <c r="AQ857" s="54"/>
      <c r="BA857" s="54"/>
    </row>
    <row r="858" spans="43:53" x14ac:dyDescent="0.35">
      <c r="AQ858" s="54"/>
      <c r="BA858" s="54"/>
    </row>
    <row r="859" spans="43:53" x14ac:dyDescent="0.35">
      <c r="AQ859" s="54"/>
      <c r="BA859" s="54"/>
    </row>
    <row r="860" spans="43:53" x14ac:dyDescent="0.35">
      <c r="AQ860" s="54"/>
      <c r="BA860" s="54"/>
    </row>
    <row r="861" spans="43:53" x14ac:dyDescent="0.35">
      <c r="AQ861" s="54"/>
      <c r="BA861" s="54"/>
    </row>
    <row r="862" spans="43:53" x14ac:dyDescent="0.35">
      <c r="AQ862" s="54"/>
      <c r="BA862" s="54"/>
    </row>
    <row r="863" spans="43:53" x14ac:dyDescent="0.35">
      <c r="AQ863" s="54"/>
      <c r="BA863" s="54"/>
    </row>
    <row r="864" spans="43:53" x14ac:dyDescent="0.35">
      <c r="AQ864" s="54"/>
      <c r="BA864" s="54"/>
    </row>
    <row r="865" spans="43:53" x14ac:dyDescent="0.35">
      <c r="AQ865" s="54"/>
      <c r="BA865" s="54"/>
    </row>
    <row r="866" spans="43:53" x14ac:dyDescent="0.35">
      <c r="AQ866" s="54"/>
      <c r="BA866" s="54"/>
    </row>
    <row r="867" spans="43:53" x14ac:dyDescent="0.35">
      <c r="AQ867" s="54"/>
      <c r="BA867" s="54"/>
    </row>
    <row r="868" spans="43:53" x14ac:dyDescent="0.35">
      <c r="AQ868" s="54"/>
      <c r="BA868" s="54"/>
    </row>
    <row r="869" spans="43:53" x14ac:dyDescent="0.35">
      <c r="AQ869" s="54"/>
      <c r="BA869" s="54"/>
    </row>
    <row r="870" spans="43:53" x14ac:dyDescent="0.35">
      <c r="AQ870" s="54"/>
      <c r="BA870" s="54"/>
    </row>
    <row r="871" spans="43:53" x14ac:dyDescent="0.35">
      <c r="AQ871" s="54"/>
      <c r="BA871" s="54"/>
    </row>
    <row r="872" spans="43:53" x14ac:dyDescent="0.35">
      <c r="AQ872" s="54"/>
      <c r="BA872" s="54"/>
    </row>
    <row r="873" spans="43:53" x14ac:dyDescent="0.35">
      <c r="AQ873" s="54"/>
      <c r="BA873" s="54"/>
    </row>
    <row r="874" spans="43:53" x14ac:dyDescent="0.35">
      <c r="AQ874" s="54"/>
      <c r="BA874" s="54"/>
    </row>
    <row r="875" spans="43:53" x14ac:dyDescent="0.35">
      <c r="AQ875" s="54"/>
      <c r="BA875" s="54"/>
    </row>
    <row r="876" spans="43:53" x14ac:dyDescent="0.35">
      <c r="AQ876" s="54"/>
      <c r="BA876" s="54"/>
    </row>
    <row r="877" spans="43:53" x14ac:dyDescent="0.35">
      <c r="AQ877" s="54"/>
      <c r="BA877" s="54"/>
    </row>
    <row r="878" spans="43:53" x14ac:dyDescent="0.35">
      <c r="AQ878" s="54"/>
      <c r="BA878" s="54"/>
    </row>
    <row r="879" spans="43:53" x14ac:dyDescent="0.35">
      <c r="AQ879" s="54"/>
      <c r="BA879" s="54"/>
    </row>
    <row r="880" spans="43:53" x14ac:dyDescent="0.35">
      <c r="AQ880" s="54"/>
      <c r="BA880" s="54"/>
    </row>
    <row r="881" spans="43:53" x14ac:dyDescent="0.35">
      <c r="AQ881" s="54"/>
      <c r="BA881" s="54"/>
    </row>
    <row r="882" spans="43:53" x14ac:dyDescent="0.35">
      <c r="AQ882" s="54"/>
      <c r="BA882" s="54"/>
    </row>
    <row r="883" spans="43:53" x14ac:dyDescent="0.35">
      <c r="AQ883" s="54"/>
      <c r="BA883" s="54"/>
    </row>
    <row r="884" spans="43:53" x14ac:dyDescent="0.35">
      <c r="AQ884" s="54"/>
      <c r="BA884" s="54"/>
    </row>
    <row r="885" spans="43:53" x14ac:dyDescent="0.35">
      <c r="AQ885" s="54"/>
      <c r="BA885" s="54"/>
    </row>
    <row r="886" spans="43:53" x14ac:dyDescent="0.35">
      <c r="AQ886" s="54"/>
      <c r="BA886" s="54"/>
    </row>
    <row r="887" spans="43:53" x14ac:dyDescent="0.35">
      <c r="AQ887" s="54"/>
      <c r="BA887" s="54"/>
    </row>
    <row r="888" spans="43:53" x14ac:dyDescent="0.35">
      <c r="AQ888" s="54"/>
      <c r="BA888" s="54"/>
    </row>
    <row r="889" spans="43:53" x14ac:dyDescent="0.35">
      <c r="AQ889" s="54"/>
      <c r="BA889" s="54"/>
    </row>
    <row r="890" spans="43:53" x14ac:dyDescent="0.35">
      <c r="AQ890" s="54"/>
      <c r="BA890" s="54"/>
    </row>
    <row r="891" spans="43:53" x14ac:dyDescent="0.35">
      <c r="AQ891" s="54"/>
      <c r="BA891" s="54"/>
    </row>
    <row r="892" spans="43:53" x14ac:dyDescent="0.35">
      <c r="AQ892" s="54"/>
      <c r="BA892" s="54"/>
    </row>
    <row r="893" spans="43:53" x14ac:dyDescent="0.35">
      <c r="AQ893" s="54"/>
      <c r="BA893" s="54"/>
    </row>
    <row r="894" spans="43:53" x14ac:dyDescent="0.35">
      <c r="AQ894" s="54"/>
      <c r="BA894" s="54"/>
    </row>
    <row r="895" spans="43:53" x14ac:dyDescent="0.35">
      <c r="AQ895" s="54"/>
      <c r="BA895" s="54"/>
    </row>
    <row r="896" spans="43:53" x14ac:dyDescent="0.35">
      <c r="AQ896" s="54"/>
      <c r="BA896" s="54"/>
    </row>
    <row r="897" spans="43:53" x14ac:dyDescent="0.35">
      <c r="AQ897" s="54"/>
      <c r="BA897" s="54"/>
    </row>
    <row r="898" spans="43:53" x14ac:dyDescent="0.35">
      <c r="AQ898" s="54"/>
      <c r="BA898" s="54"/>
    </row>
    <row r="899" spans="43:53" x14ac:dyDescent="0.35">
      <c r="AQ899" s="54"/>
      <c r="BA899" s="54"/>
    </row>
    <row r="900" spans="43:53" x14ac:dyDescent="0.35">
      <c r="AQ900" s="54"/>
      <c r="BA900" s="54"/>
    </row>
    <row r="901" spans="43:53" x14ac:dyDescent="0.35">
      <c r="AQ901" s="54"/>
      <c r="BA901" s="54"/>
    </row>
    <row r="902" spans="43:53" x14ac:dyDescent="0.35">
      <c r="AQ902" s="54"/>
      <c r="BA902" s="54"/>
    </row>
    <row r="903" spans="43:53" x14ac:dyDescent="0.35">
      <c r="AQ903" s="54"/>
      <c r="BA903" s="54"/>
    </row>
    <row r="904" spans="43:53" x14ac:dyDescent="0.35">
      <c r="AQ904" s="54"/>
      <c r="BA904" s="54"/>
    </row>
    <row r="905" spans="43:53" x14ac:dyDescent="0.35">
      <c r="AQ905" s="54"/>
      <c r="BA905" s="54"/>
    </row>
    <row r="906" spans="43:53" x14ac:dyDescent="0.35">
      <c r="AQ906" s="54"/>
      <c r="BA906" s="54"/>
    </row>
    <row r="907" spans="43:53" x14ac:dyDescent="0.35">
      <c r="AQ907" s="54"/>
      <c r="BA907" s="54"/>
    </row>
    <row r="908" spans="43:53" x14ac:dyDescent="0.35">
      <c r="AQ908" s="54"/>
      <c r="BA908" s="54"/>
    </row>
    <row r="909" spans="43:53" x14ac:dyDescent="0.35">
      <c r="AQ909" s="54"/>
      <c r="BA909" s="54"/>
    </row>
    <row r="910" spans="43:53" x14ac:dyDescent="0.35">
      <c r="AQ910" s="54"/>
      <c r="BA910" s="54"/>
    </row>
    <row r="911" spans="43:53" x14ac:dyDescent="0.35">
      <c r="AQ911" s="54"/>
      <c r="BA911" s="54"/>
    </row>
    <row r="912" spans="43:53" x14ac:dyDescent="0.35">
      <c r="AQ912" s="54"/>
      <c r="BA912" s="54"/>
    </row>
    <row r="913" spans="43:53" x14ac:dyDescent="0.35">
      <c r="AQ913" s="54"/>
      <c r="BA913" s="54"/>
    </row>
    <row r="914" spans="43:53" x14ac:dyDescent="0.35">
      <c r="AQ914" s="54"/>
      <c r="BA914" s="54"/>
    </row>
    <row r="915" spans="43:53" x14ac:dyDescent="0.35">
      <c r="AQ915" s="54"/>
      <c r="BA915" s="54"/>
    </row>
    <row r="916" spans="43:53" x14ac:dyDescent="0.35">
      <c r="AQ916" s="54"/>
      <c r="BA916" s="54"/>
    </row>
    <row r="917" spans="43:53" x14ac:dyDescent="0.35">
      <c r="AQ917" s="54"/>
      <c r="BA917" s="54"/>
    </row>
    <row r="918" spans="43:53" x14ac:dyDescent="0.35">
      <c r="AQ918" s="54"/>
      <c r="BA918" s="54"/>
    </row>
    <row r="919" spans="43:53" x14ac:dyDescent="0.35">
      <c r="AQ919" s="54"/>
      <c r="BA919" s="54"/>
    </row>
    <row r="920" spans="43:53" x14ac:dyDescent="0.35">
      <c r="AQ920" s="54"/>
      <c r="BA920" s="54"/>
    </row>
    <row r="921" spans="43:53" x14ac:dyDescent="0.35">
      <c r="AQ921" s="54"/>
      <c r="BA921" s="54"/>
    </row>
    <row r="922" spans="43:53" x14ac:dyDescent="0.35">
      <c r="AQ922" s="54"/>
      <c r="BA922" s="54"/>
    </row>
    <row r="923" spans="43:53" x14ac:dyDescent="0.35">
      <c r="AQ923" s="54"/>
      <c r="BA923" s="54"/>
    </row>
    <row r="924" spans="43:53" x14ac:dyDescent="0.35">
      <c r="AQ924" s="54"/>
      <c r="BA924" s="54"/>
    </row>
    <row r="925" spans="43:53" x14ac:dyDescent="0.35">
      <c r="AQ925" s="54"/>
      <c r="BA925" s="54"/>
    </row>
    <row r="926" spans="43:53" x14ac:dyDescent="0.35">
      <c r="AQ926" s="54"/>
      <c r="BA926" s="54"/>
    </row>
    <row r="927" spans="43:53" x14ac:dyDescent="0.35">
      <c r="AQ927" s="54"/>
      <c r="BA927" s="54"/>
    </row>
    <row r="928" spans="43:53" x14ac:dyDescent="0.35">
      <c r="AQ928" s="54"/>
      <c r="BA928" s="54"/>
    </row>
    <row r="929" spans="43:53" x14ac:dyDescent="0.35">
      <c r="AQ929" s="54"/>
      <c r="BA929" s="54"/>
    </row>
    <row r="930" spans="43:53" x14ac:dyDescent="0.35">
      <c r="AQ930" s="54"/>
      <c r="BA930" s="54"/>
    </row>
    <row r="931" spans="43:53" x14ac:dyDescent="0.35">
      <c r="AQ931" s="54"/>
      <c r="BA931" s="54"/>
    </row>
    <row r="932" spans="43:53" x14ac:dyDescent="0.35">
      <c r="AQ932" s="54"/>
      <c r="BA932" s="54"/>
    </row>
    <row r="933" spans="43:53" x14ac:dyDescent="0.35">
      <c r="AQ933" s="54"/>
      <c r="BA933" s="54"/>
    </row>
    <row r="934" spans="43:53" x14ac:dyDescent="0.35">
      <c r="AQ934" s="54"/>
      <c r="BA934" s="54"/>
    </row>
    <row r="935" spans="43:53" x14ac:dyDescent="0.35">
      <c r="AQ935" s="54"/>
      <c r="BA935" s="54"/>
    </row>
    <row r="936" spans="43:53" x14ac:dyDescent="0.35">
      <c r="AQ936" s="54"/>
      <c r="BA936" s="54"/>
    </row>
    <row r="937" spans="43:53" x14ac:dyDescent="0.35">
      <c r="AQ937" s="54"/>
      <c r="BA937" s="54"/>
    </row>
    <row r="938" spans="43:53" x14ac:dyDescent="0.35">
      <c r="AQ938" s="54"/>
      <c r="BA938" s="54"/>
    </row>
    <row r="939" spans="43:53" x14ac:dyDescent="0.35">
      <c r="AQ939" s="54"/>
      <c r="BA939" s="54"/>
    </row>
    <row r="940" spans="43:53" x14ac:dyDescent="0.35">
      <c r="AQ940" s="54"/>
      <c r="BA940" s="54"/>
    </row>
    <row r="941" spans="43:53" x14ac:dyDescent="0.35">
      <c r="AQ941" s="54"/>
      <c r="BA941" s="54"/>
    </row>
    <row r="942" spans="43:53" x14ac:dyDescent="0.35">
      <c r="AQ942" s="54"/>
      <c r="BA942" s="54"/>
    </row>
    <row r="943" spans="43:53" x14ac:dyDescent="0.35">
      <c r="AQ943" s="54"/>
      <c r="BA943" s="54"/>
    </row>
    <row r="944" spans="43:53" x14ac:dyDescent="0.35">
      <c r="AQ944" s="54"/>
      <c r="BA944" s="54"/>
    </row>
    <row r="945" spans="43:53" x14ac:dyDescent="0.35">
      <c r="AQ945" s="54"/>
      <c r="BA945" s="54"/>
    </row>
    <row r="946" spans="43:53" x14ac:dyDescent="0.35">
      <c r="AQ946" s="54"/>
      <c r="BA946" s="54"/>
    </row>
    <row r="947" spans="43:53" x14ac:dyDescent="0.35">
      <c r="AQ947" s="54"/>
      <c r="BA947" s="54"/>
    </row>
    <row r="948" spans="43:53" x14ac:dyDescent="0.35">
      <c r="AQ948" s="54"/>
      <c r="BA948" s="54"/>
    </row>
    <row r="949" spans="43:53" x14ac:dyDescent="0.35">
      <c r="AQ949" s="54"/>
      <c r="BA949" s="54"/>
    </row>
    <row r="950" spans="43:53" x14ac:dyDescent="0.35">
      <c r="AQ950" s="54"/>
      <c r="BA950" s="54"/>
    </row>
    <row r="951" spans="43:53" x14ac:dyDescent="0.35">
      <c r="AQ951" s="54"/>
      <c r="BA951" s="54"/>
    </row>
    <row r="952" spans="43:53" x14ac:dyDescent="0.35">
      <c r="AQ952" s="54"/>
      <c r="BA952" s="54"/>
    </row>
    <row r="953" spans="43:53" x14ac:dyDescent="0.35">
      <c r="AQ953" s="54"/>
      <c r="BA953" s="54"/>
    </row>
    <row r="954" spans="43:53" x14ac:dyDescent="0.35">
      <c r="AQ954" s="54"/>
      <c r="BA954" s="54"/>
    </row>
    <row r="955" spans="43:53" x14ac:dyDescent="0.35">
      <c r="AQ955" s="54"/>
      <c r="BA955" s="54"/>
    </row>
    <row r="956" spans="43:53" x14ac:dyDescent="0.35">
      <c r="AQ956" s="54"/>
      <c r="BA956" s="54"/>
    </row>
    <row r="957" spans="43:53" x14ac:dyDescent="0.35">
      <c r="AQ957" s="54"/>
      <c r="BA957" s="54"/>
    </row>
    <row r="958" spans="43:53" x14ac:dyDescent="0.35">
      <c r="AQ958" s="54"/>
      <c r="BA958" s="54"/>
    </row>
    <row r="959" spans="43:53" x14ac:dyDescent="0.35">
      <c r="AQ959" s="54"/>
      <c r="BA959" s="54"/>
    </row>
    <row r="960" spans="43:53" x14ac:dyDescent="0.35">
      <c r="AQ960" s="54"/>
      <c r="BA960" s="54"/>
    </row>
    <row r="961" spans="43:53" x14ac:dyDescent="0.35">
      <c r="AQ961" s="54"/>
      <c r="BA961" s="54"/>
    </row>
    <row r="962" spans="43:53" x14ac:dyDescent="0.35">
      <c r="AQ962" s="54"/>
      <c r="BA962" s="54"/>
    </row>
    <row r="963" spans="43:53" x14ac:dyDescent="0.35">
      <c r="AQ963" s="54"/>
      <c r="BA963" s="54"/>
    </row>
    <row r="964" spans="43:53" x14ac:dyDescent="0.35">
      <c r="AQ964" s="54"/>
      <c r="BA964" s="54"/>
    </row>
    <row r="965" spans="43:53" x14ac:dyDescent="0.35">
      <c r="AQ965" s="54"/>
      <c r="BA965" s="54"/>
    </row>
    <row r="966" spans="43:53" x14ac:dyDescent="0.35">
      <c r="AQ966" s="54"/>
      <c r="BA966" s="54"/>
    </row>
    <row r="967" spans="43:53" x14ac:dyDescent="0.35">
      <c r="AQ967" s="54"/>
      <c r="BA967" s="54"/>
    </row>
    <row r="968" spans="43:53" x14ac:dyDescent="0.35">
      <c r="AQ968" s="54"/>
      <c r="BA968" s="54"/>
    </row>
    <row r="969" spans="43:53" x14ac:dyDescent="0.35">
      <c r="AQ969" s="54"/>
      <c r="BA969" s="54"/>
    </row>
    <row r="970" spans="43:53" x14ac:dyDescent="0.35">
      <c r="AQ970" s="54"/>
      <c r="BA970" s="54"/>
    </row>
    <row r="971" spans="43:53" x14ac:dyDescent="0.35">
      <c r="AQ971" s="54"/>
      <c r="BA971" s="54"/>
    </row>
    <row r="972" spans="43:53" x14ac:dyDescent="0.35">
      <c r="AQ972" s="54"/>
      <c r="BA972" s="54"/>
    </row>
    <row r="973" spans="43:53" x14ac:dyDescent="0.35">
      <c r="AQ973" s="54"/>
      <c r="BA973" s="54"/>
    </row>
    <row r="974" spans="43:53" x14ac:dyDescent="0.35">
      <c r="AQ974" s="54"/>
      <c r="BA974" s="54"/>
    </row>
    <row r="975" spans="43:53" x14ac:dyDescent="0.35">
      <c r="AQ975" s="54"/>
      <c r="BA975" s="54"/>
    </row>
    <row r="976" spans="43:53" x14ac:dyDescent="0.35">
      <c r="AQ976" s="54"/>
      <c r="BA976" s="54"/>
    </row>
    <row r="977" spans="43:53" x14ac:dyDescent="0.35">
      <c r="AQ977" s="54"/>
      <c r="BA977" s="54"/>
    </row>
    <row r="978" spans="43:53" x14ac:dyDescent="0.35">
      <c r="AQ978" s="54"/>
      <c r="BA978" s="54"/>
    </row>
    <row r="979" spans="43:53" x14ac:dyDescent="0.35">
      <c r="AQ979" s="54"/>
      <c r="BA979" s="54"/>
    </row>
    <row r="980" spans="43:53" x14ac:dyDescent="0.35">
      <c r="AQ980" s="54"/>
      <c r="BA980" s="54"/>
    </row>
    <row r="981" spans="43:53" x14ac:dyDescent="0.35">
      <c r="AQ981" s="54"/>
      <c r="BA981" s="54"/>
    </row>
    <row r="982" spans="43:53" x14ac:dyDescent="0.35">
      <c r="AQ982" s="54"/>
      <c r="BA982" s="54"/>
    </row>
    <row r="983" spans="43:53" x14ac:dyDescent="0.35">
      <c r="AQ983" s="54"/>
      <c r="BA983" s="54"/>
    </row>
    <row r="984" spans="43:53" x14ac:dyDescent="0.35">
      <c r="AQ984" s="54"/>
      <c r="BA984" s="54"/>
    </row>
    <row r="985" spans="43:53" x14ac:dyDescent="0.35">
      <c r="AQ985" s="54"/>
      <c r="BA985" s="54"/>
    </row>
    <row r="986" spans="43:53" x14ac:dyDescent="0.35">
      <c r="AQ986" s="54"/>
      <c r="BA986" s="54"/>
    </row>
    <row r="987" spans="43:53" x14ac:dyDescent="0.35">
      <c r="AQ987" s="54"/>
      <c r="BA987" s="54"/>
    </row>
    <row r="988" spans="43:53" x14ac:dyDescent="0.35">
      <c r="AQ988" s="54"/>
      <c r="BA988" s="54"/>
    </row>
    <row r="989" spans="43:53" x14ac:dyDescent="0.35">
      <c r="AQ989" s="54"/>
      <c r="BA989" s="54"/>
    </row>
    <row r="990" spans="43:53" x14ac:dyDescent="0.35">
      <c r="AQ990" s="54"/>
      <c r="BA990" s="54"/>
    </row>
    <row r="991" spans="43:53" x14ac:dyDescent="0.35">
      <c r="AQ991" s="54"/>
      <c r="BA991" s="54"/>
    </row>
    <row r="992" spans="43:53" x14ac:dyDescent="0.35">
      <c r="AQ992" s="54"/>
      <c r="BA992" s="54"/>
    </row>
    <row r="993" spans="43:53" x14ac:dyDescent="0.35">
      <c r="AQ993" s="54"/>
      <c r="BA993" s="54"/>
    </row>
    <row r="994" spans="43:53" x14ac:dyDescent="0.35">
      <c r="AQ994" s="54"/>
      <c r="BA994" s="54"/>
    </row>
    <row r="995" spans="43:53" x14ac:dyDescent="0.35">
      <c r="AQ995" s="54"/>
      <c r="BA995" s="54"/>
    </row>
    <row r="996" spans="43:53" x14ac:dyDescent="0.35">
      <c r="AQ996" s="54"/>
      <c r="BA996" s="54"/>
    </row>
    <row r="997" spans="43:53" x14ac:dyDescent="0.35">
      <c r="AQ997" s="54"/>
      <c r="BA997" s="54"/>
    </row>
    <row r="998" spans="43:53" x14ac:dyDescent="0.35">
      <c r="AQ998" s="54"/>
      <c r="BA998" s="54"/>
    </row>
    <row r="999" spans="43:53" x14ac:dyDescent="0.35">
      <c r="AQ999" s="54"/>
      <c r="BA999" s="54"/>
    </row>
    <row r="1000" spans="43:53" x14ac:dyDescent="0.35">
      <c r="AQ1000" s="54"/>
      <c r="BA1000" s="54"/>
    </row>
    <row r="1001" spans="43:53" x14ac:dyDescent="0.35">
      <c r="AQ1001" s="54"/>
      <c r="BA1001" s="54"/>
    </row>
    <row r="1002" spans="43:53" x14ac:dyDescent="0.35">
      <c r="AQ1002" s="54"/>
      <c r="BA1002" s="54"/>
    </row>
    <row r="1003" spans="43:53" x14ac:dyDescent="0.35">
      <c r="AQ1003" s="54"/>
      <c r="BA1003" s="54"/>
    </row>
    <row r="1004" spans="43:53" x14ac:dyDescent="0.35">
      <c r="AQ1004" s="54"/>
      <c r="BA1004" s="54"/>
    </row>
    <row r="1005" spans="43:53" x14ac:dyDescent="0.35">
      <c r="AQ1005" s="54"/>
      <c r="BA1005" s="54"/>
    </row>
    <row r="1006" spans="43:53" x14ac:dyDescent="0.35">
      <c r="AQ1006" s="54"/>
      <c r="BA1006" s="54"/>
    </row>
    <row r="1007" spans="43:53" x14ac:dyDescent="0.35">
      <c r="AQ1007" s="54"/>
      <c r="BA1007" s="54"/>
    </row>
    <row r="1008" spans="43:53" x14ac:dyDescent="0.35">
      <c r="AQ1008" s="54"/>
      <c r="BA1008" s="54"/>
    </row>
    <row r="1009" spans="43:53" x14ac:dyDescent="0.35">
      <c r="AQ1009" s="54"/>
      <c r="BA1009" s="54"/>
    </row>
    <row r="1010" spans="43:53" x14ac:dyDescent="0.35">
      <c r="AQ1010" s="54"/>
      <c r="BA1010" s="54"/>
    </row>
    <row r="1011" spans="43:53" x14ac:dyDescent="0.35">
      <c r="AQ1011" s="54"/>
      <c r="BA1011" s="54"/>
    </row>
    <row r="1012" spans="43:53" x14ac:dyDescent="0.35">
      <c r="AQ1012" s="54"/>
      <c r="BA1012" s="54"/>
    </row>
    <row r="1013" spans="43:53" x14ac:dyDescent="0.35">
      <c r="AQ1013" s="54"/>
      <c r="BA1013" s="54"/>
    </row>
    <row r="1014" spans="43:53" x14ac:dyDescent="0.35">
      <c r="AQ1014" s="54"/>
      <c r="BA1014" s="54"/>
    </row>
    <row r="1015" spans="43:53" x14ac:dyDescent="0.35">
      <c r="AQ1015" s="54"/>
      <c r="BA1015" s="54"/>
    </row>
    <row r="1016" spans="43:53" x14ac:dyDescent="0.35">
      <c r="AQ1016" s="54"/>
      <c r="BA1016" s="54"/>
    </row>
    <row r="1017" spans="43:53" x14ac:dyDescent="0.35">
      <c r="AQ1017" s="54"/>
      <c r="BA1017" s="54"/>
    </row>
    <row r="1018" spans="43:53" x14ac:dyDescent="0.35">
      <c r="AQ1018" s="54"/>
      <c r="BA1018" s="54"/>
    </row>
    <row r="1019" spans="43:53" x14ac:dyDescent="0.35">
      <c r="AQ1019" s="54"/>
      <c r="BA1019" s="54"/>
    </row>
    <row r="1020" spans="43:53" x14ac:dyDescent="0.35">
      <c r="AQ1020" s="54"/>
      <c r="BA1020" s="54"/>
    </row>
    <row r="1021" spans="43:53" x14ac:dyDescent="0.35">
      <c r="AQ1021" s="54"/>
      <c r="BA1021" s="54"/>
    </row>
    <row r="1022" spans="43:53" x14ac:dyDescent="0.35">
      <c r="AQ1022" s="54"/>
      <c r="BA1022" s="54"/>
    </row>
    <row r="1023" spans="43:53" x14ac:dyDescent="0.35">
      <c r="AQ1023" s="54"/>
      <c r="BA1023" s="54"/>
    </row>
    <row r="1024" spans="43:53" x14ac:dyDescent="0.35">
      <c r="AQ1024" s="54"/>
      <c r="BA1024" s="54"/>
    </row>
    <row r="1025" spans="43:53" x14ac:dyDescent="0.35">
      <c r="AQ1025" s="54"/>
      <c r="BA1025" s="54"/>
    </row>
    <row r="1026" spans="43:53" x14ac:dyDescent="0.35">
      <c r="AQ1026" s="54"/>
      <c r="BA1026" s="54"/>
    </row>
    <row r="1027" spans="43:53" x14ac:dyDescent="0.35">
      <c r="AQ1027" s="54"/>
      <c r="BA1027" s="54"/>
    </row>
    <row r="1028" spans="43:53" x14ac:dyDescent="0.35">
      <c r="AQ1028" s="54"/>
      <c r="BA1028" s="54"/>
    </row>
    <row r="1029" spans="43:53" x14ac:dyDescent="0.35">
      <c r="AQ1029" s="54"/>
      <c r="BA1029" s="54"/>
    </row>
    <row r="1030" spans="43:53" x14ac:dyDescent="0.35">
      <c r="AQ1030" s="54"/>
      <c r="BA1030" s="54"/>
    </row>
    <row r="1031" spans="43:53" x14ac:dyDescent="0.35">
      <c r="AQ1031" s="54"/>
      <c r="BA1031" s="54"/>
    </row>
    <row r="1032" spans="43:53" x14ac:dyDescent="0.35">
      <c r="AQ1032" s="54"/>
      <c r="BA1032" s="54"/>
    </row>
    <row r="1033" spans="43:53" x14ac:dyDescent="0.35">
      <c r="AQ1033" s="54"/>
      <c r="BA1033" s="54"/>
    </row>
    <row r="1034" spans="43:53" x14ac:dyDescent="0.35">
      <c r="AQ1034" s="54"/>
      <c r="BA1034" s="54"/>
    </row>
    <row r="1035" spans="43:53" x14ac:dyDescent="0.35">
      <c r="AQ1035" s="54"/>
      <c r="BA1035" s="54"/>
    </row>
    <row r="1036" spans="43:53" x14ac:dyDescent="0.35">
      <c r="AQ1036" s="54"/>
      <c r="BA1036" s="54"/>
    </row>
    <row r="1037" spans="43:53" x14ac:dyDescent="0.35">
      <c r="AQ1037" s="54"/>
      <c r="BA1037" s="54"/>
    </row>
    <row r="1038" spans="43:53" x14ac:dyDescent="0.35">
      <c r="AQ1038" s="54"/>
      <c r="BA1038" s="54"/>
    </row>
    <row r="1039" spans="43:53" x14ac:dyDescent="0.35">
      <c r="AQ1039" s="54"/>
      <c r="BA1039" s="54"/>
    </row>
    <row r="1040" spans="43:53" x14ac:dyDescent="0.35">
      <c r="AQ1040" s="54"/>
      <c r="BA1040" s="54"/>
    </row>
    <row r="1041" spans="43:53" x14ac:dyDescent="0.35">
      <c r="AQ1041" s="54"/>
      <c r="BA1041" s="54"/>
    </row>
    <row r="1042" spans="43:53" x14ac:dyDescent="0.35">
      <c r="AQ1042" s="54"/>
      <c r="BA1042" s="54"/>
    </row>
    <row r="1043" spans="43:53" x14ac:dyDescent="0.35">
      <c r="AQ1043" s="54"/>
      <c r="BA1043" s="54"/>
    </row>
    <row r="1044" spans="43:53" x14ac:dyDescent="0.35">
      <c r="AQ1044" s="54"/>
      <c r="BA1044" s="54"/>
    </row>
    <row r="1045" spans="43:53" x14ac:dyDescent="0.35">
      <c r="AQ1045" s="54"/>
      <c r="BA1045" s="54"/>
    </row>
    <row r="1046" spans="43:53" x14ac:dyDescent="0.35">
      <c r="AQ1046" s="54"/>
      <c r="BA1046" s="54"/>
    </row>
    <row r="1047" spans="43:53" x14ac:dyDescent="0.35">
      <c r="AQ1047" s="54"/>
      <c r="BA1047" s="54"/>
    </row>
    <row r="1048" spans="43:53" x14ac:dyDescent="0.35">
      <c r="AQ1048" s="54"/>
      <c r="BA1048" s="54"/>
    </row>
    <row r="1049" spans="43:53" x14ac:dyDescent="0.35">
      <c r="AQ1049" s="54"/>
      <c r="BA1049" s="54"/>
    </row>
    <row r="1050" spans="43:53" x14ac:dyDescent="0.35">
      <c r="AQ1050" s="54"/>
      <c r="BA1050" s="54"/>
    </row>
    <row r="1051" spans="43:53" x14ac:dyDescent="0.35">
      <c r="AQ1051" s="54"/>
      <c r="BA1051" s="54"/>
    </row>
    <row r="1052" spans="43:53" x14ac:dyDescent="0.35">
      <c r="AQ1052" s="54"/>
      <c r="BA1052" s="54"/>
    </row>
    <row r="1053" spans="43:53" x14ac:dyDescent="0.35">
      <c r="AQ1053" s="54"/>
      <c r="BA1053" s="54"/>
    </row>
    <row r="1054" spans="43:53" x14ac:dyDescent="0.35">
      <c r="AQ1054" s="54"/>
      <c r="BA1054" s="54"/>
    </row>
    <row r="1055" spans="43:53" x14ac:dyDescent="0.35">
      <c r="AQ1055" s="54"/>
      <c r="BA1055" s="54"/>
    </row>
    <row r="1056" spans="43:53" x14ac:dyDescent="0.35">
      <c r="AQ1056" s="54"/>
      <c r="BA1056" s="54"/>
    </row>
    <row r="1057" spans="43:53" x14ac:dyDescent="0.35">
      <c r="AQ1057" s="54"/>
      <c r="BA1057" s="54"/>
    </row>
    <row r="1058" spans="43:53" x14ac:dyDescent="0.35">
      <c r="AQ1058" s="54"/>
      <c r="BA1058" s="54"/>
    </row>
    <row r="1059" spans="43:53" x14ac:dyDescent="0.35">
      <c r="AQ1059" s="54"/>
      <c r="BA1059" s="54"/>
    </row>
    <row r="1060" spans="43:53" x14ac:dyDescent="0.35">
      <c r="AQ1060" s="54"/>
      <c r="BA1060" s="54"/>
    </row>
    <row r="1061" spans="43:53" x14ac:dyDescent="0.35">
      <c r="AQ1061" s="54"/>
      <c r="BA1061" s="54"/>
    </row>
    <row r="1062" spans="43:53" x14ac:dyDescent="0.35">
      <c r="AQ1062" s="54"/>
      <c r="BA1062" s="54"/>
    </row>
    <row r="1063" spans="43:53" x14ac:dyDescent="0.35">
      <c r="AQ1063" s="54"/>
      <c r="BA1063" s="54"/>
    </row>
    <row r="1064" spans="43:53" x14ac:dyDescent="0.35">
      <c r="AQ1064" s="54"/>
      <c r="BA1064" s="54"/>
    </row>
    <row r="1065" spans="43:53" x14ac:dyDescent="0.35">
      <c r="AQ1065" s="54"/>
      <c r="BA1065" s="54"/>
    </row>
    <row r="1066" spans="43:53" x14ac:dyDescent="0.35">
      <c r="AQ1066" s="54"/>
      <c r="BA1066" s="54"/>
    </row>
    <row r="1067" spans="43:53" x14ac:dyDescent="0.35">
      <c r="AQ1067" s="54"/>
      <c r="BA1067" s="54"/>
    </row>
    <row r="1068" spans="43:53" x14ac:dyDescent="0.35">
      <c r="AQ1068" s="54"/>
      <c r="BA1068" s="54"/>
    </row>
    <row r="1069" spans="43:53" x14ac:dyDescent="0.35">
      <c r="AQ1069" s="54"/>
      <c r="BA1069" s="54"/>
    </row>
    <row r="1070" spans="43:53" x14ac:dyDescent="0.35">
      <c r="AQ1070" s="54"/>
      <c r="BA1070" s="54"/>
    </row>
    <row r="1071" spans="43:53" x14ac:dyDescent="0.35">
      <c r="AQ1071" s="54"/>
      <c r="BA1071" s="54"/>
    </row>
    <row r="1072" spans="43:53" x14ac:dyDescent="0.35">
      <c r="AQ1072" s="54"/>
      <c r="BA1072" s="54"/>
    </row>
    <row r="1073" spans="43:53" x14ac:dyDescent="0.35">
      <c r="AQ1073" s="54"/>
      <c r="BA1073" s="54"/>
    </row>
    <row r="1074" spans="43:53" x14ac:dyDescent="0.35">
      <c r="AQ1074" s="54"/>
      <c r="BA1074" s="54"/>
    </row>
    <row r="1075" spans="43:53" x14ac:dyDescent="0.35">
      <c r="AQ1075" s="54"/>
      <c r="BA1075" s="54"/>
    </row>
    <row r="1076" spans="43:53" x14ac:dyDescent="0.35">
      <c r="AQ1076" s="54"/>
      <c r="BA1076" s="54"/>
    </row>
    <row r="1077" spans="43:53" x14ac:dyDescent="0.35">
      <c r="AQ1077" s="54"/>
      <c r="BA1077" s="54"/>
    </row>
    <row r="1078" spans="43:53" x14ac:dyDescent="0.35">
      <c r="AQ1078" s="54"/>
      <c r="BA1078" s="54"/>
    </row>
    <row r="1079" spans="43:53" x14ac:dyDescent="0.35">
      <c r="AQ1079" s="54"/>
      <c r="BA1079" s="54"/>
    </row>
    <row r="1080" spans="43:53" x14ac:dyDescent="0.35">
      <c r="AQ1080" s="54"/>
      <c r="BA1080" s="54"/>
    </row>
    <row r="1081" spans="43:53" x14ac:dyDescent="0.35">
      <c r="AQ1081" s="54"/>
      <c r="BA1081" s="54"/>
    </row>
    <row r="1082" spans="43:53" x14ac:dyDescent="0.35">
      <c r="AQ1082" s="54"/>
      <c r="BA1082" s="54"/>
    </row>
    <row r="1083" spans="43:53" x14ac:dyDescent="0.35">
      <c r="AQ1083" s="54"/>
      <c r="BA1083" s="54"/>
    </row>
    <row r="1084" spans="43:53" x14ac:dyDescent="0.35">
      <c r="AQ1084" s="54"/>
      <c r="BA1084" s="54"/>
    </row>
    <row r="1085" spans="43:53" x14ac:dyDescent="0.35">
      <c r="AQ1085" s="54"/>
      <c r="BA1085" s="54"/>
    </row>
    <row r="1086" spans="43:53" x14ac:dyDescent="0.35">
      <c r="AQ1086" s="54"/>
      <c r="BA1086" s="54"/>
    </row>
    <row r="1087" spans="43:53" x14ac:dyDescent="0.35">
      <c r="AQ1087" s="54"/>
      <c r="BA1087" s="54"/>
    </row>
    <row r="1088" spans="43:53" x14ac:dyDescent="0.35">
      <c r="AQ1088" s="54"/>
      <c r="BA1088" s="54"/>
    </row>
    <row r="1089" spans="43:53" x14ac:dyDescent="0.35">
      <c r="AQ1089" s="54"/>
      <c r="BA1089" s="54"/>
    </row>
    <row r="1090" spans="43:53" x14ac:dyDescent="0.35">
      <c r="AQ1090" s="54"/>
      <c r="BA1090" s="54"/>
    </row>
    <row r="1091" spans="43:53" x14ac:dyDescent="0.35">
      <c r="AQ1091" s="54"/>
      <c r="BA1091" s="54"/>
    </row>
    <row r="1092" spans="43:53" x14ac:dyDescent="0.35">
      <c r="AQ1092" s="54"/>
      <c r="BA1092" s="54"/>
    </row>
    <row r="1093" spans="43:53" x14ac:dyDescent="0.35">
      <c r="AQ1093" s="54"/>
      <c r="BA1093" s="54"/>
    </row>
    <row r="1094" spans="43:53" x14ac:dyDescent="0.35">
      <c r="AQ1094" s="54"/>
      <c r="BA1094" s="54"/>
    </row>
    <row r="1095" spans="43:53" x14ac:dyDescent="0.35">
      <c r="AQ1095" s="54"/>
      <c r="BA1095" s="54"/>
    </row>
    <row r="1096" spans="43:53" x14ac:dyDescent="0.35">
      <c r="AQ1096" s="54"/>
      <c r="BA1096" s="54"/>
    </row>
    <row r="1097" spans="43:53" x14ac:dyDescent="0.35">
      <c r="AQ1097" s="54"/>
      <c r="BA1097" s="54"/>
    </row>
    <row r="1098" spans="43:53" x14ac:dyDescent="0.35">
      <c r="AQ1098" s="54"/>
      <c r="BA1098" s="54"/>
    </row>
    <row r="1099" spans="43:53" x14ac:dyDescent="0.35">
      <c r="AQ1099" s="54"/>
      <c r="BA1099" s="54"/>
    </row>
    <row r="1100" spans="43:53" x14ac:dyDescent="0.35">
      <c r="AQ1100" s="54"/>
      <c r="BA1100" s="54"/>
    </row>
    <row r="1101" spans="43:53" x14ac:dyDescent="0.35">
      <c r="AQ1101" s="54"/>
      <c r="BA1101" s="54"/>
    </row>
    <row r="1102" spans="43:53" x14ac:dyDescent="0.35">
      <c r="AQ1102" s="54"/>
      <c r="BA1102" s="54"/>
    </row>
    <row r="1103" spans="43:53" x14ac:dyDescent="0.35">
      <c r="AQ1103" s="54"/>
      <c r="BA1103" s="54"/>
    </row>
    <row r="1104" spans="43:53" x14ac:dyDescent="0.35">
      <c r="AQ1104" s="54"/>
      <c r="BA1104" s="54"/>
    </row>
    <row r="1105" spans="43:53" x14ac:dyDescent="0.35">
      <c r="AQ1105" s="54"/>
      <c r="BA1105" s="54"/>
    </row>
    <row r="1106" spans="43:53" x14ac:dyDescent="0.35">
      <c r="AQ1106" s="54"/>
      <c r="BA1106" s="54"/>
    </row>
    <row r="1107" spans="43:53" x14ac:dyDescent="0.35">
      <c r="AQ1107" s="54"/>
      <c r="BA1107" s="54"/>
    </row>
    <row r="1108" spans="43:53" x14ac:dyDescent="0.35">
      <c r="AQ1108" s="54"/>
      <c r="BA1108" s="54"/>
    </row>
    <row r="1109" spans="43:53" x14ac:dyDescent="0.35">
      <c r="AQ1109" s="54"/>
      <c r="BA1109" s="54"/>
    </row>
    <row r="1110" spans="43:53" x14ac:dyDescent="0.35">
      <c r="AQ1110" s="54"/>
      <c r="BA1110" s="54"/>
    </row>
    <row r="1111" spans="43:53" x14ac:dyDescent="0.35">
      <c r="AQ1111" s="54"/>
      <c r="BA1111" s="54"/>
    </row>
    <row r="1112" spans="43:53" x14ac:dyDescent="0.35">
      <c r="AQ1112" s="54"/>
      <c r="BA1112" s="54"/>
    </row>
    <row r="1113" spans="43:53" x14ac:dyDescent="0.35">
      <c r="AQ1113" s="54"/>
      <c r="BA1113" s="54"/>
    </row>
    <row r="1114" spans="43:53" x14ac:dyDescent="0.35">
      <c r="AQ1114" s="54"/>
      <c r="BA1114" s="54"/>
    </row>
    <row r="1115" spans="43:53" x14ac:dyDescent="0.35">
      <c r="AQ1115" s="54"/>
      <c r="BA1115" s="54"/>
    </row>
    <row r="1116" spans="43:53" x14ac:dyDescent="0.35">
      <c r="AQ1116" s="54"/>
      <c r="BA1116" s="54"/>
    </row>
    <row r="1117" spans="43:53" x14ac:dyDescent="0.35">
      <c r="AQ1117" s="54"/>
      <c r="BA1117" s="54"/>
    </row>
    <row r="1118" spans="43:53" x14ac:dyDescent="0.35">
      <c r="AQ1118" s="54"/>
      <c r="BA1118" s="54"/>
    </row>
    <row r="1119" spans="43:53" x14ac:dyDescent="0.35">
      <c r="AQ1119" s="54"/>
      <c r="BA1119" s="54"/>
    </row>
    <row r="1120" spans="43:53" x14ac:dyDescent="0.35">
      <c r="AQ1120" s="54"/>
      <c r="BA1120" s="54"/>
    </row>
    <row r="1121" spans="43:53" x14ac:dyDescent="0.35">
      <c r="AQ1121" s="54"/>
      <c r="BA1121" s="54"/>
    </row>
    <row r="1122" spans="43:53" x14ac:dyDescent="0.35">
      <c r="AQ1122" s="54"/>
      <c r="BA1122" s="54"/>
    </row>
    <row r="1123" spans="43:53" x14ac:dyDescent="0.35">
      <c r="AQ1123" s="54"/>
      <c r="BA1123" s="54"/>
    </row>
    <row r="1124" spans="43:53" x14ac:dyDescent="0.35">
      <c r="AQ1124" s="54"/>
      <c r="BA1124" s="54"/>
    </row>
    <row r="1125" spans="43:53" x14ac:dyDescent="0.35">
      <c r="AQ1125" s="54"/>
      <c r="BA1125" s="54"/>
    </row>
    <row r="1126" spans="43:53" x14ac:dyDescent="0.35">
      <c r="AQ1126" s="54"/>
      <c r="BA1126" s="54"/>
    </row>
    <row r="1127" spans="43:53" x14ac:dyDescent="0.35">
      <c r="AQ1127" s="54"/>
      <c r="BA1127" s="54"/>
    </row>
    <row r="1128" spans="43:53" x14ac:dyDescent="0.35">
      <c r="AQ1128" s="54"/>
      <c r="BA1128" s="54"/>
    </row>
    <row r="1129" spans="43:53" x14ac:dyDescent="0.35">
      <c r="AQ1129" s="54"/>
      <c r="BA1129" s="54"/>
    </row>
    <row r="1130" spans="43:53" x14ac:dyDescent="0.35">
      <c r="AQ1130" s="54"/>
      <c r="BA1130" s="54"/>
    </row>
    <row r="1131" spans="43:53" x14ac:dyDescent="0.35">
      <c r="AQ1131" s="54"/>
      <c r="BA1131" s="54"/>
    </row>
    <row r="1132" spans="43:53" x14ac:dyDescent="0.35">
      <c r="AQ1132" s="54"/>
      <c r="BA1132" s="54"/>
    </row>
    <row r="1133" spans="43:53" x14ac:dyDescent="0.35">
      <c r="AQ1133" s="54"/>
      <c r="BA1133" s="54"/>
    </row>
    <row r="1134" spans="43:53" x14ac:dyDescent="0.35">
      <c r="AQ1134" s="54"/>
      <c r="BA1134" s="54"/>
    </row>
    <row r="1135" spans="43:53" x14ac:dyDescent="0.35">
      <c r="AQ1135" s="54"/>
      <c r="BA1135" s="54"/>
    </row>
    <row r="1136" spans="43:53" x14ac:dyDescent="0.35">
      <c r="AQ1136" s="54"/>
      <c r="BA1136" s="54"/>
    </row>
    <row r="1137" spans="43:53" x14ac:dyDescent="0.35">
      <c r="AQ1137" s="54"/>
      <c r="BA1137" s="54"/>
    </row>
    <row r="1138" spans="43:53" x14ac:dyDescent="0.35">
      <c r="AQ1138" s="54"/>
      <c r="BA1138" s="54"/>
    </row>
    <row r="1139" spans="43:53" x14ac:dyDescent="0.35">
      <c r="AQ1139" s="54"/>
      <c r="BA1139" s="54"/>
    </row>
    <row r="1140" spans="43:53" x14ac:dyDescent="0.35">
      <c r="AQ1140" s="54"/>
      <c r="BA1140" s="54"/>
    </row>
    <row r="1141" spans="43:53" x14ac:dyDescent="0.35">
      <c r="AQ1141" s="54"/>
      <c r="BA1141" s="54"/>
    </row>
    <row r="1142" spans="43:53" x14ac:dyDescent="0.35">
      <c r="AQ1142" s="54"/>
      <c r="BA1142" s="54"/>
    </row>
    <row r="1143" spans="43:53" x14ac:dyDescent="0.35">
      <c r="AQ1143" s="54"/>
      <c r="BA1143" s="54"/>
    </row>
    <row r="1144" spans="43:53" x14ac:dyDescent="0.35">
      <c r="AQ1144" s="54"/>
      <c r="BA1144" s="54"/>
    </row>
    <row r="1145" spans="43:53" x14ac:dyDescent="0.35">
      <c r="AQ1145" s="54"/>
      <c r="BA1145" s="54"/>
    </row>
    <row r="1146" spans="43:53" x14ac:dyDescent="0.35">
      <c r="AQ1146" s="54"/>
      <c r="BA1146" s="54"/>
    </row>
    <row r="1147" spans="43:53" x14ac:dyDescent="0.35">
      <c r="AQ1147" s="54"/>
      <c r="BA1147" s="54"/>
    </row>
    <row r="1148" spans="43:53" x14ac:dyDescent="0.35">
      <c r="AQ1148" s="54"/>
      <c r="BA1148" s="54"/>
    </row>
    <row r="1149" spans="43:53" x14ac:dyDescent="0.35">
      <c r="AQ1149" s="54"/>
      <c r="BA1149" s="54"/>
    </row>
    <row r="1150" spans="43:53" x14ac:dyDescent="0.35">
      <c r="AQ1150" s="54"/>
      <c r="BA1150" s="54"/>
    </row>
    <row r="1151" spans="43:53" x14ac:dyDescent="0.35">
      <c r="AQ1151" s="54"/>
      <c r="BA1151" s="54"/>
    </row>
    <row r="1152" spans="43:53" x14ac:dyDescent="0.35">
      <c r="AQ1152" s="54"/>
      <c r="BA1152" s="54"/>
    </row>
    <row r="1153" spans="43:53" x14ac:dyDescent="0.35">
      <c r="AQ1153" s="54"/>
      <c r="BA1153" s="54"/>
    </row>
    <row r="1154" spans="43:53" x14ac:dyDescent="0.35">
      <c r="AQ1154" s="54"/>
      <c r="BA1154" s="54"/>
    </row>
    <row r="1155" spans="43:53" x14ac:dyDescent="0.35">
      <c r="AQ1155" s="54"/>
      <c r="BA1155" s="54"/>
    </row>
    <row r="1156" spans="43:53" x14ac:dyDescent="0.35">
      <c r="AQ1156" s="54"/>
      <c r="BA1156" s="54"/>
    </row>
    <row r="1157" spans="43:53" x14ac:dyDescent="0.35">
      <c r="AQ1157" s="54"/>
      <c r="BA1157" s="54"/>
    </row>
    <row r="1158" spans="43:53" x14ac:dyDescent="0.35">
      <c r="AQ1158" s="54"/>
      <c r="BA1158" s="54"/>
    </row>
    <row r="1159" spans="43:53" x14ac:dyDescent="0.35">
      <c r="AQ1159" s="54"/>
      <c r="BA1159" s="54"/>
    </row>
    <row r="1160" spans="43:53" x14ac:dyDescent="0.35">
      <c r="AQ1160" s="54"/>
      <c r="BA1160" s="54"/>
    </row>
    <row r="1161" spans="43:53" x14ac:dyDescent="0.35">
      <c r="AQ1161" s="54"/>
      <c r="BA1161" s="54"/>
    </row>
    <row r="1162" spans="43:53" x14ac:dyDescent="0.35">
      <c r="AQ1162" s="54"/>
      <c r="BA1162" s="54"/>
    </row>
    <row r="1163" spans="43:53" x14ac:dyDescent="0.35">
      <c r="AQ1163" s="54"/>
      <c r="BA1163" s="54"/>
    </row>
    <row r="1164" spans="43:53" x14ac:dyDescent="0.35">
      <c r="AQ1164" s="54"/>
      <c r="BA1164" s="54"/>
    </row>
    <row r="1165" spans="43:53" x14ac:dyDescent="0.35">
      <c r="AQ1165" s="54"/>
      <c r="BA1165" s="54"/>
    </row>
    <row r="1166" spans="43:53" x14ac:dyDescent="0.35">
      <c r="AQ1166" s="54"/>
      <c r="BA1166" s="54"/>
    </row>
    <row r="1167" spans="43:53" x14ac:dyDescent="0.35">
      <c r="AQ1167" s="54"/>
      <c r="BA1167" s="54"/>
    </row>
    <row r="1168" spans="43:53" x14ac:dyDescent="0.35">
      <c r="AQ1168" s="54"/>
      <c r="BA1168" s="54"/>
    </row>
    <row r="1169" spans="43:53" x14ac:dyDescent="0.35">
      <c r="AQ1169" s="54"/>
      <c r="BA1169" s="54"/>
    </row>
    <row r="1170" spans="43:53" x14ac:dyDescent="0.35">
      <c r="AQ1170" s="54"/>
      <c r="BA1170" s="54"/>
    </row>
    <row r="1171" spans="43:53" x14ac:dyDescent="0.35">
      <c r="AQ1171" s="54"/>
      <c r="BA1171" s="54"/>
    </row>
    <row r="1172" spans="43:53" x14ac:dyDescent="0.35">
      <c r="AQ1172" s="54"/>
      <c r="BA1172" s="54"/>
    </row>
    <row r="1173" spans="43:53" x14ac:dyDescent="0.35">
      <c r="AQ1173" s="54"/>
      <c r="BA1173" s="54"/>
    </row>
    <row r="1174" spans="43:53" x14ac:dyDescent="0.35">
      <c r="AQ1174" s="54"/>
      <c r="BA1174" s="54"/>
    </row>
    <row r="1175" spans="43:53" x14ac:dyDescent="0.35">
      <c r="AQ1175" s="54"/>
      <c r="BA1175" s="54"/>
    </row>
    <row r="1176" spans="43:53" x14ac:dyDescent="0.35">
      <c r="AQ1176" s="54"/>
      <c r="BA1176" s="54"/>
    </row>
    <row r="1177" spans="43:53" x14ac:dyDescent="0.35">
      <c r="AQ1177" s="54"/>
      <c r="BA1177" s="54"/>
    </row>
    <row r="1178" spans="43:53" x14ac:dyDescent="0.35">
      <c r="AQ1178" s="54"/>
      <c r="BA1178" s="54"/>
    </row>
    <row r="1179" spans="43:53" x14ac:dyDescent="0.35">
      <c r="AQ1179" s="54"/>
      <c r="BA1179" s="54"/>
    </row>
    <row r="1180" spans="43:53" x14ac:dyDescent="0.35">
      <c r="AQ1180" s="54"/>
      <c r="BA1180" s="54"/>
    </row>
    <row r="1181" spans="43:53" x14ac:dyDescent="0.35">
      <c r="AQ1181" s="54"/>
      <c r="BA1181" s="54"/>
    </row>
    <row r="1182" spans="43:53" x14ac:dyDescent="0.35">
      <c r="AQ1182" s="54"/>
      <c r="BA1182" s="54"/>
    </row>
    <row r="1183" spans="43:53" x14ac:dyDescent="0.35">
      <c r="AQ1183" s="54"/>
      <c r="BA1183" s="54"/>
    </row>
    <row r="1184" spans="43:53" x14ac:dyDescent="0.35">
      <c r="AQ1184" s="54"/>
      <c r="BA1184" s="54"/>
    </row>
    <row r="1185" spans="43:53" x14ac:dyDescent="0.35">
      <c r="AQ1185" s="54"/>
      <c r="BA1185" s="54"/>
    </row>
    <row r="1186" spans="43:53" x14ac:dyDescent="0.35">
      <c r="AQ1186" s="54"/>
      <c r="BA1186" s="54"/>
    </row>
    <row r="1187" spans="43:53" x14ac:dyDescent="0.35">
      <c r="AQ1187" s="54"/>
      <c r="BA1187" s="54"/>
    </row>
    <row r="1188" spans="43:53" x14ac:dyDescent="0.35">
      <c r="AQ1188" s="54"/>
      <c r="BA1188" s="54"/>
    </row>
    <row r="1189" spans="43:53" x14ac:dyDescent="0.35">
      <c r="AQ1189" s="54"/>
      <c r="BA1189" s="54"/>
    </row>
    <row r="1190" spans="43:53" x14ac:dyDescent="0.35">
      <c r="AQ1190" s="54"/>
      <c r="BA1190" s="54"/>
    </row>
    <row r="1191" spans="43:53" x14ac:dyDescent="0.35">
      <c r="AQ1191" s="54"/>
      <c r="BA1191" s="54"/>
    </row>
    <row r="1192" spans="43:53" x14ac:dyDescent="0.35">
      <c r="AQ1192" s="54"/>
      <c r="BA1192" s="54"/>
    </row>
    <row r="1193" spans="43:53" x14ac:dyDescent="0.35">
      <c r="AQ1193" s="54"/>
      <c r="BA1193" s="54"/>
    </row>
    <row r="1194" spans="43:53" x14ac:dyDescent="0.35">
      <c r="AQ1194" s="54"/>
      <c r="BA1194" s="54"/>
    </row>
    <row r="1195" spans="43:53" x14ac:dyDescent="0.35">
      <c r="AQ1195" s="54"/>
      <c r="BA1195" s="54"/>
    </row>
    <row r="1196" spans="43:53" x14ac:dyDescent="0.35">
      <c r="AQ1196" s="54"/>
      <c r="BA1196" s="54"/>
    </row>
    <row r="1197" spans="43:53" x14ac:dyDescent="0.35">
      <c r="AQ1197" s="54"/>
      <c r="BA1197" s="54"/>
    </row>
    <row r="1198" spans="43:53" x14ac:dyDescent="0.35">
      <c r="AQ1198" s="54"/>
      <c r="BA1198" s="54"/>
    </row>
    <row r="1199" spans="43:53" x14ac:dyDescent="0.35">
      <c r="AQ1199" s="54"/>
      <c r="BA1199" s="54"/>
    </row>
    <row r="1200" spans="43:53" x14ac:dyDescent="0.35">
      <c r="AQ1200" s="54"/>
      <c r="BA1200" s="54"/>
    </row>
    <row r="1201" spans="43:53" x14ac:dyDescent="0.35">
      <c r="AQ1201" s="54"/>
      <c r="BA1201" s="54"/>
    </row>
    <row r="1202" spans="43:53" x14ac:dyDescent="0.35">
      <c r="AQ1202" s="54"/>
      <c r="BA1202" s="54"/>
    </row>
    <row r="1203" spans="43:53" x14ac:dyDescent="0.35">
      <c r="AQ1203" s="54"/>
      <c r="BA1203" s="54"/>
    </row>
    <row r="1204" spans="43:53" x14ac:dyDescent="0.35">
      <c r="AQ1204" s="54"/>
      <c r="BA1204" s="54"/>
    </row>
    <row r="1205" spans="43:53" x14ac:dyDescent="0.35">
      <c r="AQ1205" s="54"/>
      <c r="BA1205" s="54"/>
    </row>
    <row r="1206" spans="43:53" x14ac:dyDescent="0.35">
      <c r="AQ1206" s="54"/>
      <c r="BA1206" s="54"/>
    </row>
    <row r="1207" spans="43:53" x14ac:dyDescent="0.35">
      <c r="AQ1207" s="54"/>
      <c r="BA1207" s="54"/>
    </row>
    <row r="1208" spans="43:53" x14ac:dyDescent="0.35">
      <c r="AQ1208" s="54"/>
      <c r="BA1208" s="54"/>
    </row>
    <row r="1209" spans="43:53" x14ac:dyDescent="0.35">
      <c r="AQ1209" s="54"/>
      <c r="BA1209" s="54"/>
    </row>
    <row r="1210" spans="43:53" x14ac:dyDescent="0.35">
      <c r="AQ1210" s="54"/>
      <c r="BA1210" s="54"/>
    </row>
    <row r="1211" spans="43:53" x14ac:dyDescent="0.35">
      <c r="AQ1211" s="54"/>
      <c r="BA1211" s="54"/>
    </row>
    <row r="1212" spans="43:53" x14ac:dyDescent="0.35">
      <c r="AQ1212" s="54"/>
      <c r="BA1212" s="54"/>
    </row>
    <row r="1213" spans="43:53" x14ac:dyDescent="0.35">
      <c r="AQ1213" s="54"/>
      <c r="BA1213" s="54"/>
    </row>
    <row r="1214" spans="43:53" x14ac:dyDescent="0.35">
      <c r="AQ1214" s="54"/>
      <c r="BA1214" s="54"/>
    </row>
    <row r="1215" spans="43:53" x14ac:dyDescent="0.35">
      <c r="AQ1215" s="54"/>
      <c r="BA1215" s="54"/>
    </row>
    <row r="1216" spans="43:53" x14ac:dyDescent="0.35">
      <c r="AQ1216" s="54"/>
      <c r="BA1216" s="54"/>
    </row>
    <row r="1217" spans="43:53" x14ac:dyDescent="0.35">
      <c r="AQ1217" s="54"/>
      <c r="BA1217" s="54"/>
    </row>
    <row r="1218" spans="43:53" x14ac:dyDescent="0.35">
      <c r="AQ1218" s="54"/>
      <c r="BA1218" s="54"/>
    </row>
    <row r="1219" spans="43:53" x14ac:dyDescent="0.35">
      <c r="AQ1219" s="54"/>
      <c r="BA1219" s="54"/>
    </row>
    <row r="1220" spans="43:53" x14ac:dyDescent="0.35">
      <c r="AQ1220" s="54"/>
      <c r="BA1220" s="54"/>
    </row>
    <row r="1221" spans="43:53" x14ac:dyDescent="0.35">
      <c r="AQ1221" s="54"/>
      <c r="BA1221" s="54"/>
    </row>
    <row r="1222" spans="43:53" x14ac:dyDescent="0.35">
      <c r="AQ1222" s="54"/>
      <c r="BA1222" s="54"/>
    </row>
    <row r="1223" spans="43:53" x14ac:dyDescent="0.35">
      <c r="AQ1223" s="54"/>
      <c r="BA1223" s="54"/>
    </row>
    <row r="1224" spans="43:53" x14ac:dyDescent="0.35">
      <c r="AQ1224" s="54"/>
      <c r="BA1224" s="54"/>
    </row>
    <row r="1225" spans="43:53" x14ac:dyDescent="0.35">
      <c r="AQ1225" s="54"/>
      <c r="BA1225" s="54"/>
    </row>
    <row r="1226" spans="43:53" x14ac:dyDescent="0.35">
      <c r="AQ1226" s="54"/>
      <c r="BA1226" s="54"/>
    </row>
    <row r="1227" spans="43:53" x14ac:dyDescent="0.35">
      <c r="AQ1227" s="54"/>
      <c r="BA1227" s="54"/>
    </row>
    <row r="1228" spans="43:53" x14ac:dyDescent="0.35">
      <c r="AQ1228" s="54"/>
      <c r="BA1228" s="54"/>
    </row>
    <row r="1229" spans="43:53" x14ac:dyDescent="0.35">
      <c r="AQ1229" s="54"/>
      <c r="BA1229" s="54"/>
    </row>
    <row r="1230" spans="43:53" x14ac:dyDescent="0.35">
      <c r="AQ1230" s="54"/>
      <c r="BA1230" s="54"/>
    </row>
    <row r="1231" spans="43:53" x14ac:dyDescent="0.35">
      <c r="AQ1231" s="54"/>
      <c r="BA1231" s="54"/>
    </row>
    <row r="1232" spans="43:53" x14ac:dyDescent="0.35">
      <c r="AQ1232" s="54"/>
      <c r="BA1232" s="54"/>
    </row>
    <row r="1233" spans="43:53" x14ac:dyDescent="0.35">
      <c r="AQ1233" s="54"/>
      <c r="BA1233" s="54"/>
    </row>
    <row r="1234" spans="43:53" x14ac:dyDescent="0.35">
      <c r="AQ1234" s="54"/>
      <c r="BA1234" s="54"/>
    </row>
    <row r="1235" spans="43:53" x14ac:dyDescent="0.35">
      <c r="AQ1235" s="54"/>
      <c r="BA1235" s="54"/>
    </row>
    <row r="1236" spans="43:53" x14ac:dyDescent="0.35">
      <c r="AQ1236" s="54"/>
      <c r="BA1236" s="54"/>
    </row>
    <row r="1237" spans="43:53" x14ac:dyDescent="0.35">
      <c r="AQ1237" s="54"/>
      <c r="BA1237" s="54"/>
    </row>
    <row r="1238" spans="43:53" x14ac:dyDescent="0.35">
      <c r="AQ1238" s="54"/>
      <c r="BA1238" s="54"/>
    </row>
    <row r="1239" spans="43:53" x14ac:dyDescent="0.35">
      <c r="AQ1239" s="54"/>
      <c r="BA1239" s="54"/>
    </row>
    <row r="1240" spans="43:53" x14ac:dyDescent="0.35">
      <c r="AQ1240" s="54"/>
      <c r="BA1240" s="54"/>
    </row>
    <row r="1241" spans="43:53" x14ac:dyDescent="0.35">
      <c r="AQ1241" s="54"/>
      <c r="BA1241" s="54"/>
    </row>
    <row r="1242" spans="43:53" x14ac:dyDescent="0.35">
      <c r="AQ1242" s="54"/>
      <c r="BA1242" s="54"/>
    </row>
    <row r="1243" spans="43:53" x14ac:dyDescent="0.35">
      <c r="AQ1243" s="54"/>
      <c r="BA1243" s="54"/>
    </row>
    <row r="1244" spans="43:53" x14ac:dyDescent="0.35">
      <c r="AQ1244" s="54"/>
      <c r="BA1244" s="54"/>
    </row>
    <row r="1245" spans="43:53" x14ac:dyDescent="0.35">
      <c r="AQ1245" s="54"/>
      <c r="BA1245" s="54"/>
    </row>
    <row r="1246" spans="43:53" x14ac:dyDescent="0.35">
      <c r="AQ1246" s="54"/>
      <c r="BA1246" s="54"/>
    </row>
    <row r="1247" spans="43:53" x14ac:dyDescent="0.35">
      <c r="AQ1247" s="54"/>
      <c r="BA1247" s="54"/>
    </row>
    <row r="1248" spans="43:53" x14ac:dyDescent="0.35">
      <c r="AQ1248" s="54"/>
      <c r="BA1248" s="54"/>
    </row>
    <row r="1249" spans="43:53" x14ac:dyDescent="0.35">
      <c r="AQ1249" s="54"/>
      <c r="BA1249" s="54"/>
    </row>
    <row r="1250" spans="43:53" x14ac:dyDescent="0.35">
      <c r="AQ1250" s="54"/>
      <c r="BA1250" s="54"/>
    </row>
    <row r="1251" spans="43:53" x14ac:dyDescent="0.35">
      <c r="AQ1251" s="54"/>
      <c r="BA1251" s="54"/>
    </row>
    <row r="1252" spans="43:53" x14ac:dyDescent="0.35">
      <c r="AQ1252" s="54"/>
      <c r="BA1252" s="54"/>
    </row>
    <row r="1253" spans="43:53" x14ac:dyDescent="0.35">
      <c r="AQ1253" s="54"/>
      <c r="BA1253" s="54"/>
    </row>
    <row r="1254" spans="43:53" x14ac:dyDescent="0.35">
      <c r="AQ1254" s="54"/>
      <c r="BA1254" s="54"/>
    </row>
    <row r="1255" spans="43:53" x14ac:dyDescent="0.35">
      <c r="AQ1255" s="54"/>
      <c r="BA1255" s="54"/>
    </row>
    <row r="1256" spans="43:53" x14ac:dyDescent="0.35">
      <c r="AQ1256" s="54"/>
      <c r="BA1256" s="54"/>
    </row>
    <row r="1257" spans="43:53" x14ac:dyDescent="0.35">
      <c r="AQ1257" s="54"/>
      <c r="BA1257" s="54"/>
    </row>
    <row r="1258" spans="43:53" x14ac:dyDescent="0.35">
      <c r="AQ1258" s="54"/>
      <c r="BA1258" s="54"/>
    </row>
    <row r="1259" spans="43:53" x14ac:dyDescent="0.35">
      <c r="AQ1259" s="54"/>
      <c r="BA1259" s="54"/>
    </row>
    <row r="1260" spans="43:53" x14ac:dyDescent="0.35">
      <c r="AQ1260" s="54"/>
      <c r="BA1260" s="54"/>
    </row>
    <row r="1261" spans="43:53" x14ac:dyDescent="0.35">
      <c r="AQ1261" s="54"/>
      <c r="BA1261" s="54"/>
    </row>
    <row r="1262" spans="43:53" x14ac:dyDescent="0.35">
      <c r="AQ1262" s="54"/>
      <c r="BA1262" s="54"/>
    </row>
    <row r="1263" spans="43:53" x14ac:dyDescent="0.35">
      <c r="AQ1263" s="54"/>
      <c r="BA1263" s="54"/>
    </row>
    <row r="1264" spans="43:53" x14ac:dyDescent="0.35">
      <c r="AQ1264" s="54"/>
      <c r="BA1264" s="54"/>
    </row>
    <row r="1265" spans="43:53" x14ac:dyDescent="0.35">
      <c r="AQ1265" s="54"/>
      <c r="BA1265" s="54"/>
    </row>
    <row r="1266" spans="43:53" x14ac:dyDescent="0.35">
      <c r="AQ1266" s="54"/>
      <c r="BA1266" s="54"/>
    </row>
    <row r="1267" spans="43:53" x14ac:dyDescent="0.35">
      <c r="AQ1267" s="54"/>
      <c r="BA1267" s="54"/>
    </row>
    <row r="1268" spans="43:53" x14ac:dyDescent="0.35">
      <c r="AQ1268" s="54"/>
      <c r="BA1268" s="54"/>
    </row>
    <row r="1269" spans="43:53" x14ac:dyDescent="0.35">
      <c r="AQ1269" s="54"/>
      <c r="BA1269" s="54"/>
    </row>
    <row r="1270" spans="43:53" x14ac:dyDescent="0.35">
      <c r="AQ1270" s="54"/>
      <c r="BA1270" s="54"/>
    </row>
    <row r="1271" spans="43:53" x14ac:dyDescent="0.35">
      <c r="AQ1271" s="54"/>
      <c r="BA1271" s="54"/>
    </row>
    <row r="1272" spans="43:53" x14ac:dyDescent="0.35">
      <c r="AQ1272" s="54"/>
      <c r="BA1272" s="54"/>
    </row>
    <row r="1273" spans="43:53" x14ac:dyDescent="0.35">
      <c r="AQ1273" s="54"/>
      <c r="BA1273" s="54"/>
    </row>
    <row r="1274" spans="43:53" x14ac:dyDescent="0.35">
      <c r="AQ1274" s="54"/>
      <c r="BA1274" s="54"/>
    </row>
    <row r="1275" spans="43:53" x14ac:dyDescent="0.35">
      <c r="AQ1275" s="54"/>
      <c r="BA1275" s="54"/>
    </row>
    <row r="1276" spans="43:53" x14ac:dyDescent="0.35">
      <c r="AQ1276" s="54"/>
      <c r="BA1276" s="54"/>
    </row>
    <row r="1277" spans="43:53" x14ac:dyDescent="0.35">
      <c r="AQ1277" s="54"/>
      <c r="BA1277" s="54"/>
    </row>
    <row r="1278" spans="43:53" x14ac:dyDescent="0.35">
      <c r="AQ1278" s="54"/>
      <c r="BA1278" s="54"/>
    </row>
    <row r="1279" spans="43:53" x14ac:dyDescent="0.35">
      <c r="AQ1279" s="54"/>
      <c r="BA1279" s="54"/>
    </row>
    <row r="1280" spans="43:53" x14ac:dyDescent="0.35">
      <c r="AQ1280" s="54"/>
      <c r="BA1280" s="54"/>
    </row>
    <row r="1281" spans="43:53" x14ac:dyDescent="0.35">
      <c r="AQ1281" s="54"/>
      <c r="BA1281" s="54"/>
    </row>
    <row r="1282" spans="43:53" x14ac:dyDescent="0.35">
      <c r="AQ1282" s="54"/>
      <c r="BA1282" s="54"/>
    </row>
    <row r="1283" spans="43:53" x14ac:dyDescent="0.35">
      <c r="AQ1283" s="54"/>
      <c r="BA1283" s="54"/>
    </row>
    <row r="1284" spans="43:53" x14ac:dyDescent="0.35">
      <c r="AQ1284" s="54"/>
      <c r="BA1284" s="54"/>
    </row>
    <row r="1285" spans="43:53" x14ac:dyDescent="0.35">
      <c r="AQ1285" s="54"/>
      <c r="BA1285" s="54"/>
    </row>
    <row r="1286" spans="43:53" x14ac:dyDescent="0.35">
      <c r="AQ1286" s="54"/>
      <c r="BA1286" s="54"/>
    </row>
    <row r="1287" spans="43:53" x14ac:dyDescent="0.35">
      <c r="AQ1287" s="54"/>
      <c r="BA1287" s="54"/>
    </row>
    <row r="1288" spans="43:53" x14ac:dyDescent="0.35">
      <c r="AQ1288" s="54"/>
      <c r="BA1288" s="54"/>
    </row>
    <row r="1289" spans="43:53" x14ac:dyDescent="0.35">
      <c r="AQ1289" s="54"/>
      <c r="BA1289" s="54"/>
    </row>
    <row r="1290" spans="43:53" x14ac:dyDescent="0.35">
      <c r="AQ1290" s="54"/>
      <c r="BA1290" s="54"/>
    </row>
    <row r="1291" spans="43:53" x14ac:dyDescent="0.35">
      <c r="AQ1291" s="54"/>
      <c r="BA1291" s="54"/>
    </row>
    <row r="1292" spans="43:53" x14ac:dyDescent="0.35">
      <c r="AQ1292" s="54"/>
      <c r="BA1292" s="54"/>
    </row>
    <row r="1293" spans="43:53" x14ac:dyDescent="0.35">
      <c r="AQ1293" s="54"/>
      <c r="BA1293" s="54"/>
    </row>
    <row r="1294" spans="43:53" x14ac:dyDescent="0.35">
      <c r="AQ1294" s="54"/>
      <c r="BA1294" s="54"/>
    </row>
    <row r="1295" spans="43:53" x14ac:dyDescent="0.35">
      <c r="AQ1295" s="54"/>
      <c r="BA1295" s="54"/>
    </row>
    <row r="1296" spans="43:53" x14ac:dyDescent="0.35">
      <c r="AQ1296" s="54"/>
      <c r="BA1296" s="54"/>
    </row>
    <row r="1297" spans="43:53" x14ac:dyDescent="0.35">
      <c r="AQ1297" s="54"/>
      <c r="BA1297" s="54"/>
    </row>
    <row r="1298" spans="43:53" x14ac:dyDescent="0.35">
      <c r="AQ1298" s="54"/>
      <c r="BA1298" s="54"/>
    </row>
    <row r="1299" spans="43:53" x14ac:dyDescent="0.35">
      <c r="AQ1299" s="54"/>
      <c r="BA1299" s="54"/>
    </row>
    <row r="1300" spans="43:53" x14ac:dyDescent="0.35">
      <c r="AQ1300" s="54"/>
      <c r="BA1300" s="54"/>
    </row>
    <row r="1301" spans="43:53" x14ac:dyDescent="0.35">
      <c r="AQ1301" s="54"/>
      <c r="BA1301" s="54"/>
    </row>
    <row r="1302" spans="43:53" x14ac:dyDescent="0.35">
      <c r="AQ1302" s="54"/>
      <c r="BA1302" s="54"/>
    </row>
    <row r="1303" spans="43:53" x14ac:dyDescent="0.35">
      <c r="AQ1303" s="54"/>
      <c r="BA1303" s="54"/>
    </row>
    <row r="1304" spans="43:53" x14ac:dyDescent="0.35">
      <c r="AQ1304" s="54"/>
      <c r="BA1304" s="54"/>
    </row>
    <row r="1305" spans="43:53" x14ac:dyDescent="0.35">
      <c r="AQ1305" s="54"/>
      <c r="BA1305" s="54"/>
    </row>
    <row r="1306" spans="43:53" x14ac:dyDescent="0.35">
      <c r="AQ1306" s="54"/>
      <c r="BA1306" s="54"/>
    </row>
    <row r="1307" spans="43:53" x14ac:dyDescent="0.35">
      <c r="AQ1307" s="54"/>
      <c r="BA1307" s="54"/>
    </row>
    <row r="1308" spans="43:53" x14ac:dyDescent="0.35">
      <c r="AQ1308" s="54"/>
      <c r="BA1308" s="54"/>
    </row>
    <row r="1309" spans="43:53" x14ac:dyDescent="0.35">
      <c r="AQ1309" s="54"/>
      <c r="BA1309" s="54"/>
    </row>
    <row r="1310" spans="43:53" x14ac:dyDescent="0.35">
      <c r="AQ1310" s="54"/>
      <c r="BA1310" s="54"/>
    </row>
    <row r="1311" spans="43:53" x14ac:dyDescent="0.35">
      <c r="AQ1311" s="54"/>
      <c r="BA1311" s="54"/>
    </row>
    <row r="1312" spans="43:53" x14ac:dyDescent="0.35">
      <c r="AQ1312" s="54"/>
      <c r="BA1312" s="54"/>
    </row>
    <row r="1313" spans="43:53" x14ac:dyDescent="0.35">
      <c r="AQ1313" s="54"/>
      <c r="BA1313" s="54"/>
    </row>
    <row r="1314" spans="43:53" x14ac:dyDescent="0.35">
      <c r="AQ1314" s="54"/>
      <c r="BA1314" s="54"/>
    </row>
    <row r="1315" spans="43:53" x14ac:dyDescent="0.35">
      <c r="AQ1315" s="54"/>
      <c r="BA1315" s="54"/>
    </row>
    <row r="1316" spans="43:53" x14ac:dyDescent="0.35">
      <c r="AQ1316" s="54"/>
      <c r="BA1316" s="54"/>
    </row>
    <row r="1317" spans="43:53" x14ac:dyDescent="0.35">
      <c r="AQ1317" s="54"/>
      <c r="BA1317" s="54"/>
    </row>
    <row r="1318" spans="43:53" x14ac:dyDescent="0.35">
      <c r="AQ1318" s="54"/>
      <c r="BA1318" s="54"/>
    </row>
    <row r="1319" spans="43:53" x14ac:dyDescent="0.35">
      <c r="AQ1319" s="54"/>
      <c r="BA1319" s="54"/>
    </row>
    <row r="1320" spans="43:53" x14ac:dyDescent="0.35">
      <c r="AQ1320" s="54"/>
      <c r="BA1320" s="54"/>
    </row>
    <row r="1321" spans="43:53" x14ac:dyDescent="0.35">
      <c r="AQ1321" s="54"/>
      <c r="BA1321" s="54"/>
    </row>
    <row r="1322" spans="43:53" x14ac:dyDescent="0.35">
      <c r="AQ1322" s="54"/>
      <c r="BA1322" s="54"/>
    </row>
    <row r="1323" spans="43:53" x14ac:dyDescent="0.35">
      <c r="AQ1323" s="54"/>
      <c r="BA1323" s="54"/>
    </row>
    <row r="1324" spans="43:53" x14ac:dyDescent="0.35">
      <c r="AQ1324" s="54"/>
      <c r="BA1324" s="54"/>
    </row>
    <row r="1325" spans="43:53" x14ac:dyDescent="0.35">
      <c r="AQ1325" s="54"/>
      <c r="BA1325" s="54"/>
    </row>
    <row r="1326" spans="43:53" x14ac:dyDescent="0.35">
      <c r="AQ1326" s="54"/>
      <c r="BA1326" s="54"/>
    </row>
    <row r="1327" spans="43:53" x14ac:dyDescent="0.35">
      <c r="AQ1327" s="54"/>
      <c r="BA1327" s="54"/>
    </row>
    <row r="1328" spans="43:53" x14ac:dyDescent="0.35">
      <c r="AQ1328" s="54"/>
      <c r="BA1328" s="54"/>
    </row>
    <row r="1329" spans="43:53" x14ac:dyDescent="0.35">
      <c r="AQ1329" s="54"/>
      <c r="BA1329" s="54"/>
    </row>
    <row r="1330" spans="43:53" x14ac:dyDescent="0.35">
      <c r="AQ1330" s="54"/>
      <c r="BA1330" s="54"/>
    </row>
    <row r="1331" spans="43:53" x14ac:dyDescent="0.35">
      <c r="AQ1331" s="54"/>
      <c r="BA1331" s="54"/>
    </row>
    <row r="1332" spans="43:53" x14ac:dyDescent="0.35">
      <c r="AQ1332" s="54"/>
      <c r="BA1332" s="54"/>
    </row>
    <row r="1333" spans="43:53" x14ac:dyDescent="0.35">
      <c r="AQ1333" s="54"/>
      <c r="BA1333" s="54"/>
    </row>
    <row r="1334" spans="43:53" x14ac:dyDescent="0.35">
      <c r="AQ1334" s="54"/>
      <c r="BA1334" s="54"/>
    </row>
    <row r="1335" spans="43:53" x14ac:dyDescent="0.35">
      <c r="AQ1335" s="54"/>
      <c r="BA1335" s="54"/>
    </row>
    <row r="1336" spans="43:53" x14ac:dyDescent="0.35">
      <c r="AQ1336" s="54"/>
      <c r="BA1336" s="54"/>
    </row>
    <row r="1337" spans="43:53" x14ac:dyDescent="0.35">
      <c r="AQ1337" s="54"/>
      <c r="BA1337" s="54"/>
    </row>
    <row r="1338" spans="43:53" x14ac:dyDescent="0.35">
      <c r="AQ1338" s="54"/>
      <c r="BA1338" s="54"/>
    </row>
    <row r="1339" spans="43:53" x14ac:dyDescent="0.35">
      <c r="AQ1339" s="54"/>
      <c r="BA1339" s="54"/>
    </row>
    <row r="1340" spans="43:53" x14ac:dyDescent="0.35">
      <c r="AQ1340" s="54"/>
      <c r="BA1340" s="54"/>
    </row>
    <row r="1341" spans="43:53" x14ac:dyDescent="0.35">
      <c r="AQ1341" s="54"/>
      <c r="BA1341" s="54"/>
    </row>
    <row r="1342" spans="43:53" x14ac:dyDescent="0.35">
      <c r="AQ1342" s="54"/>
      <c r="BA1342" s="54"/>
    </row>
    <row r="1343" spans="43:53" x14ac:dyDescent="0.35">
      <c r="AQ1343" s="54"/>
      <c r="BA1343" s="54"/>
    </row>
    <row r="1344" spans="43:53" x14ac:dyDescent="0.35">
      <c r="AQ1344" s="54"/>
      <c r="BA1344" s="54"/>
    </row>
    <row r="1345" spans="43:53" x14ac:dyDescent="0.35">
      <c r="AQ1345" s="54"/>
      <c r="BA1345" s="54"/>
    </row>
    <row r="1346" spans="43:53" x14ac:dyDescent="0.35">
      <c r="AQ1346" s="54"/>
      <c r="BA1346" s="54"/>
    </row>
    <row r="1347" spans="43:53" x14ac:dyDescent="0.35">
      <c r="AQ1347" s="54"/>
      <c r="BA1347" s="54"/>
    </row>
    <row r="1348" spans="43:53" x14ac:dyDescent="0.35">
      <c r="AQ1348" s="54"/>
      <c r="BA1348" s="54"/>
    </row>
    <row r="1349" spans="43:53" x14ac:dyDescent="0.35">
      <c r="AQ1349" s="54"/>
      <c r="BA1349" s="54"/>
    </row>
    <row r="1350" spans="43:53" x14ac:dyDescent="0.35">
      <c r="AQ1350" s="54"/>
      <c r="BA1350" s="54"/>
    </row>
    <row r="1351" spans="43:53" x14ac:dyDescent="0.35">
      <c r="AQ1351" s="54"/>
      <c r="BA1351" s="54"/>
    </row>
    <row r="1352" spans="43:53" x14ac:dyDescent="0.35">
      <c r="AQ1352" s="54"/>
      <c r="BA1352" s="54"/>
    </row>
    <row r="1353" spans="43:53" x14ac:dyDescent="0.35">
      <c r="AQ1353" s="54"/>
      <c r="BA1353" s="54"/>
    </row>
    <row r="1354" spans="43:53" x14ac:dyDescent="0.35">
      <c r="AQ1354" s="54"/>
      <c r="BA1354" s="54"/>
    </row>
    <row r="1355" spans="43:53" x14ac:dyDescent="0.35">
      <c r="AQ1355" s="54"/>
      <c r="BA1355" s="54"/>
    </row>
    <row r="1356" spans="43:53" x14ac:dyDescent="0.35">
      <c r="AQ1356" s="54"/>
      <c r="BA1356" s="54"/>
    </row>
    <row r="1357" spans="43:53" x14ac:dyDescent="0.35">
      <c r="AQ1357" s="54"/>
      <c r="BA1357" s="54"/>
    </row>
    <row r="1358" spans="43:53" x14ac:dyDescent="0.35">
      <c r="AQ1358" s="54"/>
      <c r="BA1358" s="54"/>
    </row>
    <row r="1359" spans="43:53" x14ac:dyDescent="0.35">
      <c r="AQ1359" s="54"/>
      <c r="BA1359" s="54"/>
    </row>
    <row r="1360" spans="43:53" x14ac:dyDescent="0.35">
      <c r="AQ1360" s="54"/>
      <c r="BA1360" s="54"/>
    </row>
    <row r="1361" spans="43:53" x14ac:dyDescent="0.35">
      <c r="AQ1361" s="54"/>
      <c r="BA1361" s="54"/>
    </row>
    <row r="1362" spans="43:53" x14ac:dyDescent="0.35">
      <c r="AQ1362" s="54"/>
      <c r="BA1362" s="54"/>
    </row>
    <row r="1363" spans="43:53" x14ac:dyDescent="0.35">
      <c r="AQ1363" s="54"/>
      <c r="BA1363" s="54"/>
    </row>
    <row r="1364" spans="43:53" x14ac:dyDescent="0.35">
      <c r="AQ1364" s="54"/>
      <c r="BA1364" s="54"/>
    </row>
    <row r="1365" spans="43:53" x14ac:dyDescent="0.35">
      <c r="AQ1365" s="54"/>
      <c r="BA1365" s="54"/>
    </row>
    <row r="1366" spans="43:53" x14ac:dyDescent="0.35">
      <c r="AQ1366" s="54"/>
      <c r="BA1366" s="54"/>
    </row>
    <row r="1367" spans="43:53" x14ac:dyDescent="0.35">
      <c r="AQ1367" s="54"/>
      <c r="BA1367" s="54"/>
    </row>
    <row r="1368" spans="43:53" x14ac:dyDescent="0.35">
      <c r="AQ1368" s="54"/>
      <c r="BA1368" s="54"/>
    </row>
    <row r="1369" spans="43:53" x14ac:dyDescent="0.35">
      <c r="AQ1369" s="54"/>
      <c r="BA1369" s="54"/>
    </row>
    <row r="1370" spans="43:53" x14ac:dyDescent="0.35">
      <c r="AQ1370" s="54"/>
      <c r="BA1370" s="54"/>
    </row>
    <row r="1371" spans="43:53" x14ac:dyDescent="0.35">
      <c r="AQ1371" s="54"/>
      <c r="BA1371" s="54"/>
    </row>
    <row r="1372" spans="43:53" x14ac:dyDescent="0.35">
      <c r="AQ1372" s="54"/>
      <c r="BA1372" s="54"/>
    </row>
    <row r="1373" spans="43:53" x14ac:dyDescent="0.35">
      <c r="AQ1373" s="54"/>
      <c r="BA1373" s="54"/>
    </row>
    <row r="1374" spans="43:53" x14ac:dyDescent="0.35">
      <c r="AQ1374" s="54"/>
      <c r="BA1374" s="54"/>
    </row>
    <row r="1375" spans="43:53" x14ac:dyDescent="0.35">
      <c r="AQ1375" s="54"/>
      <c r="BA1375" s="54"/>
    </row>
    <row r="1376" spans="43:53" x14ac:dyDescent="0.35">
      <c r="AQ1376" s="54"/>
      <c r="BA1376" s="54"/>
    </row>
    <row r="1377" spans="43:53" x14ac:dyDescent="0.35">
      <c r="AQ1377" s="54"/>
      <c r="BA1377" s="54"/>
    </row>
    <row r="1378" spans="43:53" x14ac:dyDescent="0.35">
      <c r="AQ1378" s="54"/>
      <c r="BA1378" s="54"/>
    </row>
    <row r="1379" spans="43:53" x14ac:dyDescent="0.35">
      <c r="AQ1379" s="54"/>
      <c r="BA1379" s="54"/>
    </row>
    <row r="1380" spans="43:53" x14ac:dyDescent="0.35">
      <c r="AQ1380" s="54"/>
      <c r="BA1380" s="54"/>
    </row>
    <row r="1381" spans="43:53" x14ac:dyDescent="0.35">
      <c r="AQ1381" s="54"/>
      <c r="BA1381" s="54"/>
    </row>
    <row r="1382" spans="43:53" x14ac:dyDescent="0.35">
      <c r="AQ1382" s="54"/>
      <c r="BA1382" s="54"/>
    </row>
    <row r="1383" spans="43:53" x14ac:dyDescent="0.35">
      <c r="AQ1383" s="54"/>
      <c r="BA1383" s="54"/>
    </row>
    <row r="1384" spans="43:53" x14ac:dyDescent="0.35">
      <c r="AQ1384" s="54"/>
      <c r="BA1384" s="54"/>
    </row>
    <row r="1385" spans="43:53" x14ac:dyDescent="0.35">
      <c r="AQ1385" s="54"/>
      <c r="BA1385" s="54"/>
    </row>
    <row r="1386" spans="43:53" x14ac:dyDescent="0.35">
      <c r="AQ1386" s="54"/>
      <c r="BA1386" s="54"/>
    </row>
    <row r="1387" spans="43:53" x14ac:dyDescent="0.35">
      <c r="AQ1387" s="54"/>
      <c r="BA1387" s="54"/>
    </row>
    <row r="1388" spans="43:53" x14ac:dyDescent="0.35">
      <c r="AQ1388" s="54"/>
      <c r="BA1388" s="54"/>
    </row>
    <row r="1389" spans="43:53" x14ac:dyDescent="0.35">
      <c r="AQ1389" s="54"/>
      <c r="BA1389" s="54"/>
    </row>
    <row r="1390" spans="43:53" x14ac:dyDescent="0.35">
      <c r="AQ1390" s="54"/>
      <c r="BA1390" s="54"/>
    </row>
    <row r="1391" spans="43:53" x14ac:dyDescent="0.35">
      <c r="AQ1391" s="54"/>
      <c r="BA1391" s="54"/>
    </row>
    <row r="1392" spans="43:53" x14ac:dyDescent="0.35">
      <c r="AQ1392" s="54"/>
      <c r="BA1392" s="54"/>
    </row>
    <row r="1393" spans="43:53" x14ac:dyDescent="0.35">
      <c r="AQ1393" s="54"/>
      <c r="BA1393" s="54"/>
    </row>
    <row r="1394" spans="43:53" x14ac:dyDescent="0.35">
      <c r="AQ1394" s="54"/>
      <c r="BA1394" s="54"/>
    </row>
    <row r="1395" spans="43:53" x14ac:dyDescent="0.35">
      <c r="AQ1395" s="54"/>
      <c r="BA1395" s="54"/>
    </row>
    <row r="1396" spans="43:53" x14ac:dyDescent="0.35">
      <c r="AQ1396" s="54"/>
      <c r="BA1396" s="54"/>
    </row>
    <row r="1397" spans="43:53" x14ac:dyDescent="0.35">
      <c r="AQ1397" s="54"/>
      <c r="BA1397" s="54"/>
    </row>
    <row r="1398" spans="43:53" x14ac:dyDescent="0.35">
      <c r="AQ1398" s="54"/>
      <c r="BA1398" s="54"/>
    </row>
    <row r="1399" spans="43:53" x14ac:dyDescent="0.35">
      <c r="AQ1399" s="54"/>
      <c r="BA1399" s="54"/>
    </row>
    <row r="1400" spans="43:53" x14ac:dyDescent="0.35">
      <c r="AQ1400" s="54"/>
      <c r="BA1400" s="54"/>
    </row>
    <row r="1401" spans="43:53" x14ac:dyDescent="0.35">
      <c r="AQ1401" s="54"/>
      <c r="BA1401" s="54"/>
    </row>
    <row r="1402" spans="43:53" x14ac:dyDescent="0.35">
      <c r="AQ1402" s="54"/>
      <c r="BA1402" s="54"/>
    </row>
    <row r="1403" spans="43:53" x14ac:dyDescent="0.35">
      <c r="AQ1403" s="54"/>
      <c r="BA1403" s="54"/>
    </row>
    <row r="1404" spans="43:53" x14ac:dyDescent="0.35">
      <c r="AQ1404" s="54"/>
      <c r="BA1404" s="54"/>
    </row>
    <row r="1405" spans="43:53" x14ac:dyDescent="0.35">
      <c r="AQ1405" s="54"/>
      <c r="BA1405" s="54"/>
    </row>
    <row r="1406" spans="43:53" x14ac:dyDescent="0.35">
      <c r="AQ1406" s="54"/>
      <c r="BA1406" s="54"/>
    </row>
    <row r="1407" spans="43:53" x14ac:dyDescent="0.35">
      <c r="AQ1407" s="54"/>
      <c r="BA1407" s="54"/>
    </row>
    <row r="1408" spans="43:53" x14ac:dyDescent="0.35">
      <c r="AQ1408" s="54"/>
      <c r="BA1408" s="54"/>
    </row>
    <row r="1409" spans="43:53" x14ac:dyDescent="0.35">
      <c r="AQ1409" s="54"/>
      <c r="BA1409" s="54"/>
    </row>
    <row r="1410" spans="43:53" x14ac:dyDescent="0.35">
      <c r="AQ1410" s="54"/>
      <c r="BA1410" s="54"/>
    </row>
    <row r="1411" spans="43:53" x14ac:dyDescent="0.35">
      <c r="AQ1411" s="54"/>
      <c r="BA1411" s="54"/>
    </row>
    <row r="1412" spans="43:53" x14ac:dyDescent="0.35">
      <c r="AQ1412" s="54"/>
      <c r="BA1412" s="54"/>
    </row>
    <row r="1413" spans="43:53" x14ac:dyDescent="0.35">
      <c r="AQ1413" s="54"/>
      <c r="BA1413" s="54"/>
    </row>
    <row r="1414" spans="43:53" x14ac:dyDescent="0.35">
      <c r="AQ1414" s="54"/>
      <c r="BA1414" s="54"/>
    </row>
    <row r="1415" spans="43:53" x14ac:dyDescent="0.35">
      <c r="AQ1415" s="54"/>
      <c r="BA1415" s="54"/>
    </row>
    <row r="1416" spans="43:53" x14ac:dyDescent="0.35">
      <c r="AQ1416" s="54"/>
      <c r="BA1416" s="54"/>
    </row>
    <row r="1417" spans="43:53" x14ac:dyDescent="0.35">
      <c r="AQ1417" s="54"/>
      <c r="BA1417" s="54"/>
    </row>
    <row r="1418" spans="43:53" x14ac:dyDescent="0.35">
      <c r="AQ1418" s="54"/>
      <c r="BA1418" s="54"/>
    </row>
    <row r="1419" spans="43:53" x14ac:dyDescent="0.35">
      <c r="AQ1419" s="54"/>
      <c r="BA1419" s="54"/>
    </row>
    <row r="1420" spans="43:53" x14ac:dyDescent="0.35">
      <c r="AQ1420" s="54"/>
      <c r="BA1420" s="54"/>
    </row>
    <row r="1421" spans="43:53" x14ac:dyDescent="0.35">
      <c r="AQ1421" s="54"/>
      <c r="BA1421" s="54"/>
    </row>
    <row r="1422" spans="43:53" x14ac:dyDescent="0.35">
      <c r="AQ1422" s="54"/>
      <c r="BA1422" s="54"/>
    </row>
    <row r="1423" spans="43:53" x14ac:dyDescent="0.35">
      <c r="AQ1423" s="54"/>
      <c r="BA1423" s="54"/>
    </row>
    <row r="1424" spans="43:53" x14ac:dyDescent="0.35">
      <c r="AQ1424" s="54"/>
      <c r="BA1424" s="54"/>
    </row>
    <row r="1425" spans="43:53" x14ac:dyDescent="0.35">
      <c r="AQ1425" s="54"/>
      <c r="BA1425" s="54"/>
    </row>
    <row r="1426" spans="43:53" x14ac:dyDescent="0.35">
      <c r="AQ1426" s="54"/>
      <c r="BA1426" s="54"/>
    </row>
    <row r="1427" spans="43:53" x14ac:dyDescent="0.35">
      <c r="AQ1427" s="54"/>
      <c r="BA1427" s="54"/>
    </row>
    <row r="1428" spans="43:53" x14ac:dyDescent="0.35">
      <c r="AQ1428" s="54"/>
      <c r="BA1428" s="54"/>
    </row>
    <row r="1429" spans="43:53" x14ac:dyDescent="0.35">
      <c r="AQ1429" s="54"/>
      <c r="BA1429" s="54"/>
    </row>
    <row r="1430" spans="43:53" x14ac:dyDescent="0.35">
      <c r="AQ1430" s="54"/>
      <c r="BA1430" s="54"/>
    </row>
    <row r="1431" spans="43:53" x14ac:dyDescent="0.35">
      <c r="AQ1431" s="54"/>
      <c r="BA1431" s="54"/>
    </row>
    <row r="1432" spans="43:53" x14ac:dyDescent="0.35">
      <c r="AQ1432" s="54"/>
      <c r="BA1432" s="54"/>
    </row>
    <row r="1433" spans="43:53" x14ac:dyDescent="0.35">
      <c r="AQ1433" s="54"/>
      <c r="BA1433" s="54"/>
    </row>
    <row r="1434" spans="43:53" x14ac:dyDescent="0.35">
      <c r="AQ1434" s="54"/>
      <c r="BA1434" s="54"/>
    </row>
    <row r="1435" spans="43:53" x14ac:dyDescent="0.35">
      <c r="AQ1435" s="54"/>
      <c r="BA1435" s="54"/>
    </row>
    <row r="1436" spans="43:53" x14ac:dyDescent="0.35">
      <c r="AQ1436" s="54"/>
      <c r="BA1436" s="54"/>
    </row>
    <row r="1437" spans="43:53" x14ac:dyDescent="0.35">
      <c r="AQ1437" s="54"/>
      <c r="BA1437" s="54"/>
    </row>
    <row r="1438" spans="43:53" x14ac:dyDescent="0.35">
      <c r="AQ1438" s="54"/>
      <c r="BA1438" s="54"/>
    </row>
    <row r="1439" spans="43:53" x14ac:dyDescent="0.35">
      <c r="AQ1439" s="54"/>
      <c r="BA1439" s="54"/>
    </row>
    <row r="1440" spans="43:53" x14ac:dyDescent="0.35">
      <c r="AQ1440" s="54"/>
      <c r="BA1440" s="54"/>
    </row>
    <row r="1441" spans="43:53" x14ac:dyDescent="0.35">
      <c r="AQ1441" s="54"/>
      <c r="BA1441" s="54"/>
    </row>
    <row r="1442" spans="43:53" x14ac:dyDescent="0.35">
      <c r="AQ1442" s="54"/>
      <c r="BA1442" s="54"/>
    </row>
    <row r="1443" spans="43:53" x14ac:dyDescent="0.35">
      <c r="AQ1443" s="54"/>
      <c r="BA1443" s="54"/>
    </row>
    <row r="1444" spans="43:53" x14ac:dyDescent="0.35">
      <c r="AQ1444" s="54"/>
      <c r="BA1444" s="54"/>
    </row>
    <row r="1445" spans="43:53" x14ac:dyDescent="0.35">
      <c r="AQ1445" s="54"/>
      <c r="BA1445" s="54"/>
    </row>
    <row r="1446" spans="43:53" x14ac:dyDescent="0.35">
      <c r="AQ1446" s="54"/>
      <c r="BA1446" s="54"/>
    </row>
    <row r="1447" spans="43:53" x14ac:dyDescent="0.35">
      <c r="AQ1447" s="54"/>
      <c r="BA1447" s="54"/>
    </row>
    <row r="1448" spans="43:53" x14ac:dyDescent="0.35">
      <c r="AQ1448" s="54"/>
      <c r="BA1448" s="54"/>
    </row>
    <row r="1449" spans="43:53" x14ac:dyDescent="0.35">
      <c r="AQ1449" s="54"/>
      <c r="BA1449" s="54"/>
    </row>
    <row r="1450" spans="43:53" x14ac:dyDescent="0.35">
      <c r="AQ1450" s="54"/>
      <c r="BA1450" s="54"/>
    </row>
    <row r="1451" spans="43:53" x14ac:dyDescent="0.35">
      <c r="AQ1451" s="54"/>
      <c r="BA1451" s="54"/>
    </row>
    <row r="1452" spans="43:53" x14ac:dyDescent="0.35">
      <c r="AQ1452" s="54"/>
      <c r="BA1452" s="54"/>
    </row>
    <row r="1453" spans="43:53" x14ac:dyDescent="0.35">
      <c r="AQ1453" s="54"/>
      <c r="BA1453" s="54"/>
    </row>
    <row r="1454" spans="43:53" x14ac:dyDescent="0.35">
      <c r="AQ1454" s="54"/>
      <c r="BA1454" s="54"/>
    </row>
    <row r="1455" spans="43:53" x14ac:dyDescent="0.35">
      <c r="AQ1455" s="54"/>
      <c r="BA1455" s="54"/>
    </row>
    <row r="1456" spans="43:53" x14ac:dyDescent="0.35">
      <c r="AQ1456" s="54"/>
      <c r="BA1456" s="54"/>
    </row>
    <row r="1457" spans="43:53" x14ac:dyDescent="0.35">
      <c r="AQ1457" s="54"/>
      <c r="BA1457" s="54"/>
    </row>
    <row r="1458" spans="43:53" x14ac:dyDescent="0.35">
      <c r="AQ1458" s="54"/>
      <c r="BA1458" s="54"/>
    </row>
    <row r="1459" spans="43:53" x14ac:dyDescent="0.35">
      <c r="AQ1459" s="54"/>
      <c r="BA1459" s="54"/>
    </row>
    <row r="1460" spans="43:53" x14ac:dyDescent="0.35">
      <c r="AQ1460" s="54"/>
      <c r="BA1460" s="54"/>
    </row>
    <row r="1461" spans="43:53" x14ac:dyDescent="0.35">
      <c r="AQ1461" s="54"/>
      <c r="BA1461" s="54"/>
    </row>
    <row r="1462" spans="43:53" x14ac:dyDescent="0.35">
      <c r="AQ1462" s="54"/>
      <c r="BA1462" s="54"/>
    </row>
    <row r="1463" spans="43:53" x14ac:dyDescent="0.35">
      <c r="AQ1463" s="54"/>
      <c r="BA1463" s="54"/>
    </row>
    <row r="1464" spans="43:53" x14ac:dyDescent="0.35">
      <c r="AQ1464" s="54"/>
      <c r="BA1464" s="54"/>
    </row>
    <row r="1465" spans="43:53" x14ac:dyDescent="0.35">
      <c r="AQ1465" s="54"/>
      <c r="BA1465" s="54"/>
    </row>
    <row r="1466" spans="43:53" x14ac:dyDescent="0.35">
      <c r="AQ1466" s="54"/>
      <c r="BA1466" s="54"/>
    </row>
    <row r="1467" spans="43:53" x14ac:dyDescent="0.35">
      <c r="AQ1467" s="54"/>
      <c r="BA1467" s="54"/>
    </row>
    <row r="1468" spans="43:53" x14ac:dyDescent="0.35">
      <c r="AQ1468" s="54"/>
      <c r="BA1468" s="54"/>
    </row>
    <row r="1469" spans="43:53" x14ac:dyDescent="0.35">
      <c r="AQ1469" s="54"/>
      <c r="BA1469" s="54"/>
    </row>
    <row r="1470" spans="43:53" x14ac:dyDescent="0.35">
      <c r="AQ1470" s="54"/>
      <c r="BA1470" s="54"/>
    </row>
    <row r="1471" spans="43:53" x14ac:dyDescent="0.35">
      <c r="AQ1471" s="54"/>
      <c r="BA1471" s="54"/>
    </row>
    <row r="1472" spans="43:53" x14ac:dyDescent="0.35">
      <c r="AQ1472" s="54"/>
      <c r="BA1472" s="54"/>
    </row>
    <row r="1473" spans="43:53" x14ac:dyDescent="0.35">
      <c r="AQ1473" s="54"/>
      <c r="BA1473" s="54"/>
    </row>
    <row r="1474" spans="43:53" x14ac:dyDescent="0.35">
      <c r="AQ1474" s="54"/>
      <c r="BA1474" s="54"/>
    </row>
    <row r="1475" spans="43:53" x14ac:dyDescent="0.35">
      <c r="AQ1475" s="54"/>
      <c r="BA1475" s="54"/>
    </row>
    <row r="1476" spans="43:53" x14ac:dyDescent="0.35">
      <c r="AQ1476" s="54"/>
      <c r="BA1476" s="54"/>
    </row>
    <row r="1477" spans="43:53" x14ac:dyDescent="0.35">
      <c r="AQ1477" s="54"/>
      <c r="BA1477" s="54"/>
    </row>
    <row r="1478" spans="43:53" x14ac:dyDescent="0.35">
      <c r="AQ1478" s="54"/>
      <c r="BA1478" s="54"/>
    </row>
    <row r="1479" spans="43:53" x14ac:dyDescent="0.35">
      <c r="AQ1479" s="54"/>
      <c r="BA1479" s="54"/>
    </row>
    <row r="1480" spans="43:53" x14ac:dyDescent="0.35">
      <c r="AQ1480" s="54"/>
      <c r="BA1480" s="54"/>
    </row>
    <row r="1481" spans="43:53" x14ac:dyDescent="0.35">
      <c r="AQ1481" s="54"/>
      <c r="BA1481" s="54"/>
    </row>
    <row r="1482" spans="43:53" x14ac:dyDescent="0.35">
      <c r="AQ1482" s="54"/>
      <c r="BA1482" s="54"/>
    </row>
    <row r="1483" spans="43:53" x14ac:dyDescent="0.35">
      <c r="AQ1483" s="54"/>
      <c r="BA1483" s="54"/>
    </row>
    <row r="1484" spans="43:53" x14ac:dyDescent="0.35">
      <c r="AQ1484" s="54"/>
      <c r="BA1484" s="54"/>
    </row>
    <row r="1485" spans="43:53" x14ac:dyDescent="0.35">
      <c r="AQ1485" s="54"/>
      <c r="BA1485" s="54"/>
    </row>
    <row r="1486" spans="43:53" x14ac:dyDescent="0.35">
      <c r="AQ1486" s="54"/>
      <c r="BA1486" s="54"/>
    </row>
    <row r="1487" spans="43:53" x14ac:dyDescent="0.35">
      <c r="AQ1487" s="54"/>
      <c r="BA1487" s="54"/>
    </row>
    <row r="1488" spans="43:53" x14ac:dyDescent="0.35">
      <c r="AQ1488" s="54"/>
      <c r="BA1488" s="54"/>
    </row>
    <row r="1489" spans="43:53" x14ac:dyDescent="0.35">
      <c r="AQ1489" s="54"/>
      <c r="BA1489" s="54"/>
    </row>
    <row r="1490" spans="43:53" x14ac:dyDescent="0.35">
      <c r="AQ1490" s="54"/>
      <c r="BA1490" s="54"/>
    </row>
    <row r="1491" spans="43:53" x14ac:dyDescent="0.35">
      <c r="AQ1491" s="54"/>
      <c r="BA1491" s="54"/>
    </row>
    <row r="1492" spans="43:53" x14ac:dyDescent="0.35">
      <c r="AQ1492" s="54"/>
      <c r="BA1492" s="54"/>
    </row>
    <row r="1493" spans="43:53" x14ac:dyDescent="0.35">
      <c r="AQ1493" s="54"/>
      <c r="BA1493" s="54"/>
    </row>
    <row r="1494" spans="43:53" x14ac:dyDescent="0.35">
      <c r="AQ1494" s="54"/>
      <c r="BA1494" s="54"/>
    </row>
    <row r="1495" spans="43:53" x14ac:dyDescent="0.35">
      <c r="AQ1495" s="54"/>
      <c r="BA1495" s="54"/>
    </row>
    <row r="1496" spans="43:53" x14ac:dyDescent="0.35">
      <c r="AQ1496" s="54"/>
      <c r="BA1496" s="54"/>
    </row>
    <row r="1497" spans="43:53" x14ac:dyDescent="0.35">
      <c r="AQ1497" s="54"/>
      <c r="BA1497" s="54"/>
    </row>
    <row r="1498" spans="43:53" x14ac:dyDescent="0.35">
      <c r="AQ1498" s="54"/>
      <c r="BA1498" s="54"/>
    </row>
    <row r="1499" spans="43:53" x14ac:dyDescent="0.35">
      <c r="AQ1499" s="54"/>
      <c r="BA1499" s="54"/>
    </row>
    <row r="1500" spans="43:53" x14ac:dyDescent="0.35">
      <c r="AQ1500" s="54"/>
      <c r="BA1500" s="54"/>
    </row>
    <row r="1501" spans="43:53" x14ac:dyDescent="0.35">
      <c r="AQ1501" s="54"/>
      <c r="BA1501" s="54"/>
    </row>
    <row r="1502" spans="43:53" x14ac:dyDescent="0.35">
      <c r="AQ1502" s="54"/>
      <c r="BA1502" s="54"/>
    </row>
    <row r="1503" spans="43:53" x14ac:dyDescent="0.35">
      <c r="AQ1503" s="54"/>
      <c r="BA1503" s="54"/>
    </row>
    <row r="1504" spans="43:53" x14ac:dyDescent="0.35">
      <c r="AQ1504" s="54"/>
      <c r="BA1504" s="54"/>
    </row>
    <row r="1505" spans="43:53" x14ac:dyDescent="0.35">
      <c r="AQ1505" s="54"/>
      <c r="BA1505" s="54"/>
    </row>
    <row r="1506" spans="43:53" x14ac:dyDescent="0.35">
      <c r="AQ1506" s="54"/>
      <c r="BA1506" s="54"/>
    </row>
    <row r="1507" spans="43:53" x14ac:dyDescent="0.35">
      <c r="AQ1507" s="54"/>
      <c r="BA1507" s="54"/>
    </row>
    <row r="1508" spans="43:53" x14ac:dyDescent="0.35">
      <c r="AQ1508" s="54"/>
      <c r="BA1508" s="54"/>
    </row>
    <row r="1509" spans="43:53" x14ac:dyDescent="0.35">
      <c r="AQ1509" s="54"/>
      <c r="BA1509" s="54"/>
    </row>
    <row r="1510" spans="43:53" x14ac:dyDescent="0.35">
      <c r="AQ1510" s="54"/>
      <c r="BA1510" s="54"/>
    </row>
    <row r="1511" spans="43:53" x14ac:dyDescent="0.35">
      <c r="AQ1511" s="54"/>
      <c r="BA1511" s="54"/>
    </row>
    <row r="1512" spans="43:53" x14ac:dyDescent="0.35">
      <c r="AQ1512" s="54"/>
      <c r="BA1512" s="54"/>
    </row>
    <row r="1513" spans="43:53" x14ac:dyDescent="0.35">
      <c r="AQ1513" s="54"/>
      <c r="BA1513" s="54"/>
    </row>
    <row r="1514" spans="43:53" x14ac:dyDescent="0.35">
      <c r="AQ1514" s="54"/>
      <c r="BA1514" s="54"/>
    </row>
    <row r="1515" spans="43:53" x14ac:dyDescent="0.35">
      <c r="AQ1515" s="54"/>
      <c r="BA1515" s="54"/>
    </row>
    <row r="1516" spans="43:53" x14ac:dyDescent="0.35">
      <c r="AQ1516" s="54"/>
      <c r="BA1516" s="54"/>
    </row>
    <row r="1517" spans="43:53" x14ac:dyDescent="0.35">
      <c r="AQ1517" s="54"/>
      <c r="BA1517" s="54"/>
    </row>
    <row r="1518" spans="43:53" x14ac:dyDescent="0.35">
      <c r="AQ1518" s="54"/>
      <c r="BA1518" s="54"/>
    </row>
    <row r="1519" spans="43:53" x14ac:dyDescent="0.35">
      <c r="AQ1519" s="54"/>
      <c r="BA1519" s="54"/>
    </row>
    <row r="1520" spans="43:53" x14ac:dyDescent="0.35">
      <c r="AQ1520" s="54"/>
      <c r="BA1520" s="54"/>
    </row>
    <row r="1521" spans="43:53" x14ac:dyDescent="0.35">
      <c r="AQ1521" s="54"/>
      <c r="BA1521" s="54"/>
    </row>
    <row r="1522" spans="43:53" x14ac:dyDescent="0.35">
      <c r="AQ1522" s="54"/>
      <c r="BA1522" s="54"/>
    </row>
    <row r="1523" spans="43:53" x14ac:dyDescent="0.35">
      <c r="AQ1523" s="54"/>
      <c r="BA1523" s="54"/>
    </row>
    <row r="1524" spans="43:53" x14ac:dyDescent="0.35">
      <c r="AQ1524" s="54"/>
      <c r="BA1524" s="54"/>
    </row>
    <row r="1525" spans="43:53" x14ac:dyDescent="0.35">
      <c r="AQ1525" s="54"/>
      <c r="BA1525" s="54"/>
    </row>
    <row r="1526" spans="43:53" x14ac:dyDescent="0.35">
      <c r="AQ1526" s="54"/>
      <c r="BA1526" s="54"/>
    </row>
    <row r="1527" spans="43:53" x14ac:dyDescent="0.35">
      <c r="AQ1527" s="54"/>
      <c r="BA1527" s="54"/>
    </row>
    <row r="1528" spans="43:53" x14ac:dyDescent="0.35">
      <c r="AQ1528" s="54"/>
      <c r="BA1528" s="54"/>
    </row>
    <row r="1529" spans="43:53" x14ac:dyDescent="0.35">
      <c r="AQ1529" s="54"/>
      <c r="BA1529" s="54"/>
    </row>
    <row r="1530" spans="43:53" x14ac:dyDescent="0.35">
      <c r="AQ1530" s="54"/>
      <c r="BA1530" s="54"/>
    </row>
    <row r="1531" spans="43:53" x14ac:dyDescent="0.35">
      <c r="AQ1531" s="54"/>
      <c r="BA1531" s="54"/>
    </row>
    <row r="1532" spans="43:53" x14ac:dyDescent="0.35">
      <c r="AQ1532" s="54"/>
      <c r="BA1532" s="54"/>
    </row>
    <row r="1533" spans="43:53" x14ac:dyDescent="0.35">
      <c r="AQ1533" s="54"/>
      <c r="BA1533" s="54"/>
    </row>
    <row r="1534" spans="43:53" x14ac:dyDescent="0.35">
      <c r="AQ1534" s="54"/>
      <c r="BA1534" s="54"/>
    </row>
    <row r="1535" spans="43:53" x14ac:dyDescent="0.35">
      <c r="AQ1535" s="54"/>
      <c r="BA1535" s="54"/>
    </row>
    <row r="1536" spans="43:53" x14ac:dyDescent="0.35">
      <c r="AQ1536" s="54"/>
      <c r="BA1536" s="54"/>
    </row>
    <row r="1537" spans="43:53" x14ac:dyDescent="0.35">
      <c r="AQ1537" s="54"/>
      <c r="BA1537" s="54"/>
    </row>
    <row r="1538" spans="43:53" x14ac:dyDescent="0.35">
      <c r="AQ1538" s="54"/>
      <c r="BA1538" s="54"/>
    </row>
    <row r="1539" spans="43:53" x14ac:dyDescent="0.35">
      <c r="AQ1539" s="54"/>
      <c r="BA1539" s="54"/>
    </row>
    <row r="1540" spans="43:53" x14ac:dyDescent="0.35">
      <c r="AQ1540" s="54"/>
      <c r="BA1540" s="54"/>
    </row>
    <row r="1541" spans="43:53" x14ac:dyDescent="0.35">
      <c r="AQ1541" s="54"/>
      <c r="BA1541" s="54"/>
    </row>
    <row r="1542" spans="43:53" x14ac:dyDescent="0.35">
      <c r="AQ1542" s="54"/>
      <c r="BA1542" s="54"/>
    </row>
    <row r="1543" spans="43:53" x14ac:dyDescent="0.35">
      <c r="AQ1543" s="54"/>
      <c r="BA1543" s="54"/>
    </row>
    <row r="1544" spans="43:53" x14ac:dyDescent="0.35">
      <c r="AQ1544" s="54"/>
      <c r="BA1544" s="54"/>
    </row>
    <row r="1545" spans="43:53" x14ac:dyDescent="0.35">
      <c r="AQ1545" s="54"/>
      <c r="BA1545" s="54"/>
    </row>
    <row r="1546" spans="43:53" x14ac:dyDescent="0.35">
      <c r="AQ1546" s="54"/>
      <c r="BA1546" s="54"/>
    </row>
    <row r="1547" spans="43:53" x14ac:dyDescent="0.35">
      <c r="AQ1547" s="54"/>
      <c r="BA1547" s="54"/>
    </row>
    <row r="1548" spans="43:53" x14ac:dyDescent="0.35">
      <c r="AQ1548" s="54"/>
      <c r="BA1548" s="54"/>
    </row>
    <row r="1549" spans="43:53" x14ac:dyDescent="0.35">
      <c r="AQ1549" s="54"/>
      <c r="BA1549" s="54"/>
    </row>
    <row r="1550" spans="43:53" x14ac:dyDescent="0.35">
      <c r="AQ1550" s="54"/>
      <c r="BA1550" s="54"/>
    </row>
    <row r="1551" spans="43:53" x14ac:dyDescent="0.35">
      <c r="AQ1551" s="54"/>
      <c r="BA1551" s="54"/>
    </row>
    <row r="1552" spans="43:53" x14ac:dyDescent="0.35">
      <c r="AQ1552" s="54"/>
      <c r="BA1552" s="54"/>
    </row>
    <row r="1553" spans="43:53" x14ac:dyDescent="0.35">
      <c r="AQ1553" s="54"/>
      <c r="BA1553" s="54"/>
    </row>
    <row r="1554" spans="43:53" x14ac:dyDescent="0.35">
      <c r="AQ1554" s="54"/>
      <c r="BA1554" s="54"/>
    </row>
    <row r="1555" spans="43:53" x14ac:dyDescent="0.35">
      <c r="AQ1555" s="54"/>
      <c r="BA1555" s="54"/>
    </row>
    <row r="1556" spans="43:53" x14ac:dyDescent="0.35">
      <c r="AQ1556" s="54"/>
      <c r="BA1556" s="54"/>
    </row>
    <row r="1557" spans="43:53" x14ac:dyDescent="0.35">
      <c r="AQ1557" s="54"/>
      <c r="BA1557" s="54"/>
    </row>
    <row r="1558" spans="43:53" x14ac:dyDescent="0.35">
      <c r="AQ1558" s="54"/>
      <c r="BA1558" s="54"/>
    </row>
    <row r="1559" spans="43:53" x14ac:dyDescent="0.35">
      <c r="AQ1559" s="54"/>
      <c r="BA1559" s="54"/>
    </row>
    <row r="1560" spans="43:53" x14ac:dyDescent="0.35">
      <c r="AQ1560" s="54"/>
      <c r="BA1560" s="54"/>
    </row>
    <row r="1561" spans="43:53" x14ac:dyDescent="0.35">
      <c r="AQ1561" s="54"/>
      <c r="BA1561" s="54"/>
    </row>
    <row r="1562" spans="43:53" x14ac:dyDescent="0.35">
      <c r="AQ1562" s="54"/>
      <c r="BA1562" s="54"/>
    </row>
    <row r="1563" spans="43:53" x14ac:dyDescent="0.35">
      <c r="AQ1563" s="54"/>
      <c r="BA1563" s="54"/>
    </row>
    <row r="1564" spans="43:53" x14ac:dyDescent="0.35">
      <c r="AQ1564" s="54"/>
      <c r="BA1564" s="54"/>
    </row>
    <row r="1565" spans="43:53" x14ac:dyDescent="0.35">
      <c r="AQ1565" s="54"/>
      <c r="BA1565" s="54"/>
    </row>
    <row r="1566" spans="43:53" x14ac:dyDescent="0.35">
      <c r="AQ1566" s="54"/>
      <c r="BA1566" s="54"/>
    </row>
    <row r="1567" spans="43:53" x14ac:dyDescent="0.35">
      <c r="AQ1567" s="54"/>
      <c r="BA1567" s="54"/>
    </row>
    <row r="1568" spans="43:53" x14ac:dyDescent="0.35">
      <c r="AQ1568" s="54"/>
      <c r="BA1568" s="54"/>
    </row>
    <row r="1569" spans="43:53" x14ac:dyDescent="0.35">
      <c r="AQ1569" s="54"/>
      <c r="BA1569" s="54"/>
    </row>
    <row r="1570" spans="43:53" x14ac:dyDescent="0.35">
      <c r="AQ1570" s="54"/>
      <c r="BA1570" s="54"/>
    </row>
    <row r="1571" spans="43:53" x14ac:dyDescent="0.35">
      <c r="AQ1571" s="54"/>
      <c r="BA1571" s="54"/>
    </row>
    <row r="1572" spans="43:53" x14ac:dyDescent="0.35">
      <c r="AQ1572" s="54"/>
      <c r="BA1572" s="54"/>
    </row>
    <row r="1573" spans="43:53" x14ac:dyDescent="0.35">
      <c r="AQ1573" s="54"/>
      <c r="BA1573" s="54"/>
    </row>
    <row r="1574" spans="43:53" x14ac:dyDescent="0.35">
      <c r="AQ1574" s="54"/>
      <c r="BA1574" s="54"/>
    </row>
    <row r="1575" spans="43:53" x14ac:dyDescent="0.35">
      <c r="AQ1575" s="54"/>
      <c r="BA1575" s="54"/>
    </row>
    <row r="1576" spans="43:53" x14ac:dyDescent="0.35">
      <c r="AQ1576" s="54"/>
      <c r="BA1576" s="54"/>
    </row>
    <row r="1577" spans="43:53" x14ac:dyDescent="0.35">
      <c r="AQ1577" s="54"/>
      <c r="BA1577" s="54"/>
    </row>
    <row r="1578" spans="43:53" x14ac:dyDescent="0.35">
      <c r="AQ1578" s="54"/>
      <c r="BA1578" s="54"/>
    </row>
    <row r="1579" spans="43:53" x14ac:dyDescent="0.35">
      <c r="AQ1579" s="54"/>
      <c r="BA1579" s="54"/>
    </row>
    <row r="1580" spans="43:53" x14ac:dyDescent="0.35">
      <c r="AQ1580" s="54"/>
      <c r="BA1580" s="54"/>
    </row>
    <row r="1581" spans="43:53" x14ac:dyDescent="0.35">
      <c r="AQ1581" s="54"/>
      <c r="BA1581" s="54"/>
    </row>
    <row r="1582" spans="43:53" x14ac:dyDescent="0.35">
      <c r="AQ1582" s="54"/>
      <c r="BA1582" s="54"/>
    </row>
    <row r="1583" spans="43:53" x14ac:dyDescent="0.35">
      <c r="AQ1583" s="54"/>
      <c r="BA1583" s="54"/>
    </row>
    <row r="1584" spans="43:53" x14ac:dyDescent="0.35">
      <c r="AQ1584" s="54"/>
      <c r="BA1584" s="54"/>
    </row>
    <row r="1585" spans="43:53" x14ac:dyDescent="0.35">
      <c r="AQ1585" s="54"/>
      <c r="BA1585" s="54"/>
    </row>
    <row r="1586" spans="43:53" x14ac:dyDescent="0.35">
      <c r="AQ1586" s="54"/>
      <c r="BA1586" s="54"/>
    </row>
    <row r="1587" spans="43:53" x14ac:dyDescent="0.35">
      <c r="AQ1587" s="54"/>
      <c r="BA1587" s="54"/>
    </row>
    <row r="1588" spans="43:53" x14ac:dyDescent="0.35">
      <c r="AQ1588" s="54"/>
      <c r="BA1588" s="54"/>
    </row>
    <row r="1589" spans="43:53" x14ac:dyDescent="0.35">
      <c r="AQ1589" s="54"/>
      <c r="BA1589" s="54"/>
    </row>
    <row r="1590" spans="43:53" x14ac:dyDescent="0.35">
      <c r="AQ1590" s="54"/>
      <c r="BA1590" s="54"/>
    </row>
    <row r="1591" spans="43:53" x14ac:dyDescent="0.35">
      <c r="AQ1591" s="54"/>
      <c r="BA1591" s="54"/>
    </row>
    <row r="1592" spans="43:53" x14ac:dyDescent="0.35">
      <c r="AQ1592" s="54"/>
      <c r="BA1592" s="54"/>
    </row>
    <row r="1593" spans="43:53" x14ac:dyDescent="0.35">
      <c r="AQ1593" s="54"/>
      <c r="BA1593" s="54"/>
    </row>
    <row r="1594" spans="43:53" x14ac:dyDescent="0.35">
      <c r="AQ1594" s="54"/>
      <c r="BA1594" s="54"/>
    </row>
    <row r="1595" spans="43:53" x14ac:dyDescent="0.35">
      <c r="AQ1595" s="54"/>
      <c r="BA1595" s="54"/>
    </row>
    <row r="1596" spans="43:53" x14ac:dyDescent="0.35">
      <c r="AQ1596" s="54"/>
      <c r="BA1596" s="54"/>
    </row>
    <row r="1597" spans="43:53" x14ac:dyDescent="0.35">
      <c r="AQ1597" s="54"/>
      <c r="BA1597" s="54"/>
    </row>
    <row r="1598" spans="43:53" x14ac:dyDescent="0.35">
      <c r="AQ1598" s="54"/>
      <c r="BA1598" s="54"/>
    </row>
    <row r="1599" spans="43:53" x14ac:dyDescent="0.35">
      <c r="AQ1599" s="54"/>
      <c r="BA1599" s="54"/>
    </row>
    <row r="1600" spans="43:53" x14ac:dyDescent="0.35">
      <c r="AQ1600" s="54"/>
      <c r="BA1600" s="54"/>
    </row>
    <row r="1601" spans="43:53" x14ac:dyDescent="0.35">
      <c r="AQ1601" s="54"/>
      <c r="BA1601" s="54"/>
    </row>
    <row r="1602" spans="43:53" x14ac:dyDescent="0.35">
      <c r="AQ1602" s="54"/>
      <c r="BA1602" s="54"/>
    </row>
    <row r="1603" spans="43:53" x14ac:dyDescent="0.35">
      <c r="AQ1603" s="54"/>
      <c r="BA1603" s="54"/>
    </row>
    <row r="1604" spans="43:53" x14ac:dyDescent="0.35">
      <c r="AQ1604" s="54"/>
      <c r="BA1604" s="54"/>
    </row>
    <row r="1605" spans="43:53" x14ac:dyDescent="0.35">
      <c r="AQ1605" s="54"/>
      <c r="BA1605" s="54"/>
    </row>
    <row r="1606" spans="43:53" x14ac:dyDescent="0.35">
      <c r="AQ1606" s="54"/>
      <c r="BA1606" s="54"/>
    </row>
    <row r="1607" spans="43:53" x14ac:dyDescent="0.35">
      <c r="AQ1607" s="54"/>
      <c r="BA1607" s="54"/>
    </row>
    <row r="1608" spans="43:53" x14ac:dyDescent="0.35">
      <c r="AQ1608" s="54"/>
      <c r="BA1608" s="54"/>
    </row>
    <row r="1609" spans="43:53" x14ac:dyDescent="0.35">
      <c r="AQ1609" s="54"/>
      <c r="BA1609" s="54"/>
    </row>
    <row r="1610" spans="43:53" x14ac:dyDescent="0.35">
      <c r="AQ1610" s="54"/>
      <c r="BA1610" s="54"/>
    </row>
    <row r="1611" spans="43:53" x14ac:dyDescent="0.35">
      <c r="AQ1611" s="54"/>
      <c r="BA1611" s="54"/>
    </row>
    <row r="1612" spans="43:53" x14ac:dyDescent="0.35">
      <c r="AQ1612" s="54"/>
      <c r="BA1612" s="54"/>
    </row>
    <row r="1613" spans="43:53" x14ac:dyDescent="0.35">
      <c r="AQ1613" s="54"/>
      <c r="BA1613" s="54"/>
    </row>
    <row r="1614" spans="43:53" x14ac:dyDescent="0.35">
      <c r="AQ1614" s="54"/>
      <c r="BA1614" s="54"/>
    </row>
    <row r="1615" spans="43:53" x14ac:dyDescent="0.35">
      <c r="AQ1615" s="54"/>
      <c r="BA1615" s="54"/>
    </row>
    <row r="1616" spans="43:53" x14ac:dyDescent="0.35">
      <c r="AQ1616" s="54"/>
      <c r="BA1616" s="54"/>
    </row>
    <row r="1617" spans="43:53" x14ac:dyDescent="0.35">
      <c r="AQ1617" s="54"/>
      <c r="BA1617" s="54"/>
    </row>
    <row r="1618" spans="43:53" x14ac:dyDescent="0.35">
      <c r="AQ1618" s="54"/>
      <c r="BA1618" s="54"/>
    </row>
    <row r="1619" spans="43:53" x14ac:dyDescent="0.35">
      <c r="AQ1619" s="54"/>
      <c r="BA1619" s="54"/>
    </row>
    <row r="1620" spans="43:53" x14ac:dyDescent="0.35">
      <c r="AQ1620" s="54"/>
      <c r="BA1620" s="54"/>
    </row>
    <row r="1621" spans="43:53" x14ac:dyDescent="0.35">
      <c r="AQ1621" s="54"/>
      <c r="BA1621" s="54"/>
    </row>
    <row r="1622" spans="43:53" x14ac:dyDescent="0.35">
      <c r="AQ1622" s="54"/>
      <c r="BA1622" s="54"/>
    </row>
    <row r="1623" spans="43:53" x14ac:dyDescent="0.35">
      <c r="AQ1623" s="54"/>
      <c r="BA1623" s="54"/>
    </row>
    <row r="1624" spans="43:53" x14ac:dyDescent="0.35">
      <c r="AQ1624" s="54"/>
      <c r="BA1624" s="54"/>
    </row>
    <row r="1625" spans="43:53" x14ac:dyDescent="0.35">
      <c r="AQ1625" s="54"/>
      <c r="BA1625" s="54"/>
    </row>
    <row r="1626" spans="43:53" x14ac:dyDescent="0.35">
      <c r="AQ1626" s="54"/>
      <c r="BA1626" s="54"/>
    </row>
    <row r="1627" spans="43:53" x14ac:dyDescent="0.35">
      <c r="AQ1627" s="54"/>
      <c r="BA1627" s="54"/>
    </row>
    <row r="1628" spans="43:53" x14ac:dyDescent="0.35">
      <c r="AQ1628" s="54"/>
      <c r="BA1628" s="54"/>
    </row>
    <row r="1629" spans="43:53" x14ac:dyDescent="0.35">
      <c r="AQ1629" s="54"/>
      <c r="BA1629" s="54"/>
    </row>
    <row r="1630" spans="43:53" x14ac:dyDescent="0.35">
      <c r="AQ1630" s="54"/>
      <c r="BA1630" s="54"/>
    </row>
    <row r="1631" spans="43:53" x14ac:dyDescent="0.35">
      <c r="AQ1631" s="54"/>
      <c r="BA1631" s="54"/>
    </row>
    <row r="1632" spans="43:53" x14ac:dyDescent="0.35">
      <c r="AQ1632" s="54"/>
      <c r="BA1632" s="54"/>
    </row>
    <row r="1633" spans="43:53" x14ac:dyDescent="0.35">
      <c r="AQ1633" s="54"/>
      <c r="BA1633" s="54"/>
    </row>
    <row r="1634" spans="43:53" x14ac:dyDescent="0.35">
      <c r="AQ1634" s="54"/>
      <c r="BA1634" s="54"/>
    </row>
    <row r="1635" spans="43:53" x14ac:dyDescent="0.35">
      <c r="AQ1635" s="54"/>
      <c r="BA1635" s="54"/>
    </row>
    <row r="1636" spans="43:53" x14ac:dyDescent="0.35">
      <c r="AQ1636" s="54"/>
      <c r="BA1636" s="54"/>
    </row>
    <row r="1637" spans="43:53" x14ac:dyDescent="0.35">
      <c r="AQ1637" s="54"/>
      <c r="BA1637" s="54"/>
    </row>
    <row r="1638" spans="43:53" x14ac:dyDescent="0.35">
      <c r="AQ1638" s="54"/>
      <c r="BA1638" s="54"/>
    </row>
    <row r="1639" spans="43:53" x14ac:dyDescent="0.35">
      <c r="AQ1639" s="54"/>
      <c r="BA1639" s="54"/>
    </row>
    <row r="1640" spans="43:53" x14ac:dyDescent="0.35">
      <c r="AQ1640" s="54"/>
      <c r="BA1640" s="54"/>
    </row>
    <row r="1641" spans="43:53" x14ac:dyDescent="0.35">
      <c r="AQ1641" s="54"/>
      <c r="BA1641" s="54"/>
    </row>
    <row r="1642" spans="43:53" x14ac:dyDescent="0.35">
      <c r="AQ1642" s="54"/>
      <c r="BA1642" s="54"/>
    </row>
    <row r="1643" spans="43:53" x14ac:dyDescent="0.35">
      <c r="AQ1643" s="54"/>
      <c r="BA1643" s="54"/>
    </row>
    <row r="1644" spans="43:53" x14ac:dyDescent="0.35">
      <c r="AQ1644" s="54"/>
      <c r="BA1644" s="54"/>
    </row>
    <row r="1645" spans="43:53" x14ac:dyDescent="0.35">
      <c r="AQ1645" s="54"/>
      <c r="BA1645" s="54"/>
    </row>
    <row r="1646" spans="43:53" x14ac:dyDescent="0.35">
      <c r="AQ1646" s="54"/>
      <c r="BA1646" s="54"/>
    </row>
    <row r="1647" spans="43:53" x14ac:dyDescent="0.35">
      <c r="AQ1647" s="54"/>
      <c r="BA1647" s="54"/>
    </row>
    <row r="1648" spans="43:53" x14ac:dyDescent="0.35">
      <c r="AQ1648" s="54"/>
      <c r="BA1648" s="54"/>
    </row>
    <row r="1649" spans="43:53" x14ac:dyDescent="0.35">
      <c r="AQ1649" s="54"/>
      <c r="BA1649" s="54"/>
    </row>
    <row r="1650" spans="43:53" x14ac:dyDescent="0.35">
      <c r="AQ1650" s="54"/>
      <c r="BA1650" s="54"/>
    </row>
    <row r="1651" spans="43:53" x14ac:dyDescent="0.35">
      <c r="AQ1651" s="54"/>
      <c r="BA1651" s="54"/>
    </row>
    <row r="1652" spans="43:53" x14ac:dyDescent="0.35">
      <c r="AQ1652" s="54"/>
      <c r="BA1652" s="54"/>
    </row>
    <row r="1653" spans="43:53" x14ac:dyDescent="0.35">
      <c r="AQ1653" s="54"/>
      <c r="BA1653" s="54"/>
    </row>
    <row r="1654" spans="43:53" x14ac:dyDescent="0.35">
      <c r="AQ1654" s="54"/>
      <c r="BA1654" s="54"/>
    </row>
    <row r="1655" spans="43:53" x14ac:dyDescent="0.35">
      <c r="AQ1655" s="54"/>
      <c r="BA1655" s="54"/>
    </row>
    <row r="1656" spans="43:53" x14ac:dyDescent="0.35">
      <c r="AQ1656" s="54"/>
      <c r="BA1656" s="54"/>
    </row>
    <row r="1657" spans="43:53" x14ac:dyDescent="0.35">
      <c r="AQ1657" s="54"/>
      <c r="BA1657" s="54"/>
    </row>
    <row r="1658" spans="43:53" x14ac:dyDescent="0.35">
      <c r="AQ1658" s="54"/>
      <c r="BA1658" s="54"/>
    </row>
    <row r="1659" spans="43:53" x14ac:dyDescent="0.35">
      <c r="AQ1659" s="54"/>
      <c r="BA1659" s="54"/>
    </row>
    <row r="1660" spans="43:53" x14ac:dyDescent="0.35">
      <c r="AQ1660" s="54"/>
      <c r="BA1660" s="54"/>
    </row>
    <row r="1661" spans="43:53" x14ac:dyDescent="0.35">
      <c r="AQ1661" s="54"/>
      <c r="BA1661" s="54"/>
    </row>
    <row r="1662" spans="43:53" x14ac:dyDescent="0.35">
      <c r="AQ1662" s="54"/>
      <c r="BA1662" s="54"/>
    </row>
    <row r="1663" spans="43:53" x14ac:dyDescent="0.35">
      <c r="AQ1663" s="54"/>
      <c r="BA1663" s="54"/>
    </row>
    <row r="1664" spans="43:53" x14ac:dyDescent="0.35">
      <c r="AQ1664" s="54"/>
      <c r="BA1664" s="54"/>
    </row>
    <row r="1665" spans="43:53" x14ac:dyDescent="0.35">
      <c r="AQ1665" s="54"/>
      <c r="BA1665" s="54"/>
    </row>
    <row r="1666" spans="43:53" x14ac:dyDescent="0.35">
      <c r="AQ1666" s="54"/>
      <c r="BA1666" s="54"/>
    </row>
    <row r="1667" spans="43:53" x14ac:dyDescent="0.35">
      <c r="AQ1667" s="54"/>
      <c r="BA1667" s="54"/>
    </row>
    <row r="1668" spans="43:53" x14ac:dyDescent="0.35">
      <c r="AQ1668" s="54"/>
      <c r="BA1668" s="54"/>
    </row>
    <row r="1669" spans="43:53" x14ac:dyDescent="0.35">
      <c r="AQ1669" s="54"/>
      <c r="BA1669" s="54"/>
    </row>
    <row r="1670" spans="43:53" x14ac:dyDescent="0.35">
      <c r="AQ1670" s="54"/>
      <c r="BA1670" s="54"/>
    </row>
    <row r="1671" spans="43:53" x14ac:dyDescent="0.35">
      <c r="AQ1671" s="54"/>
      <c r="BA1671" s="54"/>
    </row>
    <row r="1672" spans="43:53" x14ac:dyDescent="0.35">
      <c r="AQ1672" s="54"/>
      <c r="BA1672" s="54"/>
    </row>
    <row r="1673" spans="43:53" x14ac:dyDescent="0.35">
      <c r="AQ1673" s="54"/>
      <c r="BA1673" s="54"/>
    </row>
    <row r="1674" spans="43:53" x14ac:dyDescent="0.35">
      <c r="AQ1674" s="54"/>
      <c r="BA1674" s="54"/>
    </row>
    <row r="1675" spans="43:53" x14ac:dyDescent="0.35">
      <c r="AQ1675" s="54"/>
      <c r="BA1675" s="54"/>
    </row>
    <row r="1676" spans="43:53" x14ac:dyDescent="0.35">
      <c r="AQ1676" s="54"/>
      <c r="BA1676" s="54"/>
    </row>
    <row r="1677" spans="43:53" x14ac:dyDescent="0.35">
      <c r="AQ1677" s="54"/>
      <c r="BA1677" s="54"/>
    </row>
    <row r="1678" spans="43:53" x14ac:dyDescent="0.35">
      <c r="AQ1678" s="54"/>
      <c r="BA1678" s="54"/>
    </row>
    <row r="1679" spans="43:53" x14ac:dyDescent="0.35">
      <c r="AQ1679" s="54"/>
      <c r="BA1679" s="54"/>
    </row>
    <row r="1680" spans="43:53" x14ac:dyDescent="0.35">
      <c r="AQ1680" s="54"/>
      <c r="BA1680" s="54"/>
    </row>
    <row r="1681" spans="43:53" x14ac:dyDescent="0.35">
      <c r="AQ1681" s="54"/>
      <c r="BA1681" s="54"/>
    </row>
    <row r="1682" spans="43:53" x14ac:dyDescent="0.35">
      <c r="AQ1682" s="54"/>
      <c r="BA1682" s="54"/>
    </row>
    <row r="1683" spans="43:53" x14ac:dyDescent="0.35">
      <c r="AQ1683" s="54"/>
      <c r="BA1683" s="54"/>
    </row>
    <row r="1684" spans="43:53" x14ac:dyDescent="0.35">
      <c r="AQ1684" s="54"/>
      <c r="BA1684" s="54"/>
    </row>
    <row r="1685" spans="43:53" x14ac:dyDescent="0.35">
      <c r="AQ1685" s="54"/>
      <c r="BA1685" s="54"/>
    </row>
    <row r="1686" spans="43:53" x14ac:dyDescent="0.35">
      <c r="AQ1686" s="54"/>
      <c r="BA1686" s="54"/>
    </row>
    <row r="1687" spans="43:53" x14ac:dyDescent="0.35">
      <c r="AQ1687" s="54"/>
      <c r="BA1687" s="54"/>
    </row>
    <row r="1688" spans="43:53" x14ac:dyDescent="0.35">
      <c r="AQ1688" s="54"/>
      <c r="BA1688" s="54"/>
    </row>
    <row r="1689" spans="43:53" x14ac:dyDescent="0.35">
      <c r="AQ1689" s="54"/>
      <c r="BA1689" s="54"/>
    </row>
    <row r="1690" spans="43:53" x14ac:dyDescent="0.35">
      <c r="AQ1690" s="54"/>
      <c r="BA1690" s="54"/>
    </row>
    <row r="1691" spans="43:53" x14ac:dyDescent="0.35">
      <c r="AQ1691" s="54"/>
      <c r="BA1691" s="54"/>
    </row>
    <row r="1692" spans="43:53" x14ac:dyDescent="0.35">
      <c r="AQ1692" s="54"/>
      <c r="BA1692" s="54"/>
    </row>
    <row r="1693" spans="43:53" x14ac:dyDescent="0.35">
      <c r="AQ1693" s="54"/>
      <c r="BA1693" s="54"/>
    </row>
    <row r="1694" spans="43:53" x14ac:dyDescent="0.35">
      <c r="AQ1694" s="54"/>
      <c r="BA1694" s="54"/>
    </row>
    <row r="1695" spans="43:53" x14ac:dyDescent="0.35">
      <c r="AQ1695" s="54"/>
      <c r="BA1695" s="54"/>
    </row>
    <row r="1696" spans="43:53" x14ac:dyDescent="0.35">
      <c r="AQ1696" s="54"/>
      <c r="BA1696" s="54"/>
    </row>
    <row r="1697" spans="43:53" x14ac:dyDescent="0.35">
      <c r="AQ1697" s="54"/>
      <c r="BA1697" s="54"/>
    </row>
    <row r="1698" spans="43:53" x14ac:dyDescent="0.35">
      <c r="AQ1698" s="54"/>
      <c r="BA1698" s="54"/>
    </row>
    <row r="1699" spans="43:53" x14ac:dyDescent="0.35">
      <c r="AQ1699" s="54"/>
      <c r="BA1699" s="54"/>
    </row>
    <row r="1700" spans="43:53" x14ac:dyDescent="0.35">
      <c r="AQ1700" s="54"/>
      <c r="BA1700" s="54"/>
    </row>
    <row r="1701" spans="43:53" x14ac:dyDescent="0.35">
      <c r="AQ1701" s="54"/>
      <c r="BA1701" s="54"/>
    </row>
    <row r="1702" spans="43:53" x14ac:dyDescent="0.35">
      <c r="AQ1702" s="54"/>
      <c r="BA1702" s="54"/>
    </row>
    <row r="1703" spans="43:53" x14ac:dyDescent="0.35">
      <c r="AQ1703" s="54"/>
      <c r="BA1703" s="54"/>
    </row>
    <row r="1704" spans="43:53" x14ac:dyDescent="0.35">
      <c r="AQ1704" s="54"/>
      <c r="BA1704" s="54"/>
    </row>
    <row r="1705" spans="43:53" x14ac:dyDescent="0.35">
      <c r="AQ1705" s="54"/>
      <c r="BA1705" s="54"/>
    </row>
    <row r="1706" spans="43:53" x14ac:dyDescent="0.35">
      <c r="AQ1706" s="54"/>
      <c r="BA1706" s="54"/>
    </row>
    <row r="1707" spans="43:53" x14ac:dyDescent="0.35">
      <c r="AQ1707" s="54"/>
      <c r="BA1707" s="54"/>
    </row>
    <row r="1708" spans="43:53" x14ac:dyDescent="0.35">
      <c r="AQ1708" s="54"/>
      <c r="BA1708" s="54"/>
    </row>
    <row r="1709" spans="43:53" x14ac:dyDescent="0.35">
      <c r="AQ1709" s="54"/>
      <c r="BA1709" s="54"/>
    </row>
    <row r="1710" spans="43:53" x14ac:dyDescent="0.35">
      <c r="AQ1710" s="54"/>
      <c r="BA1710" s="54"/>
    </row>
    <row r="1711" spans="43:53" x14ac:dyDescent="0.35">
      <c r="AQ1711" s="54"/>
      <c r="BA1711" s="54"/>
    </row>
    <row r="1712" spans="43:53" x14ac:dyDescent="0.35">
      <c r="AQ1712" s="54"/>
      <c r="BA1712" s="54"/>
    </row>
    <row r="1713" spans="43:53" x14ac:dyDescent="0.35">
      <c r="AQ1713" s="54"/>
      <c r="BA1713" s="54"/>
    </row>
    <row r="1714" spans="43:53" x14ac:dyDescent="0.35">
      <c r="AQ1714" s="54"/>
      <c r="BA1714" s="54"/>
    </row>
    <row r="1715" spans="43:53" x14ac:dyDescent="0.35">
      <c r="AQ1715" s="54"/>
      <c r="BA1715" s="54"/>
    </row>
    <row r="1716" spans="43:53" x14ac:dyDescent="0.35">
      <c r="AQ1716" s="54"/>
      <c r="BA1716" s="54"/>
    </row>
    <row r="1717" spans="43:53" x14ac:dyDescent="0.35">
      <c r="AQ1717" s="54"/>
      <c r="BA1717" s="54"/>
    </row>
    <row r="1718" spans="43:53" x14ac:dyDescent="0.35">
      <c r="AQ1718" s="54"/>
      <c r="BA1718" s="54"/>
    </row>
    <row r="1719" spans="43:53" x14ac:dyDescent="0.35">
      <c r="AQ1719" s="54"/>
      <c r="BA1719" s="54"/>
    </row>
    <row r="1720" spans="43:53" x14ac:dyDescent="0.35">
      <c r="AQ1720" s="54"/>
      <c r="BA1720" s="54"/>
    </row>
    <row r="1721" spans="43:53" x14ac:dyDescent="0.35">
      <c r="AQ1721" s="54"/>
      <c r="BA1721" s="54"/>
    </row>
    <row r="1722" spans="43:53" x14ac:dyDescent="0.35">
      <c r="AQ1722" s="54"/>
      <c r="BA1722" s="54"/>
    </row>
    <row r="1723" spans="43:53" x14ac:dyDescent="0.35">
      <c r="AQ1723" s="54"/>
      <c r="BA1723" s="54"/>
    </row>
    <row r="1724" spans="43:53" x14ac:dyDescent="0.35">
      <c r="AQ1724" s="54"/>
      <c r="BA1724" s="54"/>
    </row>
    <row r="1725" spans="43:53" x14ac:dyDescent="0.35">
      <c r="AQ1725" s="54"/>
      <c r="BA1725" s="54"/>
    </row>
    <row r="1726" spans="43:53" x14ac:dyDescent="0.35">
      <c r="AQ1726" s="54"/>
      <c r="BA1726" s="54"/>
    </row>
    <row r="1727" spans="43:53" x14ac:dyDescent="0.35">
      <c r="AQ1727" s="54"/>
      <c r="BA1727" s="54"/>
    </row>
    <row r="1728" spans="43:53" x14ac:dyDescent="0.35">
      <c r="AQ1728" s="54"/>
      <c r="BA1728" s="54"/>
    </row>
    <row r="1729" spans="43:53" x14ac:dyDescent="0.35">
      <c r="AQ1729" s="54"/>
      <c r="BA1729" s="54"/>
    </row>
    <row r="1730" spans="43:53" x14ac:dyDescent="0.35">
      <c r="AQ1730" s="54"/>
      <c r="BA1730" s="54"/>
    </row>
    <row r="1731" spans="43:53" x14ac:dyDescent="0.35">
      <c r="AQ1731" s="54"/>
      <c r="BA1731" s="54"/>
    </row>
    <row r="1732" spans="43:53" x14ac:dyDescent="0.35">
      <c r="AQ1732" s="54"/>
      <c r="BA1732" s="54"/>
    </row>
    <row r="1733" spans="43:53" x14ac:dyDescent="0.35">
      <c r="AQ1733" s="54"/>
      <c r="BA1733" s="54"/>
    </row>
    <row r="1734" spans="43:53" x14ac:dyDescent="0.35">
      <c r="AQ1734" s="54"/>
      <c r="BA1734" s="54"/>
    </row>
    <row r="1735" spans="43:53" x14ac:dyDescent="0.35">
      <c r="AQ1735" s="54"/>
      <c r="BA1735" s="54"/>
    </row>
    <row r="1736" spans="43:53" x14ac:dyDescent="0.35">
      <c r="AQ1736" s="54"/>
      <c r="BA1736" s="54"/>
    </row>
    <row r="1737" spans="43:53" x14ac:dyDescent="0.35">
      <c r="AQ1737" s="54"/>
      <c r="BA1737" s="54"/>
    </row>
    <row r="1738" spans="43:53" x14ac:dyDescent="0.35">
      <c r="AQ1738" s="54"/>
      <c r="BA1738" s="54"/>
    </row>
    <row r="1739" spans="43:53" x14ac:dyDescent="0.35">
      <c r="AQ1739" s="54"/>
      <c r="BA1739" s="54"/>
    </row>
    <row r="1740" spans="43:53" x14ac:dyDescent="0.35">
      <c r="AQ1740" s="54"/>
      <c r="BA1740" s="54"/>
    </row>
    <row r="1741" spans="43:53" x14ac:dyDescent="0.35">
      <c r="AQ1741" s="54"/>
      <c r="BA1741" s="54"/>
    </row>
    <row r="1742" spans="43:53" x14ac:dyDescent="0.35">
      <c r="AQ1742" s="54"/>
      <c r="BA1742" s="54"/>
    </row>
    <row r="1743" spans="43:53" x14ac:dyDescent="0.35">
      <c r="AQ1743" s="54"/>
      <c r="BA1743" s="54"/>
    </row>
    <row r="1744" spans="43:53" x14ac:dyDescent="0.35">
      <c r="AQ1744" s="54"/>
      <c r="BA1744" s="54"/>
    </row>
    <row r="1745" spans="43:53" x14ac:dyDescent="0.35">
      <c r="AQ1745" s="54"/>
      <c r="BA1745" s="54"/>
    </row>
    <row r="1746" spans="43:53" x14ac:dyDescent="0.35">
      <c r="AQ1746" s="54"/>
      <c r="BA1746" s="54"/>
    </row>
    <row r="1747" spans="43:53" x14ac:dyDescent="0.35">
      <c r="AQ1747" s="54"/>
      <c r="BA1747" s="54"/>
    </row>
    <row r="1748" spans="43:53" x14ac:dyDescent="0.35">
      <c r="AQ1748" s="54"/>
      <c r="BA1748" s="54"/>
    </row>
    <row r="1749" spans="43:53" x14ac:dyDescent="0.35">
      <c r="AQ1749" s="54"/>
      <c r="BA1749" s="54"/>
    </row>
    <row r="1750" spans="43:53" x14ac:dyDescent="0.35">
      <c r="AQ1750" s="54"/>
      <c r="BA1750" s="54"/>
    </row>
    <row r="1751" spans="43:53" x14ac:dyDescent="0.35">
      <c r="AQ1751" s="54"/>
      <c r="BA1751" s="54"/>
    </row>
    <row r="1752" spans="43:53" x14ac:dyDescent="0.35">
      <c r="AQ1752" s="54"/>
      <c r="BA1752" s="54"/>
    </row>
    <row r="1753" spans="43:53" x14ac:dyDescent="0.35">
      <c r="AQ1753" s="54"/>
      <c r="BA1753" s="54"/>
    </row>
    <row r="1754" spans="43:53" x14ac:dyDescent="0.35">
      <c r="AQ1754" s="54"/>
      <c r="BA1754" s="54"/>
    </row>
    <row r="1755" spans="43:53" x14ac:dyDescent="0.35">
      <c r="AQ1755" s="54"/>
      <c r="BA1755" s="54"/>
    </row>
    <row r="1756" spans="43:53" x14ac:dyDescent="0.35">
      <c r="AQ1756" s="54"/>
      <c r="BA1756" s="54"/>
    </row>
    <row r="1757" spans="43:53" x14ac:dyDescent="0.35">
      <c r="AQ1757" s="54"/>
      <c r="BA1757" s="54"/>
    </row>
    <row r="1758" spans="43:53" x14ac:dyDescent="0.35">
      <c r="AQ1758" s="54"/>
      <c r="BA1758" s="54"/>
    </row>
    <row r="1759" spans="43:53" x14ac:dyDescent="0.35">
      <c r="AQ1759" s="54"/>
      <c r="BA1759" s="54"/>
    </row>
    <row r="1760" spans="43:53" x14ac:dyDescent="0.35">
      <c r="AQ1760" s="54"/>
      <c r="BA1760" s="54"/>
    </row>
    <row r="1761" spans="43:53" x14ac:dyDescent="0.35">
      <c r="AQ1761" s="54"/>
      <c r="BA1761" s="54"/>
    </row>
    <row r="1762" spans="43:53" x14ac:dyDescent="0.35">
      <c r="AQ1762" s="54"/>
      <c r="BA1762" s="54"/>
    </row>
    <row r="1763" spans="43:53" x14ac:dyDescent="0.35">
      <c r="AQ1763" s="54"/>
      <c r="BA1763" s="54"/>
    </row>
    <row r="1764" spans="43:53" x14ac:dyDescent="0.35">
      <c r="AQ1764" s="54"/>
      <c r="BA1764" s="54"/>
    </row>
    <row r="1765" spans="43:53" x14ac:dyDescent="0.35">
      <c r="AQ1765" s="54"/>
      <c r="BA1765" s="54"/>
    </row>
    <row r="1766" spans="43:53" x14ac:dyDescent="0.35">
      <c r="AQ1766" s="54"/>
      <c r="BA1766" s="54"/>
    </row>
    <row r="1767" spans="43:53" x14ac:dyDescent="0.35">
      <c r="AQ1767" s="54"/>
      <c r="BA1767" s="54"/>
    </row>
    <row r="1768" spans="43:53" x14ac:dyDescent="0.35">
      <c r="AQ1768" s="54"/>
      <c r="BA1768" s="54"/>
    </row>
    <row r="1769" spans="43:53" x14ac:dyDescent="0.35">
      <c r="AQ1769" s="54"/>
      <c r="BA1769" s="54"/>
    </row>
    <row r="1770" spans="43:53" x14ac:dyDescent="0.35">
      <c r="AQ1770" s="54"/>
      <c r="BA1770" s="54"/>
    </row>
    <row r="1771" spans="43:53" x14ac:dyDescent="0.35">
      <c r="AQ1771" s="54"/>
      <c r="BA1771" s="54"/>
    </row>
    <row r="1772" spans="43:53" x14ac:dyDescent="0.35">
      <c r="AQ1772" s="54"/>
      <c r="BA1772" s="54"/>
    </row>
    <row r="1773" spans="43:53" x14ac:dyDescent="0.35">
      <c r="AQ1773" s="54"/>
      <c r="BA1773" s="54"/>
    </row>
    <row r="1774" spans="43:53" x14ac:dyDescent="0.35">
      <c r="AQ1774" s="54"/>
      <c r="BA1774" s="54"/>
    </row>
    <row r="1775" spans="43:53" x14ac:dyDescent="0.35">
      <c r="AQ1775" s="54"/>
      <c r="BA1775" s="54"/>
    </row>
    <row r="1776" spans="43:53" x14ac:dyDescent="0.35">
      <c r="AQ1776" s="54"/>
      <c r="BA1776" s="54"/>
    </row>
    <row r="1777" spans="43:53" x14ac:dyDescent="0.35">
      <c r="AQ1777" s="54"/>
      <c r="BA1777" s="54"/>
    </row>
    <row r="1778" spans="43:53" x14ac:dyDescent="0.35">
      <c r="AQ1778" s="54"/>
      <c r="BA1778" s="54"/>
    </row>
    <row r="1779" spans="43:53" x14ac:dyDescent="0.35">
      <c r="AQ1779" s="54"/>
      <c r="BA1779" s="54"/>
    </row>
    <row r="1780" spans="43:53" x14ac:dyDescent="0.35">
      <c r="AQ1780" s="54"/>
      <c r="BA1780" s="54"/>
    </row>
    <row r="1781" spans="43:53" x14ac:dyDescent="0.35">
      <c r="AQ1781" s="54"/>
      <c r="BA1781" s="54"/>
    </row>
    <row r="1782" spans="43:53" x14ac:dyDescent="0.35">
      <c r="AQ1782" s="54"/>
      <c r="BA1782" s="54"/>
    </row>
    <row r="1783" spans="43:53" x14ac:dyDescent="0.35">
      <c r="AQ1783" s="54"/>
      <c r="BA1783" s="54"/>
    </row>
    <row r="1784" spans="43:53" x14ac:dyDescent="0.35">
      <c r="AQ1784" s="54"/>
      <c r="BA1784" s="54"/>
    </row>
    <row r="1785" spans="43:53" x14ac:dyDescent="0.35">
      <c r="AQ1785" s="54"/>
      <c r="BA1785" s="54"/>
    </row>
    <row r="1786" spans="43:53" x14ac:dyDescent="0.35">
      <c r="AQ1786" s="54"/>
      <c r="BA1786" s="54"/>
    </row>
    <row r="1787" spans="43:53" x14ac:dyDescent="0.35">
      <c r="AQ1787" s="54"/>
      <c r="BA1787" s="54"/>
    </row>
    <row r="1788" spans="43:53" x14ac:dyDescent="0.35">
      <c r="AQ1788" s="54"/>
      <c r="BA1788" s="54"/>
    </row>
    <row r="1789" spans="43:53" x14ac:dyDescent="0.35">
      <c r="AQ1789" s="54"/>
      <c r="BA1789" s="54"/>
    </row>
    <row r="1790" spans="43:53" x14ac:dyDescent="0.35">
      <c r="AQ1790" s="54"/>
      <c r="BA1790" s="54"/>
    </row>
    <row r="1791" spans="43:53" x14ac:dyDescent="0.35">
      <c r="AQ1791" s="54"/>
      <c r="BA1791" s="54"/>
    </row>
    <row r="1792" spans="43:53" x14ac:dyDescent="0.35">
      <c r="AQ1792" s="54"/>
      <c r="BA1792" s="54"/>
    </row>
    <row r="1793" spans="43:53" x14ac:dyDescent="0.35">
      <c r="AQ1793" s="54"/>
      <c r="BA1793" s="54"/>
    </row>
    <row r="1794" spans="43:53" x14ac:dyDescent="0.35">
      <c r="AQ1794" s="54"/>
      <c r="BA1794" s="54"/>
    </row>
    <row r="1795" spans="43:53" x14ac:dyDescent="0.35">
      <c r="AQ1795" s="54"/>
      <c r="BA1795" s="54"/>
    </row>
    <row r="1796" spans="43:53" x14ac:dyDescent="0.35">
      <c r="AQ1796" s="54"/>
      <c r="BA1796" s="54"/>
    </row>
    <row r="1797" spans="43:53" x14ac:dyDescent="0.35">
      <c r="AQ1797" s="54"/>
      <c r="BA1797" s="54"/>
    </row>
    <row r="1798" spans="43:53" x14ac:dyDescent="0.35">
      <c r="AQ1798" s="54"/>
      <c r="BA1798" s="54"/>
    </row>
    <row r="1799" spans="43:53" x14ac:dyDescent="0.35">
      <c r="AQ1799" s="54"/>
      <c r="BA1799" s="54"/>
    </row>
    <row r="1800" spans="43:53" x14ac:dyDescent="0.35">
      <c r="AQ1800" s="54"/>
      <c r="BA1800" s="54"/>
    </row>
    <row r="1801" spans="43:53" x14ac:dyDescent="0.35">
      <c r="AQ1801" s="54"/>
      <c r="BA1801" s="54"/>
    </row>
    <row r="1802" spans="43:53" x14ac:dyDescent="0.35">
      <c r="AQ1802" s="54"/>
      <c r="BA1802" s="54"/>
    </row>
    <row r="1803" spans="43:53" x14ac:dyDescent="0.35">
      <c r="AQ1803" s="54"/>
      <c r="BA1803" s="54"/>
    </row>
    <row r="1804" spans="43:53" x14ac:dyDescent="0.35">
      <c r="AQ1804" s="54"/>
      <c r="BA1804" s="54"/>
    </row>
    <row r="1805" spans="43:53" x14ac:dyDescent="0.35">
      <c r="AQ1805" s="54"/>
      <c r="BA1805" s="54"/>
    </row>
    <row r="1806" spans="43:53" x14ac:dyDescent="0.35">
      <c r="AQ1806" s="54"/>
      <c r="BA1806" s="54"/>
    </row>
    <row r="1807" spans="43:53" x14ac:dyDescent="0.35">
      <c r="AQ1807" s="54"/>
      <c r="BA1807" s="54"/>
    </row>
    <row r="1808" spans="43:53" x14ac:dyDescent="0.35">
      <c r="AQ1808" s="54"/>
      <c r="BA1808" s="54"/>
    </row>
    <row r="1809" spans="43:53" x14ac:dyDescent="0.35">
      <c r="AQ1809" s="54"/>
      <c r="BA1809" s="54"/>
    </row>
    <row r="1810" spans="43:53" x14ac:dyDescent="0.35">
      <c r="AQ1810" s="54"/>
      <c r="BA1810" s="54"/>
    </row>
    <row r="1811" spans="43:53" x14ac:dyDescent="0.35">
      <c r="AQ1811" s="54"/>
      <c r="BA1811" s="54"/>
    </row>
    <row r="1812" spans="43:53" x14ac:dyDescent="0.35">
      <c r="AQ1812" s="54"/>
      <c r="BA1812" s="54"/>
    </row>
    <row r="1813" spans="43:53" x14ac:dyDescent="0.35">
      <c r="AQ1813" s="54"/>
      <c r="BA1813" s="54"/>
    </row>
    <row r="1814" spans="43:53" x14ac:dyDescent="0.35">
      <c r="AQ1814" s="54"/>
      <c r="BA1814" s="54"/>
    </row>
    <row r="1815" spans="43:53" x14ac:dyDescent="0.35">
      <c r="AQ1815" s="54"/>
      <c r="BA1815" s="54"/>
    </row>
    <row r="1816" spans="43:53" x14ac:dyDescent="0.35">
      <c r="AQ1816" s="54"/>
      <c r="BA1816" s="54"/>
    </row>
    <row r="1817" spans="43:53" x14ac:dyDescent="0.35">
      <c r="AQ1817" s="54"/>
      <c r="BA1817" s="54"/>
    </row>
    <row r="1818" spans="43:53" x14ac:dyDescent="0.35">
      <c r="AQ1818" s="54"/>
      <c r="BA1818" s="54"/>
    </row>
    <row r="1819" spans="43:53" x14ac:dyDescent="0.35">
      <c r="AQ1819" s="54"/>
      <c r="BA1819" s="54"/>
    </row>
    <row r="1820" spans="43:53" x14ac:dyDescent="0.35">
      <c r="AQ1820" s="54"/>
      <c r="BA1820" s="54"/>
    </row>
    <row r="1821" spans="43:53" x14ac:dyDescent="0.35">
      <c r="AQ1821" s="54"/>
      <c r="BA1821" s="54"/>
    </row>
    <row r="1822" spans="43:53" x14ac:dyDescent="0.35">
      <c r="AQ1822" s="54"/>
      <c r="BA1822" s="54"/>
    </row>
    <row r="1823" spans="43:53" x14ac:dyDescent="0.35">
      <c r="AQ1823" s="54"/>
      <c r="BA1823" s="54"/>
    </row>
    <row r="1824" spans="43:53" x14ac:dyDescent="0.35">
      <c r="AQ1824" s="54"/>
      <c r="BA1824" s="54"/>
    </row>
    <row r="1825" spans="43:53" x14ac:dyDescent="0.35">
      <c r="AQ1825" s="54"/>
      <c r="BA1825" s="54"/>
    </row>
    <row r="1826" spans="43:53" x14ac:dyDescent="0.35">
      <c r="AQ1826" s="54"/>
      <c r="BA1826" s="54"/>
    </row>
    <row r="1827" spans="43:53" x14ac:dyDescent="0.35">
      <c r="AQ1827" s="54"/>
      <c r="BA1827" s="54"/>
    </row>
    <row r="1828" spans="43:53" x14ac:dyDescent="0.35">
      <c r="AQ1828" s="54"/>
      <c r="BA1828" s="54"/>
    </row>
    <row r="1829" spans="43:53" x14ac:dyDescent="0.35">
      <c r="AQ1829" s="54"/>
      <c r="BA1829" s="54"/>
    </row>
    <row r="1830" spans="43:53" x14ac:dyDescent="0.35">
      <c r="AQ1830" s="54"/>
      <c r="BA1830" s="54"/>
    </row>
    <row r="1831" spans="43:53" x14ac:dyDescent="0.35">
      <c r="AQ1831" s="54"/>
      <c r="BA1831" s="54"/>
    </row>
    <row r="1832" spans="43:53" x14ac:dyDescent="0.35">
      <c r="AQ1832" s="54"/>
      <c r="BA1832" s="54"/>
    </row>
    <row r="1833" spans="43:53" x14ac:dyDescent="0.35">
      <c r="AQ1833" s="54"/>
      <c r="BA1833" s="54"/>
    </row>
    <row r="1834" spans="43:53" x14ac:dyDescent="0.35">
      <c r="AQ1834" s="54"/>
      <c r="BA1834" s="54"/>
    </row>
    <row r="1835" spans="43:53" x14ac:dyDescent="0.35">
      <c r="AQ1835" s="54"/>
      <c r="BA1835" s="54"/>
    </row>
    <row r="1836" spans="43:53" x14ac:dyDescent="0.35">
      <c r="AQ1836" s="54"/>
      <c r="BA1836" s="54"/>
    </row>
    <row r="1837" spans="43:53" x14ac:dyDescent="0.35">
      <c r="AQ1837" s="54"/>
      <c r="BA1837" s="54"/>
    </row>
    <row r="1838" spans="43:53" x14ac:dyDescent="0.35">
      <c r="AQ1838" s="54"/>
      <c r="BA1838" s="54"/>
    </row>
    <row r="1839" spans="43:53" x14ac:dyDescent="0.35">
      <c r="AQ1839" s="54"/>
      <c r="BA1839" s="54"/>
    </row>
    <row r="1840" spans="43:53" x14ac:dyDescent="0.35">
      <c r="AQ1840" s="54"/>
      <c r="BA1840" s="54"/>
    </row>
    <row r="1841" spans="43:53" x14ac:dyDescent="0.35">
      <c r="AQ1841" s="54"/>
      <c r="BA1841" s="54"/>
    </row>
    <row r="1842" spans="43:53" x14ac:dyDescent="0.35">
      <c r="AQ1842" s="54"/>
      <c r="BA1842" s="54"/>
    </row>
    <row r="1843" spans="43:53" x14ac:dyDescent="0.35">
      <c r="AQ1843" s="54"/>
      <c r="BA1843" s="54"/>
    </row>
    <row r="1844" spans="43:53" x14ac:dyDescent="0.35">
      <c r="AQ1844" s="54"/>
      <c r="BA1844" s="54"/>
    </row>
    <row r="1845" spans="43:53" x14ac:dyDescent="0.35">
      <c r="AQ1845" s="54"/>
      <c r="BA1845" s="54"/>
    </row>
    <row r="1846" spans="43:53" x14ac:dyDescent="0.35">
      <c r="AQ1846" s="54"/>
      <c r="BA1846" s="54"/>
    </row>
    <row r="1847" spans="43:53" x14ac:dyDescent="0.35">
      <c r="AQ1847" s="54"/>
      <c r="BA1847" s="54"/>
    </row>
    <row r="1848" spans="43:53" x14ac:dyDescent="0.35">
      <c r="AQ1848" s="54"/>
      <c r="BA1848" s="54"/>
    </row>
    <row r="1849" spans="43:53" x14ac:dyDescent="0.35">
      <c r="AQ1849" s="54"/>
      <c r="BA1849" s="54"/>
    </row>
    <row r="1850" spans="43:53" x14ac:dyDescent="0.35">
      <c r="AQ1850" s="54"/>
      <c r="BA1850" s="54"/>
    </row>
    <row r="1851" spans="43:53" x14ac:dyDescent="0.35">
      <c r="AQ1851" s="54"/>
      <c r="BA1851" s="54"/>
    </row>
    <row r="1852" spans="43:53" x14ac:dyDescent="0.35">
      <c r="AQ1852" s="54"/>
      <c r="BA1852" s="54"/>
    </row>
    <row r="1853" spans="43:53" x14ac:dyDescent="0.35">
      <c r="AQ1853" s="54"/>
      <c r="BA1853" s="54"/>
    </row>
    <row r="1854" spans="43:53" x14ac:dyDescent="0.35">
      <c r="AQ1854" s="54"/>
      <c r="BA1854" s="54"/>
    </row>
    <row r="1855" spans="43:53" x14ac:dyDescent="0.35">
      <c r="AQ1855" s="54"/>
      <c r="BA1855" s="54"/>
    </row>
    <row r="1856" spans="43:53" x14ac:dyDescent="0.35">
      <c r="AQ1856" s="54"/>
      <c r="BA1856" s="54"/>
    </row>
    <row r="1857" spans="43:53" x14ac:dyDescent="0.35">
      <c r="AQ1857" s="54"/>
      <c r="BA1857" s="54"/>
    </row>
    <row r="1858" spans="43:53" x14ac:dyDescent="0.35">
      <c r="AQ1858" s="54"/>
      <c r="BA1858" s="54"/>
    </row>
    <row r="1859" spans="43:53" x14ac:dyDescent="0.35">
      <c r="AQ1859" s="54"/>
      <c r="BA1859" s="54"/>
    </row>
    <row r="1860" spans="43:53" x14ac:dyDescent="0.35">
      <c r="AQ1860" s="54"/>
      <c r="BA1860" s="54"/>
    </row>
    <row r="1861" spans="43:53" x14ac:dyDescent="0.35">
      <c r="AQ1861" s="54"/>
      <c r="BA1861" s="54"/>
    </row>
    <row r="1862" spans="43:53" x14ac:dyDescent="0.35">
      <c r="AQ1862" s="54"/>
      <c r="BA1862" s="54"/>
    </row>
    <row r="1863" spans="43:53" x14ac:dyDescent="0.35">
      <c r="AQ1863" s="54"/>
      <c r="BA1863" s="54"/>
    </row>
    <row r="1864" spans="43:53" x14ac:dyDescent="0.35">
      <c r="AQ1864" s="54"/>
      <c r="BA1864" s="54"/>
    </row>
    <row r="1865" spans="43:53" x14ac:dyDescent="0.35">
      <c r="AQ1865" s="54"/>
      <c r="BA1865" s="54"/>
    </row>
    <row r="1866" spans="43:53" x14ac:dyDescent="0.35">
      <c r="AQ1866" s="54"/>
      <c r="BA1866" s="54"/>
    </row>
    <row r="1867" spans="43:53" x14ac:dyDescent="0.35">
      <c r="AQ1867" s="54"/>
      <c r="BA1867" s="54"/>
    </row>
    <row r="1868" spans="43:53" x14ac:dyDescent="0.35">
      <c r="AQ1868" s="54"/>
      <c r="BA1868" s="54"/>
    </row>
    <row r="1869" spans="43:53" x14ac:dyDescent="0.35">
      <c r="AQ1869" s="54"/>
      <c r="BA1869" s="54"/>
    </row>
    <row r="1870" spans="43:53" x14ac:dyDescent="0.35">
      <c r="AQ1870" s="54"/>
      <c r="BA1870" s="54"/>
    </row>
    <row r="1871" spans="43:53" x14ac:dyDescent="0.35">
      <c r="AQ1871" s="54"/>
      <c r="BA1871" s="54"/>
    </row>
    <row r="1872" spans="43:53" x14ac:dyDescent="0.35">
      <c r="AQ1872" s="54"/>
      <c r="BA1872" s="54"/>
    </row>
    <row r="1873" spans="43:53" x14ac:dyDescent="0.35">
      <c r="AQ1873" s="54"/>
      <c r="BA1873" s="54"/>
    </row>
    <row r="1874" spans="43:53" x14ac:dyDescent="0.35">
      <c r="AQ1874" s="54"/>
      <c r="BA1874" s="54"/>
    </row>
    <row r="1875" spans="43:53" x14ac:dyDescent="0.35">
      <c r="AQ1875" s="54"/>
      <c r="BA1875" s="54"/>
    </row>
    <row r="1876" spans="43:53" x14ac:dyDescent="0.35">
      <c r="AQ1876" s="54"/>
      <c r="BA1876" s="54"/>
    </row>
    <row r="1877" spans="43:53" x14ac:dyDescent="0.35">
      <c r="AQ1877" s="54"/>
      <c r="BA1877" s="54"/>
    </row>
    <row r="1878" spans="43:53" x14ac:dyDescent="0.35">
      <c r="AQ1878" s="54"/>
      <c r="BA1878" s="54"/>
    </row>
    <row r="1879" spans="43:53" x14ac:dyDescent="0.35">
      <c r="AQ1879" s="54"/>
      <c r="BA1879" s="54"/>
    </row>
    <row r="1880" spans="43:53" x14ac:dyDescent="0.35">
      <c r="AQ1880" s="54"/>
      <c r="BA1880" s="54"/>
    </row>
    <row r="1881" spans="43:53" x14ac:dyDescent="0.35">
      <c r="AQ1881" s="54"/>
      <c r="BA1881" s="54"/>
    </row>
    <row r="1882" spans="43:53" x14ac:dyDescent="0.35">
      <c r="AQ1882" s="54"/>
      <c r="BA1882" s="54"/>
    </row>
    <row r="1883" spans="43:53" x14ac:dyDescent="0.35">
      <c r="AQ1883" s="54"/>
      <c r="BA1883" s="54"/>
    </row>
    <row r="1884" spans="43:53" x14ac:dyDescent="0.35">
      <c r="AQ1884" s="54"/>
      <c r="BA1884" s="54"/>
    </row>
    <row r="1885" spans="43:53" x14ac:dyDescent="0.35">
      <c r="AQ1885" s="54"/>
      <c r="BA1885" s="54"/>
    </row>
    <row r="1886" spans="43:53" x14ac:dyDescent="0.35">
      <c r="AQ1886" s="54"/>
      <c r="BA1886" s="54"/>
    </row>
    <row r="1887" spans="43:53" x14ac:dyDescent="0.35">
      <c r="AQ1887" s="54"/>
      <c r="BA1887" s="54"/>
    </row>
    <row r="1888" spans="43:53" x14ac:dyDescent="0.35">
      <c r="AQ1888" s="54"/>
      <c r="BA1888" s="54"/>
    </row>
    <row r="1889" spans="43:53" x14ac:dyDescent="0.35">
      <c r="AQ1889" s="54"/>
      <c r="BA1889" s="54"/>
    </row>
    <row r="1890" spans="43:53" x14ac:dyDescent="0.35">
      <c r="AQ1890" s="54"/>
      <c r="BA1890" s="54"/>
    </row>
    <row r="1891" spans="43:53" x14ac:dyDescent="0.35">
      <c r="AQ1891" s="54"/>
      <c r="BA1891" s="54"/>
    </row>
    <row r="1892" spans="43:53" x14ac:dyDescent="0.35">
      <c r="AQ1892" s="54"/>
      <c r="BA1892" s="54"/>
    </row>
    <row r="1893" spans="43:53" x14ac:dyDescent="0.35">
      <c r="AQ1893" s="54"/>
      <c r="BA1893" s="54"/>
    </row>
    <row r="1894" spans="43:53" x14ac:dyDescent="0.35">
      <c r="AQ1894" s="54"/>
      <c r="BA1894" s="54"/>
    </row>
    <row r="1895" spans="43:53" x14ac:dyDescent="0.35">
      <c r="AQ1895" s="54"/>
      <c r="BA1895" s="54"/>
    </row>
    <row r="1896" spans="43:53" x14ac:dyDescent="0.35">
      <c r="AQ1896" s="54"/>
      <c r="BA1896" s="54"/>
    </row>
    <row r="1897" spans="43:53" x14ac:dyDescent="0.35">
      <c r="AQ1897" s="54"/>
      <c r="BA1897" s="54"/>
    </row>
    <row r="1898" spans="43:53" x14ac:dyDescent="0.35">
      <c r="AQ1898" s="54"/>
      <c r="BA1898" s="54"/>
    </row>
    <row r="1899" spans="43:53" x14ac:dyDescent="0.35">
      <c r="AQ1899" s="54"/>
      <c r="BA1899" s="54"/>
    </row>
    <row r="1900" spans="43:53" x14ac:dyDescent="0.35">
      <c r="AQ1900" s="54"/>
      <c r="BA1900" s="54"/>
    </row>
    <row r="1901" spans="43:53" x14ac:dyDescent="0.35">
      <c r="AQ1901" s="54"/>
      <c r="BA1901" s="54"/>
    </row>
    <row r="1902" spans="43:53" x14ac:dyDescent="0.35">
      <c r="AQ1902" s="54"/>
      <c r="BA1902" s="54"/>
    </row>
    <row r="1903" spans="43:53" x14ac:dyDescent="0.35">
      <c r="AQ1903" s="54"/>
      <c r="BA1903" s="54"/>
    </row>
    <row r="1904" spans="43:53" x14ac:dyDescent="0.35">
      <c r="AQ1904" s="54"/>
      <c r="BA1904" s="54"/>
    </row>
    <row r="1905" spans="43:53" x14ac:dyDescent="0.35">
      <c r="AQ1905" s="54"/>
      <c r="BA1905" s="54"/>
    </row>
    <row r="1906" spans="43:53" x14ac:dyDescent="0.35">
      <c r="AQ1906" s="54"/>
      <c r="BA1906" s="54"/>
    </row>
    <row r="1907" spans="43:53" x14ac:dyDescent="0.35">
      <c r="AQ1907" s="54"/>
      <c r="BA1907" s="54"/>
    </row>
    <row r="1908" spans="43:53" x14ac:dyDescent="0.35">
      <c r="AQ1908" s="54"/>
      <c r="BA1908" s="54"/>
    </row>
    <row r="1909" spans="43:53" x14ac:dyDescent="0.35">
      <c r="AQ1909" s="54"/>
      <c r="BA1909" s="54"/>
    </row>
    <row r="1910" spans="43:53" x14ac:dyDescent="0.35">
      <c r="AQ1910" s="54"/>
      <c r="BA1910" s="54"/>
    </row>
    <row r="1911" spans="43:53" x14ac:dyDescent="0.35">
      <c r="AQ1911" s="54"/>
      <c r="BA1911" s="54"/>
    </row>
    <row r="1912" spans="43:53" x14ac:dyDescent="0.35">
      <c r="AQ1912" s="54"/>
      <c r="BA1912" s="54"/>
    </row>
    <row r="1913" spans="43:53" x14ac:dyDescent="0.35">
      <c r="AQ1913" s="54"/>
      <c r="BA1913" s="54"/>
    </row>
    <row r="1914" spans="43:53" x14ac:dyDescent="0.35">
      <c r="AQ1914" s="54"/>
      <c r="BA1914" s="54"/>
    </row>
    <row r="1915" spans="43:53" x14ac:dyDescent="0.35">
      <c r="AQ1915" s="54"/>
      <c r="BA1915" s="54"/>
    </row>
    <row r="1916" spans="43:53" x14ac:dyDescent="0.35">
      <c r="AQ1916" s="54"/>
      <c r="BA1916" s="54"/>
    </row>
    <row r="1917" spans="43:53" x14ac:dyDescent="0.35">
      <c r="AQ1917" s="54"/>
      <c r="BA1917" s="54"/>
    </row>
    <row r="1918" spans="43:53" x14ac:dyDescent="0.35">
      <c r="AQ1918" s="54"/>
      <c r="BA1918" s="54"/>
    </row>
    <row r="1919" spans="43:53" x14ac:dyDescent="0.35">
      <c r="AQ1919" s="54"/>
      <c r="BA1919" s="54"/>
    </row>
    <row r="1920" spans="43:53" x14ac:dyDescent="0.35">
      <c r="AQ1920" s="54"/>
      <c r="BA1920" s="54"/>
    </row>
    <row r="1921" spans="43:53" x14ac:dyDescent="0.35">
      <c r="AQ1921" s="54"/>
      <c r="BA1921" s="54"/>
    </row>
    <row r="1922" spans="43:53" x14ac:dyDescent="0.35">
      <c r="AQ1922" s="54"/>
      <c r="BA1922" s="54"/>
    </row>
    <row r="1923" spans="43:53" x14ac:dyDescent="0.35">
      <c r="AQ1923" s="54"/>
      <c r="BA1923" s="54"/>
    </row>
    <row r="1924" spans="43:53" x14ac:dyDescent="0.35">
      <c r="AQ1924" s="54"/>
      <c r="BA1924" s="54"/>
    </row>
    <row r="1925" spans="43:53" x14ac:dyDescent="0.35">
      <c r="AQ1925" s="54"/>
      <c r="BA1925" s="54"/>
    </row>
    <row r="1926" spans="43:53" x14ac:dyDescent="0.35">
      <c r="AQ1926" s="54"/>
      <c r="BA1926" s="54"/>
    </row>
    <row r="1927" spans="43:53" x14ac:dyDescent="0.35">
      <c r="AQ1927" s="54"/>
      <c r="BA1927" s="54"/>
    </row>
    <row r="1928" spans="43:53" x14ac:dyDescent="0.35">
      <c r="AQ1928" s="54"/>
      <c r="BA1928" s="54"/>
    </row>
    <row r="1929" spans="43:53" x14ac:dyDescent="0.35">
      <c r="AQ1929" s="54"/>
      <c r="BA1929" s="54"/>
    </row>
    <row r="1930" spans="43:53" x14ac:dyDescent="0.35">
      <c r="AQ1930" s="54"/>
      <c r="BA1930" s="54"/>
    </row>
    <row r="1931" spans="43:53" x14ac:dyDescent="0.35">
      <c r="AQ1931" s="54"/>
      <c r="BA1931" s="54"/>
    </row>
    <row r="1932" spans="43:53" x14ac:dyDescent="0.35">
      <c r="AQ1932" s="54"/>
      <c r="BA1932" s="54"/>
    </row>
    <row r="1933" spans="43:53" x14ac:dyDescent="0.35">
      <c r="AQ1933" s="54"/>
      <c r="BA1933" s="54"/>
    </row>
    <row r="1934" spans="43:53" x14ac:dyDescent="0.35">
      <c r="AQ1934" s="54"/>
      <c r="BA1934" s="54"/>
    </row>
    <row r="1935" spans="43:53" x14ac:dyDescent="0.35">
      <c r="AQ1935" s="54"/>
      <c r="BA1935" s="54"/>
    </row>
    <row r="1936" spans="43:53" x14ac:dyDescent="0.35">
      <c r="AQ1936" s="54"/>
      <c r="BA1936" s="54"/>
    </row>
    <row r="1937" spans="43:53" x14ac:dyDescent="0.35">
      <c r="AQ1937" s="54"/>
      <c r="BA1937" s="54"/>
    </row>
    <row r="1938" spans="43:53" x14ac:dyDescent="0.35">
      <c r="AQ1938" s="54"/>
      <c r="BA1938" s="54"/>
    </row>
    <row r="1939" spans="43:53" x14ac:dyDescent="0.35">
      <c r="AQ1939" s="54"/>
      <c r="BA1939" s="54"/>
    </row>
    <row r="1940" spans="43:53" x14ac:dyDescent="0.35">
      <c r="AQ1940" s="54"/>
      <c r="BA1940" s="54"/>
    </row>
    <row r="1941" spans="43:53" x14ac:dyDescent="0.35">
      <c r="AQ1941" s="54"/>
      <c r="BA1941" s="54"/>
    </row>
    <row r="1942" spans="43:53" x14ac:dyDescent="0.35">
      <c r="AQ1942" s="54"/>
      <c r="BA1942" s="54"/>
    </row>
    <row r="1943" spans="43:53" x14ac:dyDescent="0.35">
      <c r="AQ1943" s="54"/>
      <c r="BA1943" s="54"/>
    </row>
    <row r="1944" spans="43:53" x14ac:dyDescent="0.35">
      <c r="AQ1944" s="54"/>
      <c r="BA1944" s="54"/>
    </row>
    <row r="1945" spans="43:53" x14ac:dyDescent="0.35">
      <c r="AQ1945" s="54"/>
      <c r="BA1945" s="54"/>
    </row>
    <row r="1946" spans="43:53" x14ac:dyDescent="0.35">
      <c r="AQ1946" s="54"/>
      <c r="BA1946" s="54"/>
    </row>
    <row r="1947" spans="43:53" x14ac:dyDescent="0.35">
      <c r="AQ1947" s="54"/>
      <c r="BA1947" s="54"/>
    </row>
    <row r="1948" spans="43:53" x14ac:dyDescent="0.35">
      <c r="AQ1948" s="54"/>
      <c r="BA1948" s="54"/>
    </row>
    <row r="1949" spans="43:53" x14ac:dyDescent="0.35">
      <c r="AQ1949" s="54"/>
      <c r="BA1949" s="54"/>
    </row>
    <row r="1950" spans="43:53" x14ac:dyDescent="0.35">
      <c r="AQ1950" s="54"/>
      <c r="BA1950" s="54"/>
    </row>
    <row r="1951" spans="43:53" x14ac:dyDescent="0.35">
      <c r="AQ1951" s="54"/>
      <c r="BA1951" s="54"/>
    </row>
    <row r="1952" spans="43:53" x14ac:dyDescent="0.35">
      <c r="AQ1952" s="54"/>
      <c r="BA1952" s="54"/>
    </row>
    <row r="1953" spans="43:53" x14ac:dyDescent="0.35">
      <c r="AQ1953" s="54"/>
      <c r="BA1953" s="54"/>
    </row>
    <row r="1954" spans="43:53" x14ac:dyDescent="0.35">
      <c r="AQ1954" s="54"/>
      <c r="BA1954" s="54"/>
    </row>
    <row r="1955" spans="43:53" x14ac:dyDescent="0.35">
      <c r="AQ1955" s="54"/>
      <c r="BA1955" s="54"/>
    </row>
    <row r="1956" spans="43:53" x14ac:dyDescent="0.35">
      <c r="AQ1956" s="54"/>
      <c r="BA1956" s="54"/>
    </row>
    <row r="1957" spans="43:53" x14ac:dyDescent="0.35">
      <c r="AQ1957" s="54"/>
      <c r="BA1957" s="54"/>
    </row>
    <row r="1958" spans="43:53" x14ac:dyDescent="0.35">
      <c r="AQ1958" s="54"/>
      <c r="BA1958" s="54"/>
    </row>
    <row r="1959" spans="43:53" x14ac:dyDescent="0.35">
      <c r="AQ1959" s="54"/>
      <c r="BA1959" s="54"/>
    </row>
    <row r="1960" spans="43:53" x14ac:dyDescent="0.35">
      <c r="AQ1960" s="54"/>
      <c r="BA1960" s="54"/>
    </row>
    <row r="1961" spans="43:53" x14ac:dyDescent="0.35">
      <c r="AQ1961" s="54"/>
      <c r="BA1961" s="54"/>
    </row>
    <row r="1962" spans="43:53" x14ac:dyDescent="0.35">
      <c r="AQ1962" s="54"/>
      <c r="BA1962" s="54"/>
    </row>
    <row r="1963" spans="43:53" x14ac:dyDescent="0.35">
      <c r="AQ1963" s="54"/>
      <c r="BA1963" s="54"/>
    </row>
    <row r="1964" spans="43:53" x14ac:dyDescent="0.35">
      <c r="AQ1964" s="54"/>
      <c r="BA1964" s="54"/>
    </row>
    <row r="1965" spans="43:53" x14ac:dyDescent="0.35">
      <c r="AQ1965" s="54"/>
      <c r="BA1965" s="54"/>
    </row>
    <row r="1966" spans="43:53" x14ac:dyDescent="0.35">
      <c r="AQ1966" s="54"/>
      <c r="BA1966" s="54"/>
    </row>
    <row r="1967" spans="43:53" x14ac:dyDescent="0.35">
      <c r="AQ1967" s="54"/>
      <c r="BA1967" s="54"/>
    </row>
    <row r="1968" spans="43:53" x14ac:dyDescent="0.35">
      <c r="AQ1968" s="54"/>
      <c r="BA1968" s="54"/>
    </row>
    <row r="1969" spans="43:53" x14ac:dyDescent="0.35">
      <c r="AQ1969" s="54"/>
      <c r="BA1969" s="54"/>
    </row>
    <row r="1970" spans="43:53" x14ac:dyDescent="0.35">
      <c r="AQ1970" s="54"/>
      <c r="BA1970" s="54"/>
    </row>
    <row r="1971" spans="43:53" x14ac:dyDescent="0.35">
      <c r="AQ1971" s="54"/>
      <c r="BA1971" s="54"/>
    </row>
    <row r="1972" spans="43:53" x14ac:dyDescent="0.35">
      <c r="AQ1972" s="54"/>
      <c r="BA1972" s="54"/>
    </row>
    <row r="1973" spans="43:53" x14ac:dyDescent="0.35">
      <c r="AQ1973" s="54"/>
      <c r="BA1973" s="54"/>
    </row>
    <row r="1974" spans="43:53" x14ac:dyDescent="0.35">
      <c r="AQ1974" s="54"/>
      <c r="BA1974" s="54"/>
    </row>
    <row r="1975" spans="43:53" x14ac:dyDescent="0.35">
      <c r="AQ1975" s="54"/>
      <c r="BA1975" s="54"/>
    </row>
    <row r="1976" spans="43:53" x14ac:dyDescent="0.35">
      <c r="AQ1976" s="54"/>
      <c r="BA1976" s="54"/>
    </row>
    <row r="1977" spans="43:53" x14ac:dyDescent="0.35">
      <c r="AQ1977" s="54"/>
      <c r="BA1977" s="54"/>
    </row>
    <row r="1978" spans="43:53" x14ac:dyDescent="0.35">
      <c r="AQ1978" s="54"/>
      <c r="BA1978" s="54"/>
    </row>
    <row r="1979" spans="43:53" x14ac:dyDescent="0.35">
      <c r="AQ1979" s="54"/>
      <c r="BA1979" s="54"/>
    </row>
    <row r="1980" spans="43:53" x14ac:dyDescent="0.35">
      <c r="AQ1980" s="54"/>
      <c r="BA1980" s="54"/>
    </row>
    <row r="1981" spans="43:53" x14ac:dyDescent="0.35">
      <c r="AQ1981" s="54"/>
      <c r="BA1981" s="54"/>
    </row>
    <row r="1982" spans="43:53" x14ac:dyDescent="0.35">
      <c r="AQ1982" s="54"/>
      <c r="BA1982" s="54"/>
    </row>
    <row r="1983" spans="43:53" x14ac:dyDescent="0.35">
      <c r="AQ1983" s="54"/>
      <c r="BA1983" s="54"/>
    </row>
    <row r="1984" spans="43:53" x14ac:dyDescent="0.35">
      <c r="AQ1984" s="54"/>
      <c r="BA1984" s="54"/>
    </row>
    <row r="1985" spans="43:53" x14ac:dyDescent="0.35">
      <c r="AQ1985" s="54"/>
      <c r="BA1985" s="54"/>
    </row>
    <row r="1986" spans="43:53" x14ac:dyDescent="0.35">
      <c r="AQ1986" s="54"/>
      <c r="BA1986" s="54"/>
    </row>
    <row r="1987" spans="43:53" x14ac:dyDescent="0.35">
      <c r="AQ1987" s="54"/>
      <c r="BA1987" s="54"/>
    </row>
    <row r="1988" spans="43:53" x14ac:dyDescent="0.35">
      <c r="AQ1988" s="54"/>
      <c r="BA1988" s="54"/>
    </row>
    <row r="1989" spans="43:53" x14ac:dyDescent="0.35">
      <c r="AQ1989" s="54"/>
      <c r="BA1989" s="54"/>
    </row>
    <row r="1990" spans="43:53" x14ac:dyDescent="0.35">
      <c r="AQ1990" s="54"/>
      <c r="BA1990" s="54"/>
    </row>
    <row r="1991" spans="43:53" x14ac:dyDescent="0.35">
      <c r="AQ1991" s="54"/>
      <c r="BA1991" s="54"/>
    </row>
    <row r="1992" spans="43:53" x14ac:dyDescent="0.35">
      <c r="AQ1992" s="54"/>
      <c r="BA1992" s="54"/>
    </row>
    <row r="1993" spans="43:53" x14ac:dyDescent="0.35">
      <c r="AQ1993" s="54"/>
      <c r="BA1993" s="54"/>
    </row>
    <row r="1994" spans="43:53" x14ac:dyDescent="0.35">
      <c r="AQ1994" s="54"/>
      <c r="BA1994" s="54"/>
    </row>
    <row r="1995" spans="43:53" x14ac:dyDescent="0.35">
      <c r="AQ1995" s="54"/>
      <c r="BA1995" s="54"/>
    </row>
    <row r="1996" spans="43:53" x14ac:dyDescent="0.35">
      <c r="AQ1996" s="54"/>
      <c r="BA1996" s="54"/>
    </row>
    <row r="1997" spans="43:53" x14ac:dyDescent="0.35">
      <c r="AQ1997" s="54"/>
      <c r="BA1997" s="54"/>
    </row>
    <row r="1998" spans="43:53" x14ac:dyDescent="0.35">
      <c r="AQ1998" s="54"/>
      <c r="BA1998" s="54"/>
    </row>
    <row r="1999" spans="43:53" x14ac:dyDescent="0.35">
      <c r="AQ1999" s="54"/>
      <c r="BA1999" s="54"/>
    </row>
    <row r="2000" spans="43:53" x14ac:dyDescent="0.35">
      <c r="AQ2000" s="54"/>
      <c r="BA2000" s="54"/>
    </row>
    <row r="2001" spans="43:53" x14ac:dyDescent="0.35">
      <c r="AQ2001" s="54"/>
      <c r="BA2001" s="54"/>
    </row>
    <row r="2002" spans="43:53" x14ac:dyDescent="0.35">
      <c r="AQ2002" s="54"/>
      <c r="BA2002" s="54"/>
    </row>
    <row r="2003" spans="43:53" x14ac:dyDescent="0.35">
      <c r="AQ2003" s="54"/>
      <c r="BA2003" s="54"/>
    </row>
    <row r="2004" spans="43:53" x14ac:dyDescent="0.35">
      <c r="AQ2004" s="54"/>
      <c r="BA2004" s="54"/>
    </row>
    <row r="2005" spans="43:53" x14ac:dyDescent="0.35">
      <c r="AQ2005" s="54"/>
      <c r="BA2005" s="54"/>
    </row>
    <row r="2006" spans="43:53" x14ac:dyDescent="0.35">
      <c r="AQ2006" s="54"/>
      <c r="BA2006" s="54"/>
    </row>
    <row r="2007" spans="43:53" x14ac:dyDescent="0.35">
      <c r="AQ2007" s="54"/>
      <c r="BA2007" s="54"/>
    </row>
    <row r="2008" spans="43:53" x14ac:dyDescent="0.35">
      <c r="AQ2008" s="54"/>
      <c r="BA2008" s="54"/>
    </row>
    <row r="2009" spans="43:53" x14ac:dyDescent="0.35">
      <c r="AQ2009" s="54"/>
      <c r="BA2009" s="54"/>
    </row>
    <row r="2010" spans="43:53" x14ac:dyDescent="0.35">
      <c r="AQ2010" s="54"/>
      <c r="BA2010" s="54"/>
    </row>
    <row r="2011" spans="43:53" x14ac:dyDescent="0.35">
      <c r="AQ2011" s="54"/>
      <c r="BA2011" s="54"/>
    </row>
    <row r="2012" spans="43:53" x14ac:dyDescent="0.35">
      <c r="AQ2012" s="54"/>
      <c r="BA2012" s="54"/>
    </row>
    <row r="2013" spans="43:53" x14ac:dyDescent="0.35">
      <c r="AQ2013" s="54"/>
      <c r="BA2013" s="54"/>
    </row>
    <row r="2014" spans="43:53" x14ac:dyDescent="0.35">
      <c r="AQ2014" s="54"/>
      <c r="BA2014" s="54"/>
    </row>
    <row r="2015" spans="43:53" x14ac:dyDescent="0.35">
      <c r="AQ2015" s="54"/>
      <c r="BA2015" s="54"/>
    </row>
    <row r="2016" spans="43:53" x14ac:dyDescent="0.35">
      <c r="AQ2016" s="54"/>
      <c r="BA2016" s="54"/>
    </row>
    <row r="2017" spans="43:53" x14ac:dyDescent="0.35">
      <c r="AQ2017" s="54"/>
      <c r="BA2017" s="54"/>
    </row>
    <row r="2018" spans="43:53" x14ac:dyDescent="0.35">
      <c r="AQ2018" s="54"/>
      <c r="BA2018" s="54"/>
    </row>
    <row r="2019" spans="43:53" x14ac:dyDescent="0.35">
      <c r="AQ2019" s="54"/>
      <c r="BA2019" s="54"/>
    </row>
    <row r="2020" spans="43:53" x14ac:dyDescent="0.35">
      <c r="AQ2020" s="54"/>
      <c r="BA2020" s="54"/>
    </row>
    <row r="2021" spans="43:53" x14ac:dyDescent="0.35">
      <c r="AQ2021" s="54"/>
      <c r="BA2021" s="54"/>
    </row>
    <row r="2022" spans="43:53" x14ac:dyDescent="0.35">
      <c r="AQ2022" s="54"/>
      <c r="BA2022" s="54"/>
    </row>
    <row r="2023" spans="43:53" x14ac:dyDescent="0.35">
      <c r="AQ2023" s="54"/>
      <c r="BA2023" s="54"/>
    </row>
    <row r="2024" spans="43:53" x14ac:dyDescent="0.35">
      <c r="AQ2024" s="54"/>
      <c r="BA2024" s="54"/>
    </row>
    <row r="2025" spans="43:53" x14ac:dyDescent="0.35">
      <c r="AQ2025" s="54"/>
      <c r="BA2025" s="54"/>
    </row>
    <row r="2026" spans="43:53" x14ac:dyDescent="0.35">
      <c r="AQ2026" s="54"/>
      <c r="BA2026" s="54"/>
    </row>
    <row r="2027" spans="43:53" x14ac:dyDescent="0.35">
      <c r="AQ2027" s="54"/>
      <c r="BA2027" s="54"/>
    </row>
    <row r="2028" spans="43:53" x14ac:dyDescent="0.35">
      <c r="AQ2028" s="54"/>
      <c r="BA2028" s="54"/>
    </row>
    <row r="2029" spans="43:53" x14ac:dyDescent="0.35">
      <c r="AQ2029" s="54"/>
      <c r="BA2029" s="54"/>
    </row>
    <row r="2030" spans="43:53" x14ac:dyDescent="0.35">
      <c r="AQ2030" s="54"/>
      <c r="BA2030" s="54"/>
    </row>
    <row r="2031" spans="43:53" x14ac:dyDescent="0.35">
      <c r="AQ2031" s="54"/>
      <c r="BA2031" s="54"/>
    </row>
    <row r="2032" spans="43:53" x14ac:dyDescent="0.35">
      <c r="AQ2032" s="54"/>
      <c r="BA2032" s="54"/>
    </row>
    <row r="2033" spans="43:53" x14ac:dyDescent="0.35">
      <c r="AQ2033" s="54"/>
      <c r="BA2033" s="54"/>
    </row>
    <row r="2034" spans="43:53" x14ac:dyDescent="0.35">
      <c r="AQ2034" s="54"/>
      <c r="BA2034" s="54"/>
    </row>
    <row r="2035" spans="43:53" x14ac:dyDescent="0.35">
      <c r="AQ2035" s="54"/>
      <c r="BA2035" s="54"/>
    </row>
    <row r="2036" spans="43:53" x14ac:dyDescent="0.35">
      <c r="AQ2036" s="54"/>
      <c r="BA2036" s="54"/>
    </row>
    <row r="2037" spans="43:53" x14ac:dyDescent="0.35">
      <c r="AQ2037" s="54"/>
      <c r="BA2037" s="54"/>
    </row>
    <row r="2038" spans="43:53" x14ac:dyDescent="0.35">
      <c r="AQ2038" s="54"/>
      <c r="BA2038" s="54"/>
    </row>
    <row r="2039" spans="43:53" x14ac:dyDescent="0.35">
      <c r="AQ2039" s="54"/>
      <c r="BA2039" s="54"/>
    </row>
    <row r="2040" spans="43:53" x14ac:dyDescent="0.35">
      <c r="AQ2040" s="54"/>
      <c r="BA2040" s="54"/>
    </row>
    <row r="2041" spans="43:53" x14ac:dyDescent="0.35">
      <c r="AQ2041" s="54"/>
      <c r="BA2041" s="54"/>
    </row>
    <row r="2042" spans="43:53" x14ac:dyDescent="0.35">
      <c r="AQ2042" s="54"/>
      <c r="BA2042" s="54"/>
    </row>
    <row r="2043" spans="43:53" x14ac:dyDescent="0.35">
      <c r="AQ2043" s="54"/>
      <c r="BA2043" s="54"/>
    </row>
    <row r="2044" spans="43:53" x14ac:dyDescent="0.35">
      <c r="AQ2044" s="54"/>
      <c r="BA2044" s="54"/>
    </row>
    <row r="2045" spans="43:53" x14ac:dyDescent="0.35">
      <c r="AQ2045" s="54"/>
      <c r="BA2045" s="54"/>
    </row>
    <row r="2046" spans="43:53" x14ac:dyDescent="0.35">
      <c r="AQ2046" s="54"/>
      <c r="BA2046" s="54"/>
    </row>
    <row r="2047" spans="43:53" x14ac:dyDescent="0.35">
      <c r="AQ2047" s="54"/>
      <c r="BA2047" s="54"/>
    </row>
    <row r="2048" spans="43:53" x14ac:dyDescent="0.35">
      <c r="AQ2048" s="54"/>
      <c r="BA2048" s="54"/>
    </row>
    <row r="2049" spans="43:53" x14ac:dyDescent="0.35">
      <c r="AQ2049" s="54"/>
      <c r="BA2049" s="54"/>
    </row>
    <row r="2050" spans="43:53" x14ac:dyDescent="0.35">
      <c r="AQ2050" s="54"/>
      <c r="BA2050" s="54"/>
    </row>
    <row r="2051" spans="43:53" x14ac:dyDescent="0.35">
      <c r="AQ2051" s="54"/>
      <c r="BA2051" s="54"/>
    </row>
    <row r="2052" spans="43:53" x14ac:dyDescent="0.35">
      <c r="AQ2052" s="54"/>
      <c r="BA2052" s="54"/>
    </row>
    <row r="2053" spans="43:53" x14ac:dyDescent="0.35">
      <c r="AQ2053" s="54"/>
      <c r="BA2053" s="54"/>
    </row>
    <row r="2054" spans="43:53" x14ac:dyDescent="0.35">
      <c r="AQ2054" s="54"/>
      <c r="BA2054" s="54"/>
    </row>
    <row r="2055" spans="43:53" x14ac:dyDescent="0.35">
      <c r="AQ2055" s="54"/>
      <c r="BA2055" s="54"/>
    </row>
    <row r="2056" spans="43:53" x14ac:dyDescent="0.35">
      <c r="AQ2056" s="54"/>
      <c r="BA2056" s="54"/>
    </row>
    <row r="2057" spans="43:53" x14ac:dyDescent="0.35">
      <c r="AQ2057" s="54"/>
      <c r="BA2057" s="54"/>
    </row>
    <row r="2058" spans="43:53" x14ac:dyDescent="0.35">
      <c r="AQ2058" s="54"/>
      <c r="BA2058" s="54"/>
    </row>
    <row r="2059" spans="43:53" x14ac:dyDescent="0.35">
      <c r="AQ2059" s="54"/>
      <c r="BA2059" s="54"/>
    </row>
    <row r="2060" spans="43:53" x14ac:dyDescent="0.35">
      <c r="AQ2060" s="54"/>
      <c r="BA2060" s="54"/>
    </row>
    <row r="2061" spans="43:53" x14ac:dyDescent="0.35">
      <c r="AQ2061" s="54"/>
      <c r="BA2061" s="54"/>
    </row>
    <row r="2062" spans="43:53" x14ac:dyDescent="0.35">
      <c r="AQ2062" s="54"/>
      <c r="BA2062" s="54"/>
    </row>
    <row r="2063" spans="43:53" x14ac:dyDescent="0.35">
      <c r="AQ2063" s="54"/>
      <c r="BA2063" s="54"/>
    </row>
    <row r="2064" spans="43:53" x14ac:dyDescent="0.35">
      <c r="AQ2064" s="54"/>
      <c r="BA2064" s="54"/>
    </row>
    <row r="2065" spans="43:53" x14ac:dyDescent="0.35">
      <c r="AQ2065" s="54"/>
      <c r="BA2065" s="54"/>
    </row>
    <row r="2066" spans="43:53" x14ac:dyDescent="0.35">
      <c r="AQ2066" s="54"/>
      <c r="BA2066" s="54"/>
    </row>
    <row r="2067" spans="43:53" x14ac:dyDescent="0.35">
      <c r="AQ2067" s="54"/>
      <c r="BA2067" s="54"/>
    </row>
    <row r="2068" spans="43:53" x14ac:dyDescent="0.35">
      <c r="AQ2068" s="54"/>
      <c r="BA2068" s="54"/>
    </row>
    <row r="2069" spans="43:53" x14ac:dyDescent="0.35">
      <c r="AQ2069" s="54"/>
      <c r="BA2069" s="54"/>
    </row>
    <row r="2070" spans="43:53" x14ac:dyDescent="0.35">
      <c r="AQ2070" s="54"/>
      <c r="BA2070" s="54"/>
    </row>
    <row r="2071" spans="43:53" x14ac:dyDescent="0.35">
      <c r="AQ2071" s="54"/>
      <c r="BA2071" s="54"/>
    </row>
    <row r="2072" spans="43:53" x14ac:dyDescent="0.35">
      <c r="AQ2072" s="54"/>
      <c r="BA2072" s="54"/>
    </row>
    <row r="2073" spans="43:53" x14ac:dyDescent="0.35">
      <c r="AQ2073" s="54"/>
      <c r="BA2073" s="54"/>
    </row>
    <row r="2074" spans="43:53" x14ac:dyDescent="0.35">
      <c r="AQ2074" s="54"/>
      <c r="BA2074" s="54"/>
    </row>
    <row r="2075" spans="43:53" x14ac:dyDescent="0.35">
      <c r="AQ2075" s="54"/>
      <c r="BA2075" s="54"/>
    </row>
    <row r="2076" spans="43:53" x14ac:dyDescent="0.35">
      <c r="AQ2076" s="54"/>
      <c r="BA2076" s="54"/>
    </row>
    <row r="2077" spans="43:53" x14ac:dyDescent="0.35">
      <c r="AQ2077" s="54"/>
      <c r="BA2077" s="54"/>
    </row>
    <row r="2078" spans="43:53" x14ac:dyDescent="0.35">
      <c r="AQ2078" s="54"/>
      <c r="BA2078" s="54"/>
    </row>
    <row r="2079" spans="43:53" x14ac:dyDescent="0.35">
      <c r="AQ2079" s="54"/>
      <c r="BA2079" s="54"/>
    </row>
    <row r="2080" spans="43:53" x14ac:dyDescent="0.35">
      <c r="AQ2080" s="54"/>
      <c r="BA2080" s="54"/>
    </row>
    <row r="2081" spans="43:53" x14ac:dyDescent="0.35">
      <c r="AQ2081" s="54"/>
      <c r="BA2081" s="54"/>
    </row>
    <row r="2082" spans="43:53" x14ac:dyDescent="0.35">
      <c r="AQ2082" s="54"/>
      <c r="BA2082" s="54"/>
    </row>
    <row r="2083" spans="43:53" x14ac:dyDescent="0.35">
      <c r="AQ2083" s="54"/>
      <c r="BA2083" s="54"/>
    </row>
    <row r="2084" spans="43:53" x14ac:dyDescent="0.35">
      <c r="AQ2084" s="54"/>
      <c r="BA2084" s="54"/>
    </row>
    <row r="2085" spans="43:53" x14ac:dyDescent="0.35">
      <c r="AQ2085" s="54"/>
      <c r="BA2085" s="54"/>
    </row>
    <row r="2086" spans="43:53" x14ac:dyDescent="0.35">
      <c r="AQ2086" s="54"/>
      <c r="BA2086" s="54"/>
    </row>
    <row r="2087" spans="43:53" x14ac:dyDescent="0.35">
      <c r="AQ2087" s="54"/>
      <c r="BA2087" s="54"/>
    </row>
    <row r="2088" spans="43:53" x14ac:dyDescent="0.35">
      <c r="AQ2088" s="54"/>
      <c r="BA2088" s="54"/>
    </row>
    <row r="2089" spans="43:53" x14ac:dyDescent="0.35">
      <c r="AQ2089" s="54"/>
      <c r="BA2089" s="54"/>
    </row>
    <row r="2090" spans="43:53" x14ac:dyDescent="0.35">
      <c r="AQ2090" s="54"/>
      <c r="BA2090" s="54"/>
    </row>
    <row r="2091" spans="43:53" x14ac:dyDescent="0.35">
      <c r="AQ2091" s="54"/>
      <c r="BA2091" s="54"/>
    </row>
    <row r="2092" spans="43:53" x14ac:dyDescent="0.35">
      <c r="AQ2092" s="54"/>
      <c r="BA2092" s="54"/>
    </row>
    <row r="2093" spans="43:53" x14ac:dyDescent="0.35">
      <c r="AQ2093" s="54"/>
      <c r="BA2093" s="54"/>
    </row>
    <row r="2094" spans="43:53" x14ac:dyDescent="0.35">
      <c r="AQ2094" s="54"/>
      <c r="BA2094" s="54"/>
    </row>
    <row r="2095" spans="43:53" x14ac:dyDescent="0.35">
      <c r="AQ2095" s="54"/>
      <c r="BA2095" s="54"/>
    </row>
    <row r="2096" spans="43:53" x14ac:dyDescent="0.35">
      <c r="AQ2096" s="54"/>
      <c r="BA2096" s="54"/>
    </row>
    <row r="2097" spans="43:53" x14ac:dyDescent="0.35">
      <c r="AQ2097" s="54"/>
      <c r="BA2097" s="54"/>
    </row>
    <row r="2098" spans="43:53" x14ac:dyDescent="0.35">
      <c r="AQ2098" s="54"/>
      <c r="BA2098" s="54"/>
    </row>
    <row r="2099" spans="43:53" x14ac:dyDescent="0.35">
      <c r="AQ2099" s="54"/>
      <c r="BA2099" s="54"/>
    </row>
    <row r="2100" spans="43:53" x14ac:dyDescent="0.35">
      <c r="AQ2100" s="54"/>
      <c r="BA2100" s="54"/>
    </row>
    <row r="2101" spans="43:53" x14ac:dyDescent="0.35">
      <c r="AQ2101" s="54"/>
      <c r="BA2101" s="54"/>
    </row>
    <row r="2102" spans="43:53" x14ac:dyDescent="0.35">
      <c r="AQ2102" s="54"/>
      <c r="BA2102" s="54"/>
    </row>
    <row r="2103" spans="43:53" x14ac:dyDescent="0.35">
      <c r="AQ2103" s="54"/>
      <c r="BA2103" s="54"/>
    </row>
    <row r="2104" spans="43:53" x14ac:dyDescent="0.35">
      <c r="AQ2104" s="54"/>
      <c r="BA2104" s="54"/>
    </row>
    <row r="2105" spans="43:53" x14ac:dyDescent="0.35">
      <c r="AQ2105" s="54"/>
      <c r="BA2105" s="54"/>
    </row>
    <row r="2106" spans="43:53" x14ac:dyDescent="0.35">
      <c r="AQ2106" s="54"/>
      <c r="BA2106" s="54"/>
    </row>
    <row r="2107" spans="43:53" x14ac:dyDescent="0.35">
      <c r="AQ2107" s="54"/>
      <c r="BA2107" s="54"/>
    </row>
    <row r="2108" spans="43:53" x14ac:dyDescent="0.35">
      <c r="AQ2108" s="54"/>
      <c r="BA2108" s="54"/>
    </row>
    <row r="2109" spans="43:53" x14ac:dyDescent="0.35">
      <c r="AQ2109" s="54"/>
      <c r="BA2109" s="54"/>
    </row>
    <row r="2110" spans="43:53" x14ac:dyDescent="0.35">
      <c r="AQ2110" s="54"/>
      <c r="BA2110" s="54"/>
    </row>
    <row r="2111" spans="43:53" x14ac:dyDescent="0.35">
      <c r="AQ2111" s="54"/>
      <c r="BA2111" s="54"/>
    </row>
    <row r="2112" spans="43:53" x14ac:dyDescent="0.35">
      <c r="AQ2112" s="54"/>
      <c r="BA2112" s="54"/>
    </row>
    <row r="2113" spans="43:53" x14ac:dyDescent="0.35">
      <c r="AQ2113" s="54"/>
      <c r="BA2113" s="54"/>
    </row>
    <row r="2114" spans="43:53" x14ac:dyDescent="0.35">
      <c r="AQ2114" s="54"/>
      <c r="BA2114" s="54"/>
    </row>
    <row r="2115" spans="43:53" x14ac:dyDescent="0.35">
      <c r="AQ2115" s="54"/>
      <c r="BA2115" s="54"/>
    </row>
    <row r="2116" spans="43:53" x14ac:dyDescent="0.35">
      <c r="AQ2116" s="54"/>
      <c r="BA2116" s="54"/>
    </row>
    <row r="2117" spans="43:53" x14ac:dyDescent="0.35">
      <c r="AQ2117" s="54"/>
      <c r="BA2117" s="54"/>
    </row>
    <row r="2118" spans="43:53" x14ac:dyDescent="0.35">
      <c r="AQ2118" s="54"/>
      <c r="BA2118" s="54"/>
    </row>
    <row r="2119" spans="43:53" x14ac:dyDescent="0.35">
      <c r="AQ2119" s="54"/>
      <c r="BA2119" s="54"/>
    </row>
    <row r="2120" spans="43:53" x14ac:dyDescent="0.35">
      <c r="AQ2120" s="54"/>
      <c r="BA2120" s="54"/>
    </row>
    <row r="2121" spans="43:53" x14ac:dyDescent="0.35">
      <c r="AQ2121" s="54"/>
      <c r="BA2121" s="54"/>
    </row>
    <row r="2122" spans="43:53" x14ac:dyDescent="0.35">
      <c r="AQ2122" s="54"/>
      <c r="BA2122" s="54"/>
    </row>
    <row r="2123" spans="43:53" x14ac:dyDescent="0.35">
      <c r="AQ2123" s="54"/>
      <c r="BA2123" s="54"/>
    </row>
    <row r="2124" spans="43:53" x14ac:dyDescent="0.35">
      <c r="AQ2124" s="54"/>
      <c r="BA2124" s="54"/>
    </row>
    <row r="2125" spans="43:53" x14ac:dyDescent="0.35">
      <c r="AQ2125" s="54"/>
      <c r="BA2125" s="54"/>
    </row>
    <row r="2126" spans="43:53" x14ac:dyDescent="0.35">
      <c r="AQ2126" s="54"/>
      <c r="BA2126" s="54"/>
    </row>
    <row r="2127" spans="43:53" x14ac:dyDescent="0.35">
      <c r="AQ2127" s="54"/>
      <c r="BA2127" s="54"/>
    </row>
    <row r="2128" spans="43:53" x14ac:dyDescent="0.35">
      <c r="AQ2128" s="54"/>
      <c r="BA2128" s="54"/>
    </row>
    <row r="2129" spans="43:53" x14ac:dyDescent="0.35">
      <c r="AQ2129" s="54"/>
      <c r="BA2129" s="54"/>
    </row>
    <row r="2130" spans="43:53" x14ac:dyDescent="0.35">
      <c r="AQ2130" s="54"/>
      <c r="BA2130" s="54"/>
    </row>
    <row r="2131" spans="43:53" x14ac:dyDescent="0.35">
      <c r="AQ2131" s="54"/>
      <c r="BA2131" s="54"/>
    </row>
    <row r="2132" spans="43:53" x14ac:dyDescent="0.35">
      <c r="AQ2132" s="54"/>
      <c r="BA2132" s="54"/>
    </row>
    <row r="2133" spans="43:53" x14ac:dyDescent="0.35">
      <c r="AQ2133" s="54"/>
      <c r="BA2133" s="54"/>
    </row>
    <row r="2134" spans="43:53" x14ac:dyDescent="0.35">
      <c r="AQ2134" s="54"/>
      <c r="BA2134" s="54"/>
    </row>
    <row r="2135" spans="43:53" x14ac:dyDescent="0.35">
      <c r="AQ2135" s="54"/>
      <c r="BA2135" s="54"/>
    </row>
    <row r="2136" spans="43:53" x14ac:dyDescent="0.35">
      <c r="AQ2136" s="54"/>
      <c r="BA2136" s="54"/>
    </row>
    <row r="2137" spans="43:53" x14ac:dyDescent="0.35">
      <c r="AQ2137" s="54"/>
      <c r="BA2137" s="54"/>
    </row>
    <row r="2138" spans="43:53" x14ac:dyDescent="0.35">
      <c r="AQ2138" s="54"/>
      <c r="BA2138" s="54"/>
    </row>
    <row r="2139" spans="43:53" x14ac:dyDescent="0.35">
      <c r="AQ2139" s="54"/>
      <c r="BA2139" s="54"/>
    </row>
    <row r="2140" spans="43:53" x14ac:dyDescent="0.35">
      <c r="AQ2140" s="54"/>
      <c r="BA2140" s="54"/>
    </row>
    <row r="2141" spans="43:53" x14ac:dyDescent="0.35">
      <c r="AQ2141" s="54"/>
      <c r="BA2141" s="54"/>
    </row>
    <row r="2142" spans="43:53" x14ac:dyDescent="0.35">
      <c r="AQ2142" s="54"/>
      <c r="BA2142" s="54"/>
    </row>
    <row r="2143" spans="43:53" x14ac:dyDescent="0.35">
      <c r="AQ2143" s="54"/>
      <c r="BA2143" s="54"/>
    </row>
    <row r="2144" spans="43:53" x14ac:dyDescent="0.35">
      <c r="AQ2144" s="54"/>
      <c r="BA2144" s="54"/>
    </row>
    <row r="2145" spans="43:53" x14ac:dyDescent="0.35">
      <c r="AQ2145" s="54"/>
      <c r="BA2145" s="54"/>
    </row>
    <row r="2146" spans="43:53" x14ac:dyDescent="0.35">
      <c r="AQ2146" s="54"/>
      <c r="BA2146" s="54"/>
    </row>
    <row r="2147" spans="43:53" x14ac:dyDescent="0.35">
      <c r="AQ2147" s="54"/>
      <c r="BA2147" s="54"/>
    </row>
    <row r="2148" spans="43:53" x14ac:dyDescent="0.35">
      <c r="AQ2148" s="54"/>
      <c r="BA2148" s="54"/>
    </row>
    <row r="2149" spans="43:53" x14ac:dyDescent="0.35">
      <c r="AQ2149" s="54"/>
      <c r="BA2149" s="54"/>
    </row>
    <row r="2150" spans="43:53" x14ac:dyDescent="0.35">
      <c r="AQ2150" s="54"/>
      <c r="BA2150" s="54"/>
    </row>
    <row r="2151" spans="43:53" x14ac:dyDescent="0.35">
      <c r="AQ2151" s="54"/>
      <c r="BA2151" s="54"/>
    </row>
    <row r="2152" spans="43:53" x14ac:dyDescent="0.35">
      <c r="AQ2152" s="54"/>
      <c r="BA2152" s="54"/>
    </row>
    <row r="2153" spans="43:53" x14ac:dyDescent="0.35">
      <c r="AQ2153" s="54"/>
      <c r="BA2153" s="54"/>
    </row>
    <row r="2154" spans="43:53" x14ac:dyDescent="0.35">
      <c r="AQ2154" s="54"/>
      <c r="BA2154" s="54"/>
    </row>
    <row r="2155" spans="43:53" x14ac:dyDescent="0.35">
      <c r="AQ2155" s="54"/>
      <c r="BA2155" s="54"/>
    </row>
    <row r="2156" spans="43:53" x14ac:dyDescent="0.35">
      <c r="AQ2156" s="54"/>
      <c r="BA2156" s="54"/>
    </row>
    <row r="2157" spans="43:53" x14ac:dyDescent="0.35">
      <c r="AQ2157" s="54"/>
      <c r="BA2157" s="54"/>
    </row>
    <row r="2158" spans="43:53" x14ac:dyDescent="0.35">
      <c r="AQ2158" s="54"/>
      <c r="BA2158" s="54"/>
    </row>
    <row r="2159" spans="43:53" x14ac:dyDescent="0.35">
      <c r="AQ2159" s="54"/>
      <c r="BA2159" s="54"/>
    </row>
    <row r="2160" spans="43:53" x14ac:dyDescent="0.35">
      <c r="AQ2160" s="54"/>
      <c r="BA2160" s="54"/>
    </row>
    <row r="2161" spans="43:53" x14ac:dyDescent="0.35">
      <c r="AQ2161" s="54"/>
      <c r="BA2161" s="54"/>
    </row>
    <row r="2162" spans="43:53" x14ac:dyDescent="0.35">
      <c r="AQ2162" s="54"/>
      <c r="BA2162" s="54"/>
    </row>
    <row r="2163" spans="43:53" x14ac:dyDescent="0.35">
      <c r="AQ2163" s="54"/>
      <c r="BA2163" s="54"/>
    </row>
    <row r="2164" spans="43:53" x14ac:dyDescent="0.35">
      <c r="AQ2164" s="54"/>
      <c r="BA2164" s="54"/>
    </row>
    <row r="2165" spans="43:53" x14ac:dyDescent="0.35">
      <c r="AQ2165" s="54"/>
      <c r="BA2165" s="54"/>
    </row>
    <row r="2166" spans="43:53" x14ac:dyDescent="0.35">
      <c r="AQ2166" s="54"/>
      <c r="BA2166" s="54"/>
    </row>
    <row r="2167" spans="43:53" x14ac:dyDescent="0.35">
      <c r="AQ2167" s="54"/>
      <c r="BA2167" s="54"/>
    </row>
    <row r="2168" spans="43:53" x14ac:dyDescent="0.35">
      <c r="AQ2168" s="54"/>
      <c r="BA2168" s="54"/>
    </row>
    <row r="2169" spans="43:53" x14ac:dyDescent="0.35">
      <c r="AQ2169" s="54"/>
      <c r="BA2169" s="54"/>
    </row>
    <row r="2170" spans="43:53" x14ac:dyDescent="0.35">
      <c r="AQ2170" s="54"/>
      <c r="BA2170" s="54"/>
    </row>
    <row r="2171" spans="43:53" x14ac:dyDescent="0.35">
      <c r="AQ2171" s="54"/>
      <c r="BA2171" s="54"/>
    </row>
    <row r="2172" spans="43:53" x14ac:dyDescent="0.35">
      <c r="AQ2172" s="54"/>
      <c r="BA2172" s="54"/>
    </row>
    <row r="2173" spans="43:53" x14ac:dyDescent="0.35">
      <c r="AQ2173" s="54"/>
      <c r="BA2173" s="54"/>
    </row>
    <row r="2174" spans="43:53" x14ac:dyDescent="0.35">
      <c r="AQ2174" s="54"/>
      <c r="BA2174" s="54"/>
    </row>
    <row r="2175" spans="43:53" x14ac:dyDescent="0.35">
      <c r="AQ2175" s="54"/>
      <c r="BA2175" s="54"/>
    </row>
    <row r="2176" spans="43:53" x14ac:dyDescent="0.35">
      <c r="AQ2176" s="54"/>
      <c r="BA2176" s="54"/>
    </row>
    <row r="2177" spans="43:53" x14ac:dyDescent="0.35">
      <c r="AQ2177" s="54"/>
      <c r="BA2177" s="54"/>
    </row>
    <row r="2178" spans="43:53" x14ac:dyDescent="0.35">
      <c r="AQ2178" s="54"/>
      <c r="BA2178" s="54"/>
    </row>
    <row r="2179" spans="43:53" x14ac:dyDescent="0.35">
      <c r="AQ2179" s="54"/>
      <c r="BA2179" s="54"/>
    </row>
    <row r="2180" spans="43:53" x14ac:dyDescent="0.35">
      <c r="AQ2180" s="54"/>
      <c r="BA2180" s="54"/>
    </row>
    <row r="2181" spans="43:53" x14ac:dyDescent="0.35">
      <c r="AQ2181" s="54"/>
      <c r="BA2181" s="54"/>
    </row>
    <row r="2182" spans="43:53" x14ac:dyDescent="0.35">
      <c r="AQ2182" s="54"/>
      <c r="BA2182" s="54"/>
    </row>
    <row r="2183" spans="43:53" x14ac:dyDescent="0.35">
      <c r="AQ2183" s="54"/>
      <c r="BA2183" s="54"/>
    </row>
    <row r="2184" spans="43:53" x14ac:dyDescent="0.35">
      <c r="AQ2184" s="54"/>
      <c r="BA2184" s="54"/>
    </row>
    <row r="2185" spans="43:53" x14ac:dyDescent="0.35">
      <c r="AQ2185" s="54"/>
      <c r="BA2185" s="54"/>
    </row>
    <row r="2186" spans="43:53" x14ac:dyDescent="0.35">
      <c r="AQ2186" s="54"/>
      <c r="BA2186" s="54"/>
    </row>
    <row r="2187" spans="43:53" x14ac:dyDescent="0.35">
      <c r="AQ2187" s="54"/>
      <c r="BA2187" s="54"/>
    </row>
    <row r="2188" spans="43:53" x14ac:dyDescent="0.35">
      <c r="AQ2188" s="54"/>
      <c r="BA2188" s="54"/>
    </row>
    <row r="2189" spans="43:53" x14ac:dyDescent="0.35">
      <c r="AQ2189" s="54"/>
      <c r="BA2189" s="54"/>
    </row>
    <row r="2190" spans="43:53" x14ac:dyDescent="0.35">
      <c r="AQ2190" s="54"/>
      <c r="BA2190" s="54"/>
    </row>
    <row r="2191" spans="43:53" x14ac:dyDescent="0.35">
      <c r="AQ2191" s="54"/>
      <c r="BA2191" s="54"/>
    </row>
    <row r="2192" spans="43:53" x14ac:dyDescent="0.35">
      <c r="AQ2192" s="54"/>
      <c r="BA2192" s="54"/>
    </row>
    <row r="2193" spans="43:53" x14ac:dyDescent="0.35">
      <c r="AQ2193" s="54"/>
      <c r="BA2193" s="54"/>
    </row>
    <row r="2194" spans="43:53" x14ac:dyDescent="0.35">
      <c r="AQ2194" s="54"/>
      <c r="BA2194" s="54"/>
    </row>
    <row r="2195" spans="43:53" x14ac:dyDescent="0.35">
      <c r="AQ2195" s="54"/>
      <c r="BA2195" s="54"/>
    </row>
    <row r="2196" spans="43:53" x14ac:dyDescent="0.35">
      <c r="AQ2196" s="54"/>
      <c r="BA2196" s="54"/>
    </row>
    <row r="2197" spans="43:53" x14ac:dyDescent="0.35">
      <c r="AQ2197" s="54"/>
      <c r="BA2197" s="54"/>
    </row>
    <row r="2198" spans="43:53" x14ac:dyDescent="0.35">
      <c r="AQ2198" s="54"/>
      <c r="BA2198" s="54"/>
    </row>
    <row r="2199" spans="43:53" x14ac:dyDescent="0.35">
      <c r="AQ2199" s="54"/>
      <c r="BA2199" s="54"/>
    </row>
    <row r="2200" spans="43:53" x14ac:dyDescent="0.35">
      <c r="AQ2200" s="54"/>
      <c r="BA2200" s="54"/>
    </row>
    <row r="2201" spans="43:53" x14ac:dyDescent="0.35">
      <c r="AQ2201" s="54"/>
      <c r="BA2201" s="54"/>
    </row>
    <row r="2202" spans="43:53" x14ac:dyDescent="0.35">
      <c r="AQ2202" s="54"/>
      <c r="BA2202" s="54"/>
    </row>
    <row r="2203" spans="43:53" x14ac:dyDescent="0.35">
      <c r="AQ2203" s="54"/>
      <c r="BA2203" s="54"/>
    </row>
    <row r="2204" spans="43:53" x14ac:dyDescent="0.35">
      <c r="AQ2204" s="54"/>
      <c r="BA2204" s="54"/>
    </row>
    <row r="2205" spans="43:53" x14ac:dyDescent="0.35">
      <c r="AQ2205" s="54"/>
      <c r="BA2205" s="54"/>
    </row>
    <row r="2206" spans="43:53" x14ac:dyDescent="0.35">
      <c r="AQ2206" s="54"/>
      <c r="BA2206" s="54"/>
    </row>
    <row r="2207" spans="43:53" x14ac:dyDescent="0.35">
      <c r="AQ2207" s="54"/>
      <c r="BA2207" s="54"/>
    </row>
    <row r="2208" spans="43:53" x14ac:dyDescent="0.35">
      <c r="AQ2208" s="54"/>
      <c r="BA2208" s="54"/>
    </row>
    <row r="2209" spans="43:53" x14ac:dyDescent="0.35">
      <c r="AQ2209" s="54"/>
      <c r="BA2209" s="54"/>
    </row>
    <row r="2210" spans="43:53" x14ac:dyDescent="0.35">
      <c r="AQ2210" s="54"/>
      <c r="BA2210" s="54"/>
    </row>
    <row r="2211" spans="43:53" x14ac:dyDescent="0.35">
      <c r="AQ2211" s="54"/>
      <c r="BA2211" s="54"/>
    </row>
    <row r="2212" spans="43:53" x14ac:dyDescent="0.35">
      <c r="AQ2212" s="54"/>
      <c r="BA2212" s="54"/>
    </row>
    <row r="2213" spans="43:53" x14ac:dyDescent="0.35">
      <c r="AQ2213" s="54"/>
      <c r="BA2213" s="54"/>
    </row>
    <row r="2214" spans="43:53" x14ac:dyDescent="0.35">
      <c r="AQ2214" s="54"/>
      <c r="BA2214" s="54"/>
    </row>
    <row r="2215" spans="43:53" x14ac:dyDescent="0.35">
      <c r="AQ2215" s="54"/>
      <c r="BA2215" s="54"/>
    </row>
    <row r="2216" spans="43:53" x14ac:dyDescent="0.35">
      <c r="AQ2216" s="54"/>
      <c r="BA2216" s="54"/>
    </row>
    <row r="2217" spans="43:53" x14ac:dyDescent="0.35">
      <c r="AQ2217" s="54"/>
      <c r="BA2217" s="54"/>
    </row>
    <row r="2218" spans="43:53" x14ac:dyDescent="0.35">
      <c r="AQ2218" s="54"/>
      <c r="BA2218" s="54"/>
    </row>
    <row r="2219" spans="43:53" x14ac:dyDescent="0.35">
      <c r="AQ2219" s="54"/>
      <c r="BA2219" s="54"/>
    </row>
    <row r="2220" spans="43:53" x14ac:dyDescent="0.35">
      <c r="AQ2220" s="54"/>
      <c r="BA2220" s="54"/>
    </row>
    <row r="2221" spans="43:53" x14ac:dyDescent="0.35">
      <c r="AQ2221" s="54"/>
      <c r="BA2221" s="54"/>
    </row>
    <row r="2222" spans="43:53" x14ac:dyDescent="0.35">
      <c r="AQ2222" s="54"/>
      <c r="BA2222" s="54"/>
    </row>
    <row r="2223" spans="43:53" x14ac:dyDescent="0.35">
      <c r="AQ2223" s="54"/>
      <c r="BA2223" s="54"/>
    </row>
    <row r="2224" spans="43:53" x14ac:dyDescent="0.35">
      <c r="AQ2224" s="54"/>
      <c r="BA2224" s="54"/>
    </row>
    <row r="2225" spans="43:53" x14ac:dyDescent="0.35">
      <c r="AQ2225" s="54"/>
      <c r="BA2225" s="54"/>
    </row>
    <row r="2226" spans="43:53" x14ac:dyDescent="0.35">
      <c r="AQ2226" s="54"/>
      <c r="BA2226" s="54"/>
    </row>
    <row r="2227" spans="43:53" x14ac:dyDescent="0.35">
      <c r="AQ2227" s="54"/>
      <c r="BA2227" s="54"/>
    </row>
    <row r="2228" spans="43:53" x14ac:dyDescent="0.35">
      <c r="AQ2228" s="54"/>
      <c r="BA2228" s="54"/>
    </row>
    <row r="2229" spans="43:53" x14ac:dyDescent="0.35">
      <c r="AQ2229" s="54"/>
      <c r="BA2229" s="54"/>
    </row>
    <row r="2230" spans="43:53" x14ac:dyDescent="0.35">
      <c r="AQ2230" s="54"/>
      <c r="BA2230" s="54"/>
    </row>
    <row r="2231" spans="43:53" x14ac:dyDescent="0.35">
      <c r="AQ2231" s="54"/>
      <c r="BA2231" s="54"/>
    </row>
    <row r="2232" spans="43:53" x14ac:dyDescent="0.35">
      <c r="AQ2232" s="54"/>
      <c r="BA2232" s="54"/>
    </row>
    <row r="2233" spans="43:53" x14ac:dyDescent="0.35">
      <c r="AQ2233" s="54"/>
      <c r="BA2233" s="54"/>
    </row>
    <row r="2234" spans="43:53" x14ac:dyDescent="0.35">
      <c r="AQ2234" s="54"/>
      <c r="BA2234" s="54"/>
    </row>
    <row r="2235" spans="43:53" x14ac:dyDescent="0.35">
      <c r="AQ2235" s="54"/>
      <c r="BA2235" s="54"/>
    </row>
    <row r="2236" spans="43:53" x14ac:dyDescent="0.35">
      <c r="AQ2236" s="54"/>
      <c r="BA2236" s="54"/>
    </row>
    <row r="2237" spans="43:53" x14ac:dyDescent="0.35">
      <c r="AQ2237" s="54"/>
      <c r="BA2237" s="54"/>
    </row>
    <row r="2238" spans="43:53" x14ac:dyDescent="0.35">
      <c r="AQ2238" s="54"/>
      <c r="BA2238" s="54"/>
    </row>
    <row r="2239" spans="43:53" x14ac:dyDescent="0.35">
      <c r="AQ2239" s="54"/>
      <c r="BA2239" s="54"/>
    </row>
    <row r="2240" spans="43:53" x14ac:dyDescent="0.35">
      <c r="AQ2240" s="54"/>
      <c r="BA2240" s="54"/>
    </row>
    <row r="2241" spans="43:53" x14ac:dyDescent="0.35">
      <c r="AQ2241" s="54"/>
      <c r="BA2241" s="54"/>
    </row>
    <row r="2242" spans="43:53" x14ac:dyDescent="0.35">
      <c r="AQ2242" s="54"/>
      <c r="BA2242" s="54"/>
    </row>
    <row r="2243" spans="43:53" x14ac:dyDescent="0.35">
      <c r="AQ2243" s="54"/>
      <c r="BA2243" s="54"/>
    </row>
    <row r="2244" spans="43:53" x14ac:dyDescent="0.35">
      <c r="AQ2244" s="54"/>
      <c r="BA2244" s="54"/>
    </row>
    <row r="2245" spans="43:53" x14ac:dyDescent="0.35">
      <c r="AQ2245" s="54"/>
      <c r="BA2245" s="54"/>
    </row>
    <row r="2246" spans="43:53" x14ac:dyDescent="0.35">
      <c r="AQ2246" s="54"/>
      <c r="BA2246" s="54"/>
    </row>
    <row r="2247" spans="43:53" x14ac:dyDescent="0.35">
      <c r="AQ2247" s="54"/>
      <c r="BA2247" s="54"/>
    </row>
    <row r="2248" spans="43:53" x14ac:dyDescent="0.35">
      <c r="AQ2248" s="54"/>
      <c r="BA2248" s="54"/>
    </row>
    <row r="2249" spans="43:53" x14ac:dyDescent="0.35">
      <c r="AQ2249" s="54"/>
      <c r="BA2249" s="54"/>
    </row>
    <row r="2250" spans="43:53" x14ac:dyDescent="0.35">
      <c r="AQ2250" s="54"/>
      <c r="BA2250" s="54"/>
    </row>
    <row r="2251" spans="43:53" x14ac:dyDescent="0.35">
      <c r="AQ2251" s="54"/>
      <c r="BA2251" s="54"/>
    </row>
    <row r="2252" spans="43:53" x14ac:dyDescent="0.35">
      <c r="AQ2252" s="54"/>
      <c r="BA2252" s="54"/>
    </row>
    <row r="2253" spans="43:53" x14ac:dyDescent="0.35">
      <c r="AQ2253" s="54"/>
      <c r="BA2253" s="54"/>
    </row>
    <row r="2254" spans="43:53" x14ac:dyDescent="0.35">
      <c r="AQ2254" s="54"/>
      <c r="BA2254" s="54"/>
    </row>
    <row r="2255" spans="43:53" x14ac:dyDescent="0.35">
      <c r="AQ2255" s="54"/>
      <c r="BA2255" s="54"/>
    </row>
    <row r="2256" spans="43:53" x14ac:dyDescent="0.35">
      <c r="AQ2256" s="54"/>
      <c r="BA2256" s="54"/>
    </row>
    <row r="2257" spans="43:53" x14ac:dyDescent="0.35">
      <c r="AQ2257" s="54"/>
      <c r="BA2257" s="54"/>
    </row>
    <row r="2258" spans="43:53" x14ac:dyDescent="0.35">
      <c r="AQ2258" s="54"/>
      <c r="BA2258" s="54"/>
    </row>
    <row r="2259" spans="43:53" x14ac:dyDescent="0.35">
      <c r="AQ2259" s="54"/>
      <c r="BA2259" s="54"/>
    </row>
    <row r="2260" spans="43:53" x14ac:dyDescent="0.35">
      <c r="AQ2260" s="54"/>
      <c r="BA2260" s="54"/>
    </row>
    <row r="2261" spans="43:53" x14ac:dyDescent="0.35">
      <c r="AQ2261" s="54"/>
      <c r="BA2261" s="54"/>
    </row>
    <row r="2262" spans="43:53" x14ac:dyDescent="0.35">
      <c r="AQ2262" s="54"/>
      <c r="BA2262" s="54"/>
    </row>
    <row r="2263" spans="43:53" x14ac:dyDescent="0.35">
      <c r="AQ2263" s="54"/>
      <c r="BA2263" s="54"/>
    </row>
    <row r="2264" spans="43:53" x14ac:dyDescent="0.35">
      <c r="AQ2264" s="54"/>
      <c r="BA2264" s="54"/>
    </row>
    <row r="2265" spans="43:53" x14ac:dyDescent="0.35">
      <c r="AQ2265" s="54"/>
      <c r="BA2265" s="54"/>
    </row>
    <row r="2266" spans="43:53" x14ac:dyDescent="0.35">
      <c r="AQ2266" s="54"/>
      <c r="BA2266" s="54"/>
    </row>
    <row r="2267" spans="43:53" x14ac:dyDescent="0.35">
      <c r="AQ2267" s="54"/>
      <c r="BA2267" s="54"/>
    </row>
    <row r="2268" spans="43:53" x14ac:dyDescent="0.35">
      <c r="AQ2268" s="54"/>
      <c r="BA2268" s="54"/>
    </row>
    <row r="2269" spans="43:53" x14ac:dyDescent="0.35">
      <c r="AQ2269" s="54"/>
      <c r="BA2269" s="54"/>
    </row>
    <row r="2270" spans="43:53" x14ac:dyDescent="0.35">
      <c r="AQ2270" s="54"/>
      <c r="BA2270" s="54"/>
    </row>
    <row r="2271" spans="43:53" x14ac:dyDescent="0.35">
      <c r="AQ2271" s="54"/>
      <c r="BA2271" s="54"/>
    </row>
    <row r="2272" spans="43:53" x14ac:dyDescent="0.35">
      <c r="AQ2272" s="54"/>
      <c r="BA2272" s="54"/>
    </row>
    <row r="2273" spans="43:53" x14ac:dyDescent="0.35">
      <c r="AQ2273" s="54"/>
      <c r="BA2273" s="54"/>
    </row>
    <row r="2274" spans="43:53" x14ac:dyDescent="0.35">
      <c r="AQ2274" s="54"/>
      <c r="BA2274" s="54"/>
    </row>
    <row r="2275" spans="43:53" x14ac:dyDescent="0.35">
      <c r="AQ2275" s="54"/>
      <c r="BA2275" s="54"/>
    </row>
    <row r="2276" spans="43:53" x14ac:dyDescent="0.35">
      <c r="AQ2276" s="54"/>
      <c r="BA2276" s="54"/>
    </row>
    <row r="2277" spans="43:53" x14ac:dyDescent="0.35">
      <c r="AQ2277" s="54"/>
      <c r="BA2277" s="54"/>
    </row>
    <row r="2278" spans="43:53" x14ac:dyDescent="0.35">
      <c r="AQ2278" s="54"/>
      <c r="BA2278" s="54"/>
    </row>
    <row r="2279" spans="43:53" x14ac:dyDescent="0.35">
      <c r="AQ2279" s="54"/>
      <c r="BA2279" s="54"/>
    </row>
    <row r="2280" spans="43:53" x14ac:dyDescent="0.35">
      <c r="AQ2280" s="54"/>
      <c r="BA2280" s="54"/>
    </row>
    <row r="2281" spans="43:53" x14ac:dyDescent="0.35">
      <c r="AQ2281" s="54"/>
      <c r="BA2281" s="54"/>
    </row>
    <row r="2282" spans="43:53" x14ac:dyDescent="0.35">
      <c r="AQ2282" s="54"/>
      <c r="BA2282" s="54"/>
    </row>
    <row r="2283" spans="43:53" x14ac:dyDescent="0.35">
      <c r="AQ2283" s="54"/>
      <c r="BA2283" s="54"/>
    </row>
    <row r="2284" spans="43:53" x14ac:dyDescent="0.35">
      <c r="AQ2284" s="54"/>
      <c r="BA2284" s="54"/>
    </row>
    <row r="2285" spans="43:53" x14ac:dyDescent="0.35">
      <c r="AQ2285" s="54"/>
      <c r="BA2285" s="54"/>
    </row>
    <row r="2286" spans="43:53" x14ac:dyDescent="0.35">
      <c r="AQ2286" s="54"/>
      <c r="BA2286" s="54"/>
    </row>
    <row r="2287" spans="43:53" x14ac:dyDescent="0.35">
      <c r="AQ2287" s="54"/>
      <c r="BA2287" s="54"/>
    </row>
    <row r="2288" spans="43:53" x14ac:dyDescent="0.35">
      <c r="AQ2288" s="54"/>
      <c r="BA2288" s="54"/>
    </row>
    <row r="2289" spans="43:53" x14ac:dyDescent="0.35">
      <c r="AQ2289" s="54"/>
      <c r="BA2289" s="54"/>
    </row>
    <row r="2290" spans="43:53" x14ac:dyDescent="0.35">
      <c r="AQ2290" s="54"/>
      <c r="BA2290" s="54"/>
    </row>
    <row r="2291" spans="43:53" x14ac:dyDescent="0.35">
      <c r="AQ2291" s="54"/>
      <c r="BA2291" s="54"/>
    </row>
    <row r="2292" spans="43:53" x14ac:dyDescent="0.35">
      <c r="AQ2292" s="54"/>
      <c r="BA2292" s="54"/>
    </row>
    <row r="2293" spans="43:53" x14ac:dyDescent="0.35">
      <c r="AQ2293" s="54"/>
      <c r="BA2293" s="54"/>
    </row>
    <row r="2294" spans="43:53" x14ac:dyDescent="0.35">
      <c r="AQ2294" s="54"/>
      <c r="BA2294" s="54"/>
    </row>
    <row r="2295" spans="43:53" x14ac:dyDescent="0.35">
      <c r="AQ2295" s="54"/>
      <c r="BA2295" s="54"/>
    </row>
    <row r="2296" spans="43:53" x14ac:dyDescent="0.35">
      <c r="AQ2296" s="54"/>
      <c r="BA2296" s="54"/>
    </row>
    <row r="2297" spans="43:53" x14ac:dyDescent="0.35">
      <c r="AQ2297" s="54"/>
      <c r="BA2297" s="54"/>
    </row>
    <row r="2298" spans="43:53" x14ac:dyDescent="0.35">
      <c r="AQ2298" s="54"/>
      <c r="BA2298" s="54"/>
    </row>
    <row r="2299" spans="43:53" x14ac:dyDescent="0.35">
      <c r="AQ2299" s="54"/>
      <c r="BA2299" s="54"/>
    </row>
    <row r="2300" spans="43:53" x14ac:dyDescent="0.35">
      <c r="AQ2300" s="54"/>
      <c r="BA2300" s="54"/>
    </row>
    <row r="2301" spans="43:53" x14ac:dyDescent="0.35">
      <c r="AQ2301" s="54"/>
      <c r="BA2301" s="54"/>
    </row>
    <row r="2302" spans="43:53" x14ac:dyDescent="0.35">
      <c r="AQ2302" s="54"/>
      <c r="BA2302" s="54"/>
    </row>
    <row r="2303" spans="43:53" x14ac:dyDescent="0.35">
      <c r="AQ2303" s="54"/>
      <c r="BA2303" s="54"/>
    </row>
    <row r="2304" spans="43:53" x14ac:dyDescent="0.35">
      <c r="AQ2304" s="54"/>
      <c r="BA2304" s="54"/>
    </row>
    <row r="2305" spans="43:53" x14ac:dyDescent="0.35">
      <c r="AQ2305" s="54"/>
      <c r="BA2305" s="54"/>
    </row>
    <row r="2306" spans="43:53" x14ac:dyDescent="0.35">
      <c r="AQ2306" s="54"/>
      <c r="BA2306" s="54"/>
    </row>
    <row r="2307" spans="43:53" x14ac:dyDescent="0.35">
      <c r="AQ2307" s="54"/>
      <c r="BA2307" s="54"/>
    </row>
    <row r="2308" spans="43:53" x14ac:dyDescent="0.35">
      <c r="AQ2308" s="54"/>
      <c r="BA2308" s="54"/>
    </row>
    <row r="2309" spans="43:53" x14ac:dyDescent="0.35">
      <c r="AQ2309" s="54"/>
      <c r="BA2309" s="54"/>
    </row>
    <row r="2310" spans="43:53" x14ac:dyDescent="0.35">
      <c r="AQ2310" s="54"/>
      <c r="BA2310" s="54"/>
    </row>
    <row r="2311" spans="43:53" x14ac:dyDescent="0.35">
      <c r="AQ2311" s="54"/>
      <c r="BA2311" s="54"/>
    </row>
    <row r="2312" spans="43:53" x14ac:dyDescent="0.35">
      <c r="AQ2312" s="54"/>
      <c r="BA2312" s="54"/>
    </row>
    <row r="2313" spans="43:53" x14ac:dyDescent="0.35">
      <c r="AQ2313" s="54"/>
      <c r="BA2313" s="54"/>
    </row>
    <row r="2314" spans="43:53" x14ac:dyDescent="0.35">
      <c r="AQ2314" s="54"/>
      <c r="BA2314" s="54"/>
    </row>
    <row r="2315" spans="43:53" x14ac:dyDescent="0.35">
      <c r="AQ2315" s="54"/>
      <c r="BA2315" s="54"/>
    </row>
    <row r="2316" spans="43:53" x14ac:dyDescent="0.35">
      <c r="AQ2316" s="54"/>
      <c r="BA2316" s="54"/>
    </row>
    <row r="2317" spans="43:53" x14ac:dyDescent="0.35">
      <c r="AQ2317" s="54"/>
      <c r="BA2317" s="54"/>
    </row>
    <row r="2318" spans="43:53" x14ac:dyDescent="0.35">
      <c r="AQ2318" s="54"/>
      <c r="BA2318" s="54"/>
    </row>
    <row r="2319" spans="43:53" x14ac:dyDescent="0.35">
      <c r="AQ2319" s="54"/>
      <c r="BA2319" s="54"/>
    </row>
    <row r="2320" spans="43:53" x14ac:dyDescent="0.35">
      <c r="AQ2320" s="54"/>
      <c r="BA2320" s="54"/>
    </row>
    <row r="2321" spans="43:53" x14ac:dyDescent="0.35">
      <c r="AQ2321" s="54"/>
      <c r="BA2321" s="54"/>
    </row>
    <row r="2322" spans="43:53" x14ac:dyDescent="0.35">
      <c r="AQ2322" s="54"/>
      <c r="BA2322" s="54"/>
    </row>
    <row r="2323" spans="43:53" x14ac:dyDescent="0.35">
      <c r="AQ2323" s="54"/>
      <c r="BA2323" s="54"/>
    </row>
    <row r="2324" spans="43:53" x14ac:dyDescent="0.35">
      <c r="AQ2324" s="54"/>
      <c r="BA2324" s="54"/>
    </row>
    <row r="2325" spans="43:53" x14ac:dyDescent="0.35">
      <c r="AQ2325" s="54"/>
      <c r="BA2325" s="54"/>
    </row>
    <row r="2326" spans="43:53" x14ac:dyDescent="0.35">
      <c r="AQ2326" s="54"/>
      <c r="BA2326" s="54"/>
    </row>
    <row r="2327" spans="43:53" x14ac:dyDescent="0.35">
      <c r="AQ2327" s="54"/>
      <c r="BA2327" s="54"/>
    </row>
    <row r="2328" spans="43:53" x14ac:dyDescent="0.35">
      <c r="AQ2328" s="54"/>
      <c r="BA2328" s="54"/>
    </row>
    <row r="2329" spans="43:53" x14ac:dyDescent="0.35">
      <c r="AQ2329" s="54"/>
      <c r="BA2329" s="54"/>
    </row>
    <row r="2330" spans="43:53" x14ac:dyDescent="0.35">
      <c r="AQ2330" s="54"/>
      <c r="BA2330" s="54"/>
    </row>
    <row r="2331" spans="43:53" x14ac:dyDescent="0.35">
      <c r="AQ2331" s="54"/>
      <c r="BA2331" s="54"/>
    </row>
    <row r="2332" spans="43:53" x14ac:dyDescent="0.35">
      <c r="AQ2332" s="54"/>
      <c r="BA2332" s="54"/>
    </row>
    <row r="2333" spans="43:53" x14ac:dyDescent="0.35">
      <c r="AQ2333" s="54"/>
      <c r="BA2333" s="54"/>
    </row>
    <row r="2334" spans="43:53" x14ac:dyDescent="0.35">
      <c r="AQ2334" s="54"/>
      <c r="BA2334" s="54"/>
    </row>
    <row r="2335" spans="43:53" x14ac:dyDescent="0.35">
      <c r="AQ2335" s="54"/>
      <c r="BA2335" s="54"/>
    </row>
    <row r="2336" spans="43:53" x14ac:dyDescent="0.35">
      <c r="AQ2336" s="54"/>
      <c r="BA2336" s="54"/>
    </row>
    <row r="2337" spans="43:53" x14ac:dyDescent="0.35">
      <c r="AQ2337" s="54"/>
      <c r="BA2337" s="54"/>
    </row>
    <row r="2338" spans="43:53" x14ac:dyDescent="0.35">
      <c r="AQ2338" s="54"/>
      <c r="BA2338" s="54"/>
    </row>
    <row r="2339" spans="43:53" x14ac:dyDescent="0.35">
      <c r="AQ2339" s="54"/>
      <c r="BA2339" s="54"/>
    </row>
    <row r="2340" spans="43:53" x14ac:dyDescent="0.35">
      <c r="AQ2340" s="54"/>
      <c r="BA2340" s="54"/>
    </row>
    <row r="2341" spans="43:53" x14ac:dyDescent="0.35">
      <c r="AQ2341" s="54"/>
      <c r="BA2341" s="54"/>
    </row>
    <row r="2342" spans="43:53" x14ac:dyDescent="0.35">
      <c r="AQ2342" s="54"/>
      <c r="BA2342" s="54"/>
    </row>
    <row r="2343" spans="43:53" x14ac:dyDescent="0.35">
      <c r="AQ2343" s="54"/>
      <c r="BA2343" s="54"/>
    </row>
    <row r="2344" spans="43:53" x14ac:dyDescent="0.35">
      <c r="AQ2344" s="54"/>
      <c r="BA2344" s="54"/>
    </row>
    <row r="2345" spans="43:53" x14ac:dyDescent="0.35">
      <c r="AQ2345" s="54"/>
      <c r="BA2345" s="54"/>
    </row>
    <row r="2346" spans="43:53" x14ac:dyDescent="0.35">
      <c r="AQ2346" s="54"/>
      <c r="BA2346" s="54"/>
    </row>
    <row r="2347" spans="43:53" x14ac:dyDescent="0.35">
      <c r="AQ2347" s="54"/>
      <c r="BA2347" s="54"/>
    </row>
    <row r="2348" spans="43:53" x14ac:dyDescent="0.35">
      <c r="AQ2348" s="54"/>
      <c r="BA2348" s="54"/>
    </row>
    <row r="2349" spans="43:53" x14ac:dyDescent="0.35">
      <c r="AQ2349" s="54"/>
      <c r="BA2349" s="54"/>
    </row>
    <row r="2350" spans="43:53" x14ac:dyDescent="0.35">
      <c r="AQ2350" s="54"/>
      <c r="BA2350" s="54"/>
    </row>
    <row r="2351" spans="43:53" x14ac:dyDescent="0.35">
      <c r="AQ2351" s="54"/>
      <c r="BA2351" s="54"/>
    </row>
    <row r="2352" spans="43:53" x14ac:dyDescent="0.35">
      <c r="AQ2352" s="54"/>
      <c r="BA2352" s="54"/>
    </row>
    <row r="2353" spans="43:53" x14ac:dyDescent="0.35">
      <c r="AQ2353" s="54"/>
      <c r="BA2353" s="54"/>
    </row>
    <row r="2354" spans="43:53" x14ac:dyDescent="0.35">
      <c r="AQ2354" s="54"/>
      <c r="BA2354" s="54"/>
    </row>
    <row r="2355" spans="43:53" x14ac:dyDescent="0.35">
      <c r="AQ2355" s="54"/>
      <c r="BA2355" s="54"/>
    </row>
    <row r="2356" spans="43:53" x14ac:dyDescent="0.35">
      <c r="AQ2356" s="54"/>
      <c r="BA2356" s="54"/>
    </row>
    <row r="2357" spans="43:53" x14ac:dyDescent="0.35">
      <c r="AQ2357" s="54"/>
      <c r="BA2357" s="54"/>
    </row>
    <row r="2358" spans="43:53" x14ac:dyDescent="0.35">
      <c r="AQ2358" s="54"/>
      <c r="BA2358" s="54"/>
    </row>
    <row r="2359" spans="43:53" x14ac:dyDescent="0.35">
      <c r="AQ2359" s="54"/>
      <c r="BA2359" s="54"/>
    </row>
    <row r="2360" spans="43:53" x14ac:dyDescent="0.35">
      <c r="AQ2360" s="54"/>
      <c r="BA2360" s="54"/>
    </row>
    <row r="2361" spans="43:53" x14ac:dyDescent="0.35">
      <c r="AQ2361" s="54"/>
      <c r="BA2361" s="54"/>
    </row>
    <row r="2362" spans="43:53" x14ac:dyDescent="0.35">
      <c r="AQ2362" s="54"/>
      <c r="BA2362" s="54"/>
    </row>
    <row r="2363" spans="43:53" x14ac:dyDescent="0.35">
      <c r="AQ2363" s="54"/>
      <c r="BA2363" s="54"/>
    </row>
    <row r="2364" spans="43:53" x14ac:dyDescent="0.35">
      <c r="AQ2364" s="54"/>
      <c r="BA2364" s="54"/>
    </row>
    <row r="2365" spans="43:53" x14ac:dyDescent="0.35">
      <c r="AQ2365" s="54"/>
      <c r="BA2365" s="54"/>
    </row>
    <row r="2366" spans="43:53" x14ac:dyDescent="0.35">
      <c r="AQ2366" s="54"/>
      <c r="BA2366" s="54"/>
    </row>
    <row r="2367" spans="43:53" x14ac:dyDescent="0.35">
      <c r="AQ2367" s="54"/>
      <c r="BA2367" s="54"/>
    </row>
    <row r="2368" spans="43:53" x14ac:dyDescent="0.35">
      <c r="AQ2368" s="54"/>
      <c r="BA2368" s="54"/>
    </row>
    <row r="2369" spans="43:53" x14ac:dyDescent="0.35">
      <c r="AQ2369" s="54"/>
      <c r="BA2369" s="54"/>
    </row>
    <row r="2370" spans="43:53" x14ac:dyDescent="0.35">
      <c r="AQ2370" s="54"/>
      <c r="BA2370" s="54"/>
    </row>
    <row r="2371" spans="43:53" x14ac:dyDescent="0.35">
      <c r="AQ2371" s="54"/>
      <c r="BA2371" s="54"/>
    </row>
    <row r="2372" spans="43:53" x14ac:dyDescent="0.35">
      <c r="AQ2372" s="54"/>
      <c r="BA2372" s="54"/>
    </row>
    <row r="2373" spans="43:53" x14ac:dyDescent="0.35">
      <c r="AQ2373" s="54"/>
      <c r="BA2373" s="54"/>
    </row>
    <row r="2374" spans="43:53" x14ac:dyDescent="0.35">
      <c r="AQ2374" s="54"/>
      <c r="BA2374" s="54"/>
    </row>
    <row r="2375" spans="43:53" x14ac:dyDescent="0.35">
      <c r="AQ2375" s="54"/>
      <c r="BA2375" s="54"/>
    </row>
    <row r="2376" spans="43:53" x14ac:dyDescent="0.35">
      <c r="AQ2376" s="54"/>
      <c r="BA2376" s="54"/>
    </row>
    <row r="2377" spans="43:53" x14ac:dyDescent="0.35">
      <c r="AQ2377" s="54"/>
      <c r="BA2377" s="54"/>
    </row>
    <row r="2378" spans="43:53" x14ac:dyDescent="0.35">
      <c r="AQ2378" s="54"/>
      <c r="BA2378" s="54"/>
    </row>
    <row r="2379" spans="43:53" x14ac:dyDescent="0.35">
      <c r="AQ2379" s="54"/>
      <c r="BA2379" s="54"/>
    </row>
    <row r="2380" spans="43:53" x14ac:dyDescent="0.35">
      <c r="AQ2380" s="54"/>
      <c r="BA2380" s="54"/>
    </row>
    <row r="2381" spans="43:53" x14ac:dyDescent="0.35">
      <c r="AQ2381" s="54"/>
      <c r="BA2381" s="54"/>
    </row>
    <row r="2382" spans="43:53" x14ac:dyDescent="0.35">
      <c r="AQ2382" s="54"/>
      <c r="BA2382" s="54"/>
    </row>
    <row r="2383" spans="43:53" x14ac:dyDescent="0.35">
      <c r="AQ2383" s="54"/>
      <c r="BA2383" s="54"/>
    </row>
    <row r="2384" spans="43:53" x14ac:dyDescent="0.35">
      <c r="AQ2384" s="54"/>
      <c r="BA2384" s="54"/>
    </row>
    <row r="2385" spans="43:53" x14ac:dyDescent="0.35">
      <c r="AQ2385" s="54"/>
      <c r="BA2385" s="54"/>
    </row>
    <row r="2386" spans="43:53" x14ac:dyDescent="0.35">
      <c r="AQ2386" s="54"/>
      <c r="BA2386" s="54"/>
    </row>
    <row r="2387" spans="43:53" x14ac:dyDescent="0.35">
      <c r="AQ2387" s="54"/>
      <c r="BA2387" s="54"/>
    </row>
    <row r="2388" spans="43:53" x14ac:dyDescent="0.35">
      <c r="AQ2388" s="54"/>
      <c r="BA2388" s="54"/>
    </row>
    <row r="2389" spans="43:53" x14ac:dyDescent="0.35">
      <c r="AQ2389" s="54"/>
      <c r="BA2389" s="54"/>
    </row>
    <row r="2390" spans="43:53" x14ac:dyDescent="0.35">
      <c r="AQ2390" s="54"/>
      <c r="BA2390" s="54"/>
    </row>
    <row r="2391" spans="43:53" x14ac:dyDescent="0.35">
      <c r="AQ2391" s="54"/>
      <c r="BA2391" s="54"/>
    </row>
    <row r="2392" spans="43:53" x14ac:dyDescent="0.35">
      <c r="AQ2392" s="54"/>
      <c r="BA2392" s="54"/>
    </row>
    <row r="2393" spans="43:53" x14ac:dyDescent="0.35">
      <c r="AQ2393" s="54"/>
      <c r="BA2393" s="54"/>
    </row>
    <row r="2394" spans="43:53" x14ac:dyDescent="0.35">
      <c r="AQ2394" s="54"/>
      <c r="BA2394" s="54"/>
    </row>
    <row r="2395" spans="43:53" x14ac:dyDescent="0.35">
      <c r="AQ2395" s="54"/>
      <c r="BA2395" s="54"/>
    </row>
    <row r="2396" spans="43:53" x14ac:dyDescent="0.35">
      <c r="AQ2396" s="54"/>
      <c r="BA2396" s="54"/>
    </row>
    <row r="2397" spans="43:53" x14ac:dyDescent="0.35">
      <c r="AQ2397" s="54"/>
      <c r="BA2397" s="54"/>
    </row>
    <row r="2398" spans="43:53" x14ac:dyDescent="0.35">
      <c r="AQ2398" s="54"/>
      <c r="BA2398" s="54"/>
    </row>
    <row r="2399" spans="43:53" x14ac:dyDescent="0.35">
      <c r="AQ2399" s="54"/>
      <c r="BA2399" s="54"/>
    </row>
    <row r="2400" spans="43:53" x14ac:dyDescent="0.35">
      <c r="AQ2400" s="54"/>
      <c r="BA2400" s="54"/>
    </row>
    <row r="2401" spans="43:53" x14ac:dyDescent="0.35">
      <c r="AQ2401" s="54"/>
      <c r="BA2401" s="54"/>
    </row>
    <row r="2402" spans="43:53" x14ac:dyDescent="0.35">
      <c r="AQ2402" s="54"/>
      <c r="BA2402" s="54"/>
    </row>
    <row r="2403" spans="43:53" x14ac:dyDescent="0.35">
      <c r="AQ2403" s="54"/>
      <c r="BA2403" s="54"/>
    </row>
    <row r="2404" spans="43:53" x14ac:dyDescent="0.35">
      <c r="AQ2404" s="54"/>
      <c r="BA2404" s="54"/>
    </row>
    <row r="2405" spans="43:53" x14ac:dyDescent="0.35">
      <c r="AQ2405" s="54"/>
      <c r="BA2405" s="54"/>
    </row>
    <row r="2406" spans="43:53" x14ac:dyDescent="0.35">
      <c r="AQ2406" s="54"/>
      <c r="BA2406" s="54"/>
    </row>
    <row r="2407" spans="43:53" x14ac:dyDescent="0.35">
      <c r="AQ2407" s="54"/>
      <c r="BA2407" s="54"/>
    </row>
    <row r="2408" spans="43:53" x14ac:dyDescent="0.35">
      <c r="AQ2408" s="54"/>
      <c r="BA2408" s="54"/>
    </row>
    <row r="2409" spans="43:53" x14ac:dyDescent="0.35">
      <c r="AQ2409" s="54"/>
      <c r="BA2409" s="54"/>
    </row>
    <row r="2410" spans="43:53" x14ac:dyDescent="0.35">
      <c r="AQ2410" s="54"/>
      <c r="BA2410" s="54"/>
    </row>
    <row r="2411" spans="43:53" x14ac:dyDescent="0.35">
      <c r="AQ2411" s="54"/>
      <c r="BA2411" s="54"/>
    </row>
    <row r="2412" spans="43:53" x14ac:dyDescent="0.35">
      <c r="AQ2412" s="54"/>
      <c r="BA2412" s="54"/>
    </row>
    <row r="2413" spans="43:53" x14ac:dyDescent="0.35">
      <c r="AQ2413" s="54"/>
      <c r="BA2413" s="54"/>
    </row>
    <row r="2414" spans="43:53" x14ac:dyDescent="0.35">
      <c r="AQ2414" s="54"/>
      <c r="BA2414" s="54"/>
    </row>
    <row r="2415" spans="43:53" x14ac:dyDescent="0.35">
      <c r="AQ2415" s="54"/>
      <c r="BA2415" s="54"/>
    </row>
    <row r="2416" spans="43:53" x14ac:dyDescent="0.35">
      <c r="AQ2416" s="54"/>
      <c r="BA2416" s="54"/>
    </row>
    <row r="2417" spans="43:53" x14ac:dyDescent="0.35">
      <c r="AQ2417" s="54"/>
      <c r="BA2417" s="54"/>
    </row>
    <row r="2418" spans="43:53" x14ac:dyDescent="0.35">
      <c r="AQ2418" s="54"/>
      <c r="BA2418" s="54"/>
    </row>
    <row r="2419" spans="43:53" x14ac:dyDescent="0.35">
      <c r="AQ2419" s="54"/>
      <c r="BA2419" s="54"/>
    </row>
    <row r="2420" spans="43:53" x14ac:dyDescent="0.35">
      <c r="AQ2420" s="54"/>
      <c r="BA2420" s="54"/>
    </row>
    <row r="2421" spans="43:53" x14ac:dyDescent="0.35">
      <c r="AQ2421" s="54"/>
      <c r="BA2421" s="54"/>
    </row>
    <row r="2422" spans="43:53" x14ac:dyDescent="0.35">
      <c r="AQ2422" s="54"/>
      <c r="BA2422" s="54"/>
    </row>
    <row r="2423" spans="43:53" x14ac:dyDescent="0.35">
      <c r="AQ2423" s="54"/>
      <c r="BA2423" s="54"/>
    </row>
    <row r="2424" spans="43:53" x14ac:dyDescent="0.35">
      <c r="AQ2424" s="54"/>
      <c r="BA2424" s="54"/>
    </row>
    <row r="2425" spans="43:53" x14ac:dyDescent="0.35">
      <c r="AQ2425" s="54"/>
      <c r="BA2425" s="54"/>
    </row>
    <row r="2426" spans="43:53" x14ac:dyDescent="0.35">
      <c r="AQ2426" s="54"/>
      <c r="BA2426" s="54"/>
    </row>
    <row r="2427" spans="43:53" x14ac:dyDescent="0.35">
      <c r="AQ2427" s="54"/>
      <c r="BA2427" s="54"/>
    </row>
    <row r="2428" spans="43:53" x14ac:dyDescent="0.35">
      <c r="AQ2428" s="54"/>
      <c r="BA2428" s="54"/>
    </row>
    <row r="2429" spans="43:53" x14ac:dyDescent="0.35">
      <c r="AQ2429" s="54"/>
      <c r="BA2429" s="54"/>
    </row>
    <row r="2430" spans="43:53" x14ac:dyDescent="0.35">
      <c r="AQ2430" s="54"/>
      <c r="BA2430" s="54"/>
    </row>
    <row r="2431" spans="43:53" x14ac:dyDescent="0.35">
      <c r="AQ2431" s="54"/>
      <c r="BA2431" s="54"/>
    </row>
    <row r="2432" spans="43:53" x14ac:dyDescent="0.35">
      <c r="AQ2432" s="54"/>
      <c r="BA2432" s="54"/>
    </row>
    <row r="2433" spans="43:53" x14ac:dyDescent="0.35">
      <c r="AQ2433" s="54"/>
      <c r="BA2433" s="54"/>
    </row>
    <row r="2434" spans="43:53" x14ac:dyDescent="0.35">
      <c r="AQ2434" s="54"/>
      <c r="BA2434" s="54"/>
    </row>
    <row r="2435" spans="43:53" x14ac:dyDescent="0.35">
      <c r="AQ2435" s="54"/>
      <c r="BA2435" s="54"/>
    </row>
    <row r="2436" spans="43:53" x14ac:dyDescent="0.35">
      <c r="AQ2436" s="54"/>
      <c r="BA2436" s="54"/>
    </row>
    <row r="2437" spans="43:53" x14ac:dyDescent="0.35">
      <c r="AQ2437" s="54"/>
      <c r="BA2437" s="54"/>
    </row>
    <row r="2438" spans="43:53" x14ac:dyDescent="0.35">
      <c r="AQ2438" s="54"/>
      <c r="BA2438" s="54"/>
    </row>
    <row r="2439" spans="43:53" x14ac:dyDescent="0.35">
      <c r="AQ2439" s="54"/>
      <c r="BA2439" s="54"/>
    </row>
    <row r="2440" spans="43:53" x14ac:dyDescent="0.35">
      <c r="AQ2440" s="54"/>
      <c r="BA2440" s="54"/>
    </row>
    <row r="2441" spans="43:53" x14ac:dyDescent="0.35">
      <c r="AQ2441" s="54"/>
      <c r="BA2441" s="54"/>
    </row>
    <row r="2442" spans="43:53" x14ac:dyDescent="0.35">
      <c r="AQ2442" s="54"/>
      <c r="BA2442" s="54"/>
    </row>
    <row r="2443" spans="43:53" x14ac:dyDescent="0.35">
      <c r="AQ2443" s="54"/>
      <c r="BA2443" s="54"/>
    </row>
    <row r="2444" spans="43:53" x14ac:dyDescent="0.35">
      <c r="AQ2444" s="54"/>
      <c r="BA2444" s="54"/>
    </row>
    <row r="2445" spans="43:53" x14ac:dyDescent="0.35">
      <c r="AQ2445" s="54"/>
      <c r="BA2445" s="54"/>
    </row>
    <row r="2446" spans="43:53" x14ac:dyDescent="0.35">
      <c r="AQ2446" s="54"/>
      <c r="BA2446" s="54"/>
    </row>
    <row r="2447" spans="43:53" x14ac:dyDescent="0.35">
      <c r="AQ2447" s="54"/>
      <c r="BA2447" s="54"/>
    </row>
    <row r="2448" spans="43:53" x14ac:dyDescent="0.35">
      <c r="AQ2448" s="54"/>
      <c r="BA2448" s="54"/>
    </row>
    <row r="2449" spans="43:53" x14ac:dyDescent="0.35">
      <c r="AQ2449" s="54"/>
      <c r="BA2449" s="54"/>
    </row>
    <row r="2450" spans="43:53" x14ac:dyDescent="0.35">
      <c r="AQ2450" s="54"/>
      <c r="BA2450" s="54"/>
    </row>
    <row r="2451" spans="43:53" x14ac:dyDescent="0.35">
      <c r="AQ2451" s="54"/>
      <c r="BA2451" s="54"/>
    </row>
    <row r="2452" spans="43:53" x14ac:dyDescent="0.35">
      <c r="AQ2452" s="54"/>
      <c r="BA2452" s="54"/>
    </row>
    <row r="2453" spans="43:53" x14ac:dyDescent="0.35">
      <c r="AQ2453" s="54"/>
      <c r="BA2453" s="54"/>
    </row>
    <row r="2454" spans="43:53" x14ac:dyDescent="0.35">
      <c r="AQ2454" s="54"/>
      <c r="BA2454" s="54"/>
    </row>
    <row r="2455" spans="43:53" x14ac:dyDescent="0.35">
      <c r="AQ2455" s="54"/>
      <c r="BA2455" s="54"/>
    </row>
    <row r="2456" spans="43:53" x14ac:dyDescent="0.35">
      <c r="AQ2456" s="54"/>
      <c r="BA2456" s="54"/>
    </row>
    <row r="2457" spans="43:53" x14ac:dyDescent="0.35">
      <c r="AQ2457" s="54"/>
      <c r="BA2457" s="54"/>
    </row>
    <row r="2458" spans="43:53" x14ac:dyDescent="0.35">
      <c r="AQ2458" s="54"/>
      <c r="BA2458" s="54"/>
    </row>
    <row r="2459" spans="43:53" x14ac:dyDescent="0.35">
      <c r="AQ2459" s="54"/>
      <c r="BA2459" s="54"/>
    </row>
    <row r="2460" spans="43:53" x14ac:dyDescent="0.35">
      <c r="AQ2460" s="54"/>
      <c r="BA2460" s="54"/>
    </row>
    <row r="2461" spans="43:53" x14ac:dyDescent="0.35">
      <c r="AQ2461" s="54"/>
      <c r="BA2461" s="54"/>
    </row>
    <row r="2462" spans="43:53" x14ac:dyDescent="0.35">
      <c r="AQ2462" s="54"/>
      <c r="BA2462" s="54"/>
    </row>
    <row r="2463" spans="43:53" x14ac:dyDescent="0.35">
      <c r="AQ2463" s="54"/>
      <c r="BA2463" s="54"/>
    </row>
    <row r="2464" spans="43:53" x14ac:dyDescent="0.35">
      <c r="AQ2464" s="54"/>
      <c r="BA2464" s="54"/>
    </row>
    <row r="2465" spans="43:53" x14ac:dyDescent="0.35">
      <c r="AQ2465" s="54"/>
      <c r="BA2465" s="54"/>
    </row>
    <row r="2466" spans="43:53" x14ac:dyDescent="0.35">
      <c r="AQ2466" s="54"/>
      <c r="BA2466" s="54"/>
    </row>
    <row r="2467" spans="43:53" x14ac:dyDescent="0.35">
      <c r="AQ2467" s="54"/>
      <c r="BA2467" s="54"/>
    </row>
    <row r="2468" spans="43:53" x14ac:dyDescent="0.35">
      <c r="AQ2468" s="54"/>
      <c r="BA2468" s="54"/>
    </row>
    <row r="2469" spans="43:53" x14ac:dyDescent="0.35">
      <c r="AQ2469" s="54"/>
      <c r="BA2469" s="54"/>
    </row>
    <row r="2470" spans="43:53" x14ac:dyDescent="0.35">
      <c r="AQ2470" s="54"/>
      <c r="BA2470" s="54"/>
    </row>
    <row r="2471" spans="43:53" x14ac:dyDescent="0.35">
      <c r="AQ2471" s="54"/>
      <c r="BA2471" s="54"/>
    </row>
    <row r="2472" spans="43:53" x14ac:dyDescent="0.35">
      <c r="AQ2472" s="54"/>
      <c r="BA2472" s="54"/>
    </row>
    <row r="2473" spans="43:53" x14ac:dyDescent="0.35">
      <c r="AQ2473" s="54"/>
      <c r="BA2473" s="54"/>
    </row>
    <row r="2474" spans="43:53" x14ac:dyDescent="0.35">
      <c r="AQ2474" s="54"/>
      <c r="BA2474" s="54"/>
    </row>
    <row r="2475" spans="43:53" x14ac:dyDescent="0.35">
      <c r="AQ2475" s="54"/>
      <c r="BA2475" s="54"/>
    </row>
    <row r="2476" spans="43:53" x14ac:dyDescent="0.35">
      <c r="AQ2476" s="54"/>
      <c r="BA2476" s="54"/>
    </row>
    <row r="2477" spans="43:53" x14ac:dyDescent="0.35">
      <c r="AQ2477" s="54"/>
      <c r="BA2477" s="54"/>
    </row>
    <row r="2478" spans="43:53" x14ac:dyDescent="0.35">
      <c r="AQ2478" s="54"/>
      <c r="BA2478" s="54"/>
    </row>
    <row r="2479" spans="43:53" x14ac:dyDescent="0.35">
      <c r="AQ2479" s="54"/>
      <c r="BA2479" s="54"/>
    </row>
    <row r="2480" spans="43:53" x14ac:dyDescent="0.35">
      <c r="AQ2480" s="54"/>
      <c r="BA2480" s="54"/>
    </row>
    <row r="2481" spans="43:53" x14ac:dyDescent="0.35">
      <c r="AQ2481" s="54"/>
      <c r="BA2481" s="54"/>
    </row>
    <row r="2482" spans="43:53" x14ac:dyDescent="0.35">
      <c r="AQ2482" s="54"/>
      <c r="BA2482" s="54"/>
    </row>
    <row r="2483" spans="43:53" x14ac:dyDescent="0.35">
      <c r="AQ2483" s="54"/>
      <c r="BA2483" s="54"/>
    </row>
    <row r="2484" spans="43:53" x14ac:dyDescent="0.35">
      <c r="AQ2484" s="54"/>
      <c r="BA2484" s="54"/>
    </row>
    <row r="2485" spans="43:53" x14ac:dyDescent="0.35">
      <c r="AQ2485" s="54"/>
      <c r="BA2485" s="54"/>
    </row>
    <row r="2486" spans="43:53" x14ac:dyDescent="0.35">
      <c r="AQ2486" s="54"/>
      <c r="BA2486" s="54"/>
    </row>
    <row r="2487" spans="43:53" x14ac:dyDescent="0.35">
      <c r="AQ2487" s="54"/>
      <c r="BA2487" s="54"/>
    </row>
    <row r="2488" spans="43:53" x14ac:dyDescent="0.35">
      <c r="AQ2488" s="54"/>
      <c r="BA2488" s="54"/>
    </row>
    <row r="2489" spans="43:53" x14ac:dyDescent="0.35">
      <c r="AQ2489" s="54"/>
      <c r="BA2489" s="54"/>
    </row>
    <row r="2490" spans="43:53" x14ac:dyDescent="0.35">
      <c r="AQ2490" s="54"/>
      <c r="BA2490" s="54"/>
    </row>
    <row r="2491" spans="43:53" x14ac:dyDescent="0.35">
      <c r="AQ2491" s="54"/>
      <c r="BA2491" s="54"/>
    </row>
    <row r="2492" spans="43:53" x14ac:dyDescent="0.35">
      <c r="AQ2492" s="54"/>
      <c r="BA2492" s="54"/>
    </row>
    <row r="2493" spans="43:53" x14ac:dyDescent="0.35">
      <c r="AQ2493" s="54"/>
      <c r="BA2493" s="54"/>
    </row>
    <row r="2494" spans="43:53" x14ac:dyDescent="0.35">
      <c r="AQ2494" s="54"/>
      <c r="BA2494" s="54"/>
    </row>
    <row r="2495" spans="43:53" x14ac:dyDescent="0.35">
      <c r="AQ2495" s="54"/>
      <c r="BA2495" s="54"/>
    </row>
    <row r="2496" spans="43:53" x14ac:dyDescent="0.35">
      <c r="AQ2496" s="54"/>
      <c r="BA2496" s="54"/>
    </row>
    <row r="2497" spans="43:53" x14ac:dyDescent="0.35">
      <c r="AQ2497" s="54"/>
      <c r="BA2497" s="54"/>
    </row>
    <row r="2498" spans="43:53" x14ac:dyDescent="0.35">
      <c r="AQ2498" s="54"/>
      <c r="BA2498" s="54"/>
    </row>
    <row r="2499" spans="43:53" x14ac:dyDescent="0.35">
      <c r="AQ2499" s="54"/>
      <c r="BA2499" s="54"/>
    </row>
    <row r="2500" spans="43:53" x14ac:dyDescent="0.35">
      <c r="AQ2500" s="54"/>
      <c r="BA2500" s="54"/>
    </row>
    <row r="2501" spans="43:53" x14ac:dyDescent="0.35">
      <c r="AQ2501" s="54"/>
      <c r="BA2501" s="54"/>
    </row>
    <row r="2502" spans="43:53" x14ac:dyDescent="0.35">
      <c r="AQ2502" s="54"/>
      <c r="BA2502" s="54"/>
    </row>
    <row r="2503" spans="43:53" x14ac:dyDescent="0.35">
      <c r="AQ2503" s="54"/>
      <c r="BA2503" s="54"/>
    </row>
    <row r="2504" spans="43:53" x14ac:dyDescent="0.35">
      <c r="AQ2504" s="54"/>
      <c r="BA2504" s="54"/>
    </row>
    <row r="2505" spans="43:53" x14ac:dyDescent="0.35">
      <c r="AQ2505" s="54"/>
      <c r="BA2505" s="54"/>
    </row>
    <row r="2506" spans="43:53" x14ac:dyDescent="0.35">
      <c r="AQ2506" s="54"/>
      <c r="BA2506" s="54"/>
    </row>
    <row r="2507" spans="43:53" x14ac:dyDescent="0.35">
      <c r="AQ2507" s="54"/>
      <c r="BA2507" s="54"/>
    </row>
    <row r="2508" spans="43:53" x14ac:dyDescent="0.35">
      <c r="AQ2508" s="54"/>
      <c r="BA2508" s="54"/>
    </row>
    <row r="2509" spans="43:53" x14ac:dyDescent="0.35">
      <c r="AQ2509" s="54"/>
      <c r="BA2509" s="54"/>
    </row>
    <row r="2510" spans="43:53" x14ac:dyDescent="0.35">
      <c r="AQ2510" s="54"/>
      <c r="BA2510" s="54"/>
    </row>
    <row r="2511" spans="43:53" x14ac:dyDescent="0.35">
      <c r="AQ2511" s="54"/>
      <c r="BA2511" s="54"/>
    </row>
    <row r="2512" spans="43:53" x14ac:dyDescent="0.35">
      <c r="AQ2512" s="54"/>
      <c r="BA2512" s="54"/>
    </row>
    <row r="2513" spans="43:53" x14ac:dyDescent="0.35">
      <c r="AQ2513" s="54"/>
      <c r="BA2513" s="54"/>
    </row>
    <row r="2514" spans="43:53" x14ac:dyDescent="0.35">
      <c r="AQ2514" s="54"/>
      <c r="BA2514" s="54"/>
    </row>
    <row r="2515" spans="43:53" x14ac:dyDescent="0.35">
      <c r="AQ2515" s="54"/>
      <c r="BA2515" s="54"/>
    </row>
    <row r="2516" spans="43:53" x14ac:dyDescent="0.35">
      <c r="AQ2516" s="54"/>
      <c r="BA2516" s="54"/>
    </row>
    <row r="2517" spans="43:53" x14ac:dyDescent="0.35">
      <c r="AQ2517" s="54"/>
      <c r="BA2517" s="54"/>
    </row>
    <row r="2518" spans="43:53" x14ac:dyDescent="0.35">
      <c r="AQ2518" s="54"/>
      <c r="BA2518" s="54"/>
    </row>
    <row r="2519" spans="43:53" x14ac:dyDescent="0.35">
      <c r="AQ2519" s="54"/>
      <c r="BA2519" s="54"/>
    </row>
    <row r="2520" spans="43:53" x14ac:dyDescent="0.35">
      <c r="AQ2520" s="54"/>
      <c r="BA2520" s="54"/>
    </row>
    <row r="2521" spans="43:53" x14ac:dyDescent="0.35">
      <c r="AQ2521" s="54"/>
      <c r="BA2521" s="54"/>
    </row>
    <row r="2522" spans="43:53" x14ac:dyDescent="0.35">
      <c r="AQ2522" s="54"/>
      <c r="BA2522" s="54"/>
    </row>
    <row r="2523" spans="43:53" x14ac:dyDescent="0.35">
      <c r="AQ2523" s="54"/>
      <c r="BA2523" s="54"/>
    </row>
    <row r="2524" spans="43:53" x14ac:dyDescent="0.35">
      <c r="AQ2524" s="54"/>
      <c r="BA2524" s="54"/>
    </row>
    <row r="2525" spans="43:53" x14ac:dyDescent="0.35">
      <c r="AQ2525" s="54"/>
      <c r="BA2525" s="54"/>
    </row>
    <row r="2526" spans="43:53" x14ac:dyDescent="0.35">
      <c r="AQ2526" s="54"/>
      <c r="BA2526" s="54"/>
    </row>
    <row r="2527" spans="43:53" x14ac:dyDescent="0.35">
      <c r="AQ2527" s="54"/>
      <c r="BA2527" s="54"/>
    </row>
    <row r="2528" spans="43:53" x14ac:dyDescent="0.35">
      <c r="AQ2528" s="54"/>
      <c r="BA2528" s="54"/>
    </row>
    <row r="2529" spans="43:53" x14ac:dyDescent="0.35">
      <c r="AQ2529" s="54"/>
      <c r="BA2529" s="54"/>
    </row>
    <row r="2530" spans="43:53" x14ac:dyDescent="0.35">
      <c r="AQ2530" s="54"/>
      <c r="BA2530" s="54"/>
    </row>
    <row r="2531" spans="43:53" x14ac:dyDescent="0.35">
      <c r="AQ2531" s="54"/>
      <c r="BA2531" s="54"/>
    </row>
    <row r="2532" spans="43:53" x14ac:dyDescent="0.35">
      <c r="AQ2532" s="54"/>
      <c r="BA2532" s="54"/>
    </row>
    <row r="2533" spans="43:53" x14ac:dyDescent="0.35">
      <c r="AQ2533" s="54"/>
      <c r="BA2533" s="54"/>
    </row>
    <row r="2534" spans="43:53" x14ac:dyDescent="0.35">
      <c r="AQ2534" s="54"/>
      <c r="BA2534" s="54"/>
    </row>
    <row r="2535" spans="43:53" x14ac:dyDescent="0.35">
      <c r="AQ2535" s="54"/>
      <c r="BA2535" s="54"/>
    </row>
    <row r="2536" spans="43:53" x14ac:dyDescent="0.35">
      <c r="AQ2536" s="54"/>
      <c r="BA2536" s="54"/>
    </row>
    <row r="2537" spans="43:53" x14ac:dyDescent="0.35">
      <c r="AQ2537" s="54"/>
      <c r="BA2537" s="54"/>
    </row>
    <row r="2538" spans="43:53" x14ac:dyDescent="0.35">
      <c r="AQ2538" s="54"/>
      <c r="BA2538" s="54"/>
    </row>
    <row r="2539" spans="43:53" x14ac:dyDescent="0.35">
      <c r="AQ2539" s="54"/>
      <c r="BA2539" s="54"/>
    </row>
    <row r="2540" spans="43:53" x14ac:dyDescent="0.35">
      <c r="AQ2540" s="54"/>
      <c r="BA2540" s="54"/>
    </row>
    <row r="2541" spans="43:53" x14ac:dyDescent="0.35">
      <c r="AQ2541" s="54"/>
      <c r="BA2541" s="54"/>
    </row>
    <row r="2542" spans="43:53" x14ac:dyDescent="0.35">
      <c r="AQ2542" s="54"/>
      <c r="BA2542" s="54"/>
    </row>
    <row r="2543" spans="43:53" x14ac:dyDescent="0.35">
      <c r="AQ2543" s="54"/>
      <c r="BA2543" s="54"/>
    </row>
    <row r="2544" spans="43:53" x14ac:dyDescent="0.35">
      <c r="AQ2544" s="54"/>
      <c r="BA2544" s="54"/>
    </row>
    <row r="2545" spans="43:53" x14ac:dyDescent="0.35">
      <c r="AQ2545" s="54"/>
      <c r="BA2545" s="54"/>
    </row>
    <row r="2546" spans="43:53" x14ac:dyDescent="0.35">
      <c r="AQ2546" s="54"/>
      <c r="BA2546" s="54"/>
    </row>
    <row r="2547" spans="43:53" x14ac:dyDescent="0.35">
      <c r="AQ2547" s="54"/>
      <c r="BA2547" s="54"/>
    </row>
    <row r="2548" spans="43:53" x14ac:dyDescent="0.35">
      <c r="AQ2548" s="54"/>
      <c r="BA2548" s="54"/>
    </row>
    <row r="2549" spans="43:53" x14ac:dyDescent="0.35">
      <c r="AQ2549" s="54"/>
      <c r="BA2549" s="54"/>
    </row>
    <row r="2550" spans="43:53" x14ac:dyDescent="0.35">
      <c r="AQ2550" s="54"/>
      <c r="BA2550" s="54"/>
    </row>
    <row r="2551" spans="43:53" x14ac:dyDescent="0.35">
      <c r="AQ2551" s="54"/>
      <c r="BA2551" s="54"/>
    </row>
    <row r="2552" spans="43:53" x14ac:dyDescent="0.35">
      <c r="AQ2552" s="54"/>
      <c r="BA2552" s="54"/>
    </row>
    <row r="2553" spans="43:53" x14ac:dyDescent="0.35">
      <c r="AQ2553" s="54"/>
      <c r="BA2553" s="54"/>
    </row>
    <row r="2554" spans="43:53" x14ac:dyDescent="0.35">
      <c r="AQ2554" s="54"/>
      <c r="BA2554" s="54"/>
    </row>
    <row r="2555" spans="43:53" x14ac:dyDescent="0.35">
      <c r="AQ2555" s="54"/>
      <c r="BA2555" s="54"/>
    </row>
    <row r="2556" spans="43:53" x14ac:dyDescent="0.35">
      <c r="AQ2556" s="54"/>
      <c r="BA2556" s="54"/>
    </row>
    <row r="2557" spans="43:53" x14ac:dyDescent="0.35">
      <c r="AQ2557" s="54"/>
      <c r="BA2557" s="54"/>
    </row>
    <row r="2558" spans="43:53" x14ac:dyDescent="0.35">
      <c r="AQ2558" s="54"/>
      <c r="BA2558" s="54"/>
    </row>
    <row r="2559" spans="43:53" x14ac:dyDescent="0.35">
      <c r="AQ2559" s="54"/>
      <c r="BA2559" s="54"/>
    </row>
    <row r="2560" spans="43:53" x14ac:dyDescent="0.35">
      <c r="AQ2560" s="54"/>
      <c r="BA2560" s="54"/>
    </row>
    <row r="2561" spans="43:53" x14ac:dyDescent="0.35">
      <c r="AQ2561" s="54"/>
      <c r="BA2561" s="54"/>
    </row>
    <row r="2562" spans="43:53" x14ac:dyDescent="0.35">
      <c r="AQ2562" s="54"/>
      <c r="BA2562" s="54"/>
    </row>
    <row r="2563" spans="43:53" x14ac:dyDescent="0.35">
      <c r="AQ2563" s="54"/>
      <c r="BA2563" s="54"/>
    </row>
    <row r="2564" spans="43:53" x14ac:dyDescent="0.35">
      <c r="AQ2564" s="54"/>
      <c r="BA2564" s="54"/>
    </row>
    <row r="2565" spans="43:53" x14ac:dyDescent="0.35">
      <c r="AQ2565" s="54"/>
      <c r="BA2565" s="54"/>
    </row>
    <row r="2566" spans="43:53" x14ac:dyDescent="0.35">
      <c r="AQ2566" s="54"/>
      <c r="BA2566" s="54"/>
    </row>
    <row r="2567" spans="43:53" x14ac:dyDescent="0.35">
      <c r="AQ2567" s="54"/>
      <c r="BA2567" s="54"/>
    </row>
    <row r="2568" spans="43:53" x14ac:dyDescent="0.35">
      <c r="AQ2568" s="54"/>
      <c r="BA2568" s="54"/>
    </row>
    <row r="2569" spans="43:53" x14ac:dyDescent="0.35">
      <c r="AQ2569" s="54"/>
      <c r="BA2569" s="54"/>
    </row>
    <row r="2570" spans="43:53" x14ac:dyDescent="0.35">
      <c r="AQ2570" s="54"/>
      <c r="BA2570" s="54"/>
    </row>
    <row r="2571" spans="43:53" x14ac:dyDescent="0.35">
      <c r="AQ2571" s="54"/>
      <c r="BA2571" s="54"/>
    </row>
    <row r="2572" spans="43:53" x14ac:dyDescent="0.35">
      <c r="AQ2572" s="54"/>
      <c r="BA2572" s="54"/>
    </row>
    <row r="2573" spans="43:53" x14ac:dyDescent="0.35">
      <c r="AQ2573" s="54"/>
      <c r="BA2573" s="54"/>
    </row>
    <row r="2574" spans="43:53" x14ac:dyDescent="0.35">
      <c r="AQ2574" s="54"/>
      <c r="BA2574" s="54"/>
    </row>
    <row r="2575" spans="43:53" x14ac:dyDescent="0.35">
      <c r="AQ2575" s="54"/>
      <c r="BA2575" s="54"/>
    </row>
    <row r="2576" spans="43:53" x14ac:dyDescent="0.35">
      <c r="AQ2576" s="54"/>
      <c r="BA2576" s="54"/>
    </row>
    <row r="2577" spans="43:53" x14ac:dyDescent="0.35">
      <c r="AQ2577" s="54"/>
      <c r="BA2577" s="54"/>
    </row>
    <row r="2578" spans="43:53" x14ac:dyDescent="0.35">
      <c r="AQ2578" s="54"/>
      <c r="BA2578" s="54"/>
    </row>
    <row r="2579" spans="43:53" x14ac:dyDescent="0.35">
      <c r="AQ2579" s="54"/>
      <c r="BA2579" s="54"/>
    </row>
    <row r="2580" spans="43:53" x14ac:dyDescent="0.35">
      <c r="AQ2580" s="54"/>
      <c r="BA2580" s="54"/>
    </row>
    <row r="2581" spans="43:53" x14ac:dyDescent="0.35">
      <c r="AQ2581" s="54"/>
      <c r="BA2581" s="54"/>
    </row>
    <row r="2582" spans="43:53" x14ac:dyDescent="0.35">
      <c r="AQ2582" s="54"/>
      <c r="BA2582" s="54"/>
    </row>
    <row r="2583" spans="43:53" x14ac:dyDescent="0.35">
      <c r="AQ2583" s="54"/>
      <c r="BA2583" s="54"/>
    </row>
    <row r="2584" spans="43:53" x14ac:dyDescent="0.35">
      <c r="AQ2584" s="54"/>
      <c r="BA2584" s="54"/>
    </row>
    <row r="2585" spans="43:53" x14ac:dyDescent="0.35">
      <c r="AQ2585" s="54"/>
      <c r="BA2585" s="54"/>
    </row>
    <row r="2586" spans="43:53" x14ac:dyDescent="0.35">
      <c r="AQ2586" s="54"/>
      <c r="BA2586" s="54"/>
    </row>
    <row r="2587" spans="43:53" x14ac:dyDescent="0.35">
      <c r="AQ2587" s="54"/>
      <c r="BA2587" s="54"/>
    </row>
    <row r="2588" spans="43:53" x14ac:dyDescent="0.35">
      <c r="AQ2588" s="54"/>
      <c r="BA2588" s="54"/>
    </row>
    <row r="2589" spans="43:53" x14ac:dyDescent="0.35">
      <c r="AQ2589" s="54"/>
      <c r="BA2589" s="54"/>
    </row>
    <row r="2590" spans="43:53" x14ac:dyDescent="0.35">
      <c r="AQ2590" s="54"/>
      <c r="BA2590" s="54"/>
    </row>
    <row r="2591" spans="43:53" x14ac:dyDescent="0.35">
      <c r="AQ2591" s="54"/>
      <c r="BA2591" s="54"/>
    </row>
    <row r="2592" spans="43:53" x14ac:dyDescent="0.35">
      <c r="AQ2592" s="54"/>
      <c r="BA2592" s="54"/>
    </row>
    <row r="2593" spans="43:53" x14ac:dyDescent="0.35">
      <c r="AQ2593" s="54"/>
      <c r="BA2593" s="54"/>
    </row>
    <row r="2594" spans="43:53" x14ac:dyDescent="0.35">
      <c r="AQ2594" s="54"/>
      <c r="BA2594" s="54"/>
    </row>
    <row r="2595" spans="43:53" x14ac:dyDescent="0.35">
      <c r="AQ2595" s="54"/>
      <c r="BA2595" s="54"/>
    </row>
    <row r="2596" spans="43:53" x14ac:dyDescent="0.35">
      <c r="AQ2596" s="54"/>
      <c r="BA2596" s="54"/>
    </row>
    <row r="2597" spans="43:53" x14ac:dyDescent="0.35">
      <c r="AQ2597" s="54"/>
      <c r="BA2597" s="54"/>
    </row>
    <row r="2598" spans="43:53" x14ac:dyDescent="0.35">
      <c r="AQ2598" s="54"/>
      <c r="BA2598" s="54"/>
    </row>
    <row r="2599" spans="43:53" x14ac:dyDescent="0.35">
      <c r="AQ2599" s="54"/>
      <c r="BA2599" s="54"/>
    </row>
    <row r="2600" spans="43:53" x14ac:dyDescent="0.35">
      <c r="AQ2600" s="54"/>
      <c r="BA2600" s="54"/>
    </row>
    <row r="2601" spans="43:53" x14ac:dyDescent="0.35">
      <c r="AQ2601" s="54"/>
      <c r="BA2601" s="54"/>
    </row>
    <row r="2602" spans="43:53" x14ac:dyDescent="0.35">
      <c r="AQ2602" s="54"/>
      <c r="BA2602" s="54"/>
    </row>
    <row r="2603" spans="43:53" x14ac:dyDescent="0.35">
      <c r="AQ2603" s="54"/>
      <c r="BA2603" s="54"/>
    </row>
    <row r="2604" spans="43:53" x14ac:dyDescent="0.35">
      <c r="AQ2604" s="54"/>
      <c r="BA2604" s="54"/>
    </row>
    <row r="2605" spans="43:53" x14ac:dyDescent="0.35">
      <c r="AQ2605" s="54"/>
      <c r="BA2605" s="54"/>
    </row>
    <row r="2606" spans="43:53" x14ac:dyDescent="0.35">
      <c r="AQ2606" s="54"/>
      <c r="BA2606" s="54"/>
    </row>
    <row r="2607" spans="43:53" x14ac:dyDescent="0.35">
      <c r="AQ2607" s="54"/>
      <c r="BA2607" s="54"/>
    </row>
    <row r="2608" spans="43:53" x14ac:dyDescent="0.35">
      <c r="AQ2608" s="54"/>
      <c r="BA2608" s="54"/>
    </row>
    <row r="2609" spans="43:53" x14ac:dyDescent="0.35">
      <c r="AQ2609" s="54"/>
      <c r="BA2609" s="54"/>
    </row>
    <row r="2610" spans="43:53" x14ac:dyDescent="0.35">
      <c r="AQ2610" s="54"/>
      <c r="BA2610" s="54"/>
    </row>
    <row r="2611" spans="43:53" x14ac:dyDescent="0.35">
      <c r="AQ2611" s="54"/>
      <c r="BA2611" s="54"/>
    </row>
    <row r="2612" spans="43:53" x14ac:dyDescent="0.35">
      <c r="AQ2612" s="54"/>
      <c r="BA2612" s="54"/>
    </row>
    <row r="2613" spans="43:53" x14ac:dyDescent="0.35">
      <c r="AQ2613" s="54"/>
      <c r="BA2613" s="54"/>
    </row>
    <row r="2614" spans="43:53" x14ac:dyDescent="0.35">
      <c r="AQ2614" s="54"/>
      <c r="BA2614" s="54"/>
    </row>
    <row r="2615" spans="43:53" x14ac:dyDescent="0.35">
      <c r="AQ2615" s="54"/>
      <c r="BA2615" s="54"/>
    </row>
    <row r="2616" spans="43:53" x14ac:dyDescent="0.35">
      <c r="AQ2616" s="54"/>
      <c r="BA2616" s="54"/>
    </row>
    <row r="2617" spans="43:53" x14ac:dyDescent="0.35">
      <c r="AQ2617" s="54"/>
      <c r="BA2617" s="54"/>
    </row>
    <row r="2618" spans="43:53" x14ac:dyDescent="0.35">
      <c r="AQ2618" s="54"/>
      <c r="BA2618" s="54"/>
    </row>
    <row r="2619" spans="43:53" x14ac:dyDescent="0.35">
      <c r="AQ2619" s="54"/>
      <c r="BA2619" s="54"/>
    </row>
    <row r="2620" spans="43:53" x14ac:dyDescent="0.35">
      <c r="AQ2620" s="54"/>
      <c r="BA2620" s="54"/>
    </row>
    <row r="2621" spans="43:53" x14ac:dyDescent="0.35">
      <c r="AQ2621" s="54"/>
      <c r="BA2621" s="54"/>
    </row>
    <row r="2622" spans="43:53" x14ac:dyDescent="0.35">
      <c r="AQ2622" s="54"/>
      <c r="BA2622" s="54"/>
    </row>
    <row r="2623" spans="43:53" x14ac:dyDescent="0.35">
      <c r="AQ2623" s="54"/>
      <c r="BA2623" s="54"/>
    </row>
    <row r="2624" spans="43:53" x14ac:dyDescent="0.35">
      <c r="AQ2624" s="54"/>
      <c r="BA2624" s="54"/>
    </row>
    <row r="2625" spans="43:53" x14ac:dyDescent="0.35">
      <c r="AQ2625" s="54"/>
      <c r="BA2625" s="54"/>
    </row>
    <row r="2626" spans="43:53" x14ac:dyDescent="0.35">
      <c r="AQ2626" s="54"/>
      <c r="BA2626" s="54"/>
    </row>
    <row r="2627" spans="43:53" x14ac:dyDescent="0.35">
      <c r="AQ2627" s="54"/>
      <c r="BA2627" s="54"/>
    </row>
    <row r="2628" spans="43:53" x14ac:dyDescent="0.35">
      <c r="AQ2628" s="54"/>
      <c r="BA2628" s="54"/>
    </row>
    <row r="2629" spans="43:53" x14ac:dyDescent="0.35">
      <c r="AQ2629" s="54"/>
      <c r="BA2629" s="54"/>
    </row>
    <row r="2630" spans="43:53" x14ac:dyDescent="0.35">
      <c r="AQ2630" s="54"/>
      <c r="BA2630" s="54"/>
    </row>
    <row r="2631" spans="43:53" x14ac:dyDescent="0.35">
      <c r="AQ2631" s="54"/>
      <c r="BA2631" s="54"/>
    </row>
    <row r="2632" spans="43:53" x14ac:dyDescent="0.35">
      <c r="AQ2632" s="54"/>
      <c r="BA2632" s="54"/>
    </row>
    <row r="2633" spans="43:53" x14ac:dyDescent="0.35">
      <c r="AQ2633" s="54"/>
      <c r="BA2633" s="54"/>
    </row>
    <row r="2634" spans="43:53" x14ac:dyDescent="0.35">
      <c r="AQ2634" s="54"/>
      <c r="BA2634" s="54"/>
    </row>
    <row r="2635" spans="43:53" x14ac:dyDescent="0.35">
      <c r="AQ2635" s="54"/>
      <c r="BA2635" s="54"/>
    </row>
    <row r="2636" spans="43:53" x14ac:dyDescent="0.35">
      <c r="AQ2636" s="54"/>
      <c r="BA2636" s="54"/>
    </row>
    <row r="2637" spans="43:53" x14ac:dyDescent="0.35">
      <c r="AQ2637" s="54"/>
      <c r="BA2637" s="54"/>
    </row>
    <row r="2638" spans="43:53" x14ac:dyDescent="0.35">
      <c r="AQ2638" s="54"/>
      <c r="BA2638" s="54"/>
    </row>
    <row r="2639" spans="43:53" x14ac:dyDescent="0.35">
      <c r="AQ2639" s="54"/>
      <c r="BA2639" s="54"/>
    </row>
    <row r="2640" spans="43:53" x14ac:dyDescent="0.35">
      <c r="AQ2640" s="54"/>
      <c r="BA2640" s="54"/>
    </row>
    <row r="2641" spans="43:53" x14ac:dyDescent="0.35">
      <c r="AQ2641" s="54"/>
      <c r="BA2641" s="54"/>
    </row>
    <row r="2642" spans="43:53" x14ac:dyDescent="0.35">
      <c r="AQ2642" s="54"/>
      <c r="BA2642" s="54"/>
    </row>
    <row r="2643" spans="43:53" x14ac:dyDescent="0.35">
      <c r="AQ2643" s="54"/>
      <c r="BA2643" s="54"/>
    </row>
    <row r="2644" spans="43:53" x14ac:dyDescent="0.35">
      <c r="AQ2644" s="54"/>
      <c r="BA2644" s="54"/>
    </row>
    <row r="2645" spans="43:53" x14ac:dyDescent="0.35">
      <c r="AQ2645" s="54"/>
      <c r="BA2645" s="54"/>
    </row>
    <row r="2646" spans="43:53" x14ac:dyDescent="0.35">
      <c r="AQ2646" s="54"/>
      <c r="BA2646" s="54"/>
    </row>
    <row r="2647" spans="43:53" x14ac:dyDescent="0.35">
      <c r="AQ2647" s="54"/>
      <c r="BA2647" s="54"/>
    </row>
    <row r="2648" spans="43:53" x14ac:dyDescent="0.35">
      <c r="AQ2648" s="54"/>
      <c r="BA2648" s="54"/>
    </row>
    <row r="2649" spans="43:53" x14ac:dyDescent="0.35">
      <c r="AQ2649" s="54"/>
      <c r="BA2649" s="54"/>
    </row>
    <row r="2650" spans="43:53" x14ac:dyDescent="0.35">
      <c r="AQ2650" s="54"/>
      <c r="BA2650" s="54"/>
    </row>
    <row r="2651" spans="43:53" x14ac:dyDescent="0.35">
      <c r="AQ2651" s="54"/>
      <c r="BA2651" s="54"/>
    </row>
    <row r="2652" spans="43:53" x14ac:dyDescent="0.35">
      <c r="AQ2652" s="54"/>
      <c r="BA2652" s="54"/>
    </row>
    <row r="2653" spans="43:53" x14ac:dyDescent="0.35">
      <c r="AQ2653" s="54"/>
      <c r="BA2653" s="54"/>
    </row>
    <row r="2654" spans="43:53" x14ac:dyDescent="0.35">
      <c r="AQ2654" s="54"/>
      <c r="BA2654" s="54"/>
    </row>
    <row r="2655" spans="43:53" x14ac:dyDescent="0.35">
      <c r="AQ2655" s="54"/>
      <c r="BA2655" s="54"/>
    </row>
    <row r="2656" spans="43:53" x14ac:dyDescent="0.35">
      <c r="AQ2656" s="54"/>
      <c r="BA2656" s="54"/>
    </row>
    <row r="2657" spans="43:53" x14ac:dyDescent="0.35">
      <c r="AQ2657" s="54"/>
      <c r="BA2657" s="54"/>
    </row>
    <row r="2658" spans="43:53" x14ac:dyDescent="0.35">
      <c r="AQ2658" s="54"/>
      <c r="BA2658" s="54"/>
    </row>
    <row r="2659" spans="43:53" x14ac:dyDescent="0.35">
      <c r="AQ2659" s="54"/>
      <c r="BA2659" s="54"/>
    </row>
    <row r="2660" spans="43:53" x14ac:dyDescent="0.35">
      <c r="AQ2660" s="54"/>
      <c r="BA2660" s="54"/>
    </row>
    <row r="2661" spans="43:53" x14ac:dyDescent="0.35">
      <c r="AQ2661" s="54"/>
      <c r="BA2661" s="54"/>
    </row>
    <row r="2662" spans="43:53" x14ac:dyDescent="0.35">
      <c r="AQ2662" s="54"/>
      <c r="BA2662" s="54"/>
    </row>
    <row r="2663" spans="43:53" x14ac:dyDescent="0.35">
      <c r="AQ2663" s="54"/>
      <c r="BA2663" s="54"/>
    </row>
    <row r="2664" spans="43:53" x14ac:dyDescent="0.35">
      <c r="AQ2664" s="54"/>
      <c r="BA2664" s="54"/>
    </row>
    <row r="2665" spans="43:53" x14ac:dyDescent="0.35">
      <c r="AQ2665" s="54"/>
      <c r="BA2665" s="54"/>
    </row>
    <row r="2666" spans="43:53" x14ac:dyDescent="0.35">
      <c r="AQ2666" s="54"/>
      <c r="BA2666" s="54"/>
    </row>
    <row r="2667" spans="43:53" x14ac:dyDescent="0.35">
      <c r="AQ2667" s="54"/>
      <c r="BA2667" s="54"/>
    </row>
    <row r="2668" spans="43:53" x14ac:dyDescent="0.35">
      <c r="AQ2668" s="54"/>
      <c r="BA2668" s="54"/>
    </row>
    <row r="2669" spans="43:53" x14ac:dyDescent="0.35">
      <c r="AQ2669" s="54"/>
      <c r="BA2669" s="54"/>
    </row>
    <row r="2670" spans="43:53" x14ac:dyDescent="0.35">
      <c r="AQ2670" s="54"/>
      <c r="BA2670" s="54"/>
    </row>
    <row r="2671" spans="43:53" x14ac:dyDescent="0.35">
      <c r="AQ2671" s="54"/>
      <c r="BA2671" s="54"/>
    </row>
    <row r="2672" spans="43:53" x14ac:dyDescent="0.35">
      <c r="AQ2672" s="54"/>
      <c r="BA2672" s="54"/>
    </row>
    <row r="2673" spans="43:53" x14ac:dyDescent="0.35">
      <c r="AQ2673" s="54"/>
      <c r="BA2673" s="54"/>
    </row>
    <row r="2674" spans="43:53" x14ac:dyDescent="0.35">
      <c r="AQ2674" s="54"/>
      <c r="BA2674" s="54"/>
    </row>
    <row r="2675" spans="43:53" x14ac:dyDescent="0.35">
      <c r="AQ2675" s="54"/>
      <c r="BA2675" s="54"/>
    </row>
    <row r="2676" spans="43:53" x14ac:dyDescent="0.35">
      <c r="AQ2676" s="54"/>
      <c r="BA2676" s="54"/>
    </row>
    <row r="2677" spans="43:53" x14ac:dyDescent="0.35">
      <c r="AQ2677" s="54"/>
      <c r="BA2677" s="54"/>
    </row>
    <row r="2678" spans="43:53" x14ac:dyDescent="0.35">
      <c r="AQ2678" s="54"/>
      <c r="BA2678" s="54"/>
    </row>
    <row r="2679" spans="43:53" x14ac:dyDescent="0.35">
      <c r="AQ2679" s="54"/>
      <c r="BA2679" s="54"/>
    </row>
    <row r="2680" spans="43:53" x14ac:dyDescent="0.35">
      <c r="AQ2680" s="54"/>
      <c r="BA2680" s="54"/>
    </row>
    <row r="2681" spans="43:53" x14ac:dyDescent="0.35">
      <c r="AQ2681" s="54"/>
      <c r="BA2681" s="54"/>
    </row>
    <row r="2682" spans="43:53" x14ac:dyDescent="0.35">
      <c r="AQ2682" s="54"/>
      <c r="BA2682" s="54"/>
    </row>
    <row r="2683" spans="43:53" x14ac:dyDescent="0.35">
      <c r="AQ2683" s="54"/>
      <c r="BA2683" s="54"/>
    </row>
    <row r="2684" spans="43:53" x14ac:dyDescent="0.35">
      <c r="AQ2684" s="54"/>
      <c r="BA2684" s="54"/>
    </row>
    <row r="2685" spans="43:53" x14ac:dyDescent="0.35">
      <c r="AQ2685" s="54"/>
      <c r="BA2685" s="54"/>
    </row>
    <row r="2686" spans="43:53" x14ac:dyDescent="0.35">
      <c r="AQ2686" s="54"/>
      <c r="BA2686" s="54"/>
    </row>
    <row r="2687" spans="43:53" x14ac:dyDescent="0.35">
      <c r="AQ2687" s="54"/>
      <c r="BA2687" s="54"/>
    </row>
    <row r="2688" spans="43:53" x14ac:dyDescent="0.35">
      <c r="AQ2688" s="54"/>
      <c r="BA2688" s="54"/>
    </row>
    <row r="2689" spans="43:53" x14ac:dyDescent="0.35">
      <c r="AQ2689" s="54"/>
      <c r="BA2689" s="54"/>
    </row>
    <row r="2690" spans="43:53" x14ac:dyDescent="0.35">
      <c r="AQ2690" s="54"/>
      <c r="BA2690" s="54"/>
    </row>
    <row r="2691" spans="43:53" x14ac:dyDescent="0.35">
      <c r="AQ2691" s="54"/>
      <c r="BA2691" s="54"/>
    </row>
    <row r="2692" spans="43:53" x14ac:dyDescent="0.35">
      <c r="AQ2692" s="54"/>
      <c r="BA2692" s="54"/>
    </row>
    <row r="2693" spans="43:53" x14ac:dyDescent="0.35">
      <c r="AQ2693" s="54"/>
      <c r="BA2693" s="54"/>
    </row>
    <row r="2694" spans="43:53" x14ac:dyDescent="0.35">
      <c r="AQ2694" s="54"/>
      <c r="BA2694" s="54"/>
    </row>
    <row r="2695" spans="43:53" x14ac:dyDescent="0.35">
      <c r="AQ2695" s="54"/>
      <c r="BA2695" s="54"/>
    </row>
    <row r="2696" spans="43:53" x14ac:dyDescent="0.35">
      <c r="AQ2696" s="54"/>
      <c r="BA2696" s="54"/>
    </row>
    <row r="2697" spans="43:53" x14ac:dyDescent="0.35">
      <c r="AQ2697" s="54"/>
      <c r="BA2697" s="54"/>
    </row>
    <row r="2698" spans="43:53" x14ac:dyDescent="0.35">
      <c r="AQ2698" s="54"/>
      <c r="BA2698" s="54"/>
    </row>
    <row r="2699" spans="43:53" x14ac:dyDescent="0.35">
      <c r="AQ2699" s="54"/>
      <c r="BA2699" s="54"/>
    </row>
    <row r="2700" spans="43:53" x14ac:dyDescent="0.35">
      <c r="AQ2700" s="54"/>
      <c r="BA2700" s="54"/>
    </row>
    <row r="2701" spans="43:53" x14ac:dyDescent="0.35">
      <c r="AQ2701" s="54"/>
      <c r="BA2701" s="54"/>
    </row>
    <row r="2702" spans="43:53" x14ac:dyDescent="0.35">
      <c r="AQ2702" s="54"/>
      <c r="BA2702" s="54"/>
    </row>
    <row r="2703" spans="43:53" x14ac:dyDescent="0.35">
      <c r="AQ2703" s="54"/>
      <c r="BA2703" s="54"/>
    </row>
    <row r="2704" spans="43:53" x14ac:dyDescent="0.35">
      <c r="AQ2704" s="54"/>
      <c r="BA2704" s="54"/>
    </row>
    <row r="2705" spans="43:53" x14ac:dyDescent="0.35">
      <c r="AQ2705" s="54"/>
      <c r="BA2705" s="54"/>
    </row>
    <row r="2706" spans="43:53" x14ac:dyDescent="0.35">
      <c r="AQ2706" s="54"/>
      <c r="BA2706" s="54"/>
    </row>
    <row r="2707" spans="43:53" x14ac:dyDescent="0.35">
      <c r="AQ2707" s="54"/>
      <c r="BA2707" s="54"/>
    </row>
    <row r="2708" spans="43:53" x14ac:dyDescent="0.35">
      <c r="AQ2708" s="54"/>
      <c r="BA2708" s="54"/>
    </row>
    <row r="2709" spans="43:53" x14ac:dyDescent="0.35">
      <c r="AQ2709" s="54"/>
      <c r="BA2709" s="54"/>
    </row>
    <row r="2710" spans="43:53" x14ac:dyDescent="0.35">
      <c r="AQ2710" s="54"/>
      <c r="BA2710" s="54"/>
    </row>
    <row r="2711" spans="43:53" x14ac:dyDescent="0.35">
      <c r="AQ2711" s="54"/>
      <c r="BA2711" s="54"/>
    </row>
    <row r="2712" spans="43:53" x14ac:dyDescent="0.35">
      <c r="AQ2712" s="54"/>
      <c r="BA2712" s="54"/>
    </row>
    <row r="2713" spans="43:53" x14ac:dyDescent="0.35">
      <c r="AQ2713" s="54"/>
      <c r="BA2713" s="54"/>
    </row>
    <row r="2714" spans="43:53" x14ac:dyDescent="0.35">
      <c r="AQ2714" s="54"/>
      <c r="BA2714" s="54"/>
    </row>
    <row r="2715" spans="43:53" x14ac:dyDescent="0.35">
      <c r="AQ2715" s="54"/>
      <c r="BA2715" s="54"/>
    </row>
    <row r="2716" spans="43:53" x14ac:dyDescent="0.35">
      <c r="AQ2716" s="54"/>
      <c r="BA2716" s="54"/>
    </row>
    <row r="2717" spans="43:53" x14ac:dyDescent="0.35">
      <c r="AQ2717" s="54"/>
      <c r="BA2717" s="54"/>
    </row>
    <row r="2718" spans="43:53" x14ac:dyDescent="0.35">
      <c r="AQ2718" s="54"/>
      <c r="BA2718" s="54"/>
    </row>
    <row r="2719" spans="43:53" x14ac:dyDescent="0.35">
      <c r="AQ2719" s="54"/>
      <c r="BA2719" s="54"/>
    </row>
    <row r="2720" spans="43:53" x14ac:dyDescent="0.35">
      <c r="AQ2720" s="54"/>
      <c r="BA2720" s="54"/>
    </row>
    <row r="2721" spans="43:53" x14ac:dyDescent="0.35">
      <c r="AQ2721" s="54"/>
      <c r="BA2721" s="54"/>
    </row>
    <row r="2722" spans="43:53" x14ac:dyDescent="0.35">
      <c r="AQ2722" s="54"/>
      <c r="BA2722" s="54"/>
    </row>
    <row r="2723" spans="43:53" x14ac:dyDescent="0.35">
      <c r="AQ2723" s="54"/>
      <c r="BA2723" s="54"/>
    </row>
    <row r="2724" spans="43:53" x14ac:dyDescent="0.35">
      <c r="AQ2724" s="54"/>
      <c r="BA2724" s="54"/>
    </row>
    <row r="2725" spans="43:53" x14ac:dyDescent="0.35">
      <c r="AQ2725" s="54"/>
      <c r="BA2725" s="54"/>
    </row>
    <row r="2726" spans="43:53" x14ac:dyDescent="0.35">
      <c r="AQ2726" s="54"/>
      <c r="BA2726" s="54"/>
    </row>
    <row r="2727" spans="43:53" x14ac:dyDescent="0.35">
      <c r="AQ2727" s="54"/>
      <c r="BA2727" s="54"/>
    </row>
    <row r="2728" spans="43:53" x14ac:dyDescent="0.35">
      <c r="AQ2728" s="54"/>
      <c r="BA2728" s="54"/>
    </row>
    <row r="2729" spans="43:53" x14ac:dyDescent="0.35">
      <c r="AQ2729" s="54"/>
      <c r="BA2729" s="54"/>
    </row>
    <row r="2730" spans="43:53" x14ac:dyDescent="0.35">
      <c r="AQ2730" s="54"/>
      <c r="BA2730" s="54"/>
    </row>
    <row r="2731" spans="43:53" x14ac:dyDescent="0.35">
      <c r="AQ2731" s="54"/>
      <c r="BA2731" s="54"/>
    </row>
    <row r="2732" spans="43:53" x14ac:dyDescent="0.35">
      <c r="AQ2732" s="54"/>
      <c r="BA2732" s="54"/>
    </row>
    <row r="2733" spans="43:53" x14ac:dyDescent="0.35">
      <c r="AQ2733" s="54"/>
      <c r="BA2733" s="54"/>
    </row>
    <row r="2734" spans="43:53" x14ac:dyDescent="0.35">
      <c r="AQ2734" s="54"/>
      <c r="BA2734" s="54"/>
    </row>
    <row r="2735" spans="43:53" x14ac:dyDescent="0.35">
      <c r="AQ2735" s="54"/>
      <c r="BA2735" s="54"/>
    </row>
    <row r="2736" spans="43:53" x14ac:dyDescent="0.35">
      <c r="AQ2736" s="54"/>
      <c r="BA2736" s="54"/>
    </row>
    <row r="2737" spans="43:53" x14ac:dyDescent="0.35">
      <c r="AQ2737" s="54"/>
      <c r="BA2737" s="54"/>
    </row>
    <row r="2738" spans="43:53" x14ac:dyDescent="0.35">
      <c r="AQ2738" s="54"/>
      <c r="BA2738" s="54"/>
    </row>
    <row r="2739" spans="43:53" x14ac:dyDescent="0.35">
      <c r="AQ2739" s="54"/>
      <c r="BA2739" s="54"/>
    </row>
    <row r="2740" spans="43:53" x14ac:dyDescent="0.35">
      <c r="AQ2740" s="54"/>
      <c r="BA2740" s="54"/>
    </row>
    <row r="2741" spans="43:53" x14ac:dyDescent="0.35">
      <c r="AQ2741" s="54"/>
      <c r="BA2741" s="54"/>
    </row>
    <row r="2742" spans="43:53" x14ac:dyDescent="0.35">
      <c r="AQ2742" s="54"/>
      <c r="BA2742" s="54"/>
    </row>
    <row r="2743" spans="43:53" x14ac:dyDescent="0.35">
      <c r="AQ2743" s="54"/>
      <c r="BA2743" s="54"/>
    </row>
    <row r="2744" spans="43:53" x14ac:dyDescent="0.35">
      <c r="AQ2744" s="54"/>
      <c r="BA2744" s="54"/>
    </row>
    <row r="2745" spans="43:53" x14ac:dyDescent="0.35">
      <c r="AQ2745" s="54"/>
      <c r="BA2745" s="54"/>
    </row>
    <row r="2746" spans="43:53" x14ac:dyDescent="0.35">
      <c r="AQ2746" s="54"/>
      <c r="BA2746" s="54"/>
    </row>
    <row r="2747" spans="43:53" x14ac:dyDescent="0.35">
      <c r="AQ2747" s="54"/>
      <c r="BA2747" s="54"/>
    </row>
    <row r="2748" spans="43:53" x14ac:dyDescent="0.35">
      <c r="AQ2748" s="54"/>
      <c r="BA2748" s="54"/>
    </row>
    <row r="2749" spans="43:53" x14ac:dyDescent="0.35">
      <c r="AQ2749" s="54"/>
      <c r="BA2749" s="54"/>
    </row>
    <row r="2750" spans="43:53" x14ac:dyDescent="0.35">
      <c r="AQ2750" s="54"/>
      <c r="BA2750" s="54"/>
    </row>
    <row r="2751" spans="43:53" x14ac:dyDescent="0.35">
      <c r="AQ2751" s="54"/>
      <c r="BA2751" s="54"/>
    </row>
    <row r="2752" spans="43:53" x14ac:dyDescent="0.35">
      <c r="AQ2752" s="54"/>
      <c r="BA2752" s="54"/>
    </row>
    <row r="2753" spans="43:53" x14ac:dyDescent="0.35">
      <c r="AQ2753" s="54"/>
      <c r="BA2753" s="54"/>
    </row>
    <row r="2754" spans="43:53" x14ac:dyDescent="0.35">
      <c r="AQ2754" s="54"/>
      <c r="BA2754" s="54"/>
    </row>
    <row r="2755" spans="43:53" x14ac:dyDescent="0.35">
      <c r="AQ2755" s="54"/>
      <c r="BA2755" s="54"/>
    </row>
    <row r="2756" spans="43:53" x14ac:dyDescent="0.35">
      <c r="AQ2756" s="54"/>
      <c r="BA2756" s="54"/>
    </row>
    <row r="2757" spans="43:53" x14ac:dyDescent="0.35">
      <c r="AQ2757" s="54"/>
      <c r="BA2757" s="54"/>
    </row>
    <row r="2758" spans="43:53" x14ac:dyDescent="0.35">
      <c r="AQ2758" s="54"/>
      <c r="BA2758" s="54"/>
    </row>
    <row r="2759" spans="43:53" x14ac:dyDescent="0.35">
      <c r="AQ2759" s="54"/>
      <c r="BA2759" s="54"/>
    </row>
    <row r="2760" spans="43:53" x14ac:dyDescent="0.35">
      <c r="AQ2760" s="54"/>
      <c r="BA2760" s="54"/>
    </row>
    <row r="2761" spans="43:53" x14ac:dyDescent="0.35">
      <c r="AQ2761" s="54"/>
      <c r="BA2761" s="54"/>
    </row>
    <row r="2762" spans="43:53" x14ac:dyDescent="0.35">
      <c r="AQ2762" s="54"/>
      <c r="BA2762" s="54"/>
    </row>
    <row r="2763" spans="43:53" x14ac:dyDescent="0.35">
      <c r="AQ2763" s="54"/>
      <c r="BA2763" s="54"/>
    </row>
    <row r="2764" spans="43:53" x14ac:dyDescent="0.35">
      <c r="AQ2764" s="54"/>
      <c r="BA2764" s="54"/>
    </row>
    <row r="2765" spans="43:53" x14ac:dyDescent="0.35">
      <c r="AQ2765" s="54"/>
      <c r="BA2765" s="54"/>
    </row>
    <row r="2766" spans="43:53" x14ac:dyDescent="0.35">
      <c r="AQ2766" s="54"/>
      <c r="BA2766" s="54"/>
    </row>
    <row r="2767" spans="43:53" x14ac:dyDescent="0.35">
      <c r="AQ2767" s="54"/>
      <c r="BA2767" s="54"/>
    </row>
    <row r="2768" spans="43:53" x14ac:dyDescent="0.35">
      <c r="AQ2768" s="54"/>
      <c r="BA2768" s="54"/>
    </row>
    <row r="2769" spans="43:53" x14ac:dyDescent="0.35">
      <c r="AQ2769" s="54"/>
      <c r="BA2769" s="54"/>
    </row>
    <row r="2770" spans="43:53" x14ac:dyDescent="0.35">
      <c r="AQ2770" s="54"/>
      <c r="BA2770" s="54"/>
    </row>
    <row r="2771" spans="43:53" x14ac:dyDescent="0.35">
      <c r="AQ2771" s="54"/>
      <c r="BA2771" s="54"/>
    </row>
    <row r="2772" spans="43:53" x14ac:dyDescent="0.35">
      <c r="AQ2772" s="54"/>
      <c r="BA2772" s="54"/>
    </row>
    <row r="2773" spans="43:53" x14ac:dyDescent="0.35">
      <c r="AQ2773" s="54"/>
      <c r="BA2773" s="54"/>
    </row>
    <row r="2774" spans="43:53" x14ac:dyDescent="0.35">
      <c r="AQ2774" s="54"/>
      <c r="BA2774" s="54"/>
    </row>
    <row r="2775" spans="43:53" x14ac:dyDescent="0.35">
      <c r="AQ2775" s="54"/>
      <c r="BA2775" s="54"/>
    </row>
    <row r="2776" spans="43:53" x14ac:dyDescent="0.35">
      <c r="AQ2776" s="54"/>
      <c r="BA2776" s="54"/>
    </row>
    <row r="2777" spans="43:53" x14ac:dyDescent="0.35">
      <c r="AQ2777" s="54"/>
      <c r="BA2777" s="54"/>
    </row>
    <row r="2778" spans="43:53" x14ac:dyDescent="0.35">
      <c r="AQ2778" s="54"/>
      <c r="BA2778" s="54"/>
    </row>
    <row r="2779" spans="43:53" x14ac:dyDescent="0.35">
      <c r="AQ2779" s="54"/>
      <c r="BA2779" s="54"/>
    </row>
    <row r="2780" spans="43:53" x14ac:dyDescent="0.35">
      <c r="AQ2780" s="54"/>
      <c r="BA2780" s="54"/>
    </row>
    <row r="2781" spans="43:53" x14ac:dyDescent="0.35">
      <c r="AQ2781" s="54"/>
      <c r="BA2781" s="54"/>
    </row>
    <row r="2782" spans="43:53" x14ac:dyDescent="0.35">
      <c r="AQ2782" s="54"/>
      <c r="BA2782" s="54"/>
    </row>
    <row r="2783" spans="43:53" x14ac:dyDescent="0.35">
      <c r="AQ2783" s="54"/>
      <c r="BA2783" s="54"/>
    </row>
    <row r="2784" spans="43:53" x14ac:dyDescent="0.35">
      <c r="AQ2784" s="54"/>
      <c r="BA2784" s="54"/>
    </row>
    <row r="2785" spans="43:53" x14ac:dyDescent="0.35">
      <c r="AQ2785" s="54"/>
      <c r="BA2785" s="54"/>
    </row>
    <row r="2786" spans="43:53" x14ac:dyDescent="0.35">
      <c r="AQ2786" s="54"/>
      <c r="BA2786" s="54"/>
    </row>
    <row r="2787" spans="43:53" x14ac:dyDescent="0.35">
      <c r="AQ2787" s="54"/>
      <c r="BA2787" s="54"/>
    </row>
    <row r="2788" spans="43:53" x14ac:dyDescent="0.35">
      <c r="AQ2788" s="54"/>
      <c r="BA2788" s="54"/>
    </row>
    <row r="2789" spans="43:53" x14ac:dyDescent="0.35">
      <c r="AQ2789" s="54"/>
      <c r="BA2789" s="54"/>
    </row>
    <row r="2790" spans="43:53" x14ac:dyDescent="0.35">
      <c r="AQ2790" s="54"/>
      <c r="BA2790" s="54"/>
    </row>
    <row r="2791" spans="43:53" x14ac:dyDescent="0.35">
      <c r="AQ2791" s="54"/>
      <c r="BA2791" s="54"/>
    </row>
    <row r="2792" spans="43:53" x14ac:dyDescent="0.35">
      <c r="AQ2792" s="54"/>
      <c r="BA2792" s="54"/>
    </row>
    <row r="2793" spans="43:53" x14ac:dyDescent="0.35">
      <c r="AQ2793" s="54"/>
      <c r="BA2793" s="54"/>
    </row>
    <row r="2794" spans="43:53" x14ac:dyDescent="0.35">
      <c r="AQ2794" s="54"/>
      <c r="BA2794" s="54"/>
    </row>
    <row r="2795" spans="43:53" x14ac:dyDescent="0.35">
      <c r="AQ2795" s="54"/>
      <c r="BA2795" s="54"/>
    </row>
    <row r="2796" spans="43:53" x14ac:dyDescent="0.35">
      <c r="AQ2796" s="54"/>
      <c r="BA2796" s="54"/>
    </row>
    <row r="2797" spans="43:53" x14ac:dyDescent="0.35">
      <c r="AQ2797" s="54"/>
      <c r="BA2797" s="54"/>
    </row>
    <row r="2798" spans="43:53" x14ac:dyDescent="0.35">
      <c r="AQ2798" s="54"/>
      <c r="BA2798" s="54"/>
    </row>
    <row r="2799" spans="43:53" x14ac:dyDescent="0.35">
      <c r="AQ2799" s="54"/>
      <c r="BA2799" s="54"/>
    </row>
    <row r="2800" spans="43:53" x14ac:dyDescent="0.35">
      <c r="AQ2800" s="54"/>
      <c r="BA2800" s="54"/>
    </row>
    <row r="2801" spans="43:53" x14ac:dyDescent="0.35">
      <c r="AQ2801" s="54"/>
      <c r="BA2801" s="54"/>
    </row>
    <row r="2802" spans="43:53" x14ac:dyDescent="0.35">
      <c r="AQ2802" s="54"/>
      <c r="BA2802" s="54"/>
    </row>
    <row r="2803" spans="43:53" x14ac:dyDescent="0.35">
      <c r="AQ2803" s="54"/>
      <c r="BA2803" s="54"/>
    </row>
    <row r="2804" spans="43:53" x14ac:dyDescent="0.35">
      <c r="AQ2804" s="54"/>
      <c r="BA2804" s="54"/>
    </row>
    <row r="2805" spans="43:53" x14ac:dyDescent="0.35">
      <c r="AQ2805" s="54"/>
      <c r="BA2805" s="54"/>
    </row>
    <row r="2806" spans="43:53" x14ac:dyDescent="0.35">
      <c r="AQ2806" s="54"/>
      <c r="BA2806" s="54"/>
    </row>
    <row r="2807" spans="43:53" x14ac:dyDescent="0.35">
      <c r="AQ2807" s="54"/>
      <c r="BA2807" s="54"/>
    </row>
    <row r="2808" spans="43:53" x14ac:dyDescent="0.35">
      <c r="AQ2808" s="54"/>
      <c r="BA2808" s="54"/>
    </row>
    <row r="2809" spans="43:53" x14ac:dyDescent="0.35">
      <c r="AQ2809" s="54"/>
      <c r="BA2809" s="54"/>
    </row>
    <row r="2810" spans="43:53" x14ac:dyDescent="0.35">
      <c r="AQ2810" s="54"/>
      <c r="BA2810" s="54"/>
    </row>
    <row r="2811" spans="43:53" x14ac:dyDescent="0.35">
      <c r="AQ2811" s="54"/>
      <c r="BA2811" s="54"/>
    </row>
    <row r="2812" spans="43:53" x14ac:dyDescent="0.35">
      <c r="AQ2812" s="54"/>
      <c r="BA2812" s="54"/>
    </row>
    <row r="2813" spans="43:53" x14ac:dyDescent="0.35">
      <c r="AQ2813" s="54"/>
      <c r="BA2813" s="54"/>
    </row>
    <row r="2814" spans="43:53" x14ac:dyDescent="0.35">
      <c r="AQ2814" s="54"/>
      <c r="BA2814" s="54"/>
    </row>
    <row r="2815" spans="43:53" x14ac:dyDescent="0.35">
      <c r="AQ2815" s="54"/>
      <c r="BA2815" s="54"/>
    </row>
    <row r="2816" spans="43:53" x14ac:dyDescent="0.35">
      <c r="AQ2816" s="54"/>
      <c r="BA2816" s="54"/>
    </row>
    <row r="2817" spans="43:53" x14ac:dyDescent="0.35">
      <c r="AQ2817" s="54"/>
      <c r="BA2817" s="54"/>
    </row>
    <row r="2818" spans="43:53" x14ac:dyDescent="0.35">
      <c r="AQ2818" s="54"/>
      <c r="BA2818" s="54"/>
    </row>
    <row r="2819" spans="43:53" x14ac:dyDescent="0.35">
      <c r="AQ2819" s="54"/>
      <c r="BA2819" s="54"/>
    </row>
    <row r="2820" spans="43:53" x14ac:dyDescent="0.35">
      <c r="AQ2820" s="54"/>
      <c r="BA2820" s="54"/>
    </row>
    <row r="2821" spans="43:53" x14ac:dyDescent="0.35">
      <c r="AQ2821" s="54"/>
      <c r="BA2821" s="54"/>
    </row>
    <row r="2822" spans="43:53" x14ac:dyDescent="0.35">
      <c r="AQ2822" s="54"/>
      <c r="BA2822" s="54"/>
    </row>
    <row r="2823" spans="43:53" x14ac:dyDescent="0.35">
      <c r="AQ2823" s="54"/>
      <c r="BA2823" s="54"/>
    </row>
    <row r="2824" spans="43:53" x14ac:dyDescent="0.35">
      <c r="AQ2824" s="54"/>
      <c r="BA2824" s="54"/>
    </row>
    <row r="2825" spans="43:53" x14ac:dyDescent="0.35">
      <c r="AQ2825" s="54"/>
      <c r="BA2825" s="54"/>
    </row>
    <row r="2826" spans="43:53" x14ac:dyDescent="0.35">
      <c r="AQ2826" s="54"/>
      <c r="BA2826" s="54"/>
    </row>
    <row r="2827" spans="43:53" x14ac:dyDescent="0.35">
      <c r="AQ2827" s="54"/>
      <c r="BA2827" s="54"/>
    </row>
    <row r="2828" spans="43:53" x14ac:dyDescent="0.35">
      <c r="AQ2828" s="54"/>
      <c r="BA2828" s="54"/>
    </row>
    <row r="2829" spans="43:53" x14ac:dyDescent="0.35">
      <c r="AQ2829" s="54"/>
      <c r="BA2829" s="54"/>
    </row>
    <row r="2830" spans="43:53" x14ac:dyDescent="0.35">
      <c r="AQ2830" s="54"/>
      <c r="BA2830" s="54"/>
    </row>
    <row r="2831" spans="43:53" x14ac:dyDescent="0.35">
      <c r="AQ2831" s="54"/>
      <c r="BA2831" s="54"/>
    </row>
    <row r="2832" spans="43:53" x14ac:dyDescent="0.35">
      <c r="AQ2832" s="54"/>
      <c r="BA2832" s="54"/>
    </row>
    <row r="2833" spans="43:53" x14ac:dyDescent="0.35">
      <c r="AQ2833" s="54"/>
      <c r="BA2833" s="54"/>
    </row>
    <row r="2834" spans="43:53" x14ac:dyDescent="0.35">
      <c r="AQ2834" s="54"/>
      <c r="BA2834" s="54"/>
    </row>
    <row r="2835" spans="43:53" x14ac:dyDescent="0.35">
      <c r="AQ2835" s="54"/>
      <c r="BA2835" s="54"/>
    </row>
    <row r="2836" spans="43:53" x14ac:dyDescent="0.35">
      <c r="AQ2836" s="54"/>
      <c r="BA2836" s="54"/>
    </row>
    <row r="2837" spans="43:53" x14ac:dyDescent="0.35">
      <c r="AQ2837" s="54"/>
      <c r="BA2837" s="54"/>
    </row>
    <row r="2838" spans="43:53" x14ac:dyDescent="0.35">
      <c r="AQ2838" s="54"/>
      <c r="BA2838" s="54"/>
    </row>
    <row r="2839" spans="43:53" x14ac:dyDescent="0.35">
      <c r="AQ2839" s="54"/>
      <c r="BA2839" s="54"/>
    </row>
    <row r="2840" spans="43:53" x14ac:dyDescent="0.35">
      <c r="AQ2840" s="54"/>
      <c r="BA2840" s="54"/>
    </row>
    <row r="2841" spans="43:53" x14ac:dyDescent="0.35">
      <c r="AQ2841" s="54"/>
      <c r="BA2841" s="54"/>
    </row>
    <row r="2842" spans="43:53" x14ac:dyDescent="0.35">
      <c r="AQ2842" s="54"/>
      <c r="BA2842" s="54"/>
    </row>
    <row r="2843" spans="43:53" x14ac:dyDescent="0.35">
      <c r="AQ2843" s="54"/>
      <c r="BA2843" s="54"/>
    </row>
    <row r="2844" spans="43:53" x14ac:dyDescent="0.35">
      <c r="AQ2844" s="54"/>
      <c r="BA2844" s="54"/>
    </row>
    <row r="2845" spans="43:53" x14ac:dyDescent="0.35">
      <c r="AQ2845" s="54"/>
      <c r="BA2845" s="54"/>
    </row>
    <row r="2846" spans="43:53" x14ac:dyDescent="0.35">
      <c r="AQ2846" s="54"/>
      <c r="BA2846" s="54"/>
    </row>
    <row r="2847" spans="43:53" x14ac:dyDescent="0.35">
      <c r="AQ2847" s="54"/>
      <c r="BA2847" s="54"/>
    </row>
    <row r="2848" spans="43:53" x14ac:dyDescent="0.35">
      <c r="AQ2848" s="54"/>
      <c r="BA2848" s="54"/>
    </row>
    <row r="2849" spans="43:53" x14ac:dyDescent="0.35">
      <c r="AQ2849" s="54"/>
      <c r="BA2849" s="54"/>
    </row>
    <row r="2850" spans="43:53" x14ac:dyDescent="0.35">
      <c r="AQ2850" s="54"/>
      <c r="BA2850" s="54"/>
    </row>
    <row r="2851" spans="43:53" x14ac:dyDescent="0.35">
      <c r="AQ2851" s="54"/>
      <c r="BA2851" s="54"/>
    </row>
    <row r="2852" spans="43:53" x14ac:dyDescent="0.35">
      <c r="AQ2852" s="54"/>
      <c r="BA2852" s="54"/>
    </row>
    <row r="2853" spans="43:53" x14ac:dyDescent="0.35">
      <c r="AQ2853" s="54"/>
      <c r="BA2853" s="54"/>
    </row>
    <row r="2854" spans="43:53" x14ac:dyDescent="0.35">
      <c r="AQ2854" s="54"/>
      <c r="BA2854" s="54"/>
    </row>
    <row r="2855" spans="43:53" x14ac:dyDescent="0.35">
      <c r="AQ2855" s="54"/>
      <c r="BA2855" s="54"/>
    </row>
    <row r="2856" spans="43:53" x14ac:dyDescent="0.35">
      <c r="AQ2856" s="54"/>
      <c r="BA2856" s="54"/>
    </row>
    <row r="2857" spans="43:53" x14ac:dyDescent="0.35">
      <c r="AQ2857" s="54"/>
      <c r="BA2857" s="54"/>
    </row>
    <row r="2858" spans="43:53" x14ac:dyDescent="0.35">
      <c r="AQ2858" s="54"/>
      <c r="BA2858" s="54"/>
    </row>
    <row r="2859" spans="43:53" x14ac:dyDescent="0.35">
      <c r="AQ2859" s="54"/>
      <c r="BA2859" s="54"/>
    </row>
    <row r="2860" spans="43:53" x14ac:dyDescent="0.35">
      <c r="AQ2860" s="54"/>
      <c r="BA2860" s="54"/>
    </row>
    <row r="2861" spans="43:53" x14ac:dyDescent="0.35">
      <c r="AQ2861" s="54"/>
      <c r="BA2861" s="54"/>
    </row>
    <row r="2862" spans="43:53" x14ac:dyDescent="0.35">
      <c r="AQ2862" s="54"/>
      <c r="BA2862" s="54"/>
    </row>
    <row r="2863" spans="43:53" x14ac:dyDescent="0.35">
      <c r="AQ2863" s="54"/>
      <c r="BA2863" s="54"/>
    </row>
    <row r="2864" spans="43:53" x14ac:dyDescent="0.35">
      <c r="AQ2864" s="54"/>
      <c r="BA2864" s="54"/>
    </row>
    <row r="2865" spans="43:53" x14ac:dyDescent="0.35">
      <c r="AQ2865" s="54"/>
      <c r="BA2865" s="54"/>
    </row>
    <row r="2866" spans="43:53" x14ac:dyDescent="0.35">
      <c r="AQ2866" s="54"/>
      <c r="BA2866" s="54"/>
    </row>
    <row r="2867" spans="43:53" x14ac:dyDescent="0.35">
      <c r="AQ2867" s="54"/>
      <c r="BA2867" s="54"/>
    </row>
    <row r="2868" spans="43:53" x14ac:dyDescent="0.35">
      <c r="AQ2868" s="54"/>
      <c r="BA2868" s="54"/>
    </row>
    <row r="2869" spans="43:53" x14ac:dyDescent="0.35">
      <c r="AQ2869" s="54"/>
      <c r="BA2869" s="54"/>
    </row>
    <row r="2870" spans="43:53" x14ac:dyDescent="0.35">
      <c r="AQ2870" s="54"/>
      <c r="BA2870" s="54"/>
    </row>
    <row r="2871" spans="43:53" x14ac:dyDescent="0.35">
      <c r="AQ2871" s="54"/>
      <c r="BA2871" s="54"/>
    </row>
    <row r="2872" spans="43:53" x14ac:dyDescent="0.35">
      <c r="AQ2872" s="54"/>
      <c r="BA2872" s="54"/>
    </row>
    <row r="2873" spans="43:53" x14ac:dyDescent="0.35">
      <c r="AQ2873" s="54"/>
      <c r="BA2873" s="54"/>
    </row>
    <row r="2874" spans="43:53" x14ac:dyDescent="0.35">
      <c r="AQ2874" s="54"/>
      <c r="BA2874" s="54"/>
    </row>
    <row r="2875" spans="43:53" x14ac:dyDescent="0.35">
      <c r="AQ2875" s="54"/>
      <c r="BA2875" s="54"/>
    </row>
    <row r="2876" spans="43:53" x14ac:dyDescent="0.35">
      <c r="AQ2876" s="54"/>
      <c r="BA2876" s="54"/>
    </row>
    <row r="2877" spans="43:53" x14ac:dyDescent="0.35">
      <c r="AQ2877" s="54"/>
      <c r="BA2877" s="54"/>
    </row>
    <row r="2878" spans="43:53" x14ac:dyDescent="0.35">
      <c r="AQ2878" s="54"/>
      <c r="BA2878" s="54"/>
    </row>
    <row r="2879" spans="43:53" x14ac:dyDescent="0.35">
      <c r="AQ2879" s="54"/>
      <c r="BA2879" s="54"/>
    </row>
    <row r="2880" spans="43:53" x14ac:dyDescent="0.35">
      <c r="AQ2880" s="54"/>
      <c r="BA2880" s="54"/>
    </row>
    <row r="2881" spans="43:53" x14ac:dyDescent="0.35">
      <c r="AQ2881" s="54"/>
      <c r="BA2881" s="54"/>
    </row>
    <row r="2882" spans="43:53" x14ac:dyDescent="0.35">
      <c r="AQ2882" s="54"/>
      <c r="BA2882" s="54"/>
    </row>
    <row r="2883" spans="43:53" x14ac:dyDescent="0.35">
      <c r="AQ2883" s="54"/>
      <c r="BA2883" s="54"/>
    </row>
    <row r="2884" spans="43:53" x14ac:dyDescent="0.35">
      <c r="AQ2884" s="54"/>
      <c r="BA2884" s="54"/>
    </row>
    <row r="2885" spans="43:53" x14ac:dyDescent="0.35">
      <c r="AQ2885" s="54"/>
      <c r="BA2885" s="54"/>
    </row>
    <row r="2886" spans="43:53" x14ac:dyDescent="0.35">
      <c r="AQ2886" s="54"/>
      <c r="BA2886" s="54"/>
    </row>
    <row r="2887" spans="43:53" x14ac:dyDescent="0.35">
      <c r="AQ2887" s="54"/>
      <c r="BA2887" s="54"/>
    </row>
    <row r="2888" spans="43:53" x14ac:dyDescent="0.35">
      <c r="AQ2888" s="54"/>
      <c r="BA2888" s="54"/>
    </row>
    <row r="2889" spans="43:53" x14ac:dyDescent="0.35">
      <c r="AQ2889" s="54"/>
      <c r="BA2889" s="54"/>
    </row>
    <row r="2890" spans="43:53" x14ac:dyDescent="0.35">
      <c r="AQ2890" s="54"/>
      <c r="BA2890" s="54"/>
    </row>
    <row r="2891" spans="43:53" x14ac:dyDescent="0.35">
      <c r="AQ2891" s="54"/>
      <c r="BA2891" s="54"/>
    </row>
    <row r="2892" spans="43:53" x14ac:dyDescent="0.35">
      <c r="AQ2892" s="54"/>
      <c r="BA2892" s="54"/>
    </row>
    <row r="2893" spans="43:53" x14ac:dyDescent="0.35">
      <c r="AQ2893" s="54"/>
      <c r="BA2893" s="54"/>
    </row>
    <row r="2894" spans="43:53" x14ac:dyDescent="0.35">
      <c r="AQ2894" s="54"/>
      <c r="BA2894" s="54"/>
    </row>
    <row r="2895" spans="43:53" x14ac:dyDescent="0.35">
      <c r="AQ2895" s="54"/>
      <c r="BA2895" s="54"/>
    </row>
    <row r="2896" spans="43:53" x14ac:dyDescent="0.35">
      <c r="AQ2896" s="54"/>
      <c r="BA2896" s="54"/>
    </row>
    <row r="2897" spans="43:53" x14ac:dyDescent="0.35">
      <c r="AQ2897" s="54"/>
      <c r="BA2897" s="54"/>
    </row>
    <row r="2898" spans="43:53" x14ac:dyDescent="0.35">
      <c r="AQ2898" s="54"/>
      <c r="BA2898" s="54"/>
    </row>
    <row r="2899" spans="43:53" x14ac:dyDescent="0.35">
      <c r="AQ2899" s="54"/>
      <c r="BA2899" s="54"/>
    </row>
    <row r="2900" spans="43:53" x14ac:dyDescent="0.35">
      <c r="AQ2900" s="54"/>
      <c r="BA2900" s="54"/>
    </row>
    <row r="2901" spans="43:53" x14ac:dyDescent="0.35">
      <c r="AQ2901" s="54"/>
      <c r="BA2901" s="54"/>
    </row>
    <row r="2902" spans="43:53" x14ac:dyDescent="0.35">
      <c r="AQ2902" s="54"/>
      <c r="BA2902" s="54"/>
    </row>
    <row r="2903" spans="43:53" x14ac:dyDescent="0.35">
      <c r="AQ2903" s="54"/>
      <c r="BA2903" s="54"/>
    </row>
    <row r="2904" spans="43:53" x14ac:dyDescent="0.35">
      <c r="AQ2904" s="54"/>
      <c r="BA2904" s="54"/>
    </row>
    <row r="2905" spans="43:53" x14ac:dyDescent="0.35">
      <c r="AQ2905" s="54"/>
      <c r="BA2905" s="54"/>
    </row>
    <row r="2906" spans="43:53" x14ac:dyDescent="0.35">
      <c r="AQ2906" s="54"/>
      <c r="BA2906" s="54"/>
    </row>
    <row r="2907" spans="43:53" x14ac:dyDescent="0.35">
      <c r="AQ2907" s="54"/>
      <c r="BA2907" s="54"/>
    </row>
    <row r="2908" spans="43:53" x14ac:dyDescent="0.35">
      <c r="AQ2908" s="54"/>
      <c r="BA2908" s="54"/>
    </row>
    <row r="2909" spans="43:53" x14ac:dyDescent="0.35">
      <c r="AQ2909" s="54"/>
      <c r="BA2909" s="54"/>
    </row>
    <row r="2910" spans="43:53" x14ac:dyDescent="0.35">
      <c r="AQ2910" s="54"/>
      <c r="BA2910" s="54"/>
    </row>
    <row r="2911" spans="43:53" x14ac:dyDescent="0.35">
      <c r="AQ2911" s="54"/>
      <c r="BA2911" s="54"/>
    </row>
    <row r="2912" spans="43:53" x14ac:dyDescent="0.35">
      <c r="AQ2912" s="54"/>
      <c r="BA2912" s="54"/>
    </row>
    <row r="2913" spans="43:53" x14ac:dyDescent="0.35">
      <c r="AQ2913" s="54"/>
      <c r="BA2913" s="54"/>
    </row>
    <row r="2914" spans="43:53" x14ac:dyDescent="0.35">
      <c r="AQ2914" s="54"/>
      <c r="BA2914" s="54"/>
    </row>
    <row r="2915" spans="43:53" x14ac:dyDescent="0.35">
      <c r="AQ2915" s="54"/>
      <c r="BA2915" s="54"/>
    </row>
    <row r="2916" spans="43:53" x14ac:dyDescent="0.35">
      <c r="AQ2916" s="54"/>
      <c r="BA2916" s="54"/>
    </row>
    <row r="2917" spans="43:53" x14ac:dyDescent="0.35">
      <c r="AQ2917" s="54"/>
      <c r="BA2917" s="54"/>
    </row>
    <row r="2918" spans="43:53" x14ac:dyDescent="0.35">
      <c r="AQ2918" s="54"/>
      <c r="BA2918" s="54"/>
    </row>
    <row r="2919" spans="43:53" x14ac:dyDescent="0.35">
      <c r="AQ2919" s="54"/>
      <c r="BA2919" s="54"/>
    </row>
    <row r="2920" spans="43:53" x14ac:dyDescent="0.35">
      <c r="AQ2920" s="54"/>
      <c r="BA2920" s="54"/>
    </row>
    <row r="2921" spans="43:53" x14ac:dyDescent="0.35">
      <c r="AQ2921" s="54"/>
      <c r="BA2921" s="54"/>
    </row>
    <row r="2922" spans="43:53" x14ac:dyDescent="0.35">
      <c r="AQ2922" s="54"/>
      <c r="BA2922" s="54"/>
    </row>
    <row r="2923" spans="43:53" x14ac:dyDescent="0.35">
      <c r="AQ2923" s="54"/>
      <c r="BA2923" s="54"/>
    </row>
    <row r="2924" spans="43:53" x14ac:dyDescent="0.35">
      <c r="AQ2924" s="54"/>
      <c r="BA2924" s="54"/>
    </row>
    <row r="2925" spans="43:53" x14ac:dyDescent="0.35">
      <c r="AQ2925" s="54"/>
      <c r="BA2925" s="54"/>
    </row>
    <row r="2926" spans="43:53" x14ac:dyDescent="0.35">
      <c r="AQ2926" s="54"/>
      <c r="BA2926" s="54"/>
    </row>
    <row r="2927" spans="43:53" x14ac:dyDescent="0.35">
      <c r="AQ2927" s="54"/>
      <c r="BA2927" s="54"/>
    </row>
    <row r="2928" spans="43:53" x14ac:dyDescent="0.35">
      <c r="AQ2928" s="54"/>
      <c r="BA2928" s="54"/>
    </row>
    <row r="2929" spans="43:53" x14ac:dyDescent="0.35">
      <c r="AQ2929" s="54"/>
      <c r="BA2929" s="54"/>
    </row>
    <row r="2930" spans="43:53" x14ac:dyDescent="0.35">
      <c r="AQ2930" s="54"/>
      <c r="BA2930" s="54"/>
    </row>
    <row r="2931" spans="43:53" x14ac:dyDescent="0.35">
      <c r="AQ2931" s="54"/>
      <c r="BA2931" s="54"/>
    </row>
    <row r="2932" spans="43:53" x14ac:dyDescent="0.35">
      <c r="AQ2932" s="54"/>
      <c r="BA2932" s="54"/>
    </row>
    <row r="2933" spans="43:53" x14ac:dyDescent="0.35">
      <c r="AQ2933" s="54"/>
      <c r="BA2933" s="54"/>
    </row>
    <row r="2934" spans="43:53" x14ac:dyDescent="0.35">
      <c r="AQ2934" s="54"/>
      <c r="BA2934" s="54"/>
    </row>
    <row r="2935" spans="43:53" x14ac:dyDescent="0.35">
      <c r="AQ2935" s="54"/>
      <c r="BA2935" s="54"/>
    </row>
    <row r="2936" spans="43:53" x14ac:dyDescent="0.35">
      <c r="AQ2936" s="54"/>
      <c r="BA2936" s="54"/>
    </row>
    <row r="2937" spans="43:53" x14ac:dyDescent="0.35">
      <c r="AQ2937" s="54"/>
      <c r="BA2937" s="54"/>
    </row>
    <row r="2938" spans="43:53" x14ac:dyDescent="0.35">
      <c r="AQ2938" s="54"/>
      <c r="BA2938" s="54"/>
    </row>
    <row r="2939" spans="43:53" x14ac:dyDescent="0.35">
      <c r="AQ2939" s="54"/>
      <c r="BA2939" s="54"/>
    </row>
    <row r="2940" spans="43:53" x14ac:dyDescent="0.35">
      <c r="AQ2940" s="54"/>
      <c r="BA2940" s="54"/>
    </row>
    <row r="2941" spans="43:53" x14ac:dyDescent="0.35">
      <c r="AQ2941" s="54"/>
      <c r="BA2941" s="54"/>
    </row>
    <row r="2942" spans="43:53" x14ac:dyDescent="0.35">
      <c r="AQ2942" s="54"/>
      <c r="BA2942" s="54"/>
    </row>
    <row r="2943" spans="43:53" x14ac:dyDescent="0.35">
      <c r="AQ2943" s="54"/>
      <c r="BA2943" s="54"/>
    </row>
    <row r="2944" spans="43:53" x14ac:dyDescent="0.35">
      <c r="AQ2944" s="54"/>
      <c r="BA2944" s="54"/>
    </row>
    <row r="2945" spans="43:53" x14ac:dyDescent="0.35">
      <c r="AQ2945" s="54"/>
      <c r="BA2945" s="54"/>
    </row>
    <row r="2946" spans="43:53" x14ac:dyDescent="0.35">
      <c r="AQ2946" s="54"/>
      <c r="BA2946" s="54"/>
    </row>
    <row r="2947" spans="43:53" x14ac:dyDescent="0.35">
      <c r="AQ2947" s="54"/>
      <c r="BA2947" s="54"/>
    </row>
    <row r="2948" spans="43:53" x14ac:dyDescent="0.35">
      <c r="AQ2948" s="54"/>
      <c r="BA2948" s="54"/>
    </row>
    <row r="2949" spans="43:53" x14ac:dyDescent="0.35">
      <c r="AQ2949" s="54"/>
      <c r="BA2949" s="54"/>
    </row>
    <row r="2950" spans="43:53" x14ac:dyDescent="0.35">
      <c r="AQ2950" s="54"/>
      <c r="BA2950" s="54"/>
    </row>
    <row r="2951" spans="43:53" x14ac:dyDescent="0.35">
      <c r="AQ2951" s="54"/>
      <c r="BA2951" s="54"/>
    </row>
    <row r="2952" spans="43:53" x14ac:dyDescent="0.35">
      <c r="AQ2952" s="54"/>
      <c r="BA2952" s="54"/>
    </row>
    <row r="2953" spans="43:53" x14ac:dyDescent="0.35">
      <c r="AQ2953" s="54"/>
      <c r="BA2953" s="54"/>
    </row>
    <row r="2954" spans="43:53" x14ac:dyDescent="0.35">
      <c r="AQ2954" s="54"/>
      <c r="BA2954" s="54"/>
    </row>
    <row r="2955" spans="43:53" x14ac:dyDescent="0.35">
      <c r="AQ2955" s="54"/>
      <c r="BA2955" s="54"/>
    </row>
    <row r="2956" spans="43:53" x14ac:dyDescent="0.35">
      <c r="AQ2956" s="54"/>
      <c r="BA2956" s="54"/>
    </row>
    <row r="2957" spans="43:53" x14ac:dyDescent="0.35">
      <c r="AQ2957" s="54"/>
      <c r="BA2957" s="54"/>
    </row>
    <row r="2958" spans="43:53" x14ac:dyDescent="0.35">
      <c r="AQ2958" s="54"/>
      <c r="BA2958" s="54"/>
    </row>
    <row r="2959" spans="43:53" x14ac:dyDescent="0.35">
      <c r="AQ2959" s="54"/>
      <c r="BA2959" s="54"/>
    </row>
    <row r="2960" spans="43:53" x14ac:dyDescent="0.35">
      <c r="AQ2960" s="54"/>
      <c r="BA2960" s="54"/>
    </row>
    <row r="2961" spans="43:53" x14ac:dyDescent="0.35">
      <c r="AQ2961" s="54"/>
      <c r="BA2961" s="54"/>
    </row>
    <row r="2962" spans="43:53" x14ac:dyDescent="0.35">
      <c r="AQ2962" s="54"/>
      <c r="BA2962" s="54"/>
    </row>
    <row r="2963" spans="43:53" x14ac:dyDescent="0.35">
      <c r="AQ2963" s="54"/>
      <c r="BA2963" s="54"/>
    </row>
    <row r="2964" spans="43:53" x14ac:dyDescent="0.35">
      <c r="AQ2964" s="54"/>
      <c r="BA2964" s="54"/>
    </row>
    <row r="2965" spans="43:53" x14ac:dyDescent="0.35">
      <c r="AQ2965" s="54"/>
      <c r="BA2965" s="54"/>
    </row>
    <row r="2966" spans="43:53" x14ac:dyDescent="0.35">
      <c r="AQ2966" s="54"/>
      <c r="BA2966" s="54"/>
    </row>
    <row r="2967" spans="43:53" x14ac:dyDescent="0.35">
      <c r="AQ2967" s="54"/>
      <c r="BA2967" s="54"/>
    </row>
    <row r="2968" spans="43:53" x14ac:dyDescent="0.35">
      <c r="AQ2968" s="54"/>
      <c r="BA2968" s="54"/>
    </row>
    <row r="2969" spans="43:53" x14ac:dyDescent="0.35">
      <c r="AQ2969" s="54"/>
      <c r="BA2969" s="54"/>
    </row>
    <row r="2970" spans="43:53" x14ac:dyDescent="0.35">
      <c r="AQ2970" s="54"/>
      <c r="BA2970" s="54"/>
    </row>
    <row r="2971" spans="43:53" x14ac:dyDescent="0.35">
      <c r="AQ2971" s="54"/>
      <c r="BA2971" s="54"/>
    </row>
    <row r="2972" spans="43:53" x14ac:dyDescent="0.35">
      <c r="AQ2972" s="54"/>
      <c r="BA2972" s="54"/>
    </row>
    <row r="2973" spans="43:53" x14ac:dyDescent="0.35">
      <c r="AQ2973" s="54"/>
      <c r="BA2973" s="54"/>
    </row>
    <row r="2974" spans="43:53" x14ac:dyDescent="0.35">
      <c r="AQ2974" s="54"/>
      <c r="BA2974" s="54"/>
    </row>
    <row r="2975" spans="43:53" x14ac:dyDescent="0.35">
      <c r="AQ2975" s="54"/>
      <c r="BA2975" s="54"/>
    </row>
    <row r="2976" spans="43:53" x14ac:dyDescent="0.35">
      <c r="AQ2976" s="54"/>
      <c r="BA2976" s="54"/>
    </row>
    <row r="2977" spans="43:53" x14ac:dyDescent="0.35">
      <c r="AQ2977" s="54"/>
      <c r="BA2977" s="54"/>
    </row>
    <row r="2978" spans="43:53" x14ac:dyDescent="0.35">
      <c r="AQ2978" s="54"/>
      <c r="BA2978" s="54"/>
    </row>
    <row r="2979" spans="43:53" x14ac:dyDescent="0.35">
      <c r="AQ2979" s="54"/>
      <c r="BA2979" s="54"/>
    </row>
    <row r="2980" spans="43:53" x14ac:dyDescent="0.35">
      <c r="AQ2980" s="54"/>
      <c r="BA2980" s="54"/>
    </row>
    <row r="2981" spans="43:53" x14ac:dyDescent="0.35">
      <c r="AQ2981" s="54"/>
      <c r="BA2981" s="54"/>
    </row>
    <row r="2982" spans="43:53" x14ac:dyDescent="0.35">
      <c r="AQ2982" s="54"/>
      <c r="BA2982" s="54"/>
    </row>
    <row r="2983" spans="43:53" x14ac:dyDescent="0.35">
      <c r="AQ2983" s="54"/>
      <c r="BA2983" s="54"/>
    </row>
    <row r="2984" spans="43:53" x14ac:dyDescent="0.35">
      <c r="AQ2984" s="54"/>
      <c r="BA2984" s="54"/>
    </row>
    <row r="2985" spans="43:53" x14ac:dyDescent="0.35">
      <c r="AQ2985" s="54"/>
      <c r="BA2985" s="54"/>
    </row>
    <row r="2986" spans="43:53" x14ac:dyDescent="0.35">
      <c r="AQ2986" s="54"/>
      <c r="BA2986" s="54"/>
    </row>
    <row r="2987" spans="43:53" x14ac:dyDescent="0.35">
      <c r="AQ2987" s="54"/>
      <c r="BA2987" s="54"/>
    </row>
    <row r="2988" spans="43:53" x14ac:dyDescent="0.35">
      <c r="AQ2988" s="54"/>
      <c r="BA2988" s="54"/>
    </row>
    <row r="2989" spans="43:53" x14ac:dyDescent="0.35">
      <c r="AQ2989" s="54"/>
      <c r="BA2989" s="54"/>
    </row>
    <row r="2990" spans="43:53" x14ac:dyDescent="0.35">
      <c r="AQ2990" s="54"/>
      <c r="BA2990" s="54"/>
    </row>
    <row r="2991" spans="43:53" x14ac:dyDescent="0.35">
      <c r="AQ2991" s="54"/>
      <c r="BA2991" s="54"/>
    </row>
    <row r="2992" spans="43:53" x14ac:dyDescent="0.35">
      <c r="AQ2992" s="54"/>
      <c r="BA2992" s="54"/>
    </row>
    <row r="2993" spans="43:53" x14ac:dyDescent="0.35">
      <c r="AQ2993" s="54"/>
      <c r="BA2993" s="54"/>
    </row>
    <row r="2994" spans="43:53" x14ac:dyDescent="0.35">
      <c r="AQ2994" s="54"/>
      <c r="BA2994" s="54"/>
    </row>
    <row r="2995" spans="43:53" x14ac:dyDescent="0.35">
      <c r="AQ2995" s="54"/>
      <c r="BA2995" s="54"/>
    </row>
    <row r="2996" spans="43:53" x14ac:dyDescent="0.35">
      <c r="AQ2996" s="54"/>
      <c r="BA2996" s="54"/>
    </row>
    <row r="2997" spans="43:53" x14ac:dyDescent="0.35">
      <c r="AQ2997" s="54"/>
      <c r="BA2997" s="54"/>
    </row>
    <row r="2998" spans="43:53" x14ac:dyDescent="0.35">
      <c r="AQ2998" s="54"/>
      <c r="BA2998" s="54"/>
    </row>
    <row r="2999" spans="43:53" x14ac:dyDescent="0.35">
      <c r="AQ2999" s="54"/>
      <c r="BA2999" s="54"/>
    </row>
    <row r="3000" spans="43:53" x14ac:dyDescent="0.35">
      <c r="AQ3000" s="54"/>
      <c r="BA3000" s="54"/>
    </row>
    <row r="3001" spans="43:53" x14ac:dyDescent="0.35">
      <c r="AQ3001" s="54"/>
      <c r="BA3001" s="54"/>
    </row>
    <row r="3002" spans="43:53" x14ac:dyDescent="0.35">
      <c r="AQ3002" s="54"/>
      <c r="BA3002" s="54"/>
    </row>
    <row r="3003" spans="43:53" x14ac:dyDescent="0.35">
      <c r="AQ3003" s="54"/>
      <c r="BA3003" s="54"/>
    </row>
    <row r="3004" spans="43:53" x14ac:dyDescent="0.35">
      <c r="AQ3004" s="54"/>
      <c r="BA3004" s="54"/>
    </row>
    <row r="3005" spans="43:53" x14ac:dyDescent="0.35">
      <c r="AQ3005" s="54"/>
      <c r="BA3005" s="54"/>
    </row>
    <row r="3006" spans="43:53" x14ac:dyDescent="0.35">
      <c r="AQ3006" s="54"/>
      <c r="BA3006" s="54"/>
    </row>
    <row r="3007" spans="43:53" x14ac:dyDescent="0.35">
      <c r="AQ3007" s="54"/>
      <c r="BA3007" s="54"/>
    </row>
    <row r="3008" spans="43:53" x14ac:dyDescent="0.35">
      <c r="AQ3008" s="54"/>
      <c r="BA3008" s="54"/>
    </row>
    <row r="3009" spans="43:53" x14ac:dyDescent="0.35">
      <c r="AQ3009" s="54"/>
      <c r="BA3009" s="54"/>
    </row>
    <row r="3010" spans="43:53" x14ac:dyDescent="0.35">
      <c r="AQ3010" s="54"/>
      <c r="BA3010" s="54"/>
    </row>
    <row r="3011" spans="43:53" x14ac:dyDescent="0.35">
      <c r="AQ3011" s="54"/>
      <c r="BA3011" s="54"/>
    </row>
    <row r="3012" spans="43:53" x14ac:dyDescent="0.35">
      <c r="AQ3012" s="54"/>
      <c r="BA3012" s="54"/>
    </row>
    <row r="3013" spans="43:53" x14ac:dyDescent="0.35">
      <c r="AQ3013" s="54"/>
      <c r="BA3013" s="54"/>
    </row>
    <row r="3014" spans="43:53" x14ac:dyDescent="0.35">
      <c r="AQ3014" s="54"/>
      <c r="BA3014" s="54"/>
    </row>
    <row r="3015" spans="43:53" x14ac:dyDescent="0.35">
      <c r="AQ3015" s="54"/>
      <c r="BA3015" s="54"/>
    </row>
    <row r="3016" spans="43:53" x14ac:dyDescent="0.35">
      <c r="AQ3016" s="54"/>
      <c r="BA3016" s="54"/>
    </row>
    <row r="3017" spans="43:53" x14ac:dyDescent="0.35">
      <c r="AQ3017" s="54"/>
      <c r="BA3017" s="54"/>
    </row>
    <row r="3018" spans="43:53" x14ac:dyDescent="0.35">
      <c r="AQ3018" s="54"/>
      <c r="BA3018" s="54"/>
    </row>
    <row r="3019" spans="43:53" x14ac:dyDescent="0.35">
      <c r="AQ3019" s="54"/>
      <c r="BA3019" s="54"/>
    </row>
    <row r="3020" spans="43:53" x14ac:dyDescent="0.35">
      <c r="AQ3020" s="54"/>
      <c r="BA3020" s="54"/>
    </row>
    <row r="3021" spans="43:53" x14ac:dyDescent="0.35">
      <c r="AQ3021" s="54"/>
      <c r="BA3021" s="54"/>
    </row>
    <row r="3022" spans="43:53" x14ac:dyDescent="0.35">
      <c r="AQ3022" s="54"/>
      <c r="BA3022" s="54"/>
    </row>
    <row r="3023" spans="43:53" x14ac:dyDescent="0.35">
      <c r="AQ3023" s="54"/>
      <c r="BA3023" s="54"/>
    </row>
    <row r="3024" spans="43:53" x14ac:dyDescent="0.35">
      <c r="AQ3024" s="54"/>
      <c r="BA3024" s="54"/>
    </row>
    <row r="3025" spans="43:53" x14ac:dyDescent="0.35">
      <c r="AQ3025" s="54"/>
      <c r="BA3025" s="54"/>
    </row>
    <row r="3026" spans="43:53" x14ac:dyDescent="0.35">
      <c r="AQ3026" s="54"/>
      <c r="BA3026" s="54"/>
    </row>
    <row r="3027" spans="43:53" x14ac:dyDescent="0.35">
      <c r="AQ3027" s="54"/>
      <c r="BA3027" s="54"/>
    </row>
    <row r="3028" spans="43:53" x14ac:dyDescent="0.35">
      <c r="AQ3028" s="54"/>
      <c r="BA3028" s="54"/>
    </row>
    <row r="3029" spans="43:53" x14ac:dyDescent="0.35">
      <c r="AQ3029" s="54"/>
      <c r="BA3029" s="54"/>
    </row>
    <row r="3030" spans="43:53" x14ac:dyDescent="0.35">
      <c r="AQ3030" s="54"/>
      <c r="BA3030" s="54"/>
    </row>
    <row r="3031" spans="43:53" x14ac:dyDescent="0.35">
      <c r="AQ3031" s="54"/>
      <c r="BA3031" s="54"/>
    </row>
    <row r="3032" spans="43:53" x14ac:dyDescent="0.35">
      <c r="AQ3032" s="54"/>
      <c r="BA3032" s="54"/>
    </row>
    <row r="3033" spans="43:53" x14ac:dyDescent="0.35">
      <c r="AQ3033" s="54"/>
      <c r="BA3033" s="54"/>
    </row>
    <row r="3034" spans="43:53" x14ac:dyDescent="0.35">
      <c r="AQ3034" s="54"/>
      <c r="BA3034" s="54"/>
    </row>
    <row r="3035" spans="43:53" x14ac:dyDescent="0.35">
      <c r="AQ3035" s="54"/>
      <c r="BA3035" s="54"/>
    </row>
    <row r="3036" spans="43:53" x14ac:dyDescent="0.35">
      <c r="AQ3036" s="54"/>
      <c r="BA3036" s="54"/>
    </row>
    <row r="3037" spans="43:53" x14ac:dyDescent="0.35">
      <c r="AQ3037" s="54"/>
      <c r="BA3037" s="54"/>
    </row>
    <row r="3038" spans="43:53" x14ac:dyDescent="0.35">
      <c r="AQ3038" s="54"/>
      <c r="BA3038" s="54"/>
    </row>
    <row r="3039" spans="43:53" x14ac:dyDescent="0.35">
      <c r="AQ3039" s="54"/>
      <c r="BA3039" s="54"/>
    </row>
    <row r="3040" spans="43:53" x14ac:dyDescent="0.35">
      <c r="AQ3040" s="54"/>
      <c r="BA3040" s="54"/>
    </row>
    <row r="3041" spans="43:53" x14ac:dyDescent="0.35">
      <c r="AQ3041" s="54"/>
      <c r="BA3041" s="54"/>
    </row>
    <row r="3042" spans="43:53" x14ac:dyDescent="0.35">
      <c r="AQ3042" s="54"/>
      <c r="BA3042" s="54"/>
    </row>
    <row r="3043" spans="43:53" x14ac:dyDescent="0.35">
      <c r="AQ3043" s="54"/>
      <c r="BA3043" s="54"/>
    </row>
    <row r="3044" spans="43:53" x14ac:dyDescent="0.35">
      <c r="AQ3044" s="54"/>
      <c r="BA3044" s="54"/>
    </row>
    <row r="3045" spans="43:53" x14ac:dyDescent="0.35">
      <c r="AQ3045" s="54"/>
      <c r="BA3045" s="54"/>
    </row>
    <row r="3046" spans="43:53" x14ac:dyDescent="0.35">
      <c r="AQ3046" s="54"/>
      <c r="BA3046" s="54"/>
    </row>
    <row r="3047" spans="43:53" x14ac:dyDescent="0.35">
      <c r="AQ3047" s="54"/>
      <c r="BA3047" s="54"/>
    </row>
    <row r="3048" spans="43:53" x14ac:dyDescent="0.35">
      <c r="AQ3048" s="54"/>
      <c r="BA3048" s="54"/>
    </row>
    <row r="3049" spans="43:53" x14ac:dyDescent="0.35">
      <c r="AQ3049" s="54"/>
      <c r="BA3049" s="54"/>
    </row>
    <row r="3050" spans="43:53" x14ac:dyDescent="0.35">
      <c r="AQ3050" s="54"/>
      <c r="BA3050" s="54"/>
    </row>
    <row r="3051" spans="43:53" x14ac:dyDescent="0.35">
      <c r="AQ3051" s="54"/>
      <c r="BA3051" s="54"/>
    </row>
    <row r="3052" spans="43:53" x14ac:dyDescent="0.35">
      <c r="AQ3052" s="54"/>
      <c r="BA3052" s="54"/>
    </row>
    <row r="3053" spans="43:53" x14ac:dyDescent="0.35">
      <c r="AQ3053" s="54"/>
      <c r="BA3053" s="54"/>
    </row>
    <row r="3054" spans="43:53" x14ac:dyDescent="0.35">
      <c r="AQ3054" s="54"/>
      <c r="BA3054" s="54"/>
    </row>
    <row r="3055" spans="43:53" x14ac:dyDescent="0.35">
      <c r="AQ3055" s="54"/>
      <c r="BA3055" s="54"/>
    </row>
    <row r="3056" spans="43:53" x14ac:dyDescent="0.35">
      <c r="AQ3056" s="54"/>
      <c r="BA3056" s="54"/>
    </row>
    <row r="3057" spans="43:53" x14ac:dyDescent="0.35">
      <c r="AQ3057" s="54"/>
      <c r="BA3057" s="54"/>
    </row>
    <row r="3058" spans="43:53" x14ac:dyDescent="0.35">
      <c r="AQ3058" s="54"/>
      <c r="BA3058" s="54"/>
    </row>
    <row r="3059" spans="43:53" x14ac:dyDescent="0.35">
      <c r="AQ3059" s="54"/>
      <c r="BA3059" s="54"/>
    </row>
    <row r="3060" spans="43:53" x14ac:dyDescent="0.35">
      <c r="AQ3060" s="54"/>
      <c r="BA3060" s="54"/>
    </row>
    <row r="3061" spans="43:53" x14ac:dyDescent="0.35">
      <c r="AQ3061" s="54"/>
      <c r="BA3061" s="54"/>
    </row>
    <row r="3062" spans="43:53" x14ac:dyDescent="0.35">
      <c r="AQ3062" s="54"/>
      <c r="BA3062" s="54"/>
    </row>
    <row r="3063" spans="43:53" x14ac:dyDescent="0.35">
      <c r="AQ3063" s="54"/>
      <c r="BA3063" s="54"/>
    </row>
    <row r="3064" spans="43:53" x14ac:dyDescent="0.35">
      <c r="AQ3064" s="54"/>
      <c r="BA3064" s="54"/>
    </row>
    <row r="3065" spans="43:53" x14ac:dyDescent="0.35">
      <c r="AQ3065" s="54"/>
      <c r="BA3065" s="54"/>
    </row>
    <row r="3066" spans="43:53" x14ac:dyDescent="0.35">
      <c r="AQ3066" s="54"/>
      <c r="BA3066" s="54"/>
    </row>
    <row r="3067" spans="43:53" x14ac:dyDescent="0.35">
      <c r="AQ3067" s="54"/>
      <c r="BA3067" s="54"/>
    </row>
    <row r="3068" spans="43:53" x14ac:dyDescent="0.35">
      <c r="AQ3068" s="54"/>
      <c r="BA3068" s="54"/>
    </row>
    <row r="3069" spans="43:53" x14ac:dyDescent="0.35">
      <c r="AQ3069" s="54"/>
      <c r="BA3069" s="54"/>
    </row>
    <row r="3070" spans="43:53" x14ac:dyDescent="0.35">
      <c r="AQ3070" s="54"/>
      <c r="BA3070" s="54"/>
    </row>
    <row r="3071" spans="43:53" x14ac:dyDescent="0.35">
      <c r="AQ3071" s="54"/>
      <c r="BA3071" s="54"/>
    </row>
    <row r="3072" spans="43:53" x14ac:dyDescent="0.35">
      <c r="AQ3072" s="54"/>
      <c r="BA3072" s="54"/>
    </row>
    <row r="3073" spans="43:53" x14ac:dyDescent="0.35">
      <c r="AQ3073" s="54"/>
      <c r="BA3073" s="54"/>
    </row>
    <row r="3074" spans="43:53" x14ac:dyDescent="0.35">
      <c r="AQ3074" s="54"/>
      <c r="BA3074" s="54"/>
    </row>
    <row r="3075" spans="43:53" x14ac:dyDescent="0.35">
      <c r="AQ3075" s="54"/>
      <c r="BA3075" s="54"/>
    </row>
    <row r="3076" spans="43:53" x14ac:dyDescent="0.35">
      <c r="AQ3076" s="54"/>
      <c r="BA3076" s="54"/>
    </row>
    <row r="3077" spans="43:53" x14ac:dyDescent="0.35">
      <c r="AQ3077" s="54"/>
      <c r="BA3077" s="54"/>
    </row>
    <row r="3078" spans="43:53" x14ac:dyDescent="0.35">
      <c r="AQ3078" s="54"/>
      <c r="BA3078" s="54"/>
    </row>
    <row r="3079" spans="43:53" x14ac:dyDescent="0.35">
      <c r="AQ3079" s="54"/>
      <c r="BA3079" s="54"/>
    </row>
    <row r="3080" spans="43:53" x14ac:dyDescent="0.35">
      <c r="AQ3080" s="54"/>
      <c r="BA3080" s="54"/>
    </row>
    <row r="3081" spans="43:53" x14ac:dyDescent="0.35">
      <c r="AQ3081" s="54"/>
      <c r="BA3081" s="54"/>
    </row>
    <row r="3082" spans="43:53" x14ac:dyDescent="0.35">
      <c r="AQ3082" s="54"/>
      <c r="BA3082" s="54"/>
    </row>
    <row r="3083" spans="43:53" x14ac:dyDescent="0.35">
      <c r="AQ3083" s="54"/>
      <c r="BA3083" s="54"/>
    </row>
    <row r="3084" spans="43:53" x14ac:dyDescent="0.35">
      <c r="AQ3084" s="54"/>
      <c r="BA3084" s="54"/>
    </row>
    <row r="3085" spans="43:53" x14ac:dyDescent="0.35">
      <c r="AQ3085" s="54"/>
      <c r="BA3085" s="54"/>
    </row>
    <row r="3086" spans="43:53" x14ac:dyDescent="0.35">
      <c r="AQ3086" s="54"/>
      <c r="BA3086" s="54"/>
    </row>
    <row r="3087" spans="43:53" x14ac:dyDescent="0.35">
      <c r="AQ3087" s="54"/>
      <c r="BA3087" s="54"/>
    </row>
    <row r="3088" spans="43:53" x14ac:dyDescent="0.35">
      <c r="AQ3088" s="54"/>
      <c r="BA3088" s="54"/>
    </row>
    <row r="3089" spans="43:53" x14ac:dyDescent="0.35">
      <c r="AQ3089" s="54"/>
      <c r="BA3089" s="54"/>
    </row>
    <row r="3090" spans="43:53" x14ac:dyDescent="0.35">
      <c r="AQ3090" s="54"/>
      <c r="BA3090" s="54"/>
    </row>
    <row r="3091" spans="43:53" x14ac:dyDescent="0.35">
      <c r="AQ3091" s="54"/>
      <c r="BA3091" s="54"/>
    </row>
    <row r="3092" spans="43:53" x14ac:dyDescent="0.35">
      <c r="AQ3092" s="54"/>
      <c r="BA3092" s="54"/>
    </row>
    <row r="3093" spans="43:53" x14ac:dyDescent="0.35">
      <c r="AQ3093" s="54"/>
      <c r="BA3093" s="54"/>
    </row>
    <row r="3094" spans="43:53" x14ac:dyDescent="0.35">
      <c r="AQ3094" s="54"/>
      <c r="BA3094" s="54"/>
    </row>
    <row r="3095" spans="43:53" x14ac:dyDescent="0.35">
      <c r="AQ3095" s="54"/>
      <c r="BA3095" s="54"/>
    </row>
    <row r="3096" spans="43:53" x14ac:dyDescent="0.35">
      <c r="AQ3096" s="54"/>
      <c r="BA3096" s="54"/>
    </row>
    <row r="3097" spans="43:53" x14ac:dyDescent="0.35">
      <c r="AQ3097" s="54"/>
      <c r="BA3097" s="54"/>
    </row>
    <row r="3098" spans="43:53" x14ac:dyDescent="0.35">
      <c r="AQ3098" s="54"/>
      <c r="BA3098" s="54"/>
    </row>
    <row r="3099" spans="43:53" x14ac:dyDescent="0.35">
      <c r="AQ3099" s="54"/>
      <c r="BA3099" s="54"/>
    </row>
    <row r="3100" spans="43:53" x14ac:dyDescent="0.35">
      <c r="AQ3100" s="54"/>
      <c r="BA3100" s="54"/>
    </row>
    <row r="3101" spans="43:53" x14ac:dyDescent="0.35">
      <c r="AQ3101" s="54"/>
      <c r="BA3101" s="54"/>
    </row>
    <row r="3102" spans="43:53" x14ac:dyDescent="0.35">
      <c r="AQ3102" s="54"/>
      <c r="BA3102" s="54"/>
    </row>
    <row r="3103" spans="43:53" x14ac:dyDescent="0.35">
      <c r="AQ3103" s="54"/>
      <c r="BA3103" s="54"/>
    </row>
    <row r="3104" spans="43:53" x14ac:dyDescent="0.35">
      <c r="AQ3104" s="54"/>
      <c r="BA3104" s="54"/>
    </row>
    <row r="3105" spans="43:53" x14ac:dyDescent="0.35">
      <c r="AQ3105" s="54"/>
      <c r="BA3105" s="54"/>
    </row>
    <row r="3106" spans="43:53" x14ac:dyDescent="0.35">
      <c r="AQ3106" s="54"/>
      <c r="BA3106" s="54"/>
    </row>
    <row r="3107" spans="43:53" x14ac:dyDescent="0.35">
      <c r="AQ3107" s="54"/>
      <c r="BA3107" s="54"/>
    </row>
    <row r="3108" spans="43:53" x14ac:dyDescent="0.35">
      <c r="AQ3108" s="54"/>
      <c r="BA3108" s="54"/>
    </row>
    <row r="3109" spans="43:53" x14ac:dyDescent="0.35">
      <c r="AQ3109" s="54"/>
      <c r="BA3109" s="54"/>
    </row>
    <row r="3110" spans="43:53" x14ac:dyDescent="0.35">
      <c r="AQ3110" s="54"/>
      <c r="BA3110" s="54"/>
    </row>
    <row r="3111" spans="43:53" x14ac:dyDescent="0.35">
      <c r="AQ3111" s="54"/>
      <c r="BA3111" s="54"/>
    </row>
    <row r="3112" spans="43:53" x14ac:dyDescent="0.35">
      <c r="AQ3112" s="54"/>
      <c r="BA3112" s="54"/>
    </row>
    <row r="3113" spans="43:53" x14ac:dyDescent="0.35">
      <c r="AQ3113" s="54"/>
      <c r="BA3113" s="54"/>
    </row>
    <row r="3114" spans="43:53" x14ac:dyDescent="0.35">
      <c r="AQ3114" s="54"/>
      <c r="BA3114" s="54"/>
    </row>
    <row r="3115" spans="43:53" x14ac:dyDescent="0.35">
      <c r="AQ3115" s="54"/>
      <c r="BA3115" s="54"/>
    </row>
    <row r="3116" spans="43:53" x14ac:dyDescent="0.35">
      <c r="AQ3116" s="54"/>
      <c r="BA3116" s="54"/>
    </row>
    <row r="3117" spans="43:53" x14ac:dyDescent="0.35">
      <c r="AQ3117" s="54"/>
      <c r="BA3117" s="54"/>
    </row>
    <row r="3118" spans="43:53" x14ac:dyDescent="0.35">
      <c r="AQ3118" s="54"/>
      <c r="BA3118" s="54"/>
    </row>
    <row r="3119" spans="43:53" x14ac:dyDescent="0.35">
      <c r="AQ3119" s="54"/>
      <c r="BA3119" s="54"/>
    </row>
    <row r="3120" spans="43:53" x14ac:dyDescent="0.35">
      <c r="AQ3120" s="54"/>
      <c r="BA3120" s="54"/>
    </row>
    <row r="3121" spans="43:53" x14ac:dyDescent="0.35">
      <c r="AQ3121" s="54"/>
      <c r="BA3121" s="54"/>
    </row>
    <row r="3122" spans="43:53" x14ac:dyDescent="0.35">
      <c r="AQ3122" s="54"/>
      <c r="BA3122" s="54"/>
    </row>
    <row r="3123" spans="43:53" x14ac:dyDescent="0.35">
      <c r="AQ3123" s="54"/>
      <c r="BA3123" s="54"/>
    </row>
    <row r="3124" spans="43:53" x14ac:dyDescent="0.35">
      <c r="AQ3124" s="54"/>
      <c r="BA3124" s="54"/>
    </row>
    <row r="3125" spans="43:53" x14ac:dyDescent="0.35">
      <c r="AQ3125" s="54"/>
      <c r="BA3125" s="54"/>
    </row>
    <row r="3126" spans="43:53" x14ac:dyDescent="0.35">
      <c r="AQ3126" s="54"/>
      <c r="BA3126" s="54"/>
    </row>
    <row r="3127" spans="43:53" x14ac:dyDescent="0.35">
      <c r="AQ3127" s="54"/>
      <c r="BA3127" s="54"/>
    </row>
    <row r="3128" spans="43:53" x14ac:dyDescent="0.35">
      <c r="AQ3128" s="54"/>
      <c r="BA3128" s="54"/>
    </row>
    <row r="3129" spans="43:53" x14ac:dyDescent="0.35">
      <c r="AQ3129" s="54"/>
      <c r="BA3129" s="54"/>
    </row>
    <row r="3130" spans="43:53" x14ac:dyDescent="0.35">
      <c r="AQ3130" s="54"/>
      <c r="BA3130" s="54"/>
    </row>
    <row r="3131" spans="43:53" x14ac:dyDescent="0.35">
      <c r="AQ3131" s="54"/>
      <c r="BA3131" s="54"/>
    </row>
    <row r="3132" spans="43:53" x14ac:dyDescent="0.35">
      <c r="AQ3132" s="54"/>
      <c r="BA3132" s="54"/>
    </row>
    <row r="3133" spans="43:53" x14ac:dyDescent="0.35">
      <c r="AQ3133" s="54"/>
      <c r="BA3133" s="54"/>
    </row>
    <row r="3134" spans="43:53" x14ac:dyDescent="0.35">
      <c r="AQ3134" s="54"/>
      <c r="BA3134" s="54"/>
    </row>
    <row r="3135" spans="43:53" x14ac:dyDescent="0.35">
      <c r="AQ3135" s="54"/>
      <c r="BA3135" s="54"/>
    </row>
    <row r="3136" spans="43:53" x14ac:dyDescent="0.35">
      <c r="AQ3136" s="54"/>
      <c r="BA3136" s="54"/>
    </row>
    <row r="3137" spans="43:53" x14ac:dyDescent="0.35">
      <c r="AQ3137" s="54"/>
      <c r="BA3137" s="54"/>
    </row>
    <row r="3138" spans="43:53" x14ac:dyDescent="0.35">
      <c r="AQ3138" s="54"/>
      <c r="BA3138" s="54"/>
    </row>
    <row r="3139" spans="43:53" x14ac:dyDescent="0.35">
      <c r="AQ3139" s="54"/>
      <c r="BA3139" s="54"/>
    </row>
    <row r="3140" spans="43:53" x14ac:dyDescent="0.35">
      <c r="AQ3140" s="54"/>
      <c r="BA3140" s="54"/>
    </row>
    <row r="3141" spans="43:53" x14ac:dyDescent="0.35">
      <c r="AQ3141" s="54"/>
      <c r="BA3141" s="54"/>
    </row>
    <row r="3142" spans="43:53" x14ac:dyDescent="0.35">
      <c r="AQ3142" s="54"/>
      <c r="BA3142" s="54"/>
    </row>
    <row r="3143" spans="43:53" x14ac:dyDescent="0.35">
      <c r="AQ3143" s="54"/>
      <c r="BA3143" s="54"/>
    </row>
    <row r="3144" spans="43:53" x14ac:dyDescent="0.35">
      <c r="AQ3144" s="54"/>
      <c r="BA3144" s="54"/>
    </row>
    <row r="3145" spans="43:53" x14ac:dyDescent="0.35">
      <c r="AQ3145" s="54"/>
      <c r="BA3145" s="54"/>
    </row>
    <row r="3146" spans="43:53" x14ac:dyDescent="0.35">
      <c r="AQ3146" s="54"/>
      <c r="BA3146" s="54"/>
    </row>
    <row r="3147" spans="43:53" x14ac:dyDescent="0.35">
      <c r="AQ3147" s="54"/>
      <c r="BA3147" s="54"/>
    </row>
    <row r="3148" spans="43:53" x14ac:dyDescent="0.35">
      <c r="AQ3148" s="54"/>
      <c r="BA3148" s="54"/>
    </row>
    <row r="3149" spans="43:53" x14ac:dyDescent="0.35">
      <c r="AQ3149" s="54"/>
      <c r="BA3149" s="54"/>
    </row>
    <row r="3150" spans="43:53" x14ac:dyDescent="0.35">
      <c r="AQ3150" s="54"/>
      <c r="BA3150" s="54"/>
    </row>
    <row r="3151" spans="43:53" x14ac:dyDescent="0.35">
      <c r="AQ3151" s="54"/>
      <c r="BA3151" s="54"/>
    </row>
    <row r="3152" spans="43:53" x14ac:dyDescent="0.35">
      <c r="AQ3152" s="54"/>
      <c r="BA3152" s="54"/>
    </row>
    <row r="3153" spans="43:53" x14ac:dyDescent="0.35">
      <c r="AQ3153" s="54"/>
      <c r="BA3153" s="54"/>
    </row>
    <row r="3154" spans="43:53" x14ac:dyDescent="0.35">
      <c r="AQ3154" s="54"/>
      <c r="BA3154" s="54"/>
    </row>
    <row r="3155" spans="43:53" x14ac:dyDescent="0.35">
      <c r="AQ3155" s="54"/>
      <c r="BA3155" s="54"/>
    </row>
    <row r="3156" spans="43:53" x14ac:dyDescent="0.35">
      <c r="AQ3156" s="54"/>
      <c r="BA3156" s="54"/>
    </row>
    <row r="3157" spans="43:53" x14ac:dyDescent="0.35">
      <c r="AQ3157" s="54"/>
      <c r="BA3157" s="54"/>
    </row>
    <row r="3158" spans="43:53" x14ac:dyDescent="0.35">
      <c r="AQ3158" s="54"/>
      <c r="BA3158" s="54"/>
    </row>
    <row r="3159" spans="43:53" x14ac:dyDescent="0.35">
      <c r="AQ3159" s="54"/>
      <c r="BA3159" s="54"/>
    </row>
    <row r="3160" spans="43:53" x14ac:dyDescent="0.35">
      <c r="AQ3160" s="54"/>
      <c r="BA3160" s="54"/>
    </row>
    <row r="3161" spans="43:53" x14ac:dyDescent="0.35">
      <c r="AQ3161" s="54"/>
      <c r="BA3161" s="54"/>
    </row>
    <row r="3162" spans="43:53" x14ac:dyDescent="0.35">
      <c r="AQ3162" s="54"/>
      <c r="BA3162" s="54"/>
    </row>
    <row r="3163" spans="43:53" x14ac:dyDescent="0.35">
      <c r="AQ3163" s="54"/>
      <c r="BA3163" s="54"/>
    </row>
    <row r="3164" spans="43:53" x14ac:dyDescent="0.35">
      <c r="AQ3164" s="54"/>
      <c r="BA3164" s="54"/>
    </row>
    <row r="3165" spans="43:53" x14ac:dyDescent="0.35">
      <c r="AQ3165" s="54"/>
      <c r="BA3165" s="54"/>
    </row>
    <row r="3166" spans="43:53" x14ac:dyDescent="0.35">
      <c r="AQ3166" s="54"/>
      <c r="BA3166" s="54"/>
    </row>
    <row r="3167" spans="43:53" x14ac:dyDescent="0.35">
      <c r="AQ3167" s="54"/>
      <c r="BA3167" s="54"/>
    </row>
    <row r="3168" spans="43:53" x14ac:dyDescent="0.35">
      <c r="AQ3168" s="54"/>
      <c r="BA3168" s="54"/>
    </row>
    <row r="3169" spans="43:53" x14ac:dyDescent="0.35">
      <c r="AQ3169" s="54"/>
      <c r="BA3169" s="54"/>
    </row>
    <row r="3170" spans="43:53" x14ac:dyDescent="0.35">
      <c r="AQ3170" s="54"/>
      <c r="BA3170" s="54"/>
    </row>
    <row r="3171" spans="43:53" x14ac:dyDescent="0.35">
      <c r="AQ3171" s="54"/>
      <c r="BA3171" s="54"/>
    </row>
    <row r="3172" spans="43:53" x14ac:dyDescent="0.35">
      <c r="AQ3172" s="54"/>
      <c r="BA3172" s="54"/>
    </row>
    <row r="3173" spans="43:53" x14ac:dyDescent="0.35">
      <c r="AQ3173" s="54"/>
      <c r="BA3173" s="54"/>
    </row>
    <row r="3174" spans="43:53" x14ac:dyDescent="0.35">
      <c r="AQ3174" s="54"/>
      <c r="BA3174" s="54"/>
    </row>
    <row r="3175" spans="43:53" x14ac:dyDescent="0.35">
      <c r="AQ3175" s="54"/>
      <c r="BA3175" s="54"/>
    </row>
    <row r="3176" spans="43:53" x14ac:dyDescent="0.35">
      <c r="AQ3176" s="54"/>
      <c r="BA3176" s="54"/>
    </row>
    <row r="3177" spans="43:53" x14ac:dyDescent="0.35">
      <c r="AQ3177" s="54"/>
      <c r="BA3177" s="54"/>
    </row>
    <row r="3178" spans="43:53" x14ac:dyDescent="0.35">
      <c r="AQ3178" s="54"/>
      <c r="BA3178" s="54"/>
    </row>
    <row r="3179" spans="43:53" x14ac:dyDescent="0.35">
      <c r="AQ3179" s="54"/>
      <c r="BA3179" s="54"/>
    </row>
    <row r="3180" spans="43:53" x14ac:dyDescent="0.35">
      <c r="AQ3180" s="54"/>
      <c r="BA3180" s="54"/>
    </row>
    <row r="3181" spans="43:53" x14ac:dyDescent="0.35">
      <c r="AQ3181" s="54"/>
      <c r="BA3181" s="54"/>
    </row>
    <row r="3182" spans="43:53" x14ac:dyDescent="0.35">
      <c r="AQ3182" s="54"/>
      <c r="BA3182" s="54"/>
    </row>
    <row r="3183" spans="43:53" x14ac:dyDescent="0.35">
      <c r="AQ3183" s="54"/>
      <c r="BA3183" s="54"/>
    </row>
    <row r="3184" spans="43:53" x14ac:dyDescent="0.35">
      <c r="AQ3184" s="54"/>
      <c r="BA3184" s="54"/>
    </row>
    <row r="3185" spans="43:53" x14ac:dyDescent="0.35">
      <c r="AQ3185" s="54"/>
      <c r="BA3185" s="54"/>
    </row>
    <row r="3186" spans="43:53" x14ac:dyDescent="0.35">
      <c r="AQ3186" s="54"/>
      <c r="BA3186" s="54"/>
    </row>
    <row r="3187" spans="43:53" x14ac:dyDescent="0.35">
      <c r="AQ3187" s="54"/>
      <c r="BA3187" s="54"/>
    </row>
    <row r="3188" spans="43:53" x14ac:dyDescent="0.35">
      <c r="AQ3188" s="54"/>
      <c r="BA3188" s="54"/>
    </row>
    <row r="3189" spans="43:53" x14ac:dyDescent="0.35">
      <c r="AQ3189" s="54"/>
      <c r="BA3189" s="54"/>
    </row>
    <row r="3190" spans="43:53" x14ac:dyDescent="0.35">
      <c r="AQ3190" s="54"/>
      <c r="BA3190" s="54"/>
    </row>
    <row r="3191" spans="43:53" x14ac:dyDescent="0.35">
      <c r="AQ3191" s="54"/>
      <c r="BA3191" s="54"/>
    </row>
    <row r="3192" spans="43:53" x14ac:dyDescent="0.35">
      <c r="AQ3192" s="54"/>
      <c r="BA3192" s="54"/>
    </row>
    <row r="3193" spans="43:53" x14ac:dyDescent="0.35">
      <c r="AQ3193" s="54"/>
      <c r="BA3193" s="54"/>
    </row>
    <row r="3194" spans="43:53" x14ac:dyDescent="0.35">
      <c r="AQ3194" s="54"/>
      <c r="BA3194" s="54"/>
    </row>
    <row r="3195" spans="43:53" x14ac:dyDescent="0.35">
      <c r="AQ3195" s="54"/>
      <c r="BA3195" s="54"/>
    </row>
    <row r="3196" spans="43:53" x14ac:dyDescent="0.35">
      <c r="AQ3196" s="54"/>
      <c r="BA3196" s="54"/>
    </row>
    <row r="3197" spans="43:53" x14ac:dyDescent="0.35">
      <c r="AQ3197" s="54"/>
      <c r="BA3197" s="54"/>
    </row>
    <row r="3198" spans="43:53" x14ac:dyDescent="0.35">
      <c r="AQ3198" s="54"/>
      <c r="BA3198" s="54"/>
    </row>
    <row r="3199" spans="43:53" x14ac:dyDescent="0.35">
      <c r="AQ3199" s="54"/>
      <c r="BA3199" s="54"/>
    </row>
    <row r="3200" spans="43:53" x14ac:dyDescent="0.35">
      <c r="AQ3200" s="54"/>
      <c r="BA3200" s="54"/>
    </row>
    <row r="3201" spans="43:53" x14ac:dyDescent="0.35">
      <c r="AQ3201" s="54"/>
      <c r="BA3201" s="54"/>
    </row>
    <row r="3202" spans="43:53" x14ac:dyDescent="0.35">
      <c r="AQ3202" s="54"/>
      <c r="BA3202" s="54"/>
    </row>
    <row r="3203" spans="43:53" x14ac:dyDescent="0.35">
      <c r="AQ3203" s="54"/>
      <c r="BA3203" s="54"/>
    </row>
    <row r="3204" spans="43:53" x14ac:dyDescent="0.35">
      <c r="AQ3204" s="54"/>
      <c r="BA3204" s="54"/>
    </row>
    <row r="3205" spans="43:53" x14ac:dyDescent="0.35">
      <c r="AQ3205" s="54"/>
      <c r="BA3205" s="54"/>
    </row>
    <row r="3206" spans="43:53" x14ac:dyDescent="0.35">
      <c r="AQ3206" s="54"/>
      <c r="BA3206" s="54"/>
    </row>
    <row r="3207" spans="43:53" x14ac:dyDescent="0.35">
      <c r="AQ3207" s="54"/>
      <c r="BA3207" s="54"/>
    </row>
    <row r="3208" spans="43:53" x14ac:dyDescent="0.35">
      <c r="AQ3208" s="54"/>
      <c r="BA3208" s="54"/>
    </row>
    <row r="3209" spans="43:53" x14ac:dyDescent="0.35">
      <c r="AQ3209" s="54"/>
      <c r="BA3209" s="54"/>
    </row>
    <row r="3210" spans="43:53" x14ac:dyDescent="0.35">
      <c r="AQ3210" s="54"/>
      <c r="BA3210" s="54"/>
    </row>
    <row r="3211" spans="43:53" x14ac:dyDescent="0.35">
      <c r="AQ3211" s="54"/>
      <c r="BA3211" s="54"/>
    </row>
    <row r="3212" spans="43:53" x14ac:dyDescent="0.35">
      <c r="AQ3212" s="54"/>
      <c r="BA3212" s="54"/>
    </row>
    <row r="3213" spans="43:53" x14ac:dyDescent="0.35">
      <c r="AQ3213" s="54"/>
      <c r="BA3213" s="54"/>
    </row>
    <row r="3214" spans="43:53" x14ac:dyDescent="0.35">
      <c r="AQ3214" s="54"/>
      <c r="BA3214" s="54"/>
    </row>
    <row r="3215" spans="43:53" x14ac:dyDescent="0.35">
      <c r="AQ3215" s="54"/>
      <c r="BA3215" s="54"/>
    </row>
    <row r="3216" spans="43:53" x14ac:dyDescent="0.35">
      <c r="AQ3216" s="54"/>
      <c r="BA3216" s="54"/>
    </row>
    <row r="3217" spans="43:53" x14ac:dyDescent="0.35">
      <c r="AQ3217" s="54"/>
      <c r="BA3217" s="54"/>
    </row>
    <row r="3218" spans="43:53" x14ac:dyDescent="0.35">
      <c r="AQ3218" s="54"/>
      <c r="BA3218" s="54"/>
    </row>
    <row r="3219" spans="43:53" x14ac:dyDescent="0.35">
      <c r="AQ3219" s="54"/>
      <c r="BA3219" s="54"/>
    </row>
    <row r="3220" spans="43:53" x14ac:dyDescent="0.35">
      <c r="AQ3220" s="54"/>
      <c r="BA3220" s="54"/>
    </row>
    <row r="3221" spans="43:53" x14ac:dyDescent="0.35">
      <c r="AQ3221" s="54"/>
      <c r="BA3221" s="54"/>
    </row>
    <row r="3222" spans="43:53" x14ac:dyDescent="0.35">
      <c r="AQ3222" s="54"/>
      <c r="BA3222" s="54"/>
    </row>
    <row r="3223" spans="43:53" x14ac:dyDescent="0.35">
      <c r="AQ3223" s="54"/>
      <c r="BA3223" s="54"/>
    </row>
    <row r="3224" spans="43:53" x14ac:dyDescent="0.35">
      <c r="AQ3224" s="54"/>
      <c r="BA3224" s="54"/>
    </row>
    <row r="3225" spans="43:53" x14ac:dyDescent="0.35">
      <c r="AQ3225" s="54"/>
      <c r="BA3225" s="54"/>
    </row>
    <row r="3226" spans="43:53" x14ac:dyDescent="0.35">
      <c r="AQ3226" s="54"/>
      <c r="BA3226" s="54"/>
    </row>
    <row r="3227" spans="43:53" x14ac:dyDescent="0.35">
      <c r="AQ3227" s="54"/>
      <c r="BA3227" s="54"/>
    </row>
    <row r="3228" spans="43:53" x14ac:dyDescent="0.35">
      <c r="AQ3228" s="54"/>
      <c r="BA3228" s="54"/>
    </row>
    <row r="3229" spans="43:53" x14ac:dyDescent="0.35">
      <c r="AQ3229" s="54"/>
      <c r="BA3229" s="54"/>
    </row>
    <row r="3230" spans="43:53" x14ac:dyDescent="0.35">
      <c r="AQ3230" s="54"/>
      <c r="BA3230" s="54"/>
    </row>
    <row r="3231" spans="43:53" x14ac:dyDescent="0.35">
      <c r="AQ3231" s="54"/>
      <c r="BA3231" s="54"/>
    </row>
    <row r="3232" spans="43:53" x14ac:dyDescent="0.35">
      <c r="AQ3232" s="54"/>
      <c r="BA3232" s="54"/>
    </row>
    <row r="3233" spans="43:53" x14ac:dyDescent="0.35">
      <c r="AQ3233" s="54"/>
      <c r="BA3233" s="54"/>
    </row>
    <row r="3234" spans="43:53" x14ac:dyDescent="0.35">
      <c r="AQ3234" s="54"/>
      <c r="BA3234" s="54"/>
    </row>
    <row r="3235" spans="43:53" x14ac:dyDescent="0.35">
      <c r="AQ3235" s="54"/>
      <c r="BA3235" s="54"/>
    </row>
    <row r="3236" spans="43:53" x14ac:dyDescent="0.35">
      <c r="AQ3236" s="54"/>
      <c r="BA3236" s="54"/>
    </row>
    <row r="3237" spans="43:53" x14ac:dyDescent="0.35">
      <c r="AQ3237" s="54"/>
      <c r="BA3237" s="54"/>
    </row>
    <row r="3238" spans="43:53" x14ac:dyDescent="0.35">
      <c r="AQ3238" s="54"/>
      <c r="BA3238" s="54"/>
    </row>
    <row r="3239" spans="43:53" x14ac:dyDescent="0.35">
      <c r="AQ3239" s="54"/>
      <c r="BA3239" s="54"/>
    </row>
    <row r="3240" spans="43:53" x14ac:dyDescent="0.35">
      <c r="AQ3240" s="54"/>
      <c r="BA3240" s="54"/>
    </row>
    <row r="3241" spans="43:53" x14ac:dyDescent="0.35">
      <c r="AQ3241" s="54"/>
      <c r="BA3241" s="54"/>
    </row>
    <row r="3242" spans="43:53" x14ac:dyDescent="0.35">
      <c r="AQ3242" s="54"/>
      <c r="BA3242" s="54"/>
    </row>
    <row r="3243" spans="43:53" x14ac:dyDescent="0.35">
      <c r="AQ3243" s="54"/>
      <c r="BA3243" s="54"/>
    </row>
    <row r="3244" spans="43:53" x14ac:dyDescent="0.35">
      <c r="AQ3244" s="54"/>
      <c r="BA3244" s="54"/>
    </row>
    <row r="3245" spans="43:53" x14ac:dyDescent="0.35">
      <c r="AQ3245" s="54"/>
      <c r="BA3245" s="54"/>
    </row>
    <row r="3246" spans="43:53" x14ac:dyDescent="0.35">
      <c r="AQ3246" s="54"/>
      <c r="BA3246" s="54"/>
    </row>
    <row r="3247" spans="43:53" x14ac:dyDescent="0.35">
      <c r="AQ3247" s="54"/>
      <c r="BA3247" s="54"/>
    </row>
    <row r="3248" spans="43:53" x14ac:dyDescent="0.35">
      <c r="AQ3248" s="54"/>
      <c r="BA3248" s="54"/>
    </row>
    <row r="3249" spans="43:53" x14ac:dyDescent="0.35">
      <c r="AQ3249" s="54"/>
      <c r="BA3249" s="54"/>
    </row>
    <row r="3250" spans="43:53" x14ac:dyDescent="0.35">
      <c r="AQ3250" s="54"/>
      <c r="BA3250" s="54"/>
    </row>
    <row r="3251" spans="43:53" x14ac:dyDescent="0.35">
      <c r="AQ3251" s="54"/>
      <c r="BA3251" s="54"/>
    </row>
    <row r="3252" spans="43:53" x14ac:dyDescent="0.35">
      <c r="AQ3252" s="54"/>
      <c r="BA3252" s="54"/>
    </row>
    <row r="3253" spans="43:53" x14ac:dyDescent="0.35">
      <c r="AQ3253" s="54"/>
      <c r="BA3253" s="54"/>
    </row>
    <row r="3254" spans="43:53" x14ac:dyDescent="0.35">
      <c r="AQ3254" s="54"/>
      <c r="BA3254" s="54"/>
    </row>
    <row r="3255" spans="43:53" x14ac:dyDescent="0.35">
      <c r="AQ3255" s="54"/>
      <c r="BA3255" s="54"/>
    </row>
    <row r="3256" spans="43:53" x14ac:dyDescent="0.35">
      <c r="AQ3256" s="54"/>
      <c r="BA3256" s="54"/>
    </row>
    <row r="3257" spans="43:53" x14ac:dyDescent="0.35">
      <c r="AQ3257" s="54"/>
      <c r="BA3257" s="54"/>
    </row>
    <row r="3258" spans="43:53" x14ac:dyDescent="0.35">
      <c r="AQ3258" s="54"/>
      <c r="BA3258" s="54"/>
    </row>
    <row r="3259" spans="43:53" x14ac:dyDescent="0.35">
      <c r="AQ3259" s="54"/>
      <c r="BA3259" s="54"/>
    </row>
    <row r="3260" spans="43:53" x14ac:dyDescent="0.35">
      <c r="AQ3260" s="54"/>
      <c r="BA3260" s="54"/>
    </row>
    <row r="3261" spans="43:53" x14ac:dyDescent="0.35">
      <c r="AQ3261" s="54"/>
      <c r="BA3261" s="54"/>
    </row>
    <row r="3262" spans="43:53" x14ac:dyDescent="0.35">
      <c r="AQ3262" s="54"/>
      <c r="BA3262" s="54"/>
    </row>
    <row r="3263" spans="43:53" x14ac:dyDescent="0.35">
      <c r="AQ3263" s="54"/>
      <c r="BA3263" s="54"/>
    </row>
    <row r="3264" spans="43:53" x14ac:dyDescent="0.35">
      <c r="AQ3264" s="54"/>
      <c r="BA3264" s="54"/>
    </row>
    <row r="3265" spans="43:53" x14ac:dyDescent="0.35">
      <c r="AQ3265" s="54"/>
      <c r="BA3265" s="54"/>
    </row>
    <row r="3266" spans="43:53" x14ac:dyDescent="0.35">
      <c r="AQ3266" s="54"/>
      <c r="BA3266" s="54"/>
    </row>
    <row r="3267" spans="43:53" x14ac:dyDescent="0.35">
      <c r="AQ3267" s="54"/>
      <c r="BA3267" s="54"/>
    </row>
    <row r="3268" spans="43:53" x14ac:dyDescent="0.35">
      <c r="AQ3268" s="54"/>
      <c r="BA3268" s="54"/>
    </row>
    <row r="3269" spans="43:53" x14ac:dyDescent="0.35">
      <c r="AQ3269" s="54"/>
      <c r="BA3269" s="54"/>
    </row>
    <row r="3270" spans="43:53" x14ac:dyDescent="0.35">
      <c r="AQ3270" s="54"/>
      <c r="BA3270" s="54"/>
    </row>
    <row r="3271" spans="43:53" x14ac:dyDescent="0.35">
      <c r="AQ3271" s="54"/>
      <c r="BA3271" s="54"/>
    </row>
    <row r="3272" spans="43:53" x14ac:dyDescent="0.35">
      <c r="AQ3272" s="54"/>
      <c r="BA3272" s="54"/>
    </row>
    <row r="3273" spans="43:53" x14ac:dyDescent="0.35">
      <c r="AQ3273" s="54"/>
      <c r="BA3273" s="54"/>
    </row>
    <row r="3274" spans="43:53" x14ac:dyDescent="0.35">
      <c r="AQ3274" s="54"/>
      <c r="BA3274" s="54"/>
    </row>
    <row r="3275" spans="43:53" x14ac:dyDescent="0.35">
      <c r="AQ3275" s="54"/>
      <c r="BA3275" s="54"/>
    </row>
    <row r="3276" spans="43:53" x14ac:dyDescent="0.35">
      <c r="AQ3276" s="54"/>
      <c r="BA3276" s="54"/>
    </row>
    <row r="3277" spans="43:53" x14ac:dyDescent="0.35">
      <c r="AQ3277" s="54"/>
      <c r="BA3277" s="54"/>
    </row>
    <row r="3278" spans="43:53" x14ac:dyDescent="0.35">
      <c r="AQ3278" s="54"/>
      <c r="BA3278" s="54"/>
    </row>
    <row r="3279" spans="43:53" x14ac:dyDescent="0.35">
      <c r="AQ3279" s="54"/>
      <c r="BA3279" s="54"/>
    </row>
    <row r="3280" spans="43:53" x14ac:dyDescent="0.35">
      <c r="AQ3280" s="54"/>
      <c r="BA3280" s="54"/>
    </row>
    <row r="3281" spans="43:53" x14ac:dyDescent="0.35">
      <c r="AQ3281" s="54"/>
      <c r="BA3281" s="54"/>
    </row>
    <row r="3282" spans="43:53" x14ac:dyDescent="0.35">
      <c r="AQ3282" s="54"/>
      <c r="BA3282" s="54"/>
    </row>
    <row r="3283" spans="43:53" x14ac:dyDescent="0.35">
      <c r="AQ3283" s="54"/>
      <c r="BA3283" s="54"/>
    </row>
    <row r="3284" spans="43:53" x14ac:dyDescent="0.35">
      <c r="AQ3284" s="54"/>
      <c r="BA3284" s="54"/>
    </row>
    <row r="3285" spans="43:53" x14ac:dyDescent="0.35">
      <c r="AQ3285" s="54"/>
      <c r="BA3285" s="54"/>
    </row>
    <row r="3286" spans="43:53" x14ac:dyDescent="0.35">
      <c r="AQ3286" s="54"/>
      <c r="BA3286" s="54"/>
    </row>
    <row r="3287" spans="43:53" x14ac:dyDescent="0.35">
      <c r="AQ3287" s="54"/>
      <c r="BA3287" s="54"/>
    </row>
    <row r="3288" spans="43:53" x14ac:dyDescent="0.35">
      <c r="AQ3288" s="54"/>
      <c r="BA3288" s="54"/>
    </row>
    <row r="3289" spans="43:53" x14ac:dyDescent="0.35">
      <c r="AQ3289" s="54"/>
      <c r="BA3289" s="54"/>
    </row>
    <row r="3290" spans="43:53" x14ac:dyDescent="0.35">
      <c r="AQ3290" s="54"/>
      <c r="BA3290" s="54"/>
    </row>
    <row r="3291" spans="43:53" x14ac:dyDescent="0.35">
      <c r="AQ3291" s="54"/>
      <c r="BA3291" s="54"/>
    </row>
    <row r="3292" spans="43:53" x14ac:dyDescent="0.35">
      <c r="AQ3292" s="54"/>
      <c r="BA3292" s="54"/>
    </row>
    <row r="3293" spans="43:53" x14ac:dyDescent="0.35">
      <c r="AQ3293" s="54"/>
      <c r="BA3293" s="54"/>
    </row>
    <row r="3294" spans="43:53" x14ac:dyDescent="0.35">
      <c r="AQ3294" s="54"/>
      <c r="BA3294" s="54"/>
    </row>
    <row r="3295" spans="43:53" x14ac:dyDescent="0.35">
      <c r="AQ3295" s="54"/>
      <c r="BA3295" s="54"/>
    </row>
    <row r="3296" spans="43:53" x14ac:dyDescent="0.35">
      <c r="AQ3296" s="54"/>
      <c r="BA3296" s="54"/>
    </row>
    <row r="3297" spans="43:53" x14ac:dyDescent="0.35">
      <c r="AQ3297" s="54"/>
      <c r="BA3297" s="54"/>
    </row>
    <row r="3298" spans="43:53" x14ac:dyDescent="0.35">
      <c r="AQ3298" s="54"/>
      <c r="BA3298" s="54"/>
    </row>
    <row r="3299" spans="43:53" x14ac:dyDescent="0.35">
      <c r="AQ3299" s="54"/>
      <c r="BA3299" s="54"/>
    </row>
    <row r="3300" spans="43:53" x14ac:dyDescent="0.35">
      <c r="AQ3300" s="54"/>
      <c r="BA3300" s="54"/>
    </row>
    <row r="3301" spans="43:53" x14ac:dyDescent="0.35">
      <c r="AQ3301" s="54"/>
      <c r="BA3301" s="54"/>
    </row>
    <row r="3302" spans="43:53" x14ac:dyDescent="0.35">
      <c r="AQ3302" s="54"/>
      <c r="BA3302" s="54"/>
    </row>
    <row r="3303" spans="43:53" x14ac:dyDescent="0.35">
      <c r="AQ3303" s="54"/>
      <c r="BA3303" s="54"/>
    </row>
    <row r="3304" spans="43:53" x14ac:dyDescent="0.35">
      <c r="AQ3304" s="54"/>
      <c r="BA3304" s="54"/>
    </row>
    <row r="3305" spans="43:53" x14ac:dyDescent="0.35">
      <c r="AQ3305" s="54"/>
      <c r="BA3305" s="54"/>
    </row>
    <row r="3306" spans="43:53" x14ac:dyDescent="0.35">
      <c r="AQ3306" s="54"/>
      <c r="BA3306" s="54"/>
    </row>
    <row r="3307" spans="43:53" x14ac:dyDescent="0.35">
      <c r="AQ3307" s="54"/>
      <c r="BA3307" s="54"/>
    </row>
    <row r="3308" spans="43:53" x14ac:dyDescent="0.35">
      <c r="AQ3308" s="54"/>
      <c r="BA3308" s="54"/>
    </row>
    <row r="3309" spans="43:53" x14ac:dyDescent="0.35">
      <c r="AQ3309" s="54"/>
      <c r="BA3309" s="54"/>
    </row>
    <row r="3310" spans="43:53" x14ac:dyDescent="0.35">
      <c r="AQ3310" s="54"/>
      <c r="BA3310" s="54"/>
    </row>
    <row r="3311" spans="43:53" x14ac:dyDescent="0.35">
      <c r="AQ3311" s="54"/>
      <c r="BA3311" s="54"/>
    </row>
    <row r="3312" spans="43:53" x14ac:dyDescent="0.35">
      <c r="AQ3312" s="54"/>
      <c r="BA3312" s="54"/>
    </row>
    <row r="3313" spans="43:53" x14ac:dyDescent="0.35">
      <c r="AQ3313" s="54"/>
      <c r="BA3313" s="54"/>
    </row>
    <row r="3314" spans="43:53" x14ac:dyDescent="0.35">
      <c r="AQ3314" s="54"/>
      <c r="BA3314" s="54"/>
    </row>
    <row r="3315" spans="43:53" x14ac:dyDescent="0.35">
      <c r="AQ3315" s="54"/>
      <c r="BA3315" s="54"/>
    </row>
    <row r="3316" spans="43:53" x14ac:dyDescent="0.35">
      <c r="AQ3316" s="54"/>
      <c r="BA3316" s="54"/>
    </row>
    <row r="3317" spans="43:53" x14ac:dyDescent="0.35">
      <c r="AQ3317" s="54"/>
      <c r="BA3317" s="54"/>
    </row>
    <row r="3318" spans="43:53" x14ac:dyDescent="0.35">
      <c r="AQ3318" s="54"/>
      <c r="BA3318" s="54"/>
    </row>
    <row r="3319" spans="43:53" x14ac:dyDescent="0.35">
      <c r="AQ3319" s="54"/>
      <c r="BA3319" s="54"/>
    </row>
    <row r="3320" spans="43:53" x14ac:dyDescent="0.35">
      <c r="AQ3320" s="54"/>
      <c r="BA3320" s="54"/>
    </row>
    <row r="3321" spans="43:53" x14ac:dyDescent="0.35">
      <c r="AQ3321" s="54"/>
      <c r="BA3321" s="54"/>
    </row>
    <row r="3322" spans="43:53" x14ac:dyDescent="0.35">
      <c r="AQ3322" s="54"/>
      <c r="BA3322" s="54"/>
    </row>
    <row r="3323" spans="43:53" x14ac:dyDescent="0.35">
      <c r="AQ3323" s="54"/>
      <c r="BA3323" s="54"/>
    </row>
    <row r="3324" spans="43:53" x14ac:dyDescent="0.35">
      <c r="AQ3324" s="54"/>
      <c r="BA3324" s="54"/>
    </row>
    <row r="3325" spans="43:53" x14ac:dyDescent="0.35">
      <c r="AQ3325" s="54"/>
      <c r="BA3325" s="54"/>
    </row>
    <row r="3326" spans="43:53" x14ac:dyDescent="0.35">
      <c r="AQ3326" s="54"/>
      <c r="BA3326" s="54"/>
    </row>
    <row r="3327" spans="43:53" x14ac:dyDescent="0.35">
      <c r="AQ3327" s="54"/>
      <c r="BA3327" s="54"/>
    </row>
    <row r="3328" spans="43:53" x14ac:dyDescent="0.35">
      <c r="AQ3328" s="54"/>
      <c r="BA3328" s="54"/>
    </row>
    <row r="3329" spans="43:53" x14ac:dyDescent="0.35">
      <c r="AQ3329" s="54"/>
      <c r="BA3329" s="54"/>
    </row>
    <row r="3330" spans="43:53" x14ac:dyDescent="0.35">
      <c r="AQ3330" s="54"/>
      <c r="BA3330" s="54"/>
    </row>
    <row r="3331" spans="43:53" x14ac:dyDescent="0.35">
      <c r="AQ3331" s="54"/>
      <c r="BA3331" s="54"/>
    </row>
    <row r="3332" spans="43:53" x14ac:dyDescent="0.35">
      <c r="AQ3332" s="54"/>
      <c r="BA3332" s="54"/>
    </row>
    <row r="3333" spans="43:53" x14ac:dyDescent="0.35">
      <c r="AQ3333" s="54"/>
      <c r="BA3333" s="54"/>
    </row>
    <row r="3334" spans="43:53" x14ac:dyDescent="0.35">
      <c r="AQ3334" s="54"/>
      <c r="BA3334" s="54"/>
    </row>
    <row r="3335" spans="43:53" x14ac:dyDescent="0.35">
      <c r="AQ3335" s="54"/>
      <c r="BA3335" s="54"/>
    </row>
    <row r="3336" spans="43:53" x14ac:dyDescent="0.35">
      <c r="AQ3336" s="54"/>
      <c r="BA3336" s="54"/>
    </row>
    <row r="3337" spans="43:53" x14ac:dyDescent="0.35">
      <c r="AQ3337" s="54"/>
      <c r="BA3337" s="54"/>
    </row>
    <row r="3338" spans="43:53" x14ac:dyDescent="0.35">
      <c r="AQ3338" s="54"/>
      <c r="BA3338" s="54"/>
    </row>
    <row r="3339" spans="43:53" x14ac:dyDescent="0.35">
      <c r="AQ3339" s="54"/>
      <c r="BA3339" s="54"/>
    </row>
    <row r="3340" spans="43:53" x14ac:dyDescent="0.35">
      <c r="AQ3340" s="54"/>
      <c r="BA3340" s="54"/>
    </row>
    <row r="3341" spans="43:53" x14ac:dyDescent="0.35">
      <c r="AQ3341" s="54"/>
      <c r="BA3341" s="54"/>
    </row>
    <row r="3342" spans="43:53" x14ac:dyDescent="0.35">
      <c r="AQ3342" s="54"/>
      <c r="BA3342" s="54"/>
    </row>
    <row r="3343" spans="43:53" x14ac:dyDescent="0.35">
      <c r="AQ3343" s="54"/>
      <c r="BA3343" s="54"/>
    </row>
    <row r="3344" spans="43:53" x14ac:dyDescent="0.35">
      <c r="AQ3344" s="54"/>
      <c r="BA3344" s="54"/>
    </row>
    <row r="3345" spans="43:53" x14ac:dyDescent="0.35">
      <c r="AQ3345" s="54"/>
      <c r="BA3345" s="54"/>
    </row>
    <row r="3346" spans="43:53" x14ac:dyDescent="0.35">
      <c r="AQ3346" s="54"/>
      <c r="BA3346" s="54"/>
    </row>
    <row r="3347" spans="43:53" x14ac:dyDescent="0.35">
      <c r="AQ3347" s="54"/>
      <c r="BA3347" s="54"/>
    </row>
    <row r="3348" spans="43:53" x14ac:dyDescent="0.35">
      <c r="AQ3348" s="54"/>
      <c r="BA3348" s="54"/>
    </row>
    <row r="3349" spans="43:53" x14ac:dyDescent="0.35">
      <c r="AQ3349" s="54"/>
      <c r="BA3349" s="54"/>
    </row>
    <row r="3350" spans="43:53" x14ac:dyDescent="0.35">
      <c r="AQ3350" s="54"/>
      <c r="BA3350" s="54"/>
    </row>
    <row r="3351" spans="43:53" x14ac:dyDescent="0.35">
      <c r="AQ3351" s="54"/>
      <c r="BA3351" s="54"/>
    </row>
    <row r="3352" spans="43:53" x14ac:dyDescent="0.35">
      <c r="AQ3352" s="54"/>
      <c r="BA3352" s="54"/>
    </row>
    <row r="3353" spans="43:53" x14ac:dyDescent="0.35">
      <c r="AQ3353" s="54"/>
      <c r="BA3353" s="54"/>
    </row>
    <row r="3354" spans="43:53" x14ac:dyDescent="0.35">
      <c r="AQ3354" s="54"/>
      <c r="BA3354" s="54"/>
    </row>
    <row r="3355" spans="43:53" x14ac:dyDescent="0.35">
      <c r="AQ3355" s="54"/>
      <c r="BA3355" s="54"/>
    </row>
    <row r="3356" spans="43:53" x14ac:dyDescent="0.35">
      <c r="AQ3356" s="54"/>
      <c r="BA3356" s="54"/>
    </row>
    <row r="3357" spans="43:53" x14ac:dyDescent="0.35">
      <c r="AQ3357" s="54"/>
      <c r="BA3357" s="54"/>
    </row>
    <row r="3358" spans="43:53" x14ac:dyDescent="0.35">
      <c r="AQ3358" s="54"/>
      <c r="BA3358" s="54"/>
    </row>
    <row r="3359" spans="43:53" x14ac:dyDescent="0.35">
      <c r="AQ3359" s="54"/>
      <c r="BA3359" s="54"/>
    </row>
    <row r="3360" spans="43:53" x14ac:dyDescent="0.35">
      <c r="AQ3360" s="54"/>
      <c r="BA3360" s="54"/>
    </row>
    <row r="3361" spans="43:53" x14ac:dyDescent="0.35">
      <c r="AQ3361" s="54"/>
      <c r="BA3361" s="54"/>
    </row>
    <row r="3362" spans="43:53" x14ac:dyDescent="0.35">
      <c r="AQ3362" s="54"/>
      <c r="BA3362" s="54"/>
    </row>
    <row r="3363" spans="43:53" x14ac:dyDescent="0.35">
      <c r="AQ3363" s="54"/>
      <c r="BA3363" s="54"/>
    </row>
    <row r="3364" spans="43:53" x14ac:dyDescent="0.35">
      <c r="AQ3364" s="54"/>
      <c r="BA3364" s="54"/>
    </row>
    <row r="3365" spans="43:53" x14ac:dyDescent="0.35">
      <c r="AQ3365" s="54"/>
      <c r="BA3365" s="54"/>
    </row>
    <row r="3366" spans="43:53" x14ac:dyDescent="0.35">
      <c r="AQ3366" s="54"/>
      <c r="BA3366" s="54"/>
    </row>
    <row r="3367" spans="43:53" x14ac:dyDescent="0.35">
      <c r="AQ3367" s="54"/>
      <c r="BA3367" s="54"/>
    </row>
    <row r="3368" spans="43:53" x14ac:dyDescent="0.35">
      <c r="AQ3368" s="54"/>
      <c r="BA3368" s="54"/>
    </row>
    <row r="3369" spans="43:53" x14ac:dyDescent="0.35">
      <c r="AQ3369" s="54"/>
      <c r="BA3369" s="54"/>
    </row>
    <row r="3370" spans="43:53" x14ac:dyDescent="0.35">
      <c r="AQ3370" s="54"/>
      <c r="BA3370" s="54"/>
    </row>
    <row r="3371" spans="43:53" x14ac:dyDescent="0.35">
      <c r="AQ3371" s="54"/>
      <c r="BA3371" s="54"/>
    </row>
    <row r="3372" spans="43:53" x14ac:dyDescent="0.35">
      <c r="AQ3372" s="54"/>
      <c r="BA3372" s="54"/>
    </row>
    <row r="3373" spans="43:53" x14ac:dyDescent="0.35">
      <c r="AQ3373" s="54"/>
      <c r="BA3373" s="54"/>
    </row>
    <row r="3374" spans="43:53" x14ac:dyDescent="0.35">
      <c r="AQ3374" s="54"/>
      <c r="BA3374" s="54"/>
    </row>
    <row r="3375" spans="43:53" x14ac:dyDescent="0.35">
      <c r="AQ3375" s="54"/>
      <c r="BA3375" s="54"/>
    </row>
    <row r="3376" spans="43:53" x14ac:dyDescent="0.35">
      <c r="AQ3376" s="54"/>
      <c r="BA3376" s="54"/>
    </row>
    <row r="3377" spans="43:53" x14ac:dyDescent="0.35">
      <c r="AQ3377" s="54"/>
      <c r="BA3377" s="54"/>
    </row>
    <row r="3378" spans="43:53" x14ac:dyDescent="0.35">
      <c r="AQ3378" s="54"/>
      <c r="BA3378" s="54"/>
    </row>
    <row r="3379" spans="43:53" x14ac:dyDescent="0.35">
      <c r="AQ3379" s="54"/>
      <c r="BA3379" s="54"/>
    </row>
    <row r="3380" spans="43:53" x14ac:dyDescent="0.35">
      <c r="AQ3380" s="54"/>
      <c r="BA3380" s="54"/>
    </row>
    <row r="3381" spans="43:53" x14ac:dyDescent="0.35">
      <c r="AQ3381" s="54"/>
      <c r="BA3381" s="54"/>
    </row>
    <row r="3382" spans="43:53" x14ac:dyDescent="0.35">
      <c r="AQ3382" s="54"/>
      <c r="BA3382" s="54"/>
    </row>
    <row r="3383" spans="43:53" x14ac:dyDescent="0.35">
      <c r="AQ3383" s="54"/>
      <c r="BA3383" s="54"/>
    </row>
    <row r="3384" spans="43:53" x14ac:dyDescent="0.35">
      <c r="AQ3384" s="54"/>
      <c r="BA3384" s="54"/>
    </row>
    <row r="3385" spans="43:53" x14ac:dyDescent="0.35">
      <c r="AQ3385" s="54"/>
      <c r="BA3385" s="54"/>
    </row>
    <row r="3386" spans="43:53" x14ac:dyDescent="0.35">
      <c r="AQ3386" s="54"/>
      <c r="BA3386" s="54"/>
    </row>
    <row r="3387" spans="43:53" x14ac:dyDescent="0.35">
      <c r="AQ3387" s="54"/>
      <c r="BA3387" s="54"/>
    </row>
    <row r="3388" spans="43:53" x14ac:dyDescent="0.35">
      <c r="AQ3388" s="54"/>
      <c r="BA3388" s="54"/>
    </row>
    <row r="3389" spans="43:53" x14ac:dyDescent="0.35">
      <c r="AQ3389" s="54"/>
      <c r="BA3389" s="54"/>
    </row>
    <row r="3390" spans="43:53" x14ac:dyDescent="0.35">
      <c r="AQ3390" s="54"/>
      <c r="BA3390" s="54"/>
    </row>
    <row r="3391" spans="43:53" x14ac:dyDescent="0.35">
      <c r="AQ3391" s="54"/>
      <c r="BA3391" s="54"/>
    </row>
    <row r="3392" spans="43:53" x14ac:dyDescent="0.35">
      <c r="AQ3392" s="54"/>
      <c r="BA3392" s="54"/>
    </row>
    <row r="3393" spans="43:53" x14ac:dyDescent="0.35">
      <c r="AQ3393" s="54"/>
      <c r="BA3393" s="54"/>
    </row>
    <row r="3394" spans="43:53" x14ac:dyDescent="0.35">
      <c r="AQ3394" s="54"/>
      <c r="BA3394" s="54"/>
    </row>
    <row r="3395" spans="43:53" x14ac:dyDescent="0.35">
      <c r="AQ3395" s="54"/>
      <c r="BA3395" s="54"/>
    </row>
    <row r="3396" spans="43:53" x14ac:dyDescent="0.35">
      <c r="AQ3396" s="54"/>
      <c r="BA3396" s="54"/>
    </row>
    <row r="3397" spans="43:53" x14ac:dyDescent="0.35">
      <c r="AQ3397" s="54"/>
      <c r="BA3397" s="54"/>
    </row>
    <row r="3398" spans="43:53" x14ac:dyDescent="0.35">
      <c r="AQ3398" s="54"/>
      <c r="BA3398" s="54"/>
    </row>
    <row r="3399" spans="43:53" x14ac:dyDescent="0.35">
      <c r="AQ3399" s="54"/>
      <c r="BA3399" s="54"/>
    </row>
    <row r="3400" spans="43:53" x14ac:dyDescent="0.35">
      <c r="AQ3400" s="54"/>
      <c r="BA3400" s="54"/>
    </row>
    <row r="3401" spans="43:53" x14ac:dyDescent="0.35">
      <c r="AQ3401" s="54"/>
      <c r="BA3401" s="54"/>
    </row>
    <row r="3402" spans="43:53" x14ac:dyDescent="0.35">
      <c r="AQ3402" s="54"/>
      <c r="BA3402" s="54"/>
    </row>
    <row r="3403" spans="43:53" x14ac:dyDescent="0.35">
      <c r="AQ3403" s="54"/>
      <c r="BA3403" s="54"/>
    </row>
    <row r="3404" spans="43:53" x14ac:dyDescent="0.35">
      <c r="AQ3404" s="54"/>
      <c r="BA3404" s="54"/>
    </row>
    <row r="3405" spans="43:53" x14ac:dyDescent="0.35">
      <c r="AQ3405" s="54"/>
      <c r="BA3405" s="54"/>
    </row>
    <row r="3406" spans="43:53" x14ac:dyDescent="0.35">
      <c r="AQ3406" s="54"/>
      <c r="BA3406" s="54"/>
    </row>
    <row r="3407" spans="43:53" x14ac:dyDescent="0.35">
      <c r="AQ3407" s="54"/>
      <c r="BA3407" s="54"/>
    </row>
    <row r="3408" spans="43:53" x14ac:dyDescent="0.35">
      <c r="AQ3408" s="54"/>
      <c r="BA3408" s="54"/>
    </row>
    <row r="3409" spans="43:53" x14ac:dyDescent="0.35">
      <c r="AQ3409" s="54"/>
      <c r="BA3409" s="54"/>
    </row>
    <row r="3410" spans="43:53" x14ac:dyDescent="0.35">
      <c r="AQ3410" s="54"/>
      <c r="BA3410" s="54"/>
    </row>
    <row r="3411" spans="43:53" x14ac:dyDescent="0.35">
      <c r="AQ3411" s="54"/>
      <c r="BA3411" s="54"/>
    </row>
    <row r="3412" spans="43:53" x14ac:dyDescent="0.35">
      <c r="AQ3412" s="54"/>
      <c r="BA3412" s="54"/>
    </row>
    <row r="3413" spans="43:53" x14ac:dyDescent="0.35">
      <c r="AQ3413" s="54"/>
      <c r="BA3413" s="54"/>
    </row>
    <row r="3414" spans="43:53" x14ac:dyDescent="0.35">
      <c r="AQ3414" s="54"/>
      <c r="BA3414" s="54"/>
    </row>
    <row r="3415" spans="43:53" x14ac:dyDescent="0.35">
      <c r="AQ3415" s="54"/>
      <c r="BA3415" s="54"/>
    </row>
    <row r="3416" spans="43:53" x14ac:dyDescent="0.35">
      <c r="AQ3416" s="54"/>
      <c r="BA3416" s="54"/>
    </row>
    <row r="3417" spans="43:53" x14ac:dyDescent="0.35">
      <c r="AQ3417" s="54"/>
      <c r="BA3417" s="54"/>
    </row>
    <row r="3418" spans="43:53" x14ac:dyDescent="0.35">
      <c r="AQ3418" s="54"/>
      <c r="BA3418" s="54"/>
    </row>
    <row r="3419" spans="43:53" x14ac:dyDescent="0.35">
      <c r="AQ3419" s="54"/>
      <c r="BA3419" s="54"/>
    </row>
    <row r="3420" spans="43:53" x14ac:dyDescent="0.35">
      <c r="AQ3420" s="54"/>
      <c r="BA3420" s="54"/>
    </row>
    <row r="3421" spans="43:53" x14ac:dyDescent="0.35">
      <c r="AQ3421" s="54"/>
      <c r="BA3421" s="54"/>
    </row>
    <row r="3422" spans="43:53" x14ac:dyDescent="0.35">
      <c r="AQ3422" s="54"/>
      <c r="BA3422" s="54"/>
    </row>
    <row r="3423" spans="43:53" x14ac:dyDescent="0.35">
      <c r="AQ3423" s="54"/>
      <c r="BA3423" s="54"/>
    </row>
    <row r="3424" spans="43:53" x14ac:dyDescent="0.35">
      <c r="AQ3424" s="54"/>
      <c r="BA3424" s="54"/>
    </row>
    <row r="3425" spans="43:53" x14ac:dyDescent="0.35">
      <c r="AQ3425" s="54"/>
      <c r="BA3425" s="54"/>
    </row>
    <row r="3426" spans="43:53" x14ac:dyDescent="0.35">
      <c r="AQ3426" s="54"/>
      <c r="BA3426" s="54"/>
    </row>
    <row r="3427" spans="43:53" x14ac:dyDescent="0.35">
      <c r="AQ3427" s="54"/>
      <c r="BA3427" s="54"/>
    </row>
    <row r="3428" spans="43:53" x14ac:dyDescent="0.35">
      <c r="AQ3428" s="54"/>
      <c r="BA3428" s="54"/>
    </row>
    <row r="3429" spans="43:53" x14ac:dyDescent="0.35">
      <c r="AQ3429" s="54"/>
      <c r="BA3429" s="54"/>
    </row>
    <row r="3430" spans="43:53" x14ac:dyDescent="0.35">
      <c r="AQ3430" s="54"/>
      <c r="BA3430" s="54"/>
    </row>
    <row r="3431" spans="43:53" x14ac:dyDescent="0.35">
      <c r="AQ3431" s="54"/>
      <c r="BA3431" s="54"/>
    </row>
    <row r="3432" spans="43:53" x14ac:dyDescent="0.35">
      <c r="AQ3432" s="54"/>
      <c r="BA3432" s="54"/>
    </row>
    <row r="3433" spans="43:53" x14ac:dyDescent="0.35">
      <c r="AQ3433" s="54"/>
      <c r="BA3433" s="54"/>
    </row>
    <row r="3434" spans="43:53" x14ac:dyDescent="0.35">
      <c r="AQ3434" s="54"/>
      <c r="BA3434" s="54"/>
    </row>
    <row r="3435" spans="43:53" x14ac:dyDescent="0.35">
      <c r="AQ3435" s="54"/>
      <c r="BA3435" s="54"/>
    </row>
    <row r="3436" spans="43:53" x14ac:dyDescent="0.35">
      <c r="AQ3436" s="54"/>
      <c r="BA3436" s="54"/>
    </row>
    <row r="3437" spans="43:53" x14ac:dyDescent="0.35">
      <c r="AQ3437" s="54"/>
      <c r="BA3437" s="54"/>
    </row>
    <row r="3438" spans="43:53" x14ac:dyDescent="0.35">
      <c r="AQ3438" s="54"/>
      <c r="BA3438" s="54"/>
    </row>
    <row r="3439" spans="43:53" x14ac:dyDescent="0.35">
      <c r="AQ3439" s="54"/>
      <c r="BA3439" s="54"/>
    </row>
    <row r="3440" spans="43:53" x14ac:dyDescent="0.35">
      <c r="AQ3440" s="54"/>
      <c r="BA3440" s="54"/>
    </row>
    <row r="3441" spans="43:53" x14ac:dyDescent="0.35">
      <c r="AQ3441" s="54"/>
      <c r="BA3441" s="54"/>
    </row>
    <row r="3442" spans="43:53" x14ac:dyDescent="0.35">
      <c r="AQ3442" s="54"/>
      <c r="BA3442" s="54"/>
    </row>
    <row r="3443" spans="43:53" x14ac:dyDescent="0.35">
      <c r="AQ3443" s="54"/>
      <c r="BA3443" s="54"/>
    </row>
    <row r="3444" spans="43:53" x14ac:dyDescent="0.35">
      <c r="AQ3444" s="54"/>
      <c r="BA3444" s="54"/>
    </row>
    <row r="3445" spans="43:53" x14ac:dyDescent="0.35">
      <c r="AQ3445" s="54"/>
      <c r="BA3445" s="54"/>
    </row>
    <row r="3446" spans="43:53" x14ac:dyDescent="0.35">
      <c r="AQ3446" s="54"/>
      <c r="BA3446" s="54"/>
    </row>
    <row r="3447" spans="43:53" x14ac:dyDescent="0.35">
      <c r="AQ3447" s="54"/>
      <c r="BA3447" s="54"/>
    </row>
    <row r="3448" spans="43:53" x14ac:dyDescent="0.35">
      <c r="AQ3448" s="54"/>
      <c r="BA3448" s="54"/>
    </row>
    <row r="3449" spans="43:53" x14ac:dyDescent="0.35">
      <c r="AQ3449" s="54"/>
      <c r="BA3449" s="54"/>
    </row>
    <row r="3450" spans="43:53" x14ac:dyDescent="0.35">
      <c r="AQ3450" s="54"/>
      <c r="BA3450" s="54"/>
    </row>
    <row r="3451" spans="43:53" x14ac:dyDescent="0.35">
      <c r="AQ3451" s="54"/>
      <c r="BA3451" s="54"/>
    </row>
    <row r="3452" spans="43:53" x14ac:dyDescent="0.35">
      <c r="AQ3452" s="54"/>
      <c r="BA3452" s="54"/>
    </row>
    <row r="3453" spans="43:53" x14ac:dyDescent="0.35">
      <c r="AQ3453" s="54"/>
      <c r="BA3453" s="54"/>
    </row>
    <row r="3454" spans="43:53" x14ac:dyDescent="0.35">
      <c r="AQ3454" s="54"/>
      <c r="BA3454" s="54"/>
    </row>
    <row r="3455" spans="43:53" x14ac:dyDescent="0.35">
      <c r="AQ3455" s="54"/>
      <c r="BA3455" s="54"/>
    </row>
    <row r="3456" spans="43:53" x14ac:dyDescent="0.35">
      <c r="AQ3456" s="54"/>
      <c r="BA3456" s="54"/>
    </row>
    <row r="3457" spans="43:53" x14ac:dyDescent="0.35">
      <c r="AQ3457" s="54"/>
      <c r="BA3457" s="54"/>
    </row>
    <row r="3458" spans="43:53" x14ac:dyDescent="0.35">
      <c r="AQ3458" s="54"/>
      <c r="BA3458" s="54"/>
    </row>
    <row r="3459" spans="43:53" x14ac:dyDescent="0.35">
      <c r="AQ3459" s="54"/>
      <c r="BA3459" s="54"/>
    </row>
    <row r="3460" spans="43:53" x14ac:dyDescent="0.35">
      <c r="AQ3460" s="54"/>
      <c r="BA3460" s="54"/>
    </row>
    <row r="3461" spans="43:53" x14ac:dyDescent="0.35">
      <c r="AQ3461" s="54"/>
      <c r="BA3461" s="54"/>
    </row>
    <row r="3462" spans="43:53" x14ac:dyDescent="0.35">
      <c r="AQ3462" s="54"/>
      <c r="BA3462" s="54"/>
    </row>
    <row r="3463" spans="43:53" x14ac:dyDescent="0.35">
      <c r="AQ3463" s="54"/>
      <c r="BA3463" s="54"/>
    </row>
    <row r="3464" spans="43:53" x14ac:dyDescent="0.35">
      <c r="AQ3464" s="54"/>
      <c r="BA3464" s="54"/>
    </row>
    <row r="3465" spans="43:53" x14ac:dyDescent="0.35">
      <c r="AQ3465" s="54"/>
      <c r="BA3465" s="54"/>
    </row>
    <row r="3466" spans="43:53" x14ac:dyDescent="0.35">
      <c r="AQ3466" s="54"/>
      <c r="BA3466" s="54"/>
    </row>
    <row r="3467" spans="43:53" x14ac:dyDescent="0.35">
      <c r="AQ3467" s="54"/>
      <c r="BA3467" s="54"/>
    </row>
    <row r="3468" spans="43:53" x14ac:dyDescent="0.35">
      <c r="AQ3468" s="54"/>
      <c r="BA3468" s="54"/>
    </row>
    <row r="3469" spans="43:53" x14ac:dyDescent="0.35">
      <c r="AQ3469" s="54"/>
      <c r="BA3469" s="54"/>
    </row>
    <row r="3470" spans="43:53" x14ac:dyDescent="0.35">
      <c r="AQ3470" s="54"/>
      <c r="BA3470" s="54"/>
    </row>
    <row r="3471" spans="43:53" x14ac:dyDescent="0.35">
      <c r="AQ3471" s="54"/>
      <c r="BA3471" s="54"/>
    </row>
    <row r="3472" spans="43:53" x14ac:dyDescent="0.35">
      <c r="AQ3472" s="54"/>
      <c r="BA3472" s="54"/>
    </row>
    <row r="3473" spans="43:53" x14ac:dyDescent="0.35">
      <c r="AQ3473" s="54"/>
      <c r="BA3473" s="54"/>
    </row>
    <row r="3474" spans="43:53" x14ac:dyDescent="0.35">
      <c r="AQ3474" s="54"/>
      <c r="BA3474" s="54"/>
    </row>
    <row r="3475" spans="43:53" x14ac:dyDescent="0.35">
      <c r="AQ3475" s="54"/>
      <c r="BA3475" s="54"/>
    </row>
    <row r="3476" spans="43:53" x14ac:dyDescent="0.35">
      <c r="AQ3476" s="54"/>
      <c r="BA3476" s="54"/>
    </row>
    <row r="3477" spans="43:53" x14ac:dyDescent="0.35">
      <c r="AQ3477" s="54"/>
      <c r="BA3477" s="54"/>
    </row>
    <row r="3478" spans="43:53" x14ac:dyDescent="0.35">
      <c r="AQ3478" s="54"/>
      <c r="BA3478" s="54"/>
    </row>
    <row r="3479" spans="43:53" x14ac:dyDescent="0.35">
      <c r="AQ3479" s="54"/>
      <c r="BA3479" s="54"/>
    </row>
    <row r="3480" spans="43:53" x14ac:dyDescent="0.35">
      <c r="AQ3480" s="54"/>
      <c r="BA3480" s="54"/>
    </row>
    <row r="3481" spans="43:53" x14ac:dyDescent="0.35">
      <c r="AQ3481" s="54"/>
      <c r="BA3481" s="54"/>
    </row>
    <row r="3482" spans="43:53" x14ac:dyDescent="0.35">
      <c r="AQ3482" s="54"/>
      <c r="BA3482" s="54"/>
    </row>
    <row r="3483" spans="43:53" x14ac:dyDescent="0.35">
      <c r="AQ3483" s="54"/>
      <c r="BA3483" s="54"/>
    </row>
    <row r="3484" spans="43:53" x14ac:dyDescent="0.35">
      <c r="AQ3484" s="54"/>
      <c r="BA3484" s="54"/>
    </row>
    <row r="3485" spans="43:53" x14ac:dyDescent="0.35">
      <c r="AQ3485" s="54"/>
      <c r="BA3485" s="54"/>
    </row>
    <row r="3486" spans="43:53" x14ac:dyDescent="0.35">
      <c r="AQ3486" s="54"/>
      <c r="BA3486" s="54"/>
    </row>
    <row r="3487" spans="43:53" x14ac:dyDescent="0.35">
      <c r="AQ3487" s="54"/>
      <c r="BA3487" s="54"/>
    </row>
    <row r="3488" spans="43:53" x14ac:dyDescent="0.35">
      <c r="AQ3488" s="54"/>
      <c r="BA3488" s="54"/>
    </row>
    <row r="3489" spans="43:53" x14ac:dyDescent="0.35">
      <c r="AQ3489" s="54"/>
      <c r="BA3489" s="54"/>
    </row>
    <row r="3490" spans="43:53" x14ac:dyDescent="0.35">
      <c r="AQ3490" s="54"/>
      <c r="BA3490" s="54"/>
    </row>
    <row r="3491" spans="43:53" x14ac:dyDescent="0.35">
      <c r="AQ3491" s="54"/>
      <c r="BA3491" s="54"/>
    </row>
    <row r="3492" spans="43:53" x14ac:dyDescent="0.35">
      <c r="AQ3492" s="54"/>
      <c r="BA3492" s="54"/>
    </row>
    <row r="3493" spans="43:53" x14ac:dyDescent="0.35">
      <c r="AQ3493" s="54"/>
      <c r="BA3493" s="54"/>
    </row>
    <row r="3494" spans="43:53" x14ac:dyDescent="0.35">
      <c r="AQ3494" s="54"/>
      <c r="BA3494" s="54"/>
    </row>
    <row r="3495" spans="43:53" x14ac:dyDescent="0.35">
      <c r="AQ3495" s="54"/>
      <c r="BA3495" s="54"/>
    </row>
    <row r="3496" spans="43:53" x14ac:dyDescent="0.35">
      <c r="AQ3496" s="54"/>
      <c r="BA3496" s="54"/>
    </row>
    <row r="3497" spans="43:53" x14ac:dyDescent="0.35">
      <c r="AQ3497" s="54"/>
      <c r="BA3497" s="54"/>
    </row>
    <row r="3498" spans="43:53" x14ac:dyDescent="0.35">
      <c r="AQ3498" s="54"/>
      <c r="BA3498" s="54"/>
    </row>
    <row r="3499" spans="43:53" x14ac:dyDescent="0.35">
      <c r="AQ3499" s="54"/>
      <c r="BA3499" s="54"/>
    </row>
    <row r="3500" spans="43:53" x14ac:dyDescent="0.35">
      <c r="AQ3500" s="54"/>
      <c r="BA3500" s="54"/>
    </row>
    <row r="3501" spans="43:53" x14ac:dyDescent="0.35">
      <c r="AQ3501" s="54"/>
      <c r="BA3501" s="54"/>
    </row>
    <row r="3502" spans="43:53" x14ac:dyDescent="0.35">
      <c r="AQ3502" s="54"/>
      <c r="BA3502" s="54"/>
    </row>
    <row r="3503" spans="43:53" x14ac:dyDescent="0.35">
      <c r="AQ3503" s="54"/>
      <c r="BA3503" s="54"/>
    </row>
    <row r="3504" spans="43:53" x14ac:dyDescent="0.35">
      <c r="AQ3504" s="54"/>
      <c r="BA3504" s="54"/>
    </row>
    <row r="3505" spans="43:53" x14ac:dyDescent="0.35">
      <c r="AQ3505" s="54"/>
      <c r="BA3505" s="54"/>
    </row>
    <row r="3506" spans="43:53" x14ac:dyDescent="0.35">
      <c r="AQ3506" s="54"/>
      <c r="BA3506" s="54"/>
    </row>
    <row r="3507" spans="43:53" x14ac:dyDescent="0.35">
      <c r="AQ3507" s="54"/>
      <c r="BA3507" s="54"/>
    </row>
    <row r="3508" spans="43:53" x14ac:dyDescent="0.35">
      <c r="AQ3508" s="54"/>
      <c r="BA3508" s="54"/>
    </row>
    <row r="3509" spans="43:53" x14ac:dyDescent="0.35">
      <c r="AQ3509" s="54"/>
      <c r="BA3509" s="54"/>
    </row>
    <row r="3510" spans="43:53" x14ac:dyDescent="0.35">
      <c r="AQ3510" s="54"/>
      <c r="BA3510" s="54"/>
    </row>
    <row r="3511" spans="43:53" x14ac:dyDescent="0.35">
      <c r="AQ3511" s="54"/>
      <c r="BA3511" s="54"/>
    </row>
    <row r="3512" spans="43:53" x14ac:dyDescent="0.35">
      <c r="AQ3512" s="54"/>
      <c r="BA3512" s="54"/>
    </row>
    <row r="3513" spans="43:53" x14ac:dyDescent="0.35">
      <c r="AQ3513" s="54"/>
      <c r="BA3513" s="54"/>
    </row>
    <row r="3514" spans="43:53" x14ac:dyDescent="0.35">
      <c r="AQ3514" s="54"/>
      <c r="BA3514" s="54"/>
    </row>
    <row r="3515" spans="43:53" x14ac:dyDescent="0.35">
      <c r="AQ3515" s="54"/>
      <c r="BA3515" s="54"/>
    </row>
    <row r="3516" spans="43:53" x14ac:dyDescent="0.35">
      <c r="AQ3516" s="54"/>
      <c r="BA3516" s="54"/>
    </row>
    <row r="3517" spans="43:53" x14ac:dyDescent="0.35">
      <c r="AQ3517" s="54"/>
      <c r="BA3517" s="54"/>
    </row>
    <row r="3518" spans="43:53" x14ac:dyDescent="0.35">
      <c r="AQ3518" s="54"/>
      <c r="BA3518" s="54"/>
    </row>
    <row r="3519" spans="43:53" x14ac:dyDescent="0.35">
      <c r="AQ3519" s="54"/>
      <c r="BA3519" s="54"/>
    </row>
    <row r="3520" spans="43:53" x14ac:dyDescent="0.35">
      <c r="AQ3520" s="54"/>
      <c r="BA3520" s="54"/>
    </row>
    <row r="3521" spans="43:53" x14ac:dyDescent="0.35">
      <c r="AQ3521" s="54"/>
      <c r="BA3521" s="54"/>
    </row>
    <row r="3522" spans="43:53" x14ac:dyDescent="0.35">
      <c r="AQ3522" s="54"/>
      <c r="BA3522" s="54"/>
    </row>
    <row r="3523" spans="43:53" x14ac:dyDescent="0.35">
      <c r="AQ3523" s="54"/>
      <c r="BA3523" s="54"/>
    </row>
    <row r="3524" spans="43:53" x14ac:dyDescent="0.35">
      <c r="AQ3524" s="54"/>
      <c r="BA3524" s="54"/>
    </row>
    <row r="3525" spans="43:53" x14ac:dyDescent="0.35">
      <c r="AQ3525" s="54"/>
      <c r="BA3525" s="54"/>
    </row>
    <row r="3526" spans="43:53" x14ac:dyDescent="0.35">
      <c r="AQ3526" s="54"/>
      <c r="BA3526" s="54"/>
    </row>
    <row r="3527" spans="43:53" x14ac:dyDescent="0.35">
      <c r="AQ3527" s="54"/>
      <c r="BA3527" s="54"/>
    </row>
    <row r="3528" spans="43:53" x14ac:dyDescent="0.35">
      <c r="AQ3528" s="54"/>
      <c r="BA3528" s="54"/>
    </row>
    <row r="3529" spans="43:53" x14ac:dyDescent="0.35">
      <c r="AQ3529" s="54"/>
      <c r="BA3529" s="54"/>
    </row>
    <row r="3530" spans="43:53" x14ac:dyDescent="0.35">
      <c r="AQ3530" s="54"/>
      <c r="BA3530" s="54"/>
    </row>
    <row r="3531" spans="43:53" x14ac:dyDescent="0.35">
      <c r="AQ3531" s="54"/>
      <c r="BA3531" s="54"/>
    </row>
    <row r="3532" spans="43:53" x14ac:dyDescent="0.35">
      <c r="AQ3532" s="54"/>
      <c r="BA3532" s="54"/>
    </row>
    <row r="3533" spans="43:53" x14ac:dyDescent="0.35">
      <c r="AQ3533" s="54"/>
      <c r="BA3533" s="54"/>
    </row>
    <row r="3534" spans="43:53" x14ac:dyDescent="0.35">
      <c r="AQ3534" s="54"/>
      <c r="BA3534" s="54"/>
    </row>
    <row r="3535" spans="43:53" x14ac:dyDescent="0.35">
      <c r="AQ3535" s="54"/>
      <c r="BA3535" s="54"/>
    </row>
    <row r="3536" spans="43:53" x14ac:dyDescent="0.35">
      <c r="AQ3536" s="54"/>
      <c r="BA3536" s="54"/>
    </row>
    <row r="3537" spans="43:53" x14ac:dyDescent="0.35">
      <c r="AQ3537" s="54"/>
      <c r="BA3537" s="54"/>
    </row>
    <row r="3538" spans="43:53" x14ac:dyDescent="0.35">
      <c r="AQ3538" s="54"/>
      <c r="BA3538" s="54"/>
    </row>
    <row r="3539" spans="43:53" x14ac:dyDescent="0.35">
      <c r="AQ3539" s="54"/>
      <c r="BA3539" s="54"/>
    </row>
    <row r="3540" spans="43:53" x14ac:dyDescent="0.35">
      <c r="AQ3540" s="54"/>
      <c r="BA3540" s="54"/>
    </row>
    <row r="3541" spans="43:53" x14ac:dyDescent="0.35">
      <c r="AQ3541" s="54"/>
      <c r="BA3541" s="54"/>
    </row>
    <row r="3542" spans="43:53" x14ac:dyDescent="0.35">
      <c r="AQ3542" s="54"/>
      <c r="BA3542" s="54"/>
    </row>
    <row r="3543" spans="43:53" x14ac:dyDescent="0.35">
      <c r="AQ3543" s="54"/>
      <c r="BA3543" s="54"/>
    </row>
    <row r="3544" spans="43:53" x14ac:dyDescent="0.35">
      <c r="AQ3544" s="54"/>
      <c r="BA3544" s="54"/>
    </row>
    <row r="3545" spans="43:53" x14ac:dyDescent="0.35">
      <c r="AQ3545" s="54"/>
      <c r="BA3545" s="54"/>
    </row>
    <row r="3546" spans="43:53" x14ac:dyDescent="0.35">
      <c r="AQ3546" s="54"/>
      <c r="BA3546" s="54"/>
    </row>
    <row r="3547" spans="43:53" x14ac:dyDescent="0.35">
      <c r="AQ3547" s="54"/>
      <c r="BA3547" s="54"/>
    </row>
    <row r="3548" spans="43:53" x14ac:dyDescent="0.35">
      <c r="AQ3548" s="54"/>
      <c r="BA3548" s="54"/>
    </row>
    <row r="3549" spans="43:53" x14ac:dyDescent="0.35">
      <c r="AQ3549" s="54"/>
      <c r="BA3549" s="54"/>
    </row>
    <row r="3550" spans="43:53" x14ac:dyDescent="0.35">
      <c r="AQ3550" s="54"/>
      <c r="BA3550" s="54"/>
    </row>
    <row r="3551" spans="43:53" x14ac:dyDescent="0.35">
      <c r="AQ3551" s="54"/>
      <c r="BA3551" s="54"/>
    </row>
    <row r="3552" spans="43:53" x14ac:dyDescent="0.35">
      <c r="AQ3552" s="54"/>
      <c r="BA3552" s="54"/>
    </row>
    <row r="3553" spans="43:53" x14ac:dyDescent="0.35">
      <c r="AQ3553" s="54"/>
      <c r="BA3553" s="54"/>
    </row>
    <row r="3554" spans="43:53" x14ac:dyDescent="0.35">
      <c r="AQ3554" s="54"/>
      <c r="BA3554" s="54"/>
    </row>
    <row r="3555" spans="43:53" x14ac:dyDescent="0.35">
      <c r="AQ3555" s="54"/>
      <c r="BA3555" s="54"/>
    </row>
    <row r="3556" spans="43:53" x14ac:dyDescent="0.35">
      <c r="AQ3556" s="54"/>
      <c r="BA3556" s="54"/>
    </row>
    <row r="3557" spans="43:53" x14ac:dyDescent="0.35">
      <c r="AQ3557" s="54"/>
      <c r="BA3557" s="54"/>
    </row>
    <row r="3558" spans="43:53" x14ac:dyDescent="0.35">
      <c r="AQ3558" s="54"/>
      <c r="BA3558" s="54"/>
    </row>
    <row r="3559" spans="43:53" x14ac:dyDescent="0.35">
      <c r="AQ3559" s="54"/>
      <c r="BA3559" s="54"/>
    </row>
    <row r="3560" spans="43:53" x14ac:dyDescent="0.35">
      <c r="AQ3560" s="54"/>
      <c r="BA3560" s="54"/>
    </row>
    <row r="3561" spans="43:53" x14ac:dyDescent="0.35">
      <c r="AQ3561" s="54"/>
      <c r="BA3561" s="54"/>
    </row>
    <row r="3562" spans="43:53" x14ac:dyDescent="0.35">
      <c r="AQ3562" s="54"/>
      <c r="BA3562" s="54"/>
    </row>
    <row r="3563" spans="43:53" x14ac:dyDescent="0.35">
      <c r="AQ3563" s="54"/>
      <c r="BA3563" s="54"/>
    </row>
    <row r="3564" spans="43:53" x14ac:dyDescent="0.35">
      <c r="AQ3564" s="54"/>
      <c r="BA3564" s="54"/>
    </row>
    <row r="3565" spans="43:53" x14ac:dyDescent="0.35">
      <c r="AQ3565" s="54"/>
      <c r="BA3565" s="54"/>
    </row>
    <row r="3566" spans="43:53" x14ac:dyDescent="0.35">
      <c r="AQ3566" s="54"/>
      <c r="BA3566" s="54"/>
    </row>
    <row r="3567" spans="43:53" x14ac:dyDescent="0.35">
      <c r="AQ3567" s="54"/>
      <c r="BA3567" s="54"/>
    </row>
    <row r="3568" spans="43:53" x14ac:dyDescent="0.35">
      <c r="AQ3568" s="54"/>
      <c r="BA3568" s="54"/>
    </row>
    <row r="3569" spans="43:53" x14ac:dyDescent="0.35">
      <c r="AQ3569" s="54"/>
      <c r="BA3569" s="54"/>
    </row>
    <row r="3570" spans="43:53" x14ac:dyDescent="0.35">
      <c r="AQ3570" s="54"/>
      <c r="BA3570" s="54"/>
    </row>
    <row r="3571" spans="43:53" x14ac:dyDescent="0.35">
      <c r="AQ3571" s="54"/>
      <c r="BA3571" s="54"/>
    </row>
    <row r="3572" spans="43:53" x14ac:dyDescent="0.35">
      <c r="AQ3572" s="54"/>
      <c r="BA3572" s="54"/>
    </row>
    <row r="3573" spans="43:53" x14ac:dyDescent="0.35">
      <c r="AQ3573" s="54"/>
      <c r="BA3573" s="54"/>
    </row>
    <row r="3574" spans="43:53" x14ac:dyDescent="0.35">
      <c r="AQ3574" s="54"/>
      <c r="BA3574" s="54"/>
    </row>
    <row r="3575" spans="43:53" x14ac:dyDescent="0.35">
      <c r="AQ3575" s="54"/>
      <c r="BA3575" s="54"/>
    </row>
    <row r="3576" spans="43:53" x14ac:dyDescent="0.35">
      <c r="AQ3576" s="54"/>
      <c r="BA3576" s="54"/>
    </row>
    <row r="3577" spans="43:53" x14ac:dyDescent="0.35">
      <c r="AQ3577" s="54"/>
      <c r="BA3577" s="54"/>
    </row>
    <row r="3578" spans="43:53" x14ac:dyDescent="0.35">
      <c r="AQ3578" s="54"/>
      <c r="BA3578" s="54"/>
    </row>
    <row r="3579" spans="43:53" x14ac:dyDescent="0.35">
      <c r="AQ3579" s="54"/>
      <c r="BA3579" s="54"/>
    </row>
    <row r="3580" spans="43:53" x14ac:dyDescent="0.35">
      <c r="AQ3580" s="54"/>
      <c r="BA3580" s="54"/>
    </row>
    <row r="3581" spans="43:53" x14ac:dyDescent="0.35">
      <c r="AQ3581" s="54"/>
      <c r="BA3581" s="54"/>
    </row>
    <row r="3582" spans="43:53" x14ac:dyDescent="0.35">
      <c r="AQ3582" s="54"/>
      <c r="BA3582" s="54"/>
    </row>
    <row r="3583" spans="43:53" x14ac:dyDescent="0.35">
      <c r="AQ3583" s="54"/>
      <c r="BA3583" s="54"/>
    </row>
    <row r="3584" spans="43:53" x14ac:dyDescent="0.35">
      <c r="AQ3584" s="54"/>
      <c r="BA3584" s="54"/>
    </row>
    <row r="3585" spans="43:53" x14ac:dyDescent="0.35">
      <c r="AQ3585" s="54"/>
      <c r="BA3585" s="54"/>
    </row>
    <row r="3586" spans="43:53" x14ac:dyDescent="0.35">
      <c r="AQ3586" s="54"/>
      <c r="BA3586" s="54"/>
    </row>
    <row r="3587" spans="43:53" x14ac:dyDescent="0.35">
      <c r="AQ3587" s="54"/>
      <c r="BA3587" s="54"/>
    </row>
    <row r="3588" spans="43:53" x14ac:dyDescent="0.35">
      <c r="AQ3588" s="54"/>
      <c r="BA3588" s="54"/>
    </row>
    <row r="3589" spans="43:53" x14ac:dyDescent="0.35">
      <c r="AQ3589" s="54"/>
      <c r="BA3589" s="54"/>
    </row>
    <row r="3590" spans="43:53" x14ac:dyDescent="0.35">
      <c r="AQ3590" s="54"/>
      <c r="BA3590" s="54"/>
    </row>
    <row r="3591" spans="43:53" x14ac:dyDescent="0.35">
      <c r="AQ3591" s="54"/>
      <c r="BA3591" s="54"/>
    </row>
    <row r="3592" spans="43:53" x14ac:dyDescent="0.35">
      <c r="AQ3592" s="54"/>
      <c r="BA3592" s="54"/>
    </row>
    <row r="3593" spans="43:53" x14ac:dyDescent="0.35">
      <c r="AQ3593" s="54"/>
      <c r="BA3593" s="54"/>
    </row>
    <row r="3594" spans="43:53" x14ac:dyDescent="0.35">
      <c r="AQ3594" s="54"/>
      <c r="BA3594" s="54"/>
    </row>
    <row r="3595" spans="43:53" x14ac:dyDescent="0.35">
      <c r="AQ3595" s="54"/>
      <c r="BA3595" s="54"/>
    </row>
    <row r="3596" spans="43:53" x14ac:dyDescent="0.35">
      <c r="AQ3596" s="54"/>
      <c r="BA3596" s="54"/>
    </row>
    <row r="3597" spans="43:53" x14ac:dyDescent="0.35">
      <c r="AQ3597" s="54"/>
      <c r="BA3597" s="54"/>
    </row>
    <row r="3598" spans="43:53" x14ac:dyDescent="0.35">
      <c r="AQ3598" s="54"/>
      <c r="BA3598" s="54"/>
    </row>
    <row r="3599" spans="43:53" x14ac:dyDescent="0.35">
      <c r="AQ3599" s="54"/>
      <c r="BA3599" s="54"/>
    </row>
    <row r="3600" spans="43:53" x14ac:dyDescent="0.35">
      <c r="AQ3600" s="54"/>
      <c r="BA3600" s="54"/>
    </row>
    <row r="3601" spans="43:53" x14ac:dyDescent="0.35">
      <c r="AQ3601" s="54"/>
      <c r="BA3601" s="54"/>
    </row>
    <row r="3602" spans="43:53" x14ac:dyDescent="0.35">
      <c r="AQ3602" s="54"/>
      <c r="BA3602" s="54"/>
    </row>
    <row r="3603" spans="43:53" x14ac:dyDescent="0.35">
      <c r="AQ3603" s="54"/>
      <c r="BA3603" s="54"/>
    </row>
    <row r="3604" spans="43:53" x14ac:dyDescent="0.35">
      <c r="AQ3604" s="54"/>
      <c r="BA3604" s="54"/>
    </row>
    <row r="3605" spans="43:53" x14ac:dyDescent="0.35">
      <c r="AQ3605" s="54"/>
      <c r="BA3605" s="54"/>
    </row>
    <row r="3606" spans="43:53" x14ac:dyDescent="0.35">
      <c r="AQ3606" s="54"/>
      <c r="BA3606" s="54"/>
    </row>
    <row r="3607" spans="43:53" x14ac:dyDescent="0.35">
      <c r="AQ3607" s="54"/>
      <c r="BA3607" s="54"/>
    </row>
    <row r="3608" spans="43:53" x14ac:dyDescent="0.35">
      <c r="AQ3608" s="54"/>
      <c r="BA3608" s="54"/>
    </row>
    <row r="3609" spans="43:53" x14ac:dyDescent="0.35">
      <c r="AQ3609" s="54"/>
      <c r="BA3609" s="54"/>
    </row>
    <row r="3610" spans="43:53" x14ac:dyDescent="0.35">
      <c r="AQ3610" s="54"/>
      <c r="BA3610" s="54"/>
    </row>
    <row r="3611" spans="43:53" x14ac:dyDescent="0.35">
      <c r="AQ3611" s="54"/>
      <c r="BA3611" s="54"/>
    </row>
    <row r="3612" spans="43:53" x14ac:dyDescent="0.35">
      <c r="AQ3612" s="54"/>
      <c r="BA3612" s="54"/>
    </row>
    <row r="3613" spans="43:53" x14ac:dyDescent="0.35">
      <c r="AQ3613" s="54"/>
      <c r="BA3613" s="54"/>
    </row>
    <row r="3614" spans="43:53" x14ac:dyDescent="0.35">
      <c r="AQ3614" s="54"/>
      <c r="BA3614" s="54"/>
    </row>
    <row r="3615" spans="43:53" x14ac:dyDescent="0.35">
      <c r="AQ3615" s="54"/>
      <c r="BA3615" s="54"/>
    </row>
    <row r="3616" spans="43:53" x14ac:dyDescent="0.35">
      <c r="AQ3616" s="54"/>
      <c r="BA3616" s="54"/>
    </row>
    <row r="3617" spans="43:53" x14ac:dyDescent="0.35">
      <c r="AQ3617" s="54"/>
      <c r="BA3617" s="54"/>
    </row>
    <row r="3618" spans="43:53" x14ac:dyDescent="0.35">
      <c r="AQ3618" s="54"/>
      <c r="BA3618" s="54"/>
    </row>
    <row r="3619" spans="43:53" x14ac:dyDescent="0.35">
      <c r="AQ3619" s="54"/>
      <c r="BA3619" s="54"/>
    </row>
    <row r="3620" spans="43:53" x14ac:dyDescent="0.35">
      <c r="AQ3620" s="54"/>
      <c r="BA3620" s="54"/>
    </row>
    <row r="3621" spans="43:53" x14ac:dyDescent="0.35">
      <c r="AQ3621" s="54"/>
      <c r="BA3621" s="54"/>
    </row>
    <row r="3622" spans="43:53" x14ac:dyDescent="0.35">
      <c r="AQ3622" s="54"/>
      <c r="BA3622" s="54"/>
    </row>
    <row r="3623" spans="43:53" x14ac:dyDescent="0.35">
      <c r="AQ3623" s="54"/>
      <c r="BA3623" s="54"/>
    </row>
    <row r="3624" spans="43:53" x14ac:dyDescent="0.35">
      <c r="AQ3624" s="54"/>
      <c r="BA3624" s="54"/>
    </row>
    <row r="3625" spans="43:53" x14ac:dyDescent="0.35">
      <c r="AQ3625" s="54"/>
      <c r="BA3625" s="54"/>
    </row>
    <row r="3626" spans="43:53" x14ac:dyDescent="0.35">
      <c r="AQ3626" s="54"/>
      <c r="BA3626" s="54"/>
    </row>
    <row r="3627" spans="43:53" x14ac:dyDescent="0.35">
      <c r="AQ3627" s="54"/>
      <c r="BA3627" s="54"/>
    </row>
    <row r="3628" spans="43:53" x14ac:dyDescent="0.35">
      <c r="AQ3628" s="54"/>
      <c r="BA3628" s="54"/>
    </row>
    <row r="3629" spans="43:53" x14ac:dyDescent="0.35">
      <c r="AQ3629" s="54"/>
      <c r="BA3629" s="54"/>
    </row>
    <row r="3630" spans="43:53" x14ac:dyDescent="0.35">
      <c r="AQ3630" s="54"/>
      <c r="BA3630" s="54"/>
    </row>
    <row r="3631" spans="43:53" x14ac:dyDescent="0.35">
      <c r="AQ3631" s="54"/>
      <c r="BA3631" s="54"/>
    </row>
    <row r="3632" spans="43:53" x14ac:dyDescent="0.35">
      <c r="AQ3632" s="54"/>
      <c r="BA3632" s="54"/>
    </row>
    <row r="3633" spans="43:53" x14ac:dyDescent="0.35">
      <c r="AQ3633" s="54"/>
      <c r="BA3633" s="54"/>
    </row>
    <row r="3634" spans="43:53" x14ac:dyDescent="0.35">
      <c r="AQ3634" s="54"/>
      <c r="BA3634" s="54"/>
    </row>
    <row r="3635" spans="43:53" x14ac:dyDescent="0.35">
      <c r="AQ3635" s="54"/>
      <c r="BA3635" s="54"/>
    </row>
    <row r="3636" spans="43:53" x14ac:dyDescent="0.35">
      <c r="AQ3636" s="54"/>
      <c r="BA3636" s="54"/>
    </row>
    <row r="3637" spans="43:53" x14ac:dyDescent="0.35">
      <c r="AQ3637" s="54"/>
      <c r="BA3637" s="54"/>
    </row>
    <row r="3638" spans="43:53" x14ac:dyDescent="0.35">
      <c r="AQ3638" s="54"/>
      <c r="BA3638" s="54"/>
    </row>
    <row r="3639" spans="43:53" x14ac:dyDescent="0.35">
      <c r="AQ3639" s="54"/>
      <c r="BA3639" s="54"/>
    </row>
    <row r="3640" spans="43:53" x14ac:dyDescent="0.35">
      <c r="AQ3640" s="54"/>
      <c r="BA3640" s="54"/>
    </row>
    <row r="3641" spans="43:53" x14ac:dyDescent="0.35">
      <c r="AQ3641" s="54"/>
      <c r="BA3641" s="54"/>
    </row>
    <row r="3642" spans="43:53" x14ac:dyDescent="0.35">
      <c r="AQ3642" s="54"/>
      <c r="BA3642" s="54"/>
    </row>
    <row r="3643" spans="43:53" x14ac:dyDescent="0.35">
      <c r="AQ3643" s="54"/>
      <c r="BA3643" s="54"/>
    </row>
    <row r="3644" spans="43:53" x14ac:dyDescent="0.35">
      <c r="AQ3644" s="54"/>
      <c r="BA3644" s="54"/>
    </row>
    <row r="3645" spans="43:53" x14ac:dyDescent="0.35">
      <c r="AQ3645" s="54"/>
      <c r="BA3645" s="54"/>
    </row>
    <row r="3646" spans="43:53" x14ac:dyDescent="0.35">
      <c r="AQ3646" s="54"/>
      <c r="BA3646" s="54"/>
    </row>
    <row r="3647" spans="43:53" x14ac:dyDescent="0.35">
      <c r="AQ3647" s="54"/>
      <c r="BA3647" s="54"/>
    </row>
    <row r="3648" spans="43:53" x14ac:dyDescent="0.35">
      <c r="AQ3648" s="54"/>
      <c r="BA3648" s="54"/>
    </row>
    <row r="3649" spans="43:53" x14ac:dyDescent="0.35">
      <c r="AQ3649" s="54"/>
      <c r="BA3649" s="54"/>
    </row>
    <row r="3650" spans="43:53" x14ac:dyDescent="0.35">
      <c r="AQ3650" s="54"/>
      <c r="BA3650" s="54"/>
    </row>
    <row r="3651" spans="43:53" x14ac:dyDescent="0.35">
      <c r="AQ3651" s="54"/>
      <c r="BA3651" s="54"/>
    </row>
    <row r="3652" spans="43:53" x14ac:dyDescent="0.35">
      <c r="AQ3652" s="54"/>
      <c r="BA3652" s="54"/>
    </row>
    <row r="3653" spans="43:53" x14ac:dyDescent="0.35">
      <c r="AQ3653" s="54"/>
      <c r="BA3653" s="54"/>
    </row>
    <row r="3654" spans="43:53" x14ac:dyDescent="0.35">
      <c r="AQ3654" s="54"/>
      <c r="BA3654" s="54"/>
    </row>
    <row r="3655" spans="43:53" x14ac:dyDescent="0.35">
      <c r="AQ3655" s="54"/>
      <c r="BA3655" s="54"/>
    </row>
    <row r="3656" spans="43:53" x14ac:dyDescent="0.35">
      <c r="AQ3656" s="54"/>
      <c r="BA3656" s="54"/>
    </row>
    <row r="3657" spans="43:53" x14ac:dyDescent="0.35">
      <c r="AQ3657" s="54"/>
      <c r="BA3657" s="54"/>
    </row>
    <row r="3658" spans="43:53" x14ac:dyDescent="0.35">
      <c r="AQ3658" s="54"/>
      <c r="BA3658" s="54"/>
    </row>
    <row r="3659" spans="43:53" x14ac:dyDescent="0.35">
      <c r="AQ3659" s="54"/>
      <c r="BA3659" s="54"/>
    </row>
    <row r="3660" spans="43:53" x14ac:dyDescent="0.35">
      <c r="AQ3660" s="54"/>
      <c r="BA3660" s="54"/>
    </row>
    <row r="3661" spans="43:53" x14ac:dyDescent="0.35">
      <c r="AQ3661" s="54"/>
      <c r="BA3661" s="54"/>
    </row>
    <row r="3662" spans="43:53" x14ac:dyDescent="0.35">
      <c r="AQ3662" s="54"/>
      <c r="BA3662" s="54"/>
    </row>
    <row r="3663" spans="43:53" x14ac:dyDescent="0.35">
      <c r="AQ3663" s="54"/>
      <c r="BA3663" s="54"/>
    </row>
    <row r="3664" spans="43:53" x14ac:dyDescent="0.35">
      <c r="AQ3664" s="54"/>
      <c r="BA3664" s="54"/>
    </row>
    <row r="3665" spans="43:53" x14ac:dyDescent="0.35">
      <c r="AQ3665" s="54"/>
      <c r="BA3665" s="54"/>
    </row>
    <row r="3666" spans="43:53" x14ac:dyDescent="0.35">
      <c r="AQ3666" s="54"/>
      <c r="BA3666" s="54"/>
    </row>
    <row r="3667" spans="43:53" x14ac:dyDescent="0.35">
      <c r="AQ3667" s="54"/>
      <c r="BA3667" s="54"/>
    </row>
    <row r="3668" spans="43:53" x14ac:dyDescent="0.35">
      <c r="AQ3668" s="54"/>
      <c r="BA3668" s="54"/>
    </row>
    <row r="3669" spans="43:53" x14ac:dyDescent="0.35">
      <c r="AQ3669" s="54"/>
      <c r="BA3669" s="54"/>
    </row>
    <row r="3670" spans="43:53" x14ac:dyDescent="0.35">
      <c r="AQ3670" s="54"/>
      <c r="BA3670" s="54"/>
    </row>
    <row r="3671" spans="43:53" x14ac:dyDescent="0.35">
      <c r="AQ3671" s="54"/>
      <c r="BA3671" s="54"/>
    </row>
    <row r="3672" spans="43:53" x14ac:dyDescent="0.35">
      <c r="AQ3672" s="54"/>
      <c r="BA3672" s="54"/>
    </row>
    <row r="3673" spans="43:53" x14ac:dyDescent="0.35">
      <c r="AQ3673" s="54"/>
      <c r="BA3673" s="54"/>
    </row>
    <row r="3674" spans="43:53" x14ac:dyDescent="0.35">
      <c r="AQ3674" s="54"/>
      <c r="BA3674" s="54"/>
    </row>
    <row r="3675" spans="43:53" x14ac:dyDescent="0.35">
      <c r="AQ3675" s="54"/>
      <c r="BA3675" s="54"/>
    </row>
    <row r="3676" spans="43:53" x14ac:dyDescent="0.35">
      <c r="AQ3676" s="54"/>
      <c r="BA3676" s="54"/>
    </row>
    <row r="3677" spans="43:53" x14ac:dyDescent="0.35">
      <c r="AQ3677" s="54"/>
      <c r="BA3677" s="54"/>
    </row>
    <row r="3678" spans="43:53" x14ac:dyDescent="0.35">
      <c r="AQ3678" s="54"/>
      <c r="BA3678" s="54"/>
    </row>
    <row r="3679" spans="43:53" x14ac:dyDescent="0.35">
      <c r="AQ3679" s="54"/>
      <c r="BA3679" s="54"/>
    </row>
    <row r="3680" spans="43:53" x14ac:dyDescent="0.35">
      <c r="AQ3680" s="54"/>
      <c r="BA3680" s="54"/>
    </row>
    <row r="3681" spans="43:53" x14ac:dyDescent="0.35">
      <c r="AQ3681" s="54"/>
      <c r="BA3681" s="54"/>
    </row>
    <row r="3682" spans="43:53" x14ac:dyDescent="0.35">
      <c r="AQ3682" s="54"/>
      <c r="BA3682" s="54"/>
    </row>
    <row r="3683" spans="43:53" x14ac:dyDescent="0.35">
      <c r="AQ3683" s="54"/>
      <c r="BA3683" s="54"/>
    </row>
    <row r="3684" spans="43:53" x14ac:dyDescent="0.35">
      <c r="AQ3684" s="54"/>
      <c r="BA3684" s="54"/>
    </row>
    <row r="3685" spans="43:53" x14ac:dyDescent="0.35">
      <c r="AQ3685" s="54"/>
      <c r="BA3685" s="54"/>
    </row>
    <row r="3686" spans="43:53" x14ac:dyDescent="0.35">
      <c r="AQ3686" s="54"/>
      <c r="BA3686" s="54"/>
    </row>
    <row r="3687" spans="43:53" x14ac:dyDescent="0.35">
      <c r="AQ3687" s="54"/>
      <c r="BA3687" s="54"/>
    </row>
    <row r="3688" spans="43:53" x14ac:dyDescent="0.35">
      <c r="AQ3688" s="54"/>
      <c r="BA3688" s="54"/>
    </row>
    <row r="3689" spans="43:53" x14ac:dyDescent="0.35">
      <c r="AQ3689" s="54"/>
      <c r="BA3689" s="54"/>
    </row>
    <row r="3690" spans="43:53" x14ac:dyDescent="0.35">
      <c r="AQ3690" s="54"/>
      <c r="BA3690" s="54"/>
    </row>
    <row r="3691" spans="43:53" x14ac:dyDescent="0.35">
      <c r="AQ3691" s="54"/>
      <c r="BA3691" s="54"/>
    </row>
    <row r="3692" spans="43:53" x14ac:dyDescent="0.35">
      <c r="AQ3692" s="54"/>
      <c r="BA3692" s="54"/>
    </row>
    <row r="3693" spans="43:53" x14ac:dyDescent="0.35">
      <c r="AQ3693" s="54"/>
      <c r="BA3693" s="54"/>
    </row>
    <row r="3694" spans="43:53" x14ac:dyDescent="0.35">
      <c r="AQ3694" s="54"/>
      <c r="BA3694" s="54"/>
    </row>
    <row r="3695" spans="43:53" x14ac:dyDescent="0.35">
      <c r="AQ3695" s="54"/>
      <c r="BA3695" s="54"/>
    </row>
    <row r="3696" spans="43:53" x14ac:dyDescent="0.35">
      <c r="AQ3696" s="54"/>
      <c r="BA3696" s="54"/>
    </row>
    <row r="3697" spans="43:53" x14ac:dyDescent="0.35">
      <c r="AQ3697" s="54"/>
      <c r="BA3697" s="54"/>
    </row>
    <row r="3698" spans="43:53" x14ac:dyDescent="0.35">
      <c r="AQ3698" s="54"/>
      <c r="BA3698" s="54"/>
    </row>
    <row r="3699" spans="43:53" x14ac:dyDescent="0.35">
      <c r="AQ3699" s="54"/>
      <c r="BA3699" s="54"/>
    </row>
    <row r="3700" spans="43:53" x14ac:dyDescent="0.35">
      <c r="AQ3700" s="54"/>
      <c r="BA3700" s="54"/>
    </row>
    <row r="3701" spans="43:53" x14ac:dyDescent="0.35">
      <c r="AQ3701" s="54"/>
      <c r="BA3701" s="54"/>
    </row>
    <row r="3702" spans="43:53" x14ac:dyDescent="0.35">
      <c r="AQ3702" s="54"/>
      <c r="BA3702" s="54"/>
    </row>
    <row r="3703" spans="43:53" x14ac:dyDescent="0.35">
      <c r="AQ3703" s="54"/>
      <c r="BA3703" s="54"/>
    </row>
    <row r="3704" spans="43:53" x14ac:dyDescent="0.35">
      <c r="AQ3704" s="54"/>
      <c r="BA3704" s="54"/>
    </row>
    <row r="3705" spans="43:53" x14ac:dyDescent="0.35">
      <c r="AQ3705" s="54"/>
      <c r="BA3705" s="54"/>
    </row>
    <row r="3706" spans="43:53" x14ac:dyDescent="0.35">
      <c r="AQ3706" s="54"/>
      <c r="BA3706" s="54"/>
    </row>
    <row r="3707" spans="43:53" x14ac:dyDescent="0.35">
      <c r="AQ3707" s="54"/>
      <c r="BA3707" s="54"/>
    </row>
    <row r="3708" spans="43:53" x14ac:dyDescent="0.35">
      <c r="AQ3708" s="54"/>
      <c r="BA3708" s="54"/>
    </row>
    <row r="3709" spans="43:53" x14ac:dyDescent="0.35">
      <c r="AQ3709" s="54"/>
      <c r="BA3709" s="54"/>
    </row>
    <row r="3710" spans="43:53" x14ac:dyDescent="0.35">
      <c r="AQ3710" s="54"/>
      <c r="BA3710" s="54"/>
    </row>
    <row r="3711" spans="43:53" x14ac:dyDescent="0.35">
      <c r="AQ3711" s="54"/>
      <c r="BA3711" s="54"/>
    </row>
    <row r="3712" spans="43:53" x14ac:dyDescent="0.35">
      <c r="AQ3712" s="54"/>
      <c r="BA3712" s="54"/>
    </row>
    <row r="3713" spans="43:53" x14ac:dyDescent="0.35">
      <c r="AQ3713" s="54"/>
      <c r="BA3713" s="54"/>
    </row>
    <row r="3714" spans="43:53" x14ac:dyDescent="0.35">
      <c r="AQ3714" s="54"/>
      <c r="BA3714" s="54"/>
    </row>
    <row r="3715" spans="43:53" x14ac:dyDescent="0.35">
      <c r="AQ3715" s="54"/>
      <c r="BA3715" s="54"/>
    </row>
    <row r="3716" spans="43:53" x14ac:dyDescent="0.35">
      <c r="AQ3716" s="54"/>
      <c r="BA3716" s="54"/>
    </row>
    <row r="3717" spans="43:53" x14ac:dyDescent="0.35">
      <c r="AQ3717" s="54"/>
      <c r="BA3717" s="54"/>
    </row>
    <row r="3718" spans="43:53" x14ac:dyDescent="0.35">
      <c r="AQ3718" s="54"/>
      <c r="BA3718" s="54"/>
    </row>
    <row r="3719" spans="43:53" x14ac:dyDescent="0.35">
      <c r="AQ3719" s="54"/>
      <c r="BA3719" s="54"/>
    </row>
    <row r="3720" spans="43:53" x14ac:dyDescent="0.35">
      <c r="AQ3720" s="54"/>
      <c r="BA3720" s="54"/>
    </row>
    <row r="3721" spans="43:53" x14ac:dyDescent="0.35">
      <c r="AQ3721" s="54"/>
      <c r="BA3721" s="54"/>
    </row>
    <row r="3722" spans="43:53" x14ac:dyDescent="0.35">
      <c r="AQ3722" s="54"/>
      <c r="BA3722" s="54"/>
    </row>
    <row r="3723" spans="43:53" x14ac:dyDescent="0.35">
      <c r="AQ3723" s="54"/>
      <c r="BA3723" s="54"/>
    </row>
    <row r="3724" spans="43:53" x14ac:dyDescent="0.35">
      <c r="AQ3724" s="54"/>
      <c r="BA3724" s="54"/>
    </row>
    <row r="3725" spans="43:53" x14ac:dyDescent="0.35">
      <c r="AQ3725" s="54"/>
      <c r="BA3725" s="54"/>
    </row>
    <row r="3726" spans="43:53" x14ac:dyDescent="0.35">
      <c r="AQ3726" s="54"/>
      <c r="BA3726" s="54"/>
    </row>
    <row r="3727" spans="43:53" x14ac:dyDescent="0.35">
      <c r="AQ3727" s="54"/>
      <c r="BA3727" s="54"/>
    </row>
    <row r="3728" spans="43:53" x14ac:dyDescent="0.35">
      <c r="AQ3728" s="54"/>
      <c r="BA3728" s="54"/>
    </row>
    <row r="3729" spans="43:53" x14ac:dyDescent="0.35">
      <c r="AQ3729" s="54"/>
      <c r="BA3729" s="54"/>
    </row>
    <row r="3730" spans="43:53" x14ac:dyDescent="0.35">
      <c r="AQ3730" s="54"/>
      <c r="BA3730" s="54"/>
    </row>
    <row r="3731" spans="43:53" x14ac:dyDescent="0.35">
      <c r="AQ3731" s="54"/>
      <c r="BA3731" s="54"/>
    </row>
    <row r="3732" spans="43:53" x14ac:dyDescent="0.35">
      <c r="AQ3732" s="54"/>
      <c r="BA3732" s="54"/>
    </row>
    <row r="3733" spans="43:53" x14ac:dyDescent="0.35">
      <c r="AQ3733" s="54"/>
      <c r="BA3733" s="54"/>
    </row>
    <row r="3734" spans="43:53" x14ac:dyDescent="0.35">
      <c r="AQ3734" s="54"/>
      <c r="BA3734" s="54"/>
    </row>
    <row r="3735" spans="43:53" x14ac:dyDescent="0.35">
      <c r="AQ3735" s="54"/>
      <c r="BA3735" s="54"/>
    </row>
    <row r="3736" spans="43:53" x14ac:dyDescent="0.35">
      <c r="AQ3736" s="54"/>
      <c r="BA3736" s="54"/>
    </row>
    <row r="3737" spans="43:53" x14ac:dyDescent="0.35">
      <c r="AQ3737" s="54"/>
      <c r="BA3737" s="54"/>
    </row>
    <row r="3738" spans="43:53" x14ac:dyDescent="0.35">
      <c r="AQ3738" s="54"/>
      <c r="BA3738" s="54"/>
    </row>
    <row r="3739" spans="43:53" x14ac:dyDescent="0.35">
      <c r="AQ3739" s="54"/>
      <c r="BA3739" s="54"/>
    </row>
    <row r="3740" spans="43:53" x14ac:dyDescent="0.35">
      <c r="AQ3740" s="54"/>
      <c r="BA3740" s="54"/>
    </row>
    <row r="3741" spans="43:53" x14ac:dyDescent="0.35">
      <c r="AQ3741" s="54"/>
      <c r="BA3741" s="54"/>
    </row>
    <row r="3742" spans="43:53" x14ac:dyDescent="0.35">
      <c r="AQ3742" s="54"/>
      <c r="BA3742" s="54"/>
    </row>
    <row r="3743" spans="43:53" x14ac:dyDescent="0.35">
      <c r="AQ3743" s="54"/>
      <c r="BA3743" s="54"/>
    </row>
    <row r="3744" spans="43:53" x14ac:dyDescent="0.35">
      <c r="AQ3744" s="54"/>
      <c r="BA3744" s="54"/>
    </row>
    <row r="3745" spans="43:53" x14ac:dyDescent="0.35">
      <c r="AQ3745" s="54"/>
      <c r="BA3745" s="54"/>
    </row>
    <row r="3746" spans="43:53" x14ac:dyDescent="0.35">
      <c r="AQ3746" s="54"/>
      <c r="BA3746" s="54"/>
    </row>
    <row r="3747" spans="43:53" x14ac:dyDescent="0.35">
      <c r="AQ3747" s="54"/>
      <c r="BA3747" s="54"/>
    </row>
    <row r="3748" spans="43:53" x14ac:dyDescent="0.35">
      <c r="AQ3748" s="54"/>
      <c r="BA3748" s="54"/>
    </row>
    <row r="3749" spans="43:53" x14ac:dyDescent="0.35">
      <c r="AQ3749" s="54"/>
      <c r="BA3749" s="54"/>
    </row>
    <row r="3750" spans="43:53" x14ac:dyDescent="0.35">
      <c r="AQ3750" s="54"/>
      <c r="BA3750" s="54"/>
    </row>
    <row r="3751" spans="43:53" x14ac:dyDescent="0.35">
      <c r="AQ3751" s="54"/>
      <c r="BA3751" s="54"/>
    </row>
    <row r="3752" spans="43:53" x14ac:dyDescent="0.35">
      <c r="AQ3752" s="54"/>
      <c r="BA3752" s="54"/>
    </row>
    <row r="3753" spans="43:53" x14ac:dyDescent="0.35">
      <c r="AQ3753" s="54"/>
      <c r="BA3753" s="54"/>
    </row>
    <row r="3754" spans="43:53" x14ac:dyDescent="0.35">
      <c r="AQ3754" s="54"/>
      <c r="BA3754" s="54"/>
    </row>
    <row r="3755" spans="43:53" x14ac:dyDescent="0.35">
      <c r="AQ3755" s="54"/>
      <c r="BA3755" s="54"/>
    </row>
    <row r="3756" spans="43:53" x14ac:dyDescent="0.35">
      <c r="AQ3756" s="54"/>
      <c r="BA3756" s="54"/>
    </row>
    <row r="3757" spans="43:53" x14ac:dyDescent="0.35">
      <c r="AQ3757" s="54"/>
      <c r="BA3757" s="54"/>
    </row>
    <row r="3758" spans="43:53" x14ac:dyDescent="0.35">
      <c r="AQ3758" s="54"/>
      <c r="BA3758" s="54"/>
    </row>
    <row r="3759" spans="43:53" x14ac:dyDescent="0.35">
      <c r="AQ3759" s="54"/>
      <c r="BA3759" s="54"/>
    </row>
    <row r="3760" spans="43:53" x14ac:dyDescent="0.35">
      <c r="AQ3760" s="54"/>
      <c r="BA3760" s="54"/>
    </row>
    <row r="3761" spans="43:53" x14ac:dyDescent="0.35">
      <c r="AQ3761" s="54"/>
      <c r="BA3761" s="54"/>
    </row>
    <row r="3762" spans="43:53" x14ac:dyDescent="0.35">
      <c r="AQ3762" s="54"/>
      <c r="BA3762" s="54"/>
    </row>
    <row r="3763" spans="43:53" x14ac:dyDescent="0.35">
      <c r="AQ3763" s="54"/>
      <c r="BA3763" s="54"/>
    </row>
    <row r="3764" spans="43:53" x14ac:dyDescent="0.35">
      <c r="AQ3764" s="54"/>
      <c r="BA3764" s="54"/>
    </row>
    <row r="3765" spans="43:53" x14ac:dyDescent="0.35">
      <c r="AQ3765" s="54"/>
      <c r="BA3765" s="54"/>
    </row>
    <row r="3766" spans="43:53" x14ac:dyDescent="0.35">
      <c r="AQ3766" s="54"/>
      <c r="BA3766" s="54"/>
    </row>
    <row r="3767" spans="43:53" x14ac:dyDescent="0.35">
      <c r="AQ3767" s="54"/>
      <c r="BA3767" s="54"/>
    </row>
    <row r="3768" spans="43:53" x14ac:dyDescent="0.35">
      <c r="AQ3768" s="54"/>
      <c r="BA3768" s="54"/>
    </row>
    <row r="3769" spans="43:53" x14ac:dyDescent="0.35">
      <c r="AQ3769" s="54"/>
      <c r="BA3769" s="54"/>
    </row>
    <row r="3770" spans="43:53" x14ac:dyDescent="0.35">
      <c r="AQ3770" s="54"/>
      <c r="BA3770" s="54"/>
    </row>
    <row r="3771" spans="43:53" x14ac:dyDescent="0.35">
      <c r="AQ3771" s="54"/>
      <c r="BA3771" s="54"/>
    </row>
    <row r="3772" spans="43:53" x14ac:dyDescent="0.35">
      <c r="AQ3772" s="54"/>
      <c r="BA3772" s="54"/>
    </row>
    <row r="3773" spans="43:53" x14ac:dyDescent="0.35">
      <c r="AQ3773" s="54"/>
      <c r="BA3773" s="54"/>
    </row>
    <row r="3774" spans="43:53" x14ac:dyDescent="0.35">
      <c r="AQ3774" s="54"/>
      <c r="BA3774" s="54"/>
    </row>
    <row r="3775" spans="43:53" x14ac:dyDescent="0.35">
      <c r="AQ3775" s="54"/>
      <c r="BA3775" s="54"/>
    </row>
    <row r="3776" spans="43:53" x14ac:dyDescent="0.35">
      <c r="AQ3776" s="54"/>
      <c r="BA3776" s="54"/>
    </row>
    <row r="3777" spans="43:53" x14ac:dyDescent="0.35">
      <c r="AQ3777" s="54"/>
      <c r="BA3777" s="54"/>
    </row>
    <row r="3778" spans="43:53" x14ac:dyDescent="0.35">
      <c r="AQ3778" s="54"/>
      <c r="BA3778" s="54"/>
    </row>
    <row r="3779" spans="43:53" x14ac:dyDescent="0.35">
      <c r="AQ3779" s="54"/>
      <c r="BA3779" s="54"/>
    </row>
    <row r="3780" spans="43:53" x14ac:dyDescent="0.35">
      <c r="AQ3780" s="54"/>
      <c r="BA3780" s="54"/>
    </row>
    <row r="3781" spans="43:53" x14ac:dyDescent="0.35">
      <c r="AQ3781" s="54"/>
      <c r="BA3781" s="54"/>
    </row>
    <row r="3782" spans="43:53" x14ac:dyDescent="0.35">
      <c r="AQ3782" s="54"/>
      <c r="BA3782" s="54"/>
    </row>
    <row r="3783" spans="43:53" x14ac:dyDescent="0.35">
      <c r="AQ3783" s="54"/>
      <c r="BA3783" s="54"/>
    </row>
    <row r="3784" spans="43:53" x14ac:dyDescent="0.35">
      <c r="AQ3784" s="54"/>
      <c r="BA3784" s="54"/>
    </row>
    <row r="3785" spans="43:53" x14ac:dyDescent="0.35">
      <c r="AQ3785" s="54"/>
      <c r="BA3785" s="54"/>
    </row>
    <row r="3786" spans="43:53" x14ac:dyDescent="0.35">
      <c r="AQ3786" s="54"/>
      <c r="BA3786" s="54"/>
    </row>
    <row r="3787" spans="43:53" x14ac:dyDescent="0.35">
      <c r="AQ3787" s="54"/>
      <c r="BA3787" s="54"/>
    </row>
    <row r="3788" spans="43:53" x14ac:dyDescent="0.35">
      <c r="AQ3788" s="54"/>
      <c r="BA3788" s="54"/>
    </row>
    <row r="3789" spans="43:53" x14ac:dyDescent="0.35">
      <c r="AQ3789" s="54"/>
      <c r="BA3789" s="54"/>
    </row>
    <row r="3790" spans="43:53" x14ac:dyDescent="0.35">
      <c r="AQ3790" s="54"/>
      <c r="BA3790" s="54"/>
    </row>
    <row r="3791" spans="43:53" x14ac:dyDescent="0.35">
      <c r="AQ3791" s="54"/>
      <c r="BA3791" s="54"/>
    </row>
    <row r="3792" spans="43:53" x14ac:dyDescent="0.35">
      <c r="AQ3792" s="54"/>
      <c r="BA3792" s="54"/>
    </row>
    <row r="3793" spans="43:53" x14ac:dyDescent="0.35">
      <c r="AQ3793" s="54"/>
      <c r="BA3793" s="54"/>
    </row>
    <row r="3794" spans="43:53" x14ac:dyDescent="0.35">
      <c r="AQ3794" s="54"/>
      <c r="BA3794" s="54"/>
    </row>
    <row r="3795" spans="43:53" x14ac:dyDescent="0.35">
      <c r="AQ3795" s="54"/>
      <c r="BA3795" s="54"/>
    </row>
    <row r="3796" spans="43:53" x14ac:dyDescent="0.35">
      <c r="AQ3796" s="54"/>
      <c r="BA3796" s="54"/>
    </row>
    <row r="3797" spans="43:53" x14ac:dyDescent="0.35">
      <c r="AQ3797" s="54"/>
      <c r="BA3797" s="54"/>
    </row>
    <row r="3798" spans="43:53" x14ac:dyDescent="0.35">
      <c r="AQ3798" s="54"/>
      <c r="BA3798" s="54"/>
    </row>
    <row r="3799" spans="43:53" x14ac:dyDescent="0.35">
      <c r="AQ3799" s="54"/>
      <c r="BA3799" s="54"/>
    </row>
    <row r="3800" spans="43:53" x14ac:dyDescent="0.35">
      <c r="AQ3800" s="54"/>
      <c r="BA3800" s="54"/>
    </row>
    <row r="3801" spans="43:53" x14ac:dyDescent="0.35">
      <c r="AQ3801" s="54"/>
      <c r="BA3801" s="54"/>
    </row>
    <row r="3802" spans="43:53" x14ac:dyDescent="0.35">
      <c r="AQ3802" s="54"/>
      <c r="BA3802" s="54"/>
    </row>
    <row r="3803" spans="43:53" x14ac:dyDescent="0.35">
      <c r="AQ3803" s="54"/>
      <c r="BA3803" s="54"/>
    </row>
    <row r="3804" spans="43:53" x14ac:dyDescent="0.35">
      <c r="AQ3804" s="54"/>
      <c r="BA3804" s="54"/>
    </row>
    <row r="3805" spans="43:53" x14ac:dyDescent="0.35">
      <c r="AQ3805" s="54"/>
      <c r="BA3805" s="54"/>
    </row>
    <row r="3806" spans="43:53" x14ac:dyDescent="0.35">
      <c r="AQ3806" s="54"/>
      <c r="BA3806" s="54"/>
    </row>
    <row r="3807" spans="43:53" x14ac:dyDescent="0.35">
      <c r="AQ3807" s="54"/>
      <c r="BA3807" s="54"/>
    </row>
    <row r="3808" spans="43:53" x14ac:dyDescent="0.35">
      <c r="AQ3808" s="54"/>
      <c r="BA3808" s="54"/>
    </row>
    <row r="3809" spans="43:53" x14ac:dyDescent="0.35">
      <c r="AQ3809" s="54"/>
      <c r="BA3809" s="54"/>
    </row>
    <row r="3810" spans="43:53" x14ac:dyDescent="0.35">
      <c r="AQ3810" s="54"/>
      <c r="BA3810" s="54"/>
    </row>
    <row r="3811" spans="43:53" x14ac:dyDescent="0.35">
      <c r="AQ3811" s="54"/>
      <c r="BA3811" s="54"/>
    </row>
    <row r="3812" spans="43:53" x14ac:dyDescent="0.35">
      <c r="AQ3812" s="54"/>
      <c r="BA3812" s="54"/>
    </row>
    <row r="3813" spans="43:53" x14ac:dyDescent="0.35">
      <c r="AQ3813" s="54"/>
      <c r="BA3813" s="54"/>
    </row>
    <row r="3814" spans="43:53" x14ac:dyDescent="0.35">
      <c r="AQ3814" s="54"/>
      <c r="BA3814" s="54"/>
    </row>
    <row r="3815" spans="43:53" x14ac:dyDescent="0.35">
      <c r="AQ3815" s="54"/>
      <c r="BA3815" s="54"/>
    </row>
    <row r="3816" spans="43:53" x14ac:dyDescent="0.35">
      <c r="AQ3816" s="54"/>
      <c r="BA3816" s="54"/>
    </row>
    <row r="3817" spans="43:53" x14ac:dyDescent="0.35">
      <c r="AQ3817" s="54"/>
      <c r="BA3817" s="54"/>
    </row>
    <row r="3818" spans="43:53" x14ac:dyDescent="0.35">
      <c r="AQ3818" s="54"/>
      <c r="BA3818" s="54"/>
    </row>
    <row r="3819" spans="43:53" x14ac:dyDescent="0.35">
      <c r="AQ3819" s="54"/>
      <c r="BA3819" s="54"/>
    </row>
    <row r="3820" spans="43:53" x14ac:dyDescent="0.35">
      <c r="AQ3820" s="54"/>
      <c r="BA3820" s="54"/>
    </row>
    <row r="3821" spans="43:53" x14ac:dyDescent="0.35">
      <c r="AQ3821" s="54"/>
      <c r="BA3821" s="54"/>
    </row>
    <row r="3822" spans="43:53" x14ac:dyDescent="0.35">
      <c r="AQ3822" s="54"/>
      <c r="BA3822" s="54"/>
    </row>
    <row r="3823" spans="43:53" x14ac:dyDescent="0.35">
      <c r="AQ3823" s="54"/>
      <c r="BA3823" s="54"/>
    </row>
    <row r="3824" spans="43:53" x14ac:dyDescent="0.35">
      <c r="AQ3824" s="54"/>
      <c r="BA3824" s="54"/>
    </row>
    <row r="3825" spans="43:53" x14ac:dyDescent="0.35">
      <c r="AQ3825" s="54"/>
      <c r="BA3825" s="54"/>
    </row>
    <row r="3826" spans="43:53" x14ac:dyDescent="0.35">
      <c r="AQ3826" s="54"/>
      <c r="BA3826" s="54"/>
    </row>
    <row r="3827" spans="43:53" x14ac:dyDescent="0.35">
      <c r="AQ3827" s="54"/>
      <c r="BA3827" s="54"/>
    </row>
    <row r="3828" spans="43:53" x14ac:dyDescent="0.35">
      <c r="AQ3828" s="54"/>
      <c r="BA3828" s="54"/>
    </row>
    <row r="3829" spans="43:53" x14ac:dyDescent="0.35">
      <c r="AQ3829" s="54"/>
      <c r="BA3829" s="54"/>
    </row>
    <row r="3830" spans="43:53" x14ac:dyDescent="0.35">
      <c r="AQ3830" s="54"/>
      <c r="BA3830" s="54"/>
    </row>
    <row r="3831" spans="43:53" x14ac:dyDescent="0.35">
      <c r="AQ3831" s="54"/>
      <c r="BA3831" s="54"/>
    </row>
    <row r="3832" spans="43:53" x14ac:dyDescent="0.35">
      <c r="AQ3832" s="54"/>
      <c r="BA3832" s="54"/>
    </row>
    <row r="3833" spans="43:53" x14ac:dyDescent="0.35">
      <c r="AQ3833" s="54"/>
      <c r="BA3833" s="54"/>
    </row>
    <row r="3834" spans="43:53" x14ac:dyDescent="0.35">
      <c r="AQ3834" s="54"/>
      <c r="BA3834" s="54"/>
    </row>
    <row r="3835" spans="43:53" x14ac:dyDescent="0.35">
      <c r="AQ3835" s="54"/>
      <c r="BA3835" s="54"/>
    </row>
    <row r="3836" spans="43:53" x14ac:dyDescent="0.35">
      <c r="AQ3836" s="54"/>
      <c r="BA3836" s="54"/>
    </row>
    <row r="3837" spans="43:53" x14ac:dyDescent="0.35">
      <c r="AQ3837" s="54"/>
      <c r="BA3837" s="54"/>
    </row>
    <row r="3838" spans="43:53" x14ac:dyDescent="0.35">
      <c r="AQ3838" s="54"/>
      <c r="BA3838" s="54"/>
    </row>
    <row r="3839" spans="43:53" x14ac:dyDescent="0.35">
      <c r="AQ3839" s="54"/>
      <c r="BA3839" s="54"/>
    </row>
    <row r="3840" spans="43:53" x14ac:dyDescent="0.35">
      <c r="AQ3840" s="54"/>
      <c r="BA3840" s="54"/>
    </row>
    <row r="3841" spans="43:53" x14ac:dyDescent="0.35">
      <c r="AQ3841" s="54"/>
      <c r="BA3841" s="54"/>
    </row>
    <row r="3842" spans="43:53" x14ac:dyDescent="0.35">
      <c r="AQ3842" s="54"/>
      <c r="BA3842" s="54"/>
    </row>
    <row r="3843" spans="43:53" x14ac:dyDescent="0.35">
      <c r="AQ3843" s="54"/>
      <c r="BA3843" s="54"/>
    </row>
    <row r="3844" spans="43:53" x14ac:dyDescent="0.35">
      <c r="AQ3844" s="54"/>
      <c r="BA3844" s="54"/>
    </row>
    <row r="3845" spans="43:53" x14ac:dyDescent="0.35">
      <c r="AQ3845" s="54"/>
      <c r="BA3845" s="54"/>
    </row>
    <row r="3846" spans="43:53" x14ac:dyDescent="0.35">
      <c r="AQ3846" s="54"/>
      <c r="BA3846" s="54"/>
    </row>
    <row r="3847" spans="43:53" x14ac:dyDescent="0.35">
      <c r="AQ3847" s="54"/>
      <c r="BA3847" s="54"/>
    </row>
    <row r="3848" spans="43:53" x14ac:dyDescent="0.35">
      <c r="AQ3848" s="54"/>
      <c r="BA3848" s="54"/>
    </row>
    <row r="3849" spans="43:53" x14ac:dyDescent="0.35">
      <c r="AQ3849" s="54"/>
      <c r="BA3849" s="54"/>
    </row>
    <row r="3850" spans="43:53" x14ac:dyDescent="0.35">
      <c r="AQ3850" s="54"/>
      <c r="BA3850" s="54"/>
    </row>
    <row r="3851" spans="43:53" x14ac:dyDescent="0.35">
      <c r="AQ3851" s="54"/>
      <c r="BA3851" s="54"/>
    </row>
    <row r="3852" spans="43:53" x14ac:dyDescent="0.35">
      <c r="AQ3852" s="54"/>
      <c r="BA3852" s="54"/>
    </row>
    <row r="3853" spans="43:53" x14ac:dyDescent="0.35">
      <c r="AQ3853" s="54"/>
      <c r="BA3853" s="54"/>
    </row>
    <row r="3854" spans="43:53" x14ac:dyDescent="0.35">
      <c r="AQ3854" s="54"/>
      <c r="BA3854" s="54"/>
    </row>
    <row r="3855" spans="43:53" x14ac:dyDescent="0.35">
      <c r="AQ3855" s="54"/>
      <c r="BA3855" s="54"/>
    </row>
    <row r="3856" spans="43:53" x14ac:dyDescent="0.35">
      <c r="AQ3856" s="54"/>
      <c r="BA3856" s="54"/>
    </row>
    <row r="3857" spans="43:53" x14ac:dyDescent="0.35">
      <c r="AQ3857" s="54"/>
      <c r="BA3857" s="54"/>
    </row>
    <row r="3858" spans="43:53" x14ac:dyDescent="0.35">
      <c r="AQ3858" s="54"/>
      <c r="BA3858" s="54"/>
    </row>
    <row r="3859" spans="43:53" x14ac:dyDescent="0.35">
      <c r="AQ3859" s="54"/>
      <c r="BA3859" s="54"/>
    </row>
    <row r="3860" spans="43:53" x14ac:dyDescent="0.35">
      <c r="AQ3860" s="54"/>
      <c r="BA3860" s="54"/>
    </row>
    <row r="3861" spans="43:53" x14ac:dyDescent="0.35">
      <c r="AQ3861" s="54"/>
      <c r="BA3861" s="54"/>
    </row>
    <row r="3862" spans="43:53" x14ac:dyDescent="0.35">
      <c r="AQ3862" s="54"/>
      <c r="BA3862" s="54"/>
    </row>
    <row r="3863" spans="43:53" x14ac:dyDescent="0.35">
      <c r="AQ3863" s="54"/>
      <c r="BA3863" s="54"/>
    </row>
    <row r="3864" spans="43:53" x14ac:dyDescent="0.35">
      <c r="AQ3864" s="54"/>
      <c r="BA3864" s="54"/>
    </row>
    <row r="3865" spans="43:53" x14ac:dyDescent="0.35">
      <c r="AQ3865" s="54"/>
      <c r="BA3865" s="54"/>
    </row>
    <row r="3866" spans="43:53" x14ac:dyDescent="0.35">
      <c r="AQ3866" s="54"/>
      <c r="BA3866" s="54"/>
    </row>
    <row r="3867" spans="43:53" x14ac:dyDescent="0.35">
      <c r="AQ3867" s="54"/>
      <c r="BA3867" s="54"/>
    </row>
    <row r="3868" spans="43:53" x14ac:dyDescent="0.35">
      <c r="AQ3868" s="54"/>
      <c r="BA3868" s="54"/>
    </row>
    <row r="3869" spans="43:53" x14ac:dyDescent="0.35">
      <c r="AQ3869" s="54"/>
      <c r="BA3869" s="54"/>
    </row>
    <row r="3870" spans="43:53" x14ac:dyDescent="0.35">
      <c r="AQ3870" s="54"/>
      <c r="BA3870" s="54"/>
    </row>
    <row r="3871" spans="43:53" x14ac:dyDescent="0.35">
      <c r="AQ3871" s="54"/>
      <c r="BA3871" s="54"/>
    </row>
    <row r="3872" spans="43:53" x14ac:dyDescent="0.35">
      <c r="AQ3872" s="54"/>
      <c r="BA3872" s="54"/>
    </row>
    <row r="3873" spans="43:53" x14ac:dyDescent="0.35">
      <c r="AQ3873" s="54"/>
      <c r="BA3873" s="54"/>
    </row>
    <row r="3874" spans="43:53" x14ac:dyDescent="0.35">
      <c r="AQ3874" s="54"/>
      <c r="BA3874" s="54"/>
    </row>
    <row r="3875" spans="43:53" x14ac:dyDescent="0.35">
      <c r="AQ3875" s="54"/>
      <c r="BA3875" s="54"/>
    </row>
    <row r="3876" spans="43:53" x14ac:dyDescent="0.35">
      <c r="AQ3876" s="54"/>
      <c r="BA3876" s="54"/>
    </row>
    <row r="3877" spans="43:53" x14ac:dyDescent="0.35">
      <c r="AQ3877" s="54"/>
      <c r="BA3877" s="54"/>
    </row>
    <row r="3878" spans="43:53" x14ac:dyDescent="0.35">
      <c r="AQ3878" s="54"/>
      <c r="BA3878" s="54"/>
    </row>
    <row r="3879" spans="43:53" x14ac:dyDescent="0.35">
      <c r="AQ3879" s="54"/>
      <c r="BA3879" s="54"/>
    </row>
    <row r="3880" spans="43:53" x14ac:dyDescent="0.35">
      <c r="AQ3880" s="54"/>
      <c r="BA3880" s="54"/>
    </row>
    <row r="3881" spans="43:53" x14ac:dyDescent="0.35">
      <c r="AQ3881" s="54"/>
      <c r="BA3881" s="54"/>
    </row>
    <row r="3882" spans="43:53" x14ac:dyDescent="0.35">
      <c r="AQ3882" s="54"/>
      <c r="BA3882" s="54"/>
    </row>
    <row r="3883" spans="43:53" x14ac:dyDescent="0.35">
      <c r="AQ3883" s="54"/>
      <c r="BA3883" s="54"/>
    </row>
    <row r="3884" spans="43:53" x14ac:dyDescent="0.35">
      <c r="AQ3884" s="54"/>
      <c r="BA3884" s="54"/>
    </row>
    <row r="3885" spans="43:53" x14ac:dyDescent="0.35">
      <c r="AQ3885" s="54"/>
      <c r="BA3885" s="54"/>
    </row>
    <row r="3886" spans="43:53" x14ac:dyDescent="0.35">
      <c r="AQ3886" s="54"/>
      <c r="BA3886" s="54"/>
    </row>
    <row r="3887" spans="43:53" x14ac:dyDescent="0.35">
      <c r="AQ3887" s="54"/>
      <c r="BA3887" s="54"/>
    </row>
    <row r="3888" spans="43:53" x14ac:dyDescent="0.35">
      <c r="AQ3888" s="54"/>
      <c r="BA3888" s="54"/>
    </row>
    <row r="3889" spans="43:53" x14ac:dyDescent="0.35">
      <c r="AQ3889" s="54"/>
      <c r="BA3889" s="54"/>
    </row>
    <row r="3890" spans="43:53" x14ac:dyDescent="0.35">
      <c r="AQ3890" s="54"/>
      <c r="BA3890" s="54"/>
    </row>
    <row r="3891" spans="43:53" x14ac:dyDescent="0.35">
      <c r="AQ3891" s="54"/>
      <c r="BA3891" s="54"/>
    </row>
    <row r="3892" spans="43:53" x14ac:dyDescent="0.35">
      <c r="AQ3892" s="54"/>
      <c r="BA3892" s="54"/>
    </row>
    <row r="3893" spans="43:53" x14ac:dyDescent="0.35">
      <c r="AQ3893" s="54"/>
      <c r="BA3893" s="54"/>
    </row>
    <row r="3894" spans="43:53" x14ac:dyDescent="0.35">
      <c r="AQ3894" s="54"/>
      <c r="BA3894" s="54"/>
    </row>
    <row r="3895" spans="43:53" x14ac:dyDescent="0.35">
      <c r="AQ3895" s="54"/>
      <c r="BA3895" s="54"/>
    </row>
    <row r="3896" spans="43:53" x14ac:dyDescent="0.35">
      <c r="AQ3896" s="54"/>
      <c r="BA3896" s="54"/>
    </row>
    <row r="3897" spans="43:53" x14ac:dyDescent="0.35">
      <c r="AQ3897" s="54"/>
      <c r="BA3897" s="54"/>
    </row>
    <row r="3898" spans="43:53" x14ac:dyDescent="0.35">
      <c r="AQ3898" s="54"/>
      <c r="BA3898" s="54"/>
    </row>
    <row r="3899" spans="43:53" x14ac:dyDescent="0.35">
      <c r="AQ3899" s="54"/>
      <c r="BA3899" s="54"/>
    </row>
    <row r="3900" spans="43:53" x14ac:dyDescent="0.35">
      <c r="AQ3900" s="54"/>
      <c r="BA3900" s="54"/>
    </row>
    <row r="3901" spans="43:53" x14ac:dyDescent="0.35">
      <c r="AQ3901" s="54"/>
      <c r="BA3901" s="54"/>
    </row>
    <row r="3902" spans="43:53" x14ac:dyDescent="0.35">
      <c r="AQ3902" s="54"/>
      <c r="BA3902" s="54"/>
    </row>
    <row r="3903" spans="43:53" x14ac:dyDescent="0.35">
      <c r="AQ3903" s="54"/>
      <c r="BA3903" s="54"/>
    </row>
    <row r="3904" spans="43:53" x14ac:dyDescent="0.35">
      <c r="AQ3904" s="54"/>
      <c r="BA3904" s="54"/>
    </row>
    <row r="3905" spans="43:53" x14ac:dyDescent="0.35">
      <c r="AQ3905" s="54"/>
      <c r="BA3905" s="54"/>
    </row>
    <row r="3906" spans="43:53" x14ac:dyDescent="0.35">
      <c r="AQ3906" s="54"/>
      <c r="BA3906" s="54"/>
    </row>
    <row r="3907" spans="43:53" x14ac:dyDescent="0.35">
      <c r="AQ3907" s="54"/>
      <c r="BA3907" s="54"/>
    </row>
    <row r="3908" spans="43:53" x14ac:dyDescent="0.35">
      <c r="AQ3908" s="54"/>
      <c r="BA3908" s="54"/>
    </row>
    <row r="3909" spans="43:53" x14ac:dyDescent="0.35">
      <c r="AQ3909" s="54"/>
      <c r="BA3909" s="54"/>
    </row>
    <row r="3910" spans="43:53" x14ac:dyDescent="0.35">
      <c r="AQ3910" s="54"/>
      <c r="BA3910" s="54"/>
    </row>
    <row r="3911" spans="43:53" x14ac:dyDescent="0.35">
      <c r="AQ3911" s="54"/>
      <c r="BA3911" s="54"/>
    </row>
    <row r="3912" spans="43:53" x14ac:dyDescent="0.35">
      <c r="AQ3912" s="54"/>
      <c r="BA3912" s="54"/>
    </row>
    <row r="3913" spans="43:53" x14ac:dyDescent="0.35">
      <c r="AQ3913" s="54"/>
      <c r="BA3913" s="54"/>
    </row>
    <row r="3914" spans="43:53" x14ac:dyDescent="0.35">
      <c r="AQ3914" s="54"/>
      <c r="BA3914" s="54"/>
    </row>
    <row r="3915" spans="43:53" x14ac:dyDescent="0.35">
      <c r="AQ3915" s="54"/>
      <c r="BA3915" s="54"/>
    </row>
    <row r="3916" spans="43:53" x14ac:dyDescent="0.35">
      <c r="AQ3916" s="54"/>
      <c r="BA3916" s="54"/>
    </row>
    <row r="3917" spans="43:53" x14ac:dyDescent="0.35">
      <c r="AQ3917" s="54"/>
      <c r="BA3917" s="54"/>
    </row>
    <row r="3918" spans="43:53" x14ac:dyDescent="0.35">
      <c r="AQ3918" s="54"/>
      <c r="BA3918" s="54"/>
    </row>
    <row r="3919" spans="43:53" x14ac:dyDescent="0.35">
      <c r="AQ3919" s="54"/>
      <c r="BA3919" s="54"/>
    </row>
    <row r="3920" spans="43:53" x14ac:dyDescent="0.35">
      <c r="AQ3920" s="54"/>
      <c r="BA3920" s="54"/>
    </row>
    <row r="3921" spans="43:53" x14ac:dyDescent="0.35">
      <c r="AQ3921" s="54"/>
      <c r="BA3921" s="54"/>
    </row>
    <row r="3922" spans="43:53" x14ac:dyDescent="0.35">
      <c r="AQ3922" s="54"/>
      <c r="BA3922" s="54"/>
    </row>
    <row r="3923" spans="43:53" x14ac:dyDescent="0.35">
      <c r="AQ3923" s="54"/>
      <c r="BA3923" s="54"/>
    </row>
    <row r="3924" spans="43:53" x14ac:dyDescent="0.35">
      <c r="AQ3924" s="54"/>
      <c r="BA3924" s="54"/>
    </row>
    <row r="3925" spans="43:53" x14ac:dyDescent="0.35">
      <c r="AQ3925" s="54"/>
      <c r="BA3925" s="54"/>
    </row>
    <row r="3926" spans="43:53" x14ac:dyDescent="0.35">
      <c r="AQ3926" s="54"/>
      <c r="BA3926" s="54"/>
    </row>
    <row r="3927" spans="43:53" x14ac:dyDescent="0.35">
      <c r="AQ3927" s="54"/>
      <c r="BA3927" s="54"/>
    </row>
    <row r="3928" spans="43:53" x14ac:dyDescent="0.35">
      <c r="AQ3928" s="54"/>
      <c r="BA3928" s="54"/>
    </row>
    <row r="3929" spans="43:53" x14ac:dyDescent="0.35">
      <c r="AQ3929" s="54"/>
      <c r="BA3929" s="54"/>
    </row>
    <row r="3930" spans="43:53" x14ac:dyDescent="0.35">
      <c r="AQ3930" s="54"/>
      <c r="BA3930" s="54"/>
    </row>
    <row r="3931" spans="43:53" x14ac:dyDescent="0.35">
      <c r="AQ3931" s="54"/>
      <c r="BA3931" s="54"/>
    </row>
    <row r="3932" spans="43:53" x14ac:dyDescent="0.35">
      <c r="AQ3932" s="54"/>
      <c r="BA3932" s="54"/>
    </row>
    <row r="3933" spans="43:53" x14ac:dyDescent="0.35">
      <c r="AQ3933" s="54"/>
      <c r="BA3933" s="54"/>
    </row>
    <row r="3934" spans="43:53" x14ac:dyDescent="0.35">
      <c r="AQ3934" s="54"/>
      <c r="BA3934" s="54"/>
    </row>
    <row r="3935" spans="43:53" x14ac:dyDescent="0.35">
      <c r="AQ3935" s="54"/>
      <c r="BA3935" s="54"/>
    </row>
    <row r="3936" spans="43:53" x14ac:dyDescent="0.35">
      <c r="AQ3936" s="54"/>
      <c r="BA3936" s="54"/>
    </row>
    <row r="3937" spans="43:53" x14ac:dyDescent="0.35">
      <c r="AQ3937" s="54"/>
      <c r="BA3937" s="54"/>
    </row>
    <row r="3938" spans="43:53" x14ac:dyDescent="0.35">
      <c r="AQ3938" s="54"/>
      <c r="BA3938" s="54"/>
    </row>
    <row r="3939" spans="43:53" x14ac:dyDescent="0.35">
      <c r="AQ3939" s="54"/>
      <c r="BA3939" s="54"/>
    </row>
    <row r="3940" spans="43:53" x14ac:dyDescent="0.35">
      <c r="AQ3940" s="54"/>
      <c r="BA3940" s="54"/>
    </row>
    <row r="3941" spans="43:53" x14ac:dyDescent="0.35">
      <c r="AQ3941" s="54"/>
      <c r="BA3941" s="54"/>
    </row>
    <row r="3942" spans="43:53" x14ac:dyDescent="0.35">
      <c r="AQ3942" s="54"/>
      <c r="BA3942" s="54"/>
    </row>
    <row r="3943" spans="43:53" x14ac:dyDescent="0.35">
      <c r="AQ3943" s="54"/>
      <c r="BA3943" s="54"/>
    </row>
    <row r="3944" spans="43:53" x14ac:dyDescent="0.35">
      <c r="AQ3944" s="54"/>
      <c r="BA3944" s="54"/>
    </row>
    <row r="3945" spans="43:53" x14ac:dyDescent="0.35">
      <c r="AQ3945" s="54"/>
      <c r="BA3945" s="54"/>
    </row>
    <row r="3946" spans="43:53" x14ac:dyDescent="0.35">
      <c r="AQ3946" s="54"/>
      <c r="BA3946" s="54"/>
    </row>
    <row r="3947" spans="43:53" x14ac:dyDescent="0.35">
      <c r="AQ3947" s="54"/>
      <c r="BA3947" s="54"/>
    </row>
    <row r="3948" spans="43:53" x14ac:dyDescent="0.35">
      <c r="AQ3948" s="54"/>
      <c r="BA3948" s="54"/>
    </row>
    <row r="3949" spans="43:53" x14ac:dyDescent="0.35">
      <c r="AQ3949" s="54"/>
      <c r="BA3949" s="54"/>
    </row>
    <row r="3950" spans="43:53" x14ac:dyDescent="0.35">
      <c r="AQ3950" s="54"/>
      <c r="BA3950" s="54"/>
    </row>
    <row r="3951" spans="43:53" x14ac:dyDescent="0.35">
      <c r="AQ3951" s="54"/>
      <c r="BA3951" s="54"/>
    </row>
    <row r="3952" spans="43:53" x14ac:dyDescent="0.35">
      <c r="AQ3952" s="54"/>
      <c r="BA3952" s="54"/>
    </row>
    <row r="3953" spans="43:53" x14ac:dyDescent="0.35">
      <c r="AQ3953" s="54"/>
      <c r="BA3953" s="54"/>
    </row>
    <row r="3954" spans="43:53" x14ac:dyDescent="0.35">
      <c r="AQ3954" s="54"/>
      <c r="BA3954" s="54"/>
    </row>
    <row r="3955" spans="43:53" x14ac:dyDescent="0.35">
      <c r="AQ3955" s="54"/>
      <c r="BA3955" s="54"/>
    </row>
    <row r="3956" spans="43:53" x14ac:dyDescent="0.35">
      <c r="AQ3956" s="54"/>
      <c r="BA3956" s="54"/>
    </row>
    <row r="3957" spans="43:53" x14ac:dyDescent="0.35">
      <c r="AQ3957" s="54"/>
      <c r="BA3957" s="54"/>
    </row>
    <row r="3958" spans="43:53" x14ac:dyDescent="0.35">
      <c r="AQ3958" s="54"/>
      <c r="BA3958" s="54"/>
    </row>
    <row r="3959" spans="43:53" x14ac:dyDescent="0.35">
      <c r="AQ3959" s="54"/>
      <c r="BA3959" s="54"/>
    </row>
    <row r="3960" spans="43:53" x14ac:dyDescent="0.35">
      <c r="AQ3960" s="54"/>
      <c r="BA3960" s="54"/>
    </row>
    <row r="3961" spans="43:53" x14ac:dyDescent="0.35">
      <c r="AQ3961" s="54"/>
      <c r="BA3961" s="54"/>
    </row>
    <row r="3962" spans="43:53" x14ac:dyDescent="0.35">
      <c r="AQ3962" s="54"/>
      <c r="BA3962" s="54"/>
    </row>
    <row r="3963" spans="43:53" x14ac:dyDescent="0.35">
      <c r="AQ3963" s="54"/>
      <c r="BA3963" s="54"/>
    </row>
    <row r="3964" spans="43:53" x14ac:dyDescent="0.35">
      <c r="AQ3964" s="54"/>
      <c r="BA3964" s="54"/>
    </row>
    <row r="3965" spans="43:53" x14ac:dyDescent="0.35">
      <c r="AQ3965" s="54"/>
      <c r="BA3965" s="54"/>
    </row>
    <row r="3966" spans="43:53" x14ac:dyDescent="0.35">
      <c r="AQ3966" s="54"/>
      <c r="BA3966" s="54"/>
    </row>
    <row r="3967" spans="43:53" x14ac:dyDescent="0.35">
      <c r="AQ3967" s="54"/>
      <c r="BA3967" s="54"/>
    </row>
    <row r="3968" spans="43:53" x14ac:dyDescent="0.35">
      <c r="AQ3968" s="54"/>
      <c r="BA3968" s="54"/>
    </row>
    <row r="3969" spans="43:53" x14ac:dyDescent="0.35">
      <c r="AQ3969" s="54"/>
      <c r="BA3969" s="54"/>
    </row>
    <row r="3970" spans="43:53" x14ac:dyDescent="0.35">
      <c r="AQ3970" s="54"/>
      <c r="BA3970" s="54"/>
    </row>
    <row r="3971" spans="43:53" x14ac:dyDescent="0.35">
      <c r="AQ3971" s="54"/>
      <c r="BA3971" s="54"/>
    </row>
    <row r="3972" spans="43:53" x14ac:dyDescent="0.35">
      <c r="AQ3972" s="54"/>
      <c r="BA3972" s="54"/>
    </row>
    <row r="3973" spans="43:53" x14ac:dyDescent="0.35">
      <c r="AQ3973" s="54"/>
      <c r="BA3973" s="54"/>
    </row>
    <row r="3974" spans="43:53" x14ac:dyDescent="0.35">
      <c r="AQ3974" s="54"/>
      <c r="BA3974" s="54"/>
    </row>
    <row r="3975" spans="43:53" x14ac:dyDescent="0.35">
      <c r="AQ3975" s="54"/>
      <c r="BA3975" s="54"/>
    </row>
    <row r="3976" spans="43:53" x14ac:dyDescent="0.35">
      <c r="AQ3976" s="54"/>
      <c r="BA3976" s="54"/>
    </row>
    <row r="3977" spans="43:53" x14ac:dyDescent="0.35">
      <c r="AQ3977" s="54"/>
      <c r="BA3977" s="54"/>
    </row>
    <row r="3978" spans="43:53" x14ac:dyDescent="0.35">
      <c r="AQ3978" s="54"/>
      <c r="BA3978" s="54"/>
    </row>
    <row r="3979" spans="43:53" x14ac:dyDescent="0.35">
      <c r="AQ3979" s="54"/>
      <c r="BA3979" s="54"/>
    </row>
    <row r="3980" spans="43:53" x14ac:dyDescent="0.35">
      <c r="AQ3980" s="54"/>
      <c r="BA3980" s="54"/>
    </row>
    <row r="3981" spans="43:53" x14ac:dyDescent="0.35">
      <c r="AQ3981" s="54"/>
      <c r="BA3981" s="54"/>
    </row>
    <row r="3982" spans="43:53" x14ac:dyDescent="0.35">
      <c r="AQ3982" s="54"/>
      <c r="BA3982" s="54"/>
    </row>
    <row r="3983" spans="43:53" x14ac:dyDescent="0.35">
      <c r="AQ3983" s="54"/>
      <c r="BA3983" s="54"/>
    </row>
    <row r="3984" spans="43:53" x14ac:dyDescent="0.35">
      <c r="AQ3984" s="54"/>
      <c r="BA3984" s="54"/>
    </row>
    <row r="3985" spans="43:53" x14ac:dyDescent="0.35">
      <c r="AQ3985" s="54"/>
      <c r="BA3985" s="54"/>
    </row>
    <row r="3986" spans="43:53" x14ac:dyDescent="0.35">
      <c r="AQ3986" s="54"/>
      <c r="BA3986" s="54"/>
    </row>
    <row r="3987" spans="43:53" x14ac:dyDescent="0.35">
      <c r="AQ3987" s="54"/>
      <c r="BA3987" s="54"/>
    </row>
    <row r="3988" spans="43:53" x14ac:dyDescent="0.35">
      <c r="AQ3988" s="54"/>
      <c r="BA3988" s="54"/>
    </row>
    <row r="3989" spans="43:53" x14ac:dyDescent="0.35">
      <c r="AQ3989" s="54"/>
      <c r="BA3989" s="54"/>
    </row>
    <row r="3990" spans="43:53" x14ac:dyDescent="0.35">
      <c r="AQ3990" s="54"/>
      <c r="BA3990" s="54"/>
    </row>
    <row r="3991" spans="43:53" x14ac:dyDescent="0.35">
      <c r="AQ3991" s="54"/>
      <c r="BA3991" s="54"/>
    </row>
    <row r="3992" spans="43:53" x14ac:dyDescent="0.35">
      <c r="AQ3992" s="54"/>
      <c r="BA3992" s="54"/>
    </row>
    <row r="3993" spans="43:53" x14ac:dyDescent="0.35">
      <c r="AQ3993" s="54"/>
      <c r="BA3993" s="54"/>
    </row>
    <row r="3994" spans="43:53" x14ac:dyDescent="0.35">
      <c r="AQ3994" s="54"/>
      <c r="BA3994" s="54"/>
    </row>
    <row r="3995" spans="43:53" x14ac:dyDescent="0.35">
      <c r="AQ3995" s="54"/>
      <c r="BA3995" s="54"/>
    </row>
    <row r="3996" spans="43:53" x14ac:dyDescent="0.35">
      <c r="AQ3996" s="54"/>
      <c r="BA3996" s="54"/>
    </row>
    <row r="3997" spans="43:53" x14ac:dyDescent="0.35">
      <c r="AQ3997" s="54"/>
      <c r="BA3997" s="54"/>
    </row>
    <row r="3998" spans="43:53" x14ac:dyDescent="0.35">
      <c r="AQ3998" s="54"/>
      <c r="BA3998" s="54"/>
    </row>
    <row r="3999" spans="43:53" x14ac:dyDescent="0.35">
      <c r="AQ3999" s="54"/>
      <c r="BA3999" s="54"/>
    </row>
    <row r="4000" spans="43:53" x14ac:dyDescent="0.35">
      <c r="AQ4000" s="54"/>
      <c r="BA4000" s="54"/>
    </row>
    <row r="4001" spans="43:53" x14ac:dyDescent="0.35">
      <c r="AQ4001" s="54"/>
      <c r="BA4001" s="54"/>
    </row>
    <row r="4002" spans="43:53" x14ac:dyDescent="0.35">
      <c r="AQ4002" s="54"/>
      <c r="BA4002" s="54"/>
    </row>
    <row r="4003" spans="43:53" x14ac:dyDescent="0.35">
      <c r="AQ4003" s="54"/>
      <c r="BA4003" s="54"/>
    </row>
    <row r="4004" spans="43:53" x14ac:dyDescent="0.35">
      <c r="AQ4004" s="54"/>
      <c r="BA4004" s="54"/>
    </row>
    <row r="4005" spans="43:53" x14ac:dyDescent="0.35">
      <c r="AQ4005" s="54"/>
      <c r="BA4005" s="54"/>
    </row>
    <row r="4006" spans="43:53" x14ac:dyDescent="0.35">
      <c r="AQ4006" s="54"/>
      <c r="BA4006" s="54"/>
    </row>
    <row r="4007" spans="43:53" x14ac:dyDescent="0.35">
      <c r="AQ4007" s="54"/>
      <c r="BA4007" s="54"/>
    </row>
    <row r="4008" spans="43:53" x14ac:dyDescent="0.35">
      <c r="AQ4008" s="54"/>
      <c r="BA4008" s="54"/>
    </row>
    <row r="4009" spans="43:53" x14ac:dyDescent="0.35">
      <c r="AQ4009" s="54"/>
      <c r="BA4009" s="54"/>
    </row>
    <row r="4010" spans="43:53" x14ac:dyDescent="0.35">
      <c r="AQ4010" s="54"/>
      <c r="BA4010" s="54"/>
    </row>
    <row r="4011" spans="43:53" x14ac:dyDescent="0.35">
      <c r="AQ4011" s="54"/>
      <c r="BA4011" s="54"/>
    </row>
    <row r="4012" spans="43:53" x14ac:dyDescent="0.35">
      <c r="AQ4012" s="54"/>
      <c r="BA4012" s="54"/>
    </row>
    <row r="4013" spans="43:53" x14ac:dyDescent="0.35">
      <c r="AQ4013" s="54"/>
      <c r="BA4013" s="54"/>
    </row>
    <row r="4014" spans="43:53" x14ac:dyDescent="0.35">
      <c r="AQ4014" s="54"/>
      <c r="BA4014" s="54"/>
    </row>
    <row r="4015" spans="43:53" x14ac:dyDescent="0.35">
      <c r="AQ4015" s="54"/>
      <c r="BA4015" s="54"/>
    </row>
    <row r="4016" spans="43:53" x14ac:dyDescent="0.35">
      <c r="AQ4016" s="54"/>
      <c r="BA4016" s="54"/>
    </row>
    <row r="4017" spans="43:53" x14ac:dyDescent="0.35">
      <c r="AQ4017" s="54"/>
      <c r="BA4017" s="54"/>
    </row>
    <row r="4018" spans="43:53" x14ac:dyDescent="0.35">
      <c r="AQ4018" s="54"/>
      <c r="BA4018" s="54"/>
    </row>
    <row r="4019" spans="43:53" x14ac:dyDescent="0.35">
      <c r="AQ4019" s="54"/>
      <c r="BA4019" s="54"/>
    </row>
    <row r="4020" spans="43:53" x14ac:dyDescent="0.35">
      <c r="AQ4020" s="54"/>
      <c r="BA4020" s="54"/>
    </row>
    <row r="4021" spans="43:53" x14ac:dyDescent="0.35">
      <c r="AQ4021" s="54"/>
      <c r="BA4021" s="54"/>
    </row>
    <row r="4022" spans="43:53" x14ac:dyDescent="0.35">
      <c r="AQ4022" s="54"/>
      <c r="BA4022" s="54"/>
    </row>
    <row r="4023" spans="43:53" x14ac:dyDescent="0.35">
      <c r="AQ4023" s="54"/>
      <c r="BA4023" s="54"/>
    </row>
    <row r="4024" spans="43:53" x14ac:dyDescent="0.35">
      <c r="AQ4024" s="54"/>
      <c r="BA4024" s="54"/>
    </row>
    <row r="4025" spans="43:53" x14ac:dyDescent="0.35">
      <c r="AQ4025" s="54"/>
      <c r="BA4025" s="54"/>
    </row>
    <row r="4026" spans="43:53" x14ac:dyDescent="0.35">
      <c r="AQ4026" s="54"/>
      <c r="BA4026" s="54"/>
    </row>
    <row r="4027" spans="43:53" x14ac:dyDescent="0.35">
      <c r="AQ4027" s="54"/>
      <c r="BA4027" s="54"/>
    </row>
    <row r="4028" spans="43:53" x14ac:dyDescent="0.35">
      <c r="AQ4028" s="54"/>
      <c r="BA4028" s="54"/>
    </row>
    <row r="4029" spans="43:53" x14ac:dyDescent="0.35">
      <c r="AQ4029" s="54"/>
      <c r="BA4029" s="54"/>
    </row>
    <row r="4030" spans="43:53" x14ac:dyDescent="0.35">
      <c r="AQ4030" s="54"/>
      <c r="BA4030" s="54"/>
    </row>
    <row r="4031" spans="43:53" x14ac:dyDescent="0.35">
      <c r="AQ4031" s="54"/>
      <c r="BA4031" s="54"/>
    </row>
    <row r="4032" spans="43:53" x14ac:dyDescent="0.35">
      <c r="AQ4032" s="54"/>
      <c r="BA4032" s="54"/>
    </row>
    <row r="4033" spans="43:53" x14ac:dyDescent="0.35">
      <c r="AQ4033" s="54"/>
      <c r="BA4033" s="54"/>
    </row>
    <row r="4034" spans="43:53" x14ac:dyDescent="0.35">
      <c r="AQ4034" s="54"/>
      <c r="BA4034" s="54"/>
    </row>
    <row r="4035" spans="43:53" x14ac:dyDescent="0.35">
      <c r="AQ4035" s="54"/>
      <c r="BA4035" s="54"/>
    </row>
    <row r="4036" spans="43:53" x14ac:dyDescent="0.35">
      <c r="AQ4036" s="54"/>
      <c r="BA4036" s="54"/>
    </row>
    <row r="4037" spans="43:53" x14ac:dyDescent="0.35">
      <c r="AQ4037" s="54"/>
      <c r="BA4037" s="54"/>
    </row>
    <row r="4038" spans="43:53" x14ac:dyDescent="0.35">
      <c r="AQ4038" s="54"/>
      <c r="BA4038" s="54"/>
    </row>
    <row r="4039" spans="43:53" x14ac:dyDescent="0.35">
      <c r="AQ4039" s="54"/>
      <c r="BA4039" s="54"/>
    </row>
    <row r="4040" spans="43:53" x14ac:dyDescent="0.35">
      <c r="AQ4040" s="54"/>
      <c r="BA4040" s="54"/>
    </row>
    <row r="4041" spans="43:53" x14ac:dyDescent="0.35">
      <c r="AQ4041" s="54"/>
      <c r="BA4041" s="54"/>
    </row>
    <row r="4042" spans="43:53" x14ac:dyDescent="0.35">
      <c r="AQ4042" s="54"/>
      <c r="BA4042" s="54"/>
    </row>
    <row r="4043" spans="43:53" x14ac:dyDescent="0.35">
      <c r="AQ4043" s="54"/>
      <c r="BA4043" s="54"/>
    </row>
    <row r="4044" spans="43:53" x14ac:dyDescent="0.35">
      <c r="AQ4044" s="54"/>
      <c r="BA4044" s="54"/>
    </row>
    <row r="4045" spans="43:53" x14ac:dyDescent="0.35">
      <c r="AQ4045" s="54"/>
      <c r="BA4045" s="54"/>
    </row>
    <row r="4046" spans="43:53" x14ac:dyDescent="0.35">
      <c r="AQ4046" s="54"/>
      <c r="BA4046" s="54"/>
    </row>
    <row r="4047" spans="43:53" x14ac:dyDescent="0.35">
      <c r="AQ4047" s="54"/>
      <c r="BA4047" s="54"/>
    </row>
    <row r="4048" spans="43:53" x14ac:dyDescent="0.35">
      <c r="AQ4048" s="54"/>
      <c r="BA4048" s="54"/>
    </row>
    <row r="4049" spans="43:53" x14ac:dyDescent="0.35">
      <c r="AQ4049" s="54"/>
      <c r="BA4049" s="54"/>
    </row>
    <row r="4050" spans="43:53" x14ac:dyDescent="0.35">
      <c r="AQ4050" s="54"/>
      <c r="BA4050" s="54"/>
    </row>
    <row r="4051" spans="43:53" x14ac:dyDescent="0.35">
      <c r="AQ4051" s="54"/>
      <c r="BA4051" s="54"/>
    </row>
    <row r="4052" spans="43:53" x14ac:dyDescent="0.35">
      <c r="AQ4052" s="54"/>
      <c r="BA4052" s="54"/>
    </row>
    <row r="4053" spans="43:53" x14ac:dyDescent="0.35">
      <c r="AQ4053" s="54"/>
      <c r="BA4053" s="54"/>
    </row>
    <row r="4054" spans="43:53" x14ac:dyDescent="0.35">
      <c r="AQ4054" s="54"/>
      <c r="BA4054" s="54"/>
    </row>
    <row r="4055" spans="43:53" x14ac:dyDescent="0.35">
      <c r="AQ4055" s="54"/>
      <c r="BA4055" s="54"/>
    </row>
    <row r="4056" spans="43:53" x14ac:dyDescent="0.35">
      <c r="AQ4056" s="54"/>
      <c r="BA4056" s="54"/>
    </row>
    <row r="4057" spans="43:53" x14ac:dyDescent="0.35">
      <c r="AQ4057" s="54"/>
      <c r="BA4057" s="54"/>
    </row>
    <row r="4058" spans="43:53" x14ac:dyDescent="0.35">
      <c r="AQ4058" s="54"/>
      <c r="BA4058" s="54"/>
    </row>
    <row r="4059" spans="43:53" x14ac:dyDescent="0.35">
      <c r="AQ4059" s="54"/>
      <c r="BA4059" s="54"/>
    </row>
    <row r="4060" spans="43:53" x14ac:dyDescent="0.35">
      <c r="AQ4060" s="54"/>
      <c r="BA4060" s="54"/>
    </row>
    <row r="4061" spans="43:53" x14ac:dyDescent="0.35">
      <c r="AQ4061" s="54"/>
      <c r="BA4061" s="54"/>
    </row>
    <row r="4062" spans="43:53" x14ac:dyDescent="0.35">
      <c r="AQ4062" s="54"/>
      <c r="BA4062" s="54"/>
    </row>
    <row r="4063" spans="43:53" x14ac:dyDescent="0.35">
      <c r="AQ4063" s="54"/>
      <c r="BA4063" s="54"/>
    </row>
    <row r="4064" spans="43:53" x14ac:dyDescent="0.35">
      <c r="AQ4064" s="54"/>
      <c r="BA4064" s="54"/>
    </row>
    <row r="4065" spans="43:53" x14ac:dyDescent="0.35">
      <c r="AQ4065" s="54"/>
      <c r="BA4065" s="54"/>
    </row>
    <row r="4066" spans="43:53" x14ac:dyDescent="0.35">
      <c r="AQ4066" s="54"/>
      <c r="BA4066" s="54"/>
    </row>
    <row r="4067" spans="43:53" x14ac:dyDescent="0.35">
      <c r="AQ4067" s="54"/>
      <c r="BA4067" s="54"/>
    </row>
    <row r="4068" spans="43:53" x14ac:dyDescent="0.35">
      <c r="AQ4068" s="54"/>
      <c r="BA4068" s="54"/>
    </row>
    <row r="4069" spans="43:53" x14ac:dyDescent="0.35">
      <c r="AQ4069" s="54"/>
      <c r="BA4069" s="54"/>
    </row>
    <row r="4070" spans="43:53" x14ac:dyDescent="0.35">
      <c r="AQ4070" s="54"/>
      <c r="BA4070" s="54"/>
    </row>
    <row r="4071" spans="43:53" x14ac:dyDescent="0.35">
      <c r="AQ4071" s="54"/>
      <c r="BA4071" s="54"/>
    </row>
    <row r="4072" spans="43:53" x14ac:dyDescent="0.35">
      <c r="AQ4072" s="54"/>
      <c r="BA4072" s="54"/>
    </row>
    <row r="4073" spans="43:53" x14ac:dyDescent="0.35">
      <c r="AQ4073" s="54"/>
      <c r="BA4073" s="54"/>
    </row>
    <row r="4074" spans="43:53" x14ac:dyDescent="0.35">
      <c r="AQ4074" s="54"/>
      <c r="BA4074" s="54"/>
    </row>
    <row r="4075" spans="43:53" x14ac:dyDescent="0.35">
      <c r="AQ4075" s="54"/>
      <c r="BA4075" s="54"/>
    </row>
    <row r="4076" spans="43:53" x14ac:dyDescent="0.35">
      <c r="AQ4076" s="54"/>
      <c r="BA4076" s="54"/>
    </row>
    <row r="4077" spans="43:53" x14ac:dyDescent="0.35">
      <c r="AQ4077" s="54"/>
      <c r="BA4077" s="54"/>
    </row>
    <row r="4078" spans="43:53" x14ac:dyDescent="0.35">
      <c r="AQ4078" s="54"/>
      <c r="BA4078" s="54"/>
    </row>
    <row r="4079" spans="43:53" x14ac:dyDescent="0.35">
      <c r="AQ4079" s="54"/>
      <c r="BA4079" s="54"/>
    </row>
    <row r="4080" spans="43:53" x14ac:dyDescent="0.35">
      <c r="AQ4080" s="54"/>
      <c r="BA4080" s="54"/>
    </row>
    <row r="4081" spans="43:53" x14ac:dyDescent="0.35">
      <c r="AQ4081" s="54"/>
      <c r="BA4081" s="54"/>
    </row>
    <row r="4082" spans="43:53" x14ac:dyDescent="0.35">
      <c r="AQ4082" s="54"/>
      <c r="BA4082" s="54"/>
    </row>
    <row r="4083" spans="43:53" x14ac:dyDescent="0.35">
      <c r="AQ4083" s="54"/>
      <c r="BA4083" s="54"/>
    </row>
    <row r="4084" spans="43:53" x14ac:dyDescent="0.35">
      <c r="AQ4084" s="54"/>
      <c r="BA4084" s="54"/>
    </row>
    <row r="4085" spans="43:53" x14ac:dyDescent="0.35">
      <c r="AQ4085" s="54"/>
      <c r="BA4085" s="54"/>
    </row>
    <row r="4086" spans="43:53" x14ac:dyDescent="0.35">
      <c r="AQ4086" s="54"/>
      <c r="BA4086" s="54"/>
    </row>
    <row r="4087" spans="43:53" x14ac:dyDescent="0.35">
      <c r="AQ4087" s="54"/>
      <c r="BA4087" s="54"/>
    </row>
    <row r="4088" spans="43:53" x14ac:dyDescent="0.35">
      <c r="AQ4088" s="54"/>
      <c r="BA4088" s="54"/>
    </row>
    <row r="4089" spans="43:53" x14ac:dyDescent="0.35">
      <c r="AQ4089" s="54"/>
      <c r="BA4089" s="54"/>
    </row>
    <row r="4090" spans="43:53" x14ac:dyDescent="0.35">
      <c r="AQ4090" s="54"/>
      <c r="BA4090" s="54"/>
    </row>
    <row r="4091" spans="43:53" x14ac:dyDescent="0.35">
      <c r="AQ4091" s="54"/>
      <c r="BA4091" s="54"/>
    </row>
    <row r="4092" spans="43:53" x14ac:dyDescent="0.35">
      <c r="AQ4092" s="54"/>
      <c r="BA4092" s="54"/>
    </row>
    <row r="4093" spans="43:53" x14ac:dyDescent="0.35">
      <c r="AQ4093" s="54"/>
      <c r="BA4093" s="54"/>
    </row>
    <row r="4094" spans="43:53" x14ac:dyDescent="0.35">
      <c r="AQ4094" s="54"/>
      <c r="BA4094" s="54"/>
    </row>
    <row r="4095" spans="43:53" x14ac:dyDescent="0.35">
      <c r="AQ4095" s="54"/>
      <c r="BA4095" s="54"/>
    </row>
    <row r="4096" spans="43:53" x14ac:dyDescent="0.35">
      <c r="AQ4096" s="54"/>
      <c r="BA4096" s="54"/>
    </row>
    <row r="4097" spans="43:53" x14ac:dyDescent="0.35">
      <c r="AQ4097" s="54"/>
      <c r="BA4097" s="54"/>
    </row>
    <row r="4098" spans="43:53" x14ac:dyDescent="0.35">
      <c r="AQ4098" s="54"/>
      <c r="BA4098" s="54"/>
    </row>
    <row r="4099" spans="43:53" x14ac:dyDescent="0.35">
      <c r="AQ4099" s="54"/>
      <c r="BA4099" s="54"/>
    </row>
    <row r="4100" spans="43:53" x14ac:dyDescent="0.35">
      <c r="AQ4100" s="54"/>
      <c r="BA4100" s="54"/>
    </row>
    <row r="4101" spans="43:53" x14ac:dyDescent="0.35">
      <c r="AQ4101" s="54"/>
      <c r="BA4101" s="54"/>
    </row>
    <row r="4102" spans="43:53" x14ac:dyDescent="0.35">
      <c r="AQ4102" s="54"/>
      <c r="BA4102" s="54"/>
    </row>
    <row r="4103" spans="43:53" x14ac:dyDescent="0.35">
      <c r="AQ4103" s="54"/>
      <c r="BA4103" s="54"/>
    </row>
    <row r="4104" spans="43:53" x14ac:dyDescent="0.35">
      <c r="AQ4104" s="54"/>
      <c r="BA4104" s="54"/>
    </row>
    <row r="4105" spans="43:53" x14ac:dyDescent="0.35">
      <c r="AQ4105" s="54"/>
      <c r="BA4105" s="54"/>
    </row>
    <row r="4106" spans="43:53" x14ac:dyDescent="0.35">
      <c r="AQ4106" s="54"/>
      <c r="BA4106" s="54"/>
    </row>
    <row r="4107" spans="43:53" x14ac:dyDescent="0.35">
      <c r="AQ4107" s="54"/>
      <c r="BA4107" s="54"/>
    </row>
    <row r="4108" spans="43:53" x14ac:dyDescent="0.35">
      <c r="AQ4108" s="54"/>
      <c r="BA4108" s="54"/>
    </row>
    <row r="4109" spans="43:53" x14ac:dyDescent="0.35">
      <c r="AQ4109" s="54"/>
      <c r="BA4109" s="54"/>
    </row>
    <row r="4110" spans="43:53" x14ac:dyDescent="0.35">
      <c r="AQ4110" s="54"/>
      <c r="BA4110" s="54"/>
    </row>
    <row r="4111" spans="43:53" x14ac:dyDescent="0.35">
      <c r="AQ4111" s="54"/>
      <c r="BA4111" s="54"/>
    </row>
    <row r="4112" spans="43:53" x14ac:dyDescent="0.35">
      <c r="AQ4112" s="54"/>
      <c r="BA4112" s="54"/>
    </row>
    <row r="4113" spans="43:53" x14ac:dyDescent="0.35">
      <c r="AQ4113" s="54"/>
      <c r="BA4113" s="54"/>
    </row>
    <row r="4114" spans="43:53" x14ac:dyDescent="0.35">
      <c r="AQ4114" s="54"/>
      <c r="BA4114" s="54"/>
    </row>
    <row r="4115" spans="43:53" x14ac:dyDescent="0.35">
      <c r="AQ4115" s="54"/>
      <c r="BA4115" s="54"/>
    </row>
    <row r="4116" spans="43:53" x14ac:dyDescent="0.35">
      <c r="AQ4116" s="54"/>
      <c r="BA4116" s="54"/>
    </row>
    <row r="4117" spans="43:53" x14ac:dyDescent="0.35">
      <c r="AQ4117" s="54"/>
      <c r="BA4117" s="54"/>
    </row>
    <row r="4118" spans="43:53" x14ac:dyDescent="0.35">
      <c r="AQ4118" s="54"/>
      <c r="BA4118" s="54"/>
    </row>
    <row r="4119" spans="43:53" x14ac:dyDescent="0.35">
      <c r="AQ4119" s="54"/>
      <c r="BA4119" s="54"/>
    </row>
    <row r="4120" spans="43:53" x14ac:dyDescent="0.35">
      <c r="AQ4120" s="54"/>
      <c r="BA4120" s="54"/>
    </row>
    <row r="4121" spans="43:53" x14ac:dyDescent="0.35">
      <c r="AQ4121" s="54"/>
      <c r="BA4121" s="54"/>
    </row>
    <row r="4122" spans="43:53" x14ac:dyDescent="0.35">
      <c r="AQ4122" s="54"/>
      <c r="BA4122" s="54"/>
    </row>
    <row r="4123" spans="43:53" x14ac:dyDescent="0.35">
      <c r="AQ4123" s="54"/>
      <c r="BA4123" s="54"/>
    </row>
    <row r="4124" spans="43:53" x14ac:dyDescent="0.35">
      <c r="AQ4124" s="54"/>
      <c r="BA4124" s="54"/>
    </row>
    <row r="4125" spans="43:53" x14ac:dyDescent="0.35">
      <c r="AQ4125" s="54"/>
      <c r="BA4125" s="54"/>
    </row>
    <row r="4126" spans="43:53" x14ac:dyDescent="0.35">
      <c r="AQ4126" s="54"/>
      <c r="BA4126" s="54"/>
    </row>
    <row r="4127" spans="43:53" x14ac:dyDescent="0.35">
      <c r="AQ4127" s="54"/>
      <c r="BA4127" s="54"/>
    </row>
    <row r="4128" spans="43:53" x14ac:dyDescent="0.35">
      <c r="AQ4128" s="54"/>
      <c r="BA4128" s="54"/>
    </row>
    <row r="4129" spans="43:53" x14ac:dyDescent="0.35">
      <c r="AQ4129" s="54"/>
      <c r="BA4129" s="54"/>
    </row>
    <row r="4130" spans="43:53" x14ac:dyDescent="0.35">
      <c r="AQ4130" s="54"/>
      <c r="BA4130" s="54"/>
    </row>
    <row r="4131" spans="43:53" x14ac:dyDescent="0.35">
      <c r="AQ4131" s="54"/>
      <c r="BA4131" s="54"/>
    </row>
    <row r="4132" spans="43:53" x14ac:dyDescent="0.35">
      <c r="AQ4132" s="54"/>
      <c r="BA4132" s="54"/>
    </row>
    <row r="4133" spans="43:53" x14ac:dyDescent="0.35">
      <c r="AQ4133" s="54"/>
      <c r="BA4133" s="54"/>
    </row>
    <row r="4134" spans="43:53" x14ac:dyDescent="0.35">
      <c r="AQ4134" s="54"/>
      <c r="BA4134" s="54"/>
    </row>
    <row r="4135" spans="43:53" x14ac:dyDescent="0.35">
      <c r="AQ4135" s="54"/>
      <c r="BA4135" s="54"/>
    </row>
    <row r="4136" spans="43:53" x14ac:dyDescent="0.35">
      <c r="AQ4136" s="54"/>
      <c r="BA4136" s="54"/>
    </row>
    <row r="4137" spans="43:53" x14ac:dyDescent="0.35">
      <c r="AQ4137" s="54"/>
      <c r="BA4137" s="54"/>
    </row>
    <row r="4138" spans="43:53" x14ac:dyDescent="0.35">
      <c r="AQ4138" s="54"/>
      <c r="BA4138" s="54"/>
    </row>
    <row r="4139" spans="43:53" x14ac:dyDescent="0.35">
      <c r="AQ4139" s="54"/>
      <c r="BA4139" s="54"/>
    </row>
    <row r="4140" spans="43:53" x14ac:dyDescent="0.35">
      <c r="AQ4140" s="54"/>
      <c r="BA4140" s="54"/>
    </row>
    <row r="4141" spans="43:53" x14ac:dyDescent="0.35">
      <c r="AQ4141" s="54"/>
      <c r="BA4141" s="54"/>
    </row>
    <row r="4142" spans="43:53" x14ac:dyDescent="0.35">
      <c r="AQ4142" s="54"/>
      <c r="BA4142" s="54"/>
    </row>
    <row r="4143" spans="43:53" x14ac:dyDescent="0.35">
      <c r="AQ4143" s="54"/>
      <c r="BA4143" s="54"/>
    </row>
    <row r="4144" spans="43:53" x14ac:dyDescent="0.35">
      <c r="AQ4144" s="54"/>
      <c r="BA4144" s="54"/>
    </row>
    <row r="4145" spans="43:53" x14ac:dyDescent="0.35">
      <c r="AQ4145" s="54"/>
      <c r="BA4145" s="54"/>
    </row>
    <row r="4146" spans="43:53" x14ac:dyDescent="0.35">
      <c r="AQ4146" s="54"/>
      <c r="BA4146" s="54"/>
    </row>
    <row r="4147" spans="43:53" x14ac:dyDescent="0.35">
      <c r="AQ4147" s="54"/>
      <c r="BA4147" s="54"/>
    </row>
    <row r="4148" spans="43:53" x14ac:dyDescent="0.35">
      <c r="AQ4148" s="54"/>
      <c r="BA4148" s="54"/>
    </row>
    <row r="4149" spans="43:53" x14ac:dyDescent="0.35">
      <c r="AQ4149" s="54"/>
      <c r="BA4149" s="54"/>
    </row>
    <row r="4150" spans="43:53" x14ac:dyDescent="0.35">
      <c r="AQ4150" s="54"/>
      <c r="BA4150" s="54"/>
    </row>
    <row r="4151" spans="43:53" x14ac:dyDescent="0.35">
      <c r="AQ4151" s="54"/>
      <c r="BA4151" s="54"/>
    </row>
    <row r="4152" spans="43:53" x14ac:dyDescent="0.35">
      <c r="AQ4152" s="54"/>
      <c r="BA4152" s="54"/>
    </row>
    <row r="4153" spans="43:53" x14ac:dyDescent="0.35">
      <c r="AQ4153" s="54"/>
      <c r="BA4153" s="54"/>
    </row>
    <row r="4154" spans="43:53" x14ac:dyDescent="0.35">
      <c r="AQ4154" s="54"/>
      <c r="BA4154" s="54"/>
    </row>
    <row r="4155" spans="43:53" x14ac:dyDescent="0.35">
      <c r="AQ4155" s="54"/>
      <c r="BA4155" s="54"/>
    </row>
    <row r="4156" spans="43:53" x14ac:dyDescent="0.35">
      <c r="AQ4156" s="54"/>
      <c r="BA4156" s="54"/>
    </row>
    <row r="4157" spans="43:53" x14ac:dyDescent="0.35">
      <c r="AQ4157" s="54"/>
      <c r="BA4157" s="54"/>
    </row>
    <row r="4158" spans="43:53" x14ac:dyDescent="0.35">
      <c r="AQ4158" s="54"/>
      <c r="BA4158" s="54"/>
    </row>
    <row r="4159" spans="43:53" x14ac:dyDescent="0.35">
      <c r="AQ4159" s="54"/>
      <c r="BA4159" s="54"/>
    </row>
    <row r="4160" spans="43:53" x14ac:dyDescent="0.35">
      <c r="AQ4160" s="54"/>
      <c r="BA4160" s="54"/>
    </row>
    <row r="4161" spans="43:53" x14ac:dyDescent="0.35">
      <c r="AQ4161" s="54"/>
      <c r="BA4161" s="54"/>
    </row>
    <row r="4162" spans="43:53" x14ac:dyDescent="0.35">
      <c r="AQ4162" s="54"/>
      <c r="BA4162" s="54"/>
    </row>
    <row r="4163" spans="43:53" x14ac:dyDescent="0.35">
      <c r="AQ4163" s="54"/>
      <c r="BA4163" s="54"/>
    </row>
    <row r="4164" spans="43:53" x14ac:dyDescent="0.35">
      <c r="AQ4164" s="54"/>
      <c r="BA4164" s="54"/>
    </row>
    <row r="4165" spans="43:53" x14ac:dyDescent="0.35">
      <c r="AQ4165" s="54"/>
      <c r="BA4165" s="54"/>
    </row>
    <row r="4166" spans="43:53" x14ac:dyDescent="0.35">
      <c r="AQ4166" s="54"/>
      <c r="BA4166" s="54"/>
    </row>
    <row r="4167" spans="43:53" x14ac:dyDescent="0.35">
      <c r="AQ4167" s="54"/>
      <c r="BA4167" s="54"/>
    </row>
    <row r="4168" spans="43:53" x14ac:dyDescent="0.35">
      <c r="AQ4168" s="54"/>
      <c r="BA4168" s="54"/>
    </row>
    <row r="4169" spans="43:53" x14ac:dyDescent="0.35">
      <c r="AQ4169" s="54"/>
      <c r="BA4169" s="54"/>
    </row>
    <row r="4170" spans="43:53" x14ac:dyDescent="0.35">
      <c r="AQ4170" s="54"/>
      <c r="BA4170" s="54"/>
    </row>
    <row r="4171" spans="43:53" x14ac:dyDescent="0.35">
      <c r="AQ4171" s="54"/>
      <c r="BA4171" s="54"/>
    </row>
    <row r="4172" spans="43:53" x14ac:dyDescent="0.35">
      <c r="AQ4172" s="54"/>
      <c r="BA4172" s="54"/>
    </row>
    <row r="4173" spans="43:53" x14ac:dyDescent="0.35">
      <c r="AQ4173" s="54"/>
      <c r="BA4173" s="54"/>
    </row>
    <row r="4174" spans="43:53" x14ac:dyDescent="0.35">
      <c r="AQ4174" s="54"/>
      <c r="BA4174" s="54"/>
    </row>
    <row r="4175" spans="43:53" x14ac:dyDescent="0.35">
      <c r="AQ4175" s="54"/>
      <c r="BA4175" s="54"/>
    </row>
    <row r="4176" spans="43:53" x14ac:dyDescent="0.35">
      <c r="AQ4176" s="54"/>
      <c r="BA4176" s="54"/>
    </row>
    <row r="4177" spans="43:53" x14ac:dyDescent="0.35">
      <c r="AQ4177" s="54"/>
      <c r="BA4177" s="54"/>
    </row>
    <row r="4178" spans="43:53" x14ac:dyDescent="0.35">
      <c r="AQ4178" s="54"/>
      <c r="BA4178" s="54"/>
    </row>
    <row r="4179" spans="43:53" x14ac:dyDescent="0.35">
      <c r="AQ4179" s="54"/>
      <c r="BA4179" s="54"/>
    </row>
    <row r="4180" spans="43:53" x14ac:dyDescent="0.35">
      <c r="AQ4180" s="54"/>
      <c r="BA4180" s="54"/>
    </row>
    <row r="4181" spans="43:53" x14ac:dyDescent="0.35">
      <c r="AQ4181" s="54"/>
      <c r="BA4181" s="54"/>
    </row>
    <row r="4182" spans="43:53" x14ac:dyDescent="0.35">
      <c r="AQ4182" s="54"/>
      <c r="BA4182" s="54"/>
    </row>
    <row r="4183" spans="43:53" x14ac:dyDescent="0.35">
      <c r="AQ4183" s="54"/>
      <c r="BA4183" s="54"/>
    </row>
    <row r="4184" spans="43:53" x14ac:dyDescent="0.35">
      <c r="AQ4184" s="54"/>
      <c r="BA4184" s="54"/>
    </row>
    <row r="4185" spans="43:53" x14ac:dyDescent="0.35">
      <c r="AQ4185" s="54"/>
      <c r="BA4185" s="54"/>
    </row>
    <row r="4186" spans="43:53" x14ac:dyDescent="0.35">
      <c r="AQ4186" s="54"/>
      <c r="BA4186" s="54"/>
    </row>
    <row r="4187" spans="43:53" x14ac:dyDescent="0.35">
      <c r="AQ4187" s="54"/>
      <c r="BA4187" s="54"/>
    </row>
    <row r="4188" spans="43:53" x14ac:dyDescent="0.35">
      <c r="AQ4188" s="54"/>
      <c r="BA4188" s="54"/>
    </row>
    <row r="4189" spans="43:53" x14ac:dyDescent="0.35">
      <c r="AQ4189" s="54"/>
      <c r="BA4189" s="54"/>
    </row>
    <row r="4190" spans="43:53" x14ac:dyDescent="0.35">
      <c r="AQ4190" s="54"/>
      <c r="BA4190" s="54"/>
    </row>
    <row r="4191" spans="43:53" x14ac:dyDescent="0.35">
      <c r="AQ4191" s="54"/>
      <c r="BA4191" s="54"/>
    </row>
    <row r="4192" spans="43:53" x14ac:dyDescent="0.35">
      <c r="AQ4192" s="54"/>
      <c r="BA4192" s="54"/>
    </row>
    <row r="4193" spans="43:53" x14ac:dyDescent="0.35">
      <c r="AQ4193" s="54"/>
      <c r="BA4193" s="54"/>
    </row>
    <row r="4194" spans="43:53" x14ac:dyDescent="0.35">
      <c r="AQ4194" s="54"/>
      <c r="BA4194" s="54"/>
    </row>
    <row r="4195" spans="43:53" x14ac:dyDescent="0.35">
      <c r="AQ4195" s="54"/>
      <c r="BA4195" s="54"/>
    </row>
    <row r="4196" spans="43:53" x14ac:dyDescent="0.35">
      <c r="AQ4196" s="54"/>
      <c r="BA4196" s="54"/>
    </row>
    <row r="4197" spans="43:53" x14ac:dyDescent="0.35">
      <c r="AQ4197" s="54"/>
      <c r="BA4197" s="54"/>
    </row>
    <row r="4198" spans="43:53" x14ac:dyDescent="0.35">
      <c r="AQ4198" s="54"/>
      <c r="BA4198" s="54"/>
    </row>
    <row r="4199" spans="43:53" x14ac:dyDescent="0.35">
      <c r="AQ4199" s="54"/>
      <c r="BA4199" s="54"/>
    </row>
    <row r="4200" spans="43:53" x14ac:dyDescent="0.35">
      <c r="AQ4200" s="54"/>
      <c r="BA4200" s="54"/>
    </row>
    <row r="4201" spans="43:53" x14ac:dyDescent="0.35">
      <c r="AQ4201" s="54"/>
      <c r="BA4201" s="54"/>
    </row>
    <row r="4202" spans="43:53" x14ac:dyDescent="0.35">
      <c r="AQ4202" s="54"/>
      <c r="BA4202" s="54"/>
    </row>
    <row r="4203" spans="43:53" x14ac:dyDescent="0.35">
      <c r="AQ4203" s="54"/>
      <c r="BA4203" s="54"/>
    </row>
    <row r="4204" spans="43:53" x14ac:dyDescent="0.35">
      <c r="AQ4204" s="54"/>
      <c r="BA4204" s="54"/>
    </row>
    <row r="4205" spans="43:53" x14ac:dyDescent="0.35">
      <c r="AQ4205" s="54"/>
      <c r="BA4205" s="54"/>
    </row>
    <row r="4206" spans="43:53" x14ac:dyDescent="0.35">
      <c r="AQ4206" s="54"/>
      <c r="BA4206" s="54"/>
    </row>
    <row r="4207" spans="43:53" x14ac:dyDescent="0.35">
      <c r="AQ4207" s="54"/>
      <c r="BA4207" s="54"/>
    </row>
    <row r="4208" spans="43:53" x14ac:dyDescent="0.35">
      <c r="AQ4208" s="54"/>
      <c r="BA4208" s="54"/>
    </row>
    <row r="4209" spans="43:53" x14ac:dyDescent="0.35">
      <c r="AQ4209" s="54"/>
      <c r="BA4209" s="54"/>
    </row>
    <row r="4210" spans="43:53" x14ac:dyDescent="0.35">
      <c r="AQ4210" s="54"/>
      <c r="BA4210" s="54"/>
    </row>
    <row r="4211" spans="43:53" x14ac:dyDescent="0.35">
      <c r="AQ4211" s="54"/>
      <c r="BA4211" s="54"/>
    </row>
    <row r="4212" spans="43:53" x14ac:dyDescent="0.35">
      <c r="AQ4212" s="54"/>
      <c r="BA4212" s="54"/>
    </row>
    <row r="4213" spans="43:53" x14ac:dyDescent="0.35">
      <c r="AQ4213" s="54"/>
      <c r="BA4213" s="54"/>
    </row>
    <row r="4214" spans="43:53" x14ac:dyDescent="0.35">
      <c r="AQ4214" s="54"/>
      <c r="BA4214" s="54"/>
    </row>
    <row r="4215" spans="43:53" x14ac:dyDescent="0.35">
      <c r="AQ4215" s="54"/>
      <c r="BA4215" s="54"/>
    </row>
    <row r="4216" spans="43:53" x14ac:dyDescent="0.35">
      <c r="AQ4216" s="54"/>
      <c r="BA4216" s="54"/>
    </row>
    <row r="4217" spans="43:53" x14ac:dyDescent="0.35">
      <c r="AQ4217" s="54"/>
      <c r="BA4217" s="54"/>
    </row>
    <row r="4218" spans="43:53" x14ac:dyDescent="0.35">
      <c r="AQ4218" s="54"/>
      <c r="BA4218" s="54"/>
    </row>
    <row r="4219" spans="43:53" x14ac:dyDescent="0.35">
      <c r="AQ4219" s="54"/>
      <c r="BA4219" s="54"/>
    </row>
    <row r="4220" spans="43:53" x14ac:dyDescent="0.35">
      <c r="AQ4220" s="54"/>
      <c r="BA4220" s="54"/>
    </row>
    <row r="4221" spans="43:53" x14ac:dyDescent="0.35">
      <c r="AQ4221" s="54"/>
      <c r="BA4221" s="54"/>
    </row>
    <row r="4222" spans="43:53" x14ac:dyDescent="0.35">
      <c r="AQ4222" s="54"/>
      <c r="BA4222" s="54"/>
    </row>
    <row r="4223" spans="43:53" x14ac:dyDescent="0.35">
      <c r="AQ4223" s="54"/>
      <c r="BA4223" s="54"/>
    </row>
    <row r="4224" spans="43:53" x14ac:dyDescent="0.35">
      <c r="AQ4224" s="54"/>
      <c r="BA4224" s="54"/>
    </row>
    <row r="4225" spans="43:53" x14ac:dyDescent="0.35">
      <c r="AQ4225" s="54"/>
      <c r="BA4225" s="54"/>
    </row>
    <row r="4226" spans="43:53" x14ac:dyDescent="0.35">
      <c r="AQ4226" s="54"/>
      <c r="BA4226" s="54"/>
    </row>
    <row r="4227" spans="43:53" x14ac:dyDescent="0.35">
      <c r="AQ4227" s="54"/>
      <c r="BA4227" s="54"/>
    </row>
    <row r="4228" spans="43:53" x14ac:dyDescent="0.35">
      <c r="AQ4228" s="54"/>
      <c r="BA4228" s="54"/>
    </row>
    <row r="4229" spans="43:53" x14ac:dyDescent="0.35">
      <c r="AQ4229" s="54"/>
      <c r="BA4229" s="54"/>
    </row>
    <row r="4230" spans="43:53" x14ac:dyDescent="0.35">
      <c r="AQ4230" s="54"/>
      <c r="BA4230" s="54"/>
    </row>
    <row r="4231" spans="43:53" x14ac:dyDescent="0.35">
      <c r="AQ4231" s="54"/>
      <c r="BA4231" s="54"/>
    </row>
    <row r="4232" spans="43:53" x14ac:dyDescent="0.35">
      <c r="AQ4232" s="54"/>
      <c r="BA4232" s="54"/>
    </row>
    <row r="4233" spans="43:53" x14ac:dyDescent="0.35">
      <c r="AQ4233" s="54"/>
      <c r="BA4233" s="54"/>
    </row>
    <row r="4234" spans="43:53" x14ac:dyDescent="0.35">
      <c r="AQ4234" s="54"/>
      <c r="BA4234" s="54"/>
    </row>
    <row r="4235" spans="43:53" x14ac:dyDescent="0.35">
      <c r="AQ4235" s="54"/>
      <c r="BA4235" s="54"/>
    </row>
    <row r="4236" spans="43:53" x14ac:dyDescent="0.35">
      <c r="AQ4236" s="54"/>
      <c r="BA4236" s="54"/>
    </row>
    <row r="4237" spans="43:53" x14ac:dyDescent="0.35">
      <c r="AQ4237" s="54"/>
      <c r="BA4237" s="54"/>
    </row>
    <row r="4238" spans="43:53" x14ac:dyDescent="0.35">
      <c r="AQ4238" s="54"/>
      <c r="BA4238" s="54"/>
    </row>
    <row r="4239" spans="43:53" x14ac:dyDescent="0.35">
      <c r="AQ4239" s="54"/>
      <c r="BA4239" s="54"/>
    </row>
    <row r="4240" spans="43:53" x14ac:dyDescent="0.35">
      <c r="AQ4240" s="54"/>
      <c r="BA4240" s="54"/>
    </row>
    <row r="4241" spans="43:53" x14ac:dyDescent="0.35">
      <c r="AQ4241" s="54"/>
      <c r="BA4241" s="54"/>
    </row>
    <row r="4242" spans="43:53" x14ac:dyDescent="0.35">
      <c r="AQ4242" s="54"/>
      <c r="BA4242" s="54"/>
    </row>
    <row r="4243" spans="43:53" x14ac:dyDescent="0.35">
      <c r="AQ4243" s="54"/>
      <c r="BA4243" s="54"/>
    </row>
    <row r="4244" spans="43:53" x14ac:dyDescent="0.35">
      <c r="AQ4244" s="54"/>
      <c r="BA4244" s="54"/>
    </row>
    <row r="4245" spans="43:53" x14ac:dyDescent="0.35">
      <c r="AQ4245" s="54"/>
      <c r="BA4245" s="54"/>
    </row>
    <row r="4246" spans="43:53" x14ac:dyDescent="0.35">
      <c r="AQ4246" s="54"/>
      <c r="BA4246" s="54"/>
    </row>
    <row r="4247" spans="43:53" x14ac:dyDescent="0.35">
      <c r="AQ4247" s="54"/>
      <c r="BA4247" s="54"/>
    </row>
    <row r="4248" spans="43:53" x14ac:dyDescent="0.35">
      <c r="AQ4248" s="54"/>
      <c r="BA4248" s="54"/>
    </row>
    <row r="4249" spans="43:53" x14ac:dyDescent="0.35">
      <c r="AQ4249" s="54"/>
      <c r="BA4249" s="54"/>
    </row>
    <row r="4250" spans="43:53" x14ac:dyDescent="0.35">
      <c r="AQ4250" s="54"/>
      <c r="BA4250" s="54"/>
    </row>
    <row r="4251" spans="43:53" x14ac:dyDescent="0.35">
      <c r="AQ4251" s="54"/>
      <c r="BA4251" s="54"/>
    </row>
    <row r="4252" spans="43:53" x14ac:dyDescent="0.35">
      <c r="AQ4252" s="54"/>
      <c r="BA4252" s="54"/>
    </row>
    <row r="4253" spans="43:53" x14ac:dyDescent="0.35">
      <c r="AQ4253" s="54"/>
      <c r="BA4253" s="54"/>
    </row>
    <row r="4254" spans="43:53" x14ac:dyDescent="0.35">
      <c r="AQ4254" s="54"/>
      <c r="BA4254" s="54"/>
    </row>
    <row r="4255" spans="43:53" x14ac:dyDescent="0.35">
      <c r="AQ4255" s="54"/>
      <c r="BA4255" s="54"/>
    </row>
    <row r="4256" spans="43:53" x14ac:dyDescent="0.35">
      <c r="AQ4256" s="54"/>
      <c r="BA4256" s="54"/>
    </row>
    <row r="4257" spans="43:53" x14ac:dyDescent="0.35">
      <c r="AQ4257" s="54"/>
      <c r="BA4257" s="54"/>
    </row>
    <row r="4258" spans="43:53" x14ac:dyDescent="0.35">
      <c r="AQ4258" s="54"/>
      <c r="BA4258" s="54"/>
    </row>
    <row r="4259" spans="43:53" x14ac:dyDescent="0.35">
      <c r="AQ4259" s="54"/>
      <c r="BA4259" s="54"/>
    </row>
    <row r="4260" spans="43:53" x14ac:dyDescent="0.35">
      <c r="AQ4260" s="54"/>
      <c r="BA4260" s="54"/>
    </row>
    <row r="4261" spans="43:53" x14ac:dyDescent="0.35">
      <c r="AQ4261" s="54"/>
      <c r="BA4261" s="54"/>
    </row>
    <row r="4262" spans="43:53" x14ac:dyDescent="0.35">
      <c r="AQ4262" s="54"/>
      <c r="BA4262" s="54"/>
    </row>
    <row r="4263" spans="43:53" x14ac:dyDescent="0.35">
      <c r="AQ4263" s="54"/>
      <c r="BA4263" s="54"/>
    </row>
    <row r="4264" spans="43:53" x14ac:dyDescent="0.35">
      <c r="AQ4264" s="54"/>
      <c r="BA4264" s="54"/>
    </row>
    <row r="4265" spans="43:53" x14ac:dyDescent="0.35">
      <c r="AQ4265" s="54"/>
      <c r="BA4265" s="54"/>
    </row>
    <row r="4266" spans="43:53" x14ac:dyDescent="0.35">
      <c r="AQ4266" s="54"/>
      <c r="BA4266" s="54"/>
    </row>
    <row r="4267" spans="43:53" x14ac:dyDescent="0.35">
      <c r="AQ4267" s="54"/>
      <c r="BA4267" s="54"/>
    </row>
    <row r="4268" spans="43:53" x14ac:dyDescent="0.35">
      <c r="AQ4268" s="54"/>
      <c r="BA4268" s="54"/>
    </row>
    <row r="4269" spans="43:53" x14ac:dyDescent="0.35">
      <c r="AQ4269" s="54"/>
      <c r="BA4269" s="54"/>
    </row>
    <row r="4270" spans="43:53" x14ac:dyDescent="0.35">
      <c r="AQ4270" s="54"/>
      <c r="BA4270" s="54"/>
    </row>
    <row r="4271" spans="43:53" x14ac:dyDescent="0.35">
      <c r="AQ4271" s="54"/>
      <c r="BA4271" s="54"/>
    </row>
    <row r="4272" spans="43:53" x14ac:dyDescent="0.35">
      <c r="AQ4272" s="54"/>
      <c r="BA4272" s="54"/>
    </row>
    <row r="4273" spans="43:53" x14ac:dyDescent="0.35">
      <c r="AQ4273" s="54"/>
      <c r="BA4273" s="54"/>
    </row>
    <row r="4274" spans="43:53" x14ac:dyDescent="0.35">
      <c r="AQ4274" s="54"/>
      <c r="BA4274" s="54"/>
    </row>
    <row r="4275" spans="43:53" x14ac:dyDescent="0.35">
      <c r="AQ4275" s="54"/>
      <c r="BA4275" s="54"/>
    </row>
    <row r="4276" spans="43:53" x14ac:dyDescent="0.35">
      <c r="AQ4276" s="54"/>
      <c r="BA4276" s="54"/>
    </row>
    <row r="4277" spans="43:53" x14ac:dyDescent="0.35">
      <c r="AQ4277" s="54"/>
      <c r="BA4277" s="54"/>
    </row>
    <row r="4278" spans="43:53" x14ac:dyDescent="0.35">
      <c r="AQ4278" s="54"/>
      <c r="BA4278" s="54"/>
    </row>
    <row r="4279" spans="43:53" x14ac:dyDescent="0.35">
      <c r="AQ4279" s="54"/>
      <c r="BA4279" s="54"/>
    </row>
    <row r="4280" spans="43:53" x14ac:dyDescent="0.35">
      <c r="AQ4280" s="54"/>
      <c r="BA4280" s="54"/>
    </row>
    <row r="4281" spans="43:53" x14ac:dyDescent="0.35">
      <c r="AQ4281" s="54"/>
      <c r="BA4281" s="54"/>
    </row>
    <row r="4282" spans="43:53" x14ac:dyDescent="0.35">
      <c r="AQ4282" s="54"/>
      <c r="BA4282" s="54"/>
    </row>
    <row r="4283" spans="43:53" x14ac:dyDescent="0.35">
      <c r="AQ4283" s="54"/>
      <c r="BA4283" s="54"/>
    </row>
    <row r="4284" spans="43:53" x14ac:dyDescent="0.35">
      <c r="AQ4284" s="54"/>
      <c r="BA4284" s="54"/>
    </row>
    <row r="4285" spans="43:53" x14ac:dyDescent="0.35">
      <c r="AQ4285" s="54"/>
      <c r="BA4285" s="54"/>
    </row>
    <row r="4286" spans="43:53" x14ac:dyDescent="0.35">
      <c r="AQ4286" s="54"/>
      <c r="BA4286" s="54"/>
    </row>
    <row r="4287" spans="43:53" x14ac:dyDescent="0.35">
      <c r="AQ4287" s="54"/>
      <c r="BA4287" s="54"/>
    </row>
    <row r="4288" spans="43:53" x14ac:dyDescent="0.35">
      <c r="AQ4288" s="54"/>
      <c r="BA4288" s="54"/>
    </row>
    <row r="4289" spans="43:53" x14ac:dyDescent="0.35">
      <c r="AQ4289" s="54"/>
      <c r="BA4289" s="54"/>
    </row>
    <row r="4290" spans="43:53" x14ac:dyDescent="0.35">
      <c r="AQ4290" s="54"/>
      <c r="BA4290" s="54"/>
    </row>
    <row r="4291" spans="43:53" x14ac:dyDescent="0.35">
      <c r="AQ4291" s="54"/>
      <c r="BA4291" s="54"/>
    </row>
    <row r="4292" spans="43:53" x14ac:dyDescent="0.35">
      <c r="AQ4292" s="54"/>
      <c r="BA4292" s="54"/>
    </row>
    <row r="4293" spans="43:53" x14ac:dyDescent="0.35">
      <c r="AQ4293" s="54"/>
      <c r="BA4293" s="54"/>
    </row>
    <row r="4294" spans="43:53" x14ac:dyDescent="0.35">
      <c r="AQ4294" s="54"/>
      <c r="BA4294" s="54"/>
    </row>
    <row r="4295" spans="43:53" x14ac:dyDescent="0.35">
      <c r="AQ4295" s="54"/>
      <c r="BA4295" s="54"/>
    </row>
    <row r="4296" spans="43:53" x14ac:dyDescent="0.35">
      <c r="AQ4296" s="54"/>
      <c r="BA4296" s="54"/>
    </row>
    <row r="4297" spans="43:53" x14ac:dyDescent="0.35">
      <c r="AQ4297" s="54"/>
      <c r="BA4297" s="54"/>
    </row>
    <row r="4298" spans="43:53" x14ac:dyDescent="0.35">
      <c r="AQ4298" s="54"/>
      <c r="BA4298" s="54"/>
    </row>
    <row r="4299" spans="43:53" x14ac:dyDescent="0.35">
      <c r="AQ4299" s="54"/>
      <c r="BA4299" s="54"/>
    </row>
    <row r="4300" spans="43:53" x14ac:dyDescent="0.35">
      <c r="AQ4300" s="54"/>
      <c r="BA4300" s="54"/>
    </row>
    <row r="4301" spans="43:53" x14ac:dyDescent="0.35">
      <c r="AQ4301" s="54"/>
      <c r="BA4301" s="54"/>
    </row>
    <row r="4302" spans="43:53" x14ac:dyDescent="0.35">
      <c r="AQ4302" s="54"/>
      <c r="BA4302" s="54"/>
    </row>
    <row r="4303" spans="43:53" x14ac:dyDescent="0.35">
      <c r="AQ4303" s="54"/>
      <c r="BA4303" s="54"/>
    </row>
    <row r="4304" spans="43:53" x14ac:dyDescent="0.35">
      <c r="AQ4304" s="54"/>
      <c r="BA4304" s="54"/>
    </row>
    <row r="4305" spans="43:53" x14ac:dyDescent="0.35">
      <c r="AQ4305" s="54"/>
      <c r="BA4305" s="54"/>
    </row>
    <row r="4306" spans="43:53" x14ac:dyDescent="0.35">
      <c r="AQ4306" s="54"/>
      <c r="BA4306" s="54"/>
    </row>
    <row r="4307" spans="43:53" x14ac:dyDescent="0.35">
      <c r="AQ4307" s="54"/>
      <c r="BA4307" s="54"/>
    </row>
    <row r="4308" spans="43:53" x14ac:dyDescent="0.35">
      <c r="AQ4308" s="54"/>
      <c r="BA4308" s="54"/>
    </row>
    <row r="4309" spans="43:53" x14ac:dyDescent="0.35">
      <c r="AQ4309" s="54"/>
      <c r="BA4309" s="54"/>
    </row>
    <row r="4310" spans="43:53" x14ac:dyDescent="0.35">
      <c r="AQ4310" s="54"/>
      <c r="BA4310" s="54"/>
    </row>
    <row r="4311" spans="43:53" x14ac:dyDescent="0.35">
      <c r="AQ4311" s="54"/>
      <c r="BA4311" s="54"/>
    </row>
    <row r="4312" spans="43:53" x14ac:dyDescent="0.35">
      <c r="AQ4312" s="54"/>
      <c r="BA4312" s="54"/>
    </row>
    <row r="4313" spans="43:53" x14ac:dyDescent="0.35">
      <c r="AQ4313" s="54"/>
      <c r="BA4313" s="54"/>
    </row>
    <row r="4314" spans="43:53" x14ac:dyDescent="0.35">
      <c r="AQ4314" s="54"/>
      <c r="BA4314" s="54"/>
    </row>
    <row r="4315" spans="43:53" x14ac:dyDescent="0.35">
      <c r="AQ4315" s="54"/>
      <c r="BA4315" s="54"/>
    </row>
    <row r="4316" spans="43:53" x14ac:dyDescent="0.35">
      <c r="AQ4316" s="54"/>
      <c r="BA4316" s="54"/>
    </row>
    <row r="4317" spans="43:53" x14ac:dyDescent="0.35">
      <c r="AQ4317" s="54"/>
      <c r="BA4317" s="54"/>
    </row>
    <row r="4318" spans="43:53" x14ac:dyDescent="0.35">
      <c r="AQ4318" s="54"/>
      <c r="BA4318" s="54"/>
    </row>
    <row r="4319" spans="43:53" x14ac:dyDescent="0.35">
      <c r="AQ4319" s="54"/>
      <c r="BA4319" s="54"/>
    </row>
    <row r="4320" spans="43:53" x14ac:dyDescent="0.35">
      <c r="AQ4320" s="54"/>
      <c r="BA4320" s="54"/>
    </row>
    <row r="4321" spans="43:53" x14ac:dyDescent="0.35">
      <c r="AQ4321" s="54"/>
      <c r="BA4321" s="54"/>
    </row>
    <row r="4322" spans="43:53" x14ac:dyDescent="0.35">
      <c r="AQ4322" s="54"/>
      <c r="BA4322" s="54"/>
    </row>
    <row r="4323" spans="43:53" x14ac:dyDescent="0.35">
      <c r="AQ4323" s="54"/>
      <c r="BA4323" s="54"/>
    </row>
    <row r="4324" spans="43:53" x14ac:dyDescent="0.35">
      <c r="AQ4324" s="54"/>
      <c r="BA4324" s="54"/>
    </row>
    <row r="4325" spans="43:53" x14ac:dyDescent="0.35">
      <c r="AQ4325" s="54"/>
      <c r="BA4325" s="54"/>
    </row>
    <row r="4326" spans="43:53" x14ac:dyDescent="0.35">
      <c r="AQ4326" s="54"/>
      <c r="BA4326" s="54"/>
    </row>
    <row r="4327" spans="43:53" x14ac:dyDescent="0.35">
      <c r="AQ4327" s="54"/>
      <c r="BA4327" s="54"/>
    </row>
    <row r="4328" spans="43:53" x14ac:dyDescent="0.35">
      <c r="AQ4328" s="54"/>
      <c r="BA4328" s="54"/>
    </row>
    <row r="4329" spans="43:53" x14ac:dyDescent="0.35">
      <c r="AQ4329" s="54"/>
      <c r="BA4329" s="54"/>
    </row>
    <row r="4330" spans="43:53" x14ac:dyDescent="0.35">
      <c r="AQ4330" s="54"/>
      <c r="BA4330" s="54"/>
    </row>
    <row r="4331" spans="43:53" x14ac:dyDescent="0.35">
      <c r="AQ4331" s="54"/>
      <c r="BA4331" s="54"/>
    </row>
    <row r="4332" spans="43:53" x14ac:dyDescent="0.35">
      <c r="AQ4332" s="54"/>
      <c r="BA4332" s="54"/>
    </row>
    <row r="4333" spans="43:53" x14ac:dyDescent="0.35">
      <c r="AQ4333" s="54"/>
      <c r="BA4333" s="54"/>
    </row>
    <row r="4334" spans="43:53" x14ac:dyDescent="0.35">
      <c r="AQ4334" s="54"/>
      <c r="BA4334" s="54"/>
    </row>
    <row r="4335" spans="43:53" x14ac:dyDescent="0.35">
      <c r="AQ4335" s="54"/>
      <c r="BA4335" s="54"/>
    </row>
    <row r="4336" spans="43:53" x14ac:dyDescent="0.35">
      <c r="AQ4336" s="54"/>
      <c r="BA4336" s="54"/>
    </row>
    <row r="4337" spans="43:53" x14ac:dyDescent="0.35">
      <c r="AQ4337" s="54"/>
      <c r="BA4337" s="54"/>
    </row>
    <row r="4338" spans="43:53" x14ac:dyDescent="0.35">
      <c r="AQ4338" s="54"/>
      <c r="BA4338" s="54"/>
    </row>
    <row r="4339" spans="43:53" x14ac:dyDescent="0.35">
      <c r="AQ4339" s="54"/>
      <c r="BA4339" s="54"/>
    </row>
    <row r="4340" spans="43:53" x14ac:dyDescent="0.35">
      <c r="AQ4340" s="54"/>
      <c r="BA4340" s="54"/>
    </row>
    <row r="4341" spans="43:53" x14ac:dyDescent="0.35">
      <c r="AQ4341" s="54"/>
      <c r="BA4341" s="54"/>
    </row>
    <row r="4342" spans="43:53" x14ac:dyDescent="0.35">
      <c r="AQ4342" s="54"/>
      <c r="BA4342" s="54"/>
    </row>
    <row r="4343" spans="43:53" x14ac:dyDescent="0.35">
      <c r="AQ4343" s="54"/>
      <c r="BA4343" s="54"/>
    </row>
    <row r="4344" spans="43:53" x14ac:dyDescent="0.35">
      <c r="AQ4344" s="54"/>
      <c r="BA4344" s="54"/>
    </row>
    <row r="4345" spans="43:53" x14ac:dyDescent="0.35">
      <c r="AQ4345" s="54"/>
      <c r="BA4345" s="54"/>
    </row>
    <row r="4346" spans="43:53" x14ac:dyDescent="0.35">
      <c r="AQ4346" s="54"/>
      <c r="BA4346" s="54"/>
    </row>
    <row r="4347" spans="43:53" x14ac:dyDescent="0.35">
      <c r="AQ4347" s="54"/>
      <c r="BA4347" s="54"/>
    </row>
    <row r="4348" spans="43:53" x14ac:dyDescent="0.35">
      <c r="AQ4348" s="54"/>
      <c r="BA4348" s="54"/>
    </row>
    <row r="4349" spans="43:53" x14ac:dyDescent="0.35">
      <c r="AQ4349" s="54"/>
      <c r="BA4349" s="54"/>
    </row>
    <row r="4350" spans="43:53" x14ac:dyDescent="0.35">
      <c r="AQ4350" s="54"/>
      <c r="BA4350" s="54"/>
    </row>
    <row r="4351" spans="43:53" x14ac:dyDescent="0.35">
      <c r="AQ4351" s="54"/>
      <c r="BA4351" s="54"/>
    </row>
    <row r="4352" spans="43:53" x14ac:dyDescent="0.35">
      <c r="AQ4352" s="54"/>
      <c r="BA4352" s="54"/>
    </row>
    <row r="4353" spans="43:53" x14ac:dyDescent="0.35">
      <c r="AQ4353" s="54"/>
      <c r="BA4353" s="54"/>
    </row>
    <row r="4354" spans="43:53" x14ac:dyDescent="0.35">
      <c r="AQ4354" s="54"/>
      <c r="BA4354" s="54"/>
    </row>
    <row r="4355" spans="43:53" x14ac:dyDescent="0.35">
      <c r="AQ4355" s="54"/>
      <c r="BA4355" s="54"/>
    </row>
    <row r="4356" spans="43:53" x14ac:dyDescent="0.35">
      <c r="AQ4356" s="54"/>
      <c r="BA4356" s="54"/>
    </row>
    <row r="4357" spans="43:53" x14ac:dyDescent="0.35">
      <c r="AQ4357" s="54"/>
      <c r="BA4357" s="54"/>
    </row>
    <row r="4358" spans="43:53" x14ac:dyDescent="0.35">
      <c r="AQ4358" s="54"/>
      <c r="BA4358" s="54"/>
    </row>
    <row r="4359" spans="43:53" x14ac:dyDescent="0.35">
      <c r="AQ4359" s="54"/>
      <c r="BA4359" s="54"/>
    </row>
    <row r="4360" spans="43:53" x14ac:dyDescent="0.35">
      <c r="AQ4360" s="54"/>
      <c r="BA4360" s="54"/>
    </row>
    <row r="4361" spans="43:53" x14ac:dyDescent="0.35">
      <c r="AQ4361" s="54"/>
      <c r="BA4361" s="54"/>
    </row>
    <row r="4362" spans="43:53" x14ac:dyDescent="0.35">
      <c r="AQ4362" s="54"/>
      <c r="BA4362" s="54"/>
    </row>
    <row r="4363" spans="43:53" x14ac:dyDescent="0.35">
      <c r="AQ4363" s="54"/>
      <c r="BA4363" s="54"/>
    </row>
    <row r="4364" spans="43:53" x14ac:dyDescent="0.35">
      <c r="AQ4364" s="54"/>
      <c r="BA4364" s="54"/>
    </row>
    <row r="4365" spans="43:53" x14ac:dyDescent="0.35">
      <c r="AQ4365" s="54"/>
      <c r="BA4365" s="54"/>
    </row>
    <row r="4366" spans="43:53" x14ac:dyDescent="0.35">
      <c r="AQ4366" s="54"/>
      <c r="BA4366" s="54"/>
    </row>
    <row r="4367" spans="43:53" x14ac:dyDescent="0.35">
      <c r="AQ4367" s="54"/>
      <c r="BA4367" s="54"/>
    </row>
    <row r="4368" spans="43:53" x14ac:dyDescent="0.35">
      <c r="AQ4368" s="54"/>
      <c r="BA4368" s="54"/>
    </row>
    <row r="4369" spans="43:53" x14ac:dyDescent="0.35">
      <c r="AQ4369" s="54"/>
      <c r="BA4369" s="54"/>
    </row>
    <row r="4370" spans="43:53" x14ac:dyDescent="0.35">
      <c r="AQ4370" s="54"/>
      <c r="BA4370" s="54"/>
    </row>
    <row r="4371" spans="43:53" x14ac:dyDescent="0.35">
      <c r="AQ4371" s="54"/>
      <c r="BA4371" s="54"/>
    </row>
    <row r="4372" spans="43:53" x14ac:dyDescent="0.35">
      <c r="AQ4372" s="54"/>
      <c r="BA4372" s="54"/>
    </row>
    <row r="4373" spans="43:53" x14ac:dyDescent="0.35">
      <c r="AQ4373" s="54"/>
      <c r="BA4373" s="54"/>
    </row>
    <row r="4374" spans="43:53" x14ac:dyDescent="0.35">
      <c r="AQ4374" s="54"/>
      <c r="BA4374" s="54"/>
    </row>
    <row r="4375" spans="43:53" x14ac:dyDescent="0.35">
      <c r="AQ4375" s="54"/>
      <c r="BA4375" s="54"/>
    </row>
    <row r="4376" spans="43:53" x14ac:dyDescent="0.35">
      <c r="AQ4376" s="54"/>
      <c r="BA4376" s="54"/>
    </row>
    <row r="4377" spans="43:53" x14ac:dyDescent="0.35">
      <c r="AQ4377" s="54"/>
      <c r="BA4377" s="54"/>
    </row>
    <row r="4378" spans="43:53" x14ac:dyDescent="0.35">
      <c r="AQ4378" s="54"/>
      <c r="BA4378" s="54"/>
    </row>
    <row r="4379" spans="43:53" x14ac:dyDescent="0.35">
      <c r="AQ4379" s="54"/>
      <c r="BA4379" s="54"/>
    </row>
    <row r="4380" spans="43:53" x14ac:dyDescent="0.35">
      <c r="AQ4380" s="54"/>
      <c r="BA4380" s="54"/>
    </row>
    <row r="4381" spans="43:53" x14ac:dyDescent="0.35">
      <c r="AQ4381" s="54"/>
      <c r="BA4381" s="54"/>
    </row>
    <row r="4382" spans="43:53" x14ac:dyDescent="0.35">
      <c r="AQ4382" s="54"/>
      <c r="BA4382" s="54"/>
    </row>
    <row r="4383" spans="43:53" x14ac:dyDescent="0.35">
      <c r="AQ4383" s="54"/>
      <c r="BA4383" s="54"/>
    </row>
    <row r="4384" spans="43:53" x14ac:dyDescent="0.35">
      <c r="AQ4384" s="54"/>
      <c r="BA4384" s="54"/>
    </row>
    <row r="4385" spans="43:53" x14ac:dyDescent="0.35">
      <c r="AQ4385" s="54"/>
      <c r="BA4385" s="54"/>
    </row>
    <row r="4386" spans="43:53" x14ac:dyDescent="0.35">
      <c r="AQ4386" s="54"/>
      <c r="BA4386" s="54"/>
    </row>
    <row r="4387" spans="43:53" x14ac:dyDescent="0.35">
      <c r="AQ4387" s="54"/>
      <c r="BA4387" s="54"/>
    </row>
    <row r="4388" spans="43:53" x14ac:dyDescent="0.35">
      <c r="AQ4388" s="54"/>
      <c r="BA4388" s="54"/>
    </row>
    <row r="4389" spans="43:53" x14ac:dyDescent="0.35">
      <c r="AQ4389" s="54"/>
      <c r="BA4389" s="54"/>
    </row>
    <row r="4390" spans="43:53" x14ac:dyDescent="0.35">
      <c r="AQ4390" s="54"/>
      <c r="BA4390" s="54"/>
    </row>
    <row r="4391" spans="43:53" x14ac:dyDescent="0.35">
      <c r="AQ4391" s="54"/>
      <c r="BA4391" s="54"/>
    </row>
    <row r="4392" spans="43:53" x14ac:dyDescent="0.35">
      <c r="AQ4392" s="54"/>
      <c r="BA4392" s="54"/>
    </row>
    <row r="4393" spans="43:53" x14ac:dyDescent="0.35">
      <c r="AQ4393" s="54"/>
      <c r="BA4393" s="54"/>
    </row>
    <row r="4394" spans="43:53" x14ac:dyDescent="0.35">
      <c r="AQ4394" s="54"/>
      <c r="BA4394" s="54"/>
    </row>
    <row r="4395" spans="43:53" x14ac:dyDescent="0.35">
      <c r="AQ4395" s="54"/>
      <c r="BA4395" s="54"/>
    </row>
    <row r="4396" spans="43:53" x14ac:dyDescent="0.35">
      <c r="AQ4396" s="54"/>
      <c r="BA4396" s="54"/>
    </row>
    <row r="4397" spans="43:53" x14ac:dyDescent="0.35">
      <c r="AQ4397" s="54"/>
      <c r="BA4397" s="54"/>
    </row>
    <row r="4398" spans="43:53" x14ac:dyDescent="0.35">
      <c r="AQ4398" s="54"/>
      <c r="BA4398" s="54"/>
    </row>
    <row r="4399" spans="43:53" x14ac:dyDescent="0.35">
      <c r="AQ4399" s="54"/>
      <c r="BA4399" s="54"/>
    </row>
    <row r="4400" spans="43:53" x14ac:dyDescent="0.35">
      <c r="AQ4400" s="54"/>
      <c r="BA4400" s="54"/>
    </row>
    <row r="4401" spans="43:53" x14ac:dyDescent="0.35">
      <c r="AQ4401" s="54"/>
      <c r="BA4401" s="54"/>
    </row>
    <row r="4402" spans="43:53" x14ac:dyDescent="0.35">
      <c r="AQ4402" s="54"/>
      <c r="BA4402" s="54"/>
    </row>
    <row r="4403" spans="43:53" x14ac:dyDescent="0.35">
      <c r="AQ4403" s="54"/>
      <c r="BA4403" s="54"/>
    </row>
    <row r="4404" spans="43:53" x14ac:dyDescent="0.35">
      <c r="AQ4404" s="54"/>
      <c r="BA4404" s="54"/>
    </row>
    <row r="4405" spans="43:53" x14ac:dyDescent="0.35">
      <c r="AQ4405" s="54"/>
      <c r="BA4405" s="54"/>
    </row>
    <row r="4406" spans="43:53" x14ac:dyDescent="0.35">
      <c r="AQ4406" s="54"/>
      <c r="BA4406" s="54"/>
    </row>
    <row r="4407" spans="43:53" x14ac:dyDescent="0.35">
      <c r="AQ4407" s="54"/>
      <c r="BA4407" s="54"/>
    </row>
    <row r="4408" spans="43:53" x14ac:dyDescent="0.35">
      <c r="AQ4408" s="54"/>
      <c r="BA4408" s="54"/>
    </row>
    <row r="4409" spans="43:53" x14ac:dyDescent="0.35">
      <c r="AQ4409" s="54"/>
      <c r="BA4409" s="54"/>
    </row>
    <row r="4410" spans="43:53" x14ac:dyDescent="0.35">
      <c r="AQ4410" s="54"/>
      <c r="BA4410" s="54"/>
    </row>
    <row r="4411" spans="43:53" x14ac:dyDescent="0.35">
      <c r="AQ4411" s="54"/>
      <c r="BA4411" s="54"/>
    </row>
    <row r="4412" spans="43:53" x14ac:dyDescent="0.35">
      <c r="AQ4412" s="54"/>
      <c r="BA4412" s="54"/>
    </row>
    <row r="4413" spans="43:53" x14ac:dyDescent="0.35">
      <c r="AQ4413" s="54"/>
      <c r="BA4413" s="54"/>
    </row>
    <row r="4414" spans="43:53" x14ac:dyDescent="0.35">
      <c r="AQ4414" s="54"/>
      <c r="BA4414" s="54"/>
    </row>
    <row r="4415" spans="43:53" x14ac:dyDescent="0.35">
      <c r="AQ4415" s="54"/>
      <c r="BA4415" s="54"/>
    </row>
    <row r="4416" spans="43:53" x14ac:dyDescent="0.35">
      <c r="AQ4416" s="54"/>
      <c r="BA4416" s="54"/>
    </row>
    <row r="4417" spans="43:53" x14ac:dyDescent="0.35">
      <c r="AQ4417" s="54"/>
      <c r="BA4417" s="54"/>
    </row>
    <row r="4418" spans="43:53" x14ac:dyDescent="0.35">
      <c r="AQ4418" s="54"/>
      <c r="BA4418" s="54"/>
    </row>
    <row r="4419" spans="43:53" x14ac:dyDescent="0.35">
      <c r="AQ4419" s="54"/>
      <c r="BA4419" s="54"/>
    </row>
    <row r="4420" spans="43:53" x14ac:dyDescent="0.35">
      <c r="AQ4420" s="54"/>
      <c r="BA4420" s="54"/>
    </row>
    <row r="4421" spans="43:53" x14ac:dyDescent="0.35">
      <c r="AQ4421" s="54"/>
      <c r="BA4421" s="54"/>
    </row>
    <row r="4422" spans="43:53" x14ac:dyDescent="0.35">
      <c r="AQ4422" s="54"/>
      <c r="BA4422" s="54"/>
    </row>
    <row r="4423" spans="43:53" x14ac:dyDescent="0.35">
      <c r="AQ4423" s="54"/>
      <c r="BA4423" s="54"/>
    </row>
    <row r="4424" spans="43:53" x14ac:dyDescent="0.35">
      <c r="AQ4424" s="54"/>
      <c r="BA4424" s="54"/>
    </row>
    <row r="4425" spans="43:53" x14ac:dyDescent="0.35">
      <c r="AQ4425" s="54"/>
      <c r="BA4425" s="54"/>
    </row>
    <row r="4426" spans="43:53" x14ac:dyDescent="0.35">
      <c r="AQ4426" s="54"/>
      <c r="BA4426" s="54"/>
    </row>
    <row r="4427" spans="43:53" x14ac:dyDescent="0.35">
      <c r="AQ4427" s="54"/>
      <c r="BA4427" s="54"/>
    </row>
    <row r="4428" spans="43:53" x14ac:dyDescent="0.35">
      <c r="AQ4428" s="54"/>
      <c r="BA4428" s="54"/>
    </row>
    <row r="4429" spans="43:53" x14ac:dyDescent="0.35">
      <c r="AQ4429" s="54"/>
      <c r="BA4429" s="54"/>
    </row>
    <row r="4430" spans="43:53" x14ac:dyDescent="0.35">
      <c r="AQ4430" s="54"/>
      <c r="BA4430" s="54"/>
    </row>
    <row r="4431" spans="43:53" x14ac:dyDescent="0.35">
      <c r="AQ4431" s="54"/>
      <c r="BA4431" s="54"/>
    </row>
    <row r="4432" spans="43:53" x14ac:dyDescent="0.35">
      <c r="AQ4432" s="54"/>
      <c r="BA4432" s="54"/>
    </row>
    <row r="4433" spans="43:53" x14ac:dyDescent="0.35">
      <c r="AQ4433" s="54"/>
      <c r="BA4433" s="54"/>
    </row>
    <row r="4434" spans="43:53" x14ac:dyDescent="0.35">
      <c r="AQ4434" s="54"/>
      <c r="BA4434" s="54"/>
    </row>
    <row r="4435" spans="43:53" x14ac:dyDescent="0.35">
      <c r="AQ4435" s="54"/>
      <c r="BA4435" s="54"/>
    </row>
    <row r="4436" spans="43:53" x14ac:dyDescent="0.35">
      <c r="AQ4436" s="54"/>
      <c r="BA4436" s="54"/>
    </row>
    <row r="4437" spans="43:53" x14ac:dyDescent="0.35">
      <c r="AQ4437" s="54"/>
      <c r="BA4437" s="54"/>
    </row>
    <row r="4438" spans="43:53" x14ac:dyDescent="0.35">
      <c r="AQ4438" s="54"/>
      <c r="BA4438" s="54"/>
    </row>
    <row r="4439" spans="43:53" x14ac:dyDescent="0.35">
      <c r="AQ4439" s="54"/>
      <c r="BA4439" s="54"/>
    </row>
    <row r="4440" spans="43:53" x14ac:dyDescent="0.35">
      <c r="AQ4440" s="54"/>
      <c r="BA4440" s="54"/>
    </row>
    <row r="4441" spans="43:53" x14ac:dyDescent="0.35">
      <c r="AQ4441" s="54"/>
      <c r="BA4441" s="54"/>
    </row>
    <row r="4442" spans="43:53" x14ac:dyDescent="0.35">
      <c r="AQ4442" s="54"/>
      <c r="BA4442" s="54"/>
    </row>
    <row r="4443" spans="43:53" x14ac:dyDescent="0.35">
      <c r="AQ4443" s="54"/>
      <c r="BA4443" s="54"/>
    </row>
    <row r="4444" spans="43:53" x14ac:dyDescent="0.35">
      <c r="AQ4444" s="54"/>
      <c r="BA4444" s="54"/>
    </row>
    <row r="4445" spans="43:53" x14ac:dyDescent="0.35">
      <c r="AQ4445" s="54"/>
      <c r="BA4445" s="54"/>
    </row>
    <row r="4446" spans="43:53" x14ac:dyDescent="0.35">
      <c r="AQ4446" s="54"/>
      <c r="BA4446" s="54"/>
    </row>
    <row r="4447" spans="43:53" x14ac:dyDescent="0.35">
      <c r="AQ4447" s="54"/>
      <c r="BA4447" s="54"/>
    </row>
    <row r="4448" spans="43:53" x14ac:dyDescent="0.35">
      <c r="AQ4448" s="54"/>
      <c r="BA4448" s="54"/>
    </row>
    <row r="4449" spans="43:53" x14ac:dyDescent="0.35">
      <c r="AQ4449" s="54"/>
      <c r="BA4449" s="54"/>
    </row>
    <row r="4450" spans="43:53" x14ac:dyDescent="0.35">
      <c r="AQ4450" s="54"/>
      <c r="BA4450" s="54"/>
    </row>
    <row r="4451" spans="43:53" x14ac:dyDescent="0.35">
      <c r="AQ4451" s="54"/>
      <c r="BA4451" s="54"/>
    </row>
    <row r="4452" spans="43:53" x14ac:dyDescent="0.35">
      <c r="AQ4452" s="54"/>
      <c r="BA4452" s="54"/>
    </row>
    <row r="4453" spans="43:53" x14ac:dyDescent="0.35">
      <c r="AQ4453" s="54"/>
      <c r="BA4453" s="54"/>
    </row>
    <row r="4454" spans="43:53" x14ac:dyDescent="0.35">
      <c r="AQ4454" s="54"/>
      <c r="BA4454" s="54"/>
    </row>
    <row r="4455" spans="43:53" x14ac:dyDescent="0.35">
      <c r="AQ4455" s="54"/>
      <c r="BA4455" s="54"/>
    </row>
    <row r="4456" spans="43:53" x14ac:dyDescent="0.35">
      <c r="AQ4456" s="54"/>
      <c r="BA4456" s="54"/>
    </row>
    <row r="4457" spans="43:53" x14ac:dyDescent="0.35">
      <c r="AQ4457" s="54"/>
      <c r="BA4457" s="54"/>
    </row>
    <row r="4458" spans="43:53" x14ac:dyDescent="0.35">
      <c r="AQ4458" s="54"/>
      <c r="BA4458" s="54"/>
    </row>
    <row r="4459" spans="43:53" x14ac:dyDescent="0.35">
      <c r="AQ4459" s="54"/>
      <c r="BA4459" s="54"/>
    </row>
    <row r="4460" spans="43:53" x14ac:dyDescent="0.35">
      <c r="AQ4460" s="54"/>
      <c r="BA4460" s="54"/>
    </row>
    <row r="4461" spans="43:53" x14ac:dyDescent="0.35">
      <c r="AQ4461" s="54"/>
      <c r="BA4461" s="54"/>
    </row>
    <row r="4462" spans="43:53" x14ac:dyDescent="0.35">
      <c r="AQ4462" s="54"/>
      <c r="BA4462" s="54"/>
    </row>
    <row r="4463" spans="43:53" x14ac:dyDescent="0.35">
      <c r="AQ4463" s="54"/>
      <c r="BA4463" s="54"/>
    </row>
    <row r="4464" spans="43:53" x14ac:dyDescent="0.35">
      <c r="AQ4464" s="54"/>
      <c r="BA4464" s="54"/>
    </row>
    <row r="4465" spans="43:53" x14ac:dyDescent="0.35">
      <c r="AQ4465" s="54"/>
      <c r="BA4465" s="54"/>
    </row>
    <row r="4466" spans="43:53" x14ac:dyDescent="0.35">
      <c r="AQ4466" s="54"/>
      <c r="BA4466" s="54"/>
    </row>
    <row r="4467" spans="43:53" x14ac:dyDescent="0.35">
      <c r="AQ4467" s="54"/>
      <c r="BA4467" s="54"/>
    </row>
    <row r="4468" spans="43:53" x14ac:dyDescent="0.35">
      <c r="AQ4468" s="54"/>
      <c r="BA4468" s="54"/>
    </row>
    <row r="4469" spans="43:53" x14ac:dyDescent="0.35">
      <c r="AQ4469" s="54"/>
      <c r="BA4469" s="54"/>
    </row>
    <row r="4470" spans="43:53" x14ac:dyDescent="0.35">
      <c r="AQ4470" s="54"/>
      <c r="BA4470" s="54"/>
    </row>
    <row r="4471" spans="43:53" x14ac:dyDescent="0.35">
      <c r="AQ4471" s="54"/>
      <c r="BA4471" s="54"/>
    </row>
    <row r="4472" spans="43:53" x14ac:dyDescent="0.35">
      <c r="AQ4472" s="54"/>
      <c r="BA4472" s="54"/>
    </row>
    <row r="4473" spans="43:53" x14ac:dyDescent="0.35">
      <c r="AQ4473" s="54"/>
      <c r="BA4473" s="54"/>
    </row>
    <row r="4474" spans="43:53" x14ac:dyDescent="0.35">
      <c r="AQ4474" s="54"/>
      <c r="BA4474" s="54"/>
    </row>
    <row r="4475" spans="43:53" x14ac:dyDescent="0.35">
      <c r="AQ4475" s="54"/>
      <c r="BA4475" s="54"/>
    </row>
    <row r="4476" spans="43:53" x14ac:dyDescent="0.35">
      <c r="AQ4476" s="54"/>
      <c r="BA4476" s="54"/>
    </row>
    <row r="4477" spans="43:53" x14ac:dyDescent="0.35">
      <c r="AQ4477" s="54"/>
      <c r="BA4477" s="54"/>
    </row>
    <row r="4478" spans="43:53" x14ac:dyDescent="0.35">
      <c r="AQ4478" s="54"/>
      <c r="BA4478" s="54"/>
    </row>
    <row r="4479" spans="43:53" x14ac:dyDescent="0.35">
      <c r="AQ4479" s="54"/>
      <c r="BA4479" s="54"/>
    </row>
    <row r="4480" spans="43:53" x14ac:dyDescent="0.35">
      <c r="AQ4480" s="54"/>
      <c r="BA4480" s="54"/>
    </row>
    <row r="4481" spans="43:53" x14ac:dyDescent="0.35">
      <c r="AQ4481" s="54"/>
      <c r="BA4481" s="54"/>
    </row>
    <row r="4482" spans="43:53" x14ac:dyDescent="0.35">
      <c r="AQ4482" s="54"/>
      <c r="BA4482" s="54"/>
    </row>
    <row r="4483" spans="43:53" x14ac:dyDescent="0.35">
      <c r="AQ4483" s="54"/>
      <c r="BA4483" s="54"/>
    </row>
    <row r="4484" spans="43:53" x14ac:dyDescent="0.35">
      <c r="AQ4484" s="54"/>
      <c r="BA4484" s="54"/>
    </row>
    <row r="4485" spans="43:53" x14ac:dyDescent="0.35">
      <c r="AQ4485" s="54"/>
      <c r="BA4485" s="54"/>
    </row>
    <row r="4486" spans="43:53" x14ac:dyDescent="0.35">
      <c r="AQ4486" s="54"/>
      <c r="BA4486" s="54"/>
    </row>
    <row r="4487" spans="43:53" x14ac:dyDescent="0.35">
      <c r="AQ4487" s="54"/>
      <c r="BA4487" s="54"/>
    </row>
    <row r="4488" spans="43:53" x14ac:dyDescent="0.35">
      <c r="AQ4488" s="54"/>
      <c r="BA4488" s="54"/>
    </row>
    <row r="4489" spans="43:53" x14ac:dyDescent="0.35">
      <c r="AQ4489" s="54"/>
      <c r="BA4489" s="54"/>
    </row>
    <row r="4490" spans="43:53" x14ac:dyDescent="0.35">
      <c r="AQ4490" s="54"/>
      <c r="BA4490" s="54"/>
    </row>
    <row r="4491" spans="43:53" x14ac:dyDescent="0.35">
      <c r="AQ4491" s="54"/>
      <c r="BA4491" s="54"/>
    </row>
    <row r="4492" spans="43:53" x14ac:dyDescent="0.35">
      <c r="AQ4492" s="54"/>
      <c r="BA4492" s="54"/>
    </row>
    <row r="4493" spans="43:53" x14ac:dyDescent="0.35">
      <c r="AQ4493" s="54"/>
      <c r="BA4493" s="54"/>
    </row>
    <row r="4494" spans="43:53" x14ac:dyDescent="0.35">
      <c r="AQ4494" s="54"/>
      <c r="BA4494" s="54"/>
    </row>
    <row r="4495" spans="43:53" x14ac:dyDescent="0.35">
      <c r="AQ4495" s="54"/>
      <c r="BA4495" s="54"/>
    </row>
    <row r="4496" spans="43:53" x14ac:dyDescent="0.35">
      <c r="AQ4496" s="54"/>
      <c r="BA4496" s="54"/>
    </row>
    <row r="4497" spans="43:53" x14ac:dyDescent="0.35">
      <c r="AQ4497" s="54"/>
      <c r="BA4497" s="54"/>
    </row>
    <row r="4498" spans="43:53" x14ac:dyDescent="0.35">
      <c r="AQ4498" s="54"/>
      <c r="BA4498" s="54"/>
    </row>
    <row r="4499" spans="43:53" x14ac:dyDescent="0.35">
      <c r="AQ4499" s="54"/>
      <c r="BA4499" s="54"/>
    </row>
    <row r="4500" spans="43:53" x14ac:dyDescent="0.35">
      <c r="AQ4500" s="54"/>
      <c r="BA4500" s="54"/>
    </row>
    <row r="4501" spans="43:53" x14ac:dyDescent="0.35">
      <c r="AQ4501" s="54"/>
      <c r="BA4501" s="54"/>
    </row>
    <row r="4502" spans="43:53" x14ac:dyDescent="0.35">
      <c r="AQ4502" s="54"/>
      <c r="BA4502" s="54"/>
    </row>
    <row r="4503" spans="43:53" x14ac:dyDescent="0.35">
      <c r="AQ4503" s="54"/>
      <c r="BA4503" s="54"/>
    </row>
    <row r="4504" spans="43:53" x14ac:dyDescent="0.35">
      <c r="AQ4504" s="54"/>
      <c r="BA4504" s="54"/>
    </row>
    <row r="4505" spans="43:53" x14ac:dyDescent="0.35">
      <c r="AQ4505" s="54"/>
      <c r="BA4505" s="54"/>
    </row>
    <row r="4506" spans="43:53" x14ac:dyDescent="0.35">
      <c r="AQ4506" s="54"/>
      <c r="BA4506" s="54"/>
    </row>
    <row r="4507" spans="43:53" x14ac:dyDescent="0.35">
      <c r="AQ4507" s="54"/>
      <c r="BA4507" s="54"/>
    </row>
    <row r="4508" spans="43:53" x14ac:dyDescent="0.35">
      <c r="AQ4508" s="54"/>
      <c r="BA4508" s="54"/>
    </row>
    <row r="4509" spans="43:53" x14ac:dyDescent="0.35">
      <c r="AQ4509" s="54"/>
      <c r="BA4509" s="54"/>
    </row>
    <row r="4510" spans="43:53" x14ac:dyDescent="0.35">
      <c r="AQ4510" s="54"/>
      <c r="BA4510" s="54"/>
    </row>
    <row r="4511" spans="43:53" x14ac:dyDescent="0.35">
      <c r="AQ4511" s="54"/>
      <c r="BA4511" s="54"/>
    </row>
    <row r="4512" spans="43:53" x14ac:dyDescent="0.35">
      <c r="AQ4512" s="54"/>
      <c r="BA4512" s="54"/>
    </row>
    <row r="4513" spans="43:53" x14ac:dyDescent="0.35">
      <c r="AQ4513" s="54"/>
      <c r="BA4513" s="54"/>
    </row>
    <row r="4514" spans="43:53" x14ac:dyDescent="0.35">
      <c r="AQ4514" s="54"/>
      <c r="BA4514" s="54"/>
    </row>
    <row r="4515" spans="43:53" x14ac:dyDescent="0.35">
      <c r="AQ4515" s="54"/>
      <c r="BA4515" s="54"/>
    </row>
    <row r="4516" spans="43:53" x14ac:dyDescent="0.35">
      <c r="AQ4516" s="54"/>
      <c r="BA4516" s="54"/>
    </row>
    <row r="4517" spans="43:53" x14ac:dyDescent="0.35">
      <c r="AQ4517" s="54"/>
      <c r="BA4517" s="54"/>
    </row>
    <row r="4518" spans="43:53" x14ac:dyDescent="0.35">
      <c r="AQ4518" s="54"/>
      <c r="BA4518" s="54"/>
    </row>
    <row r="4519" spans="43:53" x14ac:dyDescent="0.35">
      <c r="AQ4519" s="54"/>
      <c r="BA4519" s="54"/>
    </row>
    <row r="4520" spans="43:53" x14ac:dyDescent="0.35">
      <c r="AQ4520" s="54"/>
      <c r="BA4520" s="54"/>
    </row>
    <row r="4521" spans="43:53" x14ac:dyDescent="0.35">
      <c r="AQ4521" s="54"/>
      <c r="BA4521" s="54"/>
    </row>
    <row r="4522" spans="43:53" x14ac:dyDescent="0.35">
      <c r="AQ4522" s="54"/>
      <c r="BA4522" s="54"/>
    </row>
    <row r="4523" spans="43:53" x14ac:dyDescent="0.35">
      <c r="AQ4523" s="54"/>
      <c r="BA4523" s="54"/>
    </row>
    <row r="4524" spans="43:53" x14ac:dyDescent="0.35">
      <c r="AQ4524" s="54"/>
      <c r="BA4524" s="54"/>
    </row>
    <row r="4525" spans="43:53" x14ac:dyDescent="0.35">
      <c r="AQ4525" s="54"/>
      <c r="BA4525" s="54"/>
    </row>
    <row r="4526" spans="43:53" x14ac:dyDescent="0.35">
      <c r="AQ4526" s="54"/>
      <c r="BA4526" s="54"/>
    </row>
    <row r="4527" spans="43:53" x14ac:dyDescent="0.35">
      <c r="AQ4527" s="54"/>
      <c r="BA4527" s="54"/>
    </row>
    <row r="4528" spans="43:53" x14ac:dyDescent="0.35">
      <c r="AQ4528" s="54"/>
      <c r="BA4528" s="54"/>
    </row>
    <row r="4529" spans="43:53" x14ac:dyDescent="0.35">
      <c r="AQ4529" s="54"/>
      <c r="BA4529" s="54"/>
    </row>
    <row r="4530" spans="43:53" x14ac:dyDescent="0.35">
      <c r="AQ4530" s="54"/>
      <c r="BA4530" s="54"/>
    </row>
    <row r="4531" spans="43:53" x14ac:dyDescent="0.35">
      <c r="AQ4531" s="54"/>
      <c r="BA4531" s="54"/>
    </row>
    <row r="4532" spans="43:53" x14ac:dyDescent="0.35">
      <c r="AQ4532" s="54"/>
      <c r="BA4532" s="54"/>
    </row>
    <row r="4533" spans="43:53" x14ac:dyDescent="0.35">
      <c r="AQ4533" s="54"/>
      <c r="BA4533" s="54"/>
    </row>
    <row r="4534" spans="43:53" x14ac:dyDescent="0.35">
      <c r="AQ4534" s="54"/>
      <c r="BA4534" s="54"/>
    </row>
    <row r="4535" spans="43:53" x14ac:dyDescent="0.35">
      <c r="AQ4535" s="54"/>
      <c r="BA4535" s="54"/>
    </row>
    <row r="4536" spans="43:53" x14ac:dyDescent="0.35">
      <c r="AQ4536" s="54"/>
      <c r="BA4536" s="54"/>
    </row>
    <row r="4537" spans="43:53" x14ac:dyDescent="0.35">
      <c r="AQ4537" s="54"/>
      <c r="BA4537" s="54"/>
    </row>
    <row r="4538" spans="43:53" x14ac:dyDescent="0.35">
      <c r="AQ4538" s="54"/>
      <c r="BA4538" s="54"/>
    </row>
    <row r="4539" spans="43:53" x14ac:dyDescent="0.35">
      <c r="AQ4539" s="54"/>
      <c r="BA4539" s="54"/>
    </row>
    <row r="4540" spans="43:53" x14ac:dyDescent="0.35">
      <c r="AQ4540" s="54"/>
      <c r="BA4540" s="54"/>
    </row>
    <row r="4541" spans="43:53" x14ac:dyDescent="0.35">
      <c r="AQ4541" s="54"/>
      <c r="BA4541" s="54"/>
    </row>
    <row r="4542" spans="43:53" x14ac:dyDescent="0.35">
      <c r="AQ4542" s="54"/>
      <c r="BA4542" s="54"/>
    </row>
    <row r="4543" spans="43:53" x14ac:dyDescent="0.35">
      <c r="AQ4543" s="54"/>
      <c r="BA4543" s="54"/>
    </row>
    <row r="4544" spans="43:53" x14ac:dyDescent="0.35">
      <c r="AQ4544" s="54"/>
      <c r="BA4544" s="54"/>
    </row>
    <row r="4545" spans="43:53" x14ac:dyDescent="0.35">
      <c r="AQ4545" s="54"/>
      <c r="BA4545" s="54"/>
    </row>
    <row r="4546" spans="43:53" x14ac:dyDescent="0.35">
      <c r="AQ4546" s="54"/>
      <c r="BA4546" s="54"/>
    </row>
    <row r="4547" spans="43:53" x14ac:dyDescent="0.35">
      <c r="AQ4547" s="54"/>
      <c r="BA4547" s="54"/>
    </row>
    <row r="4548" spans="43:53" x14ac:dyDescent="0.35">
      <c r="AQ4548" s="54"/>
      <c r="BA4548" s="54"/>
    </row>
    <row r="4549" spans="43:53" x14ac:dyDescent="0.35">
      <c r="AQ4549" s="54"/>
      <c r="BA4549" s="54"/>
    </row>
    <row r="4550" spans="43:53" x14ac:dyDescent="0.35">
      <c r="AQ4550" s="54"/>
      <c r="BA4550" s="54"/>
    </row>
    <row r="4551" spans="43:53" x14ac:dyDescent="0.35">
      <c r="AQ4551" s="54"/>
      <c r="BA4551" s="54"/>
    </row>
    <row r="4552" spans="43:53" x14ac:dyDescent="0.35">
      <c r="AQ4552" s="54"/>
      <c r="BA4552" s="54"/>
    </row>
    <row r="4553" spans="43:53" x14ac:dyDescent="0.35">
      <c r="AQ4553" s="54"/>
      <c r="BA4553" s="54"/>
    </row>
    <row r="4554" spans="43:53" x14ac:dyDescent="0.35">
      <c r="AQ4554" s="54"/>
      <c r="BA4554" s="54"/>
    </row>
    <row r="4555" spans="43:53" x14ac:dyDescent="0.35">
      <c r="AQ4555" s="54"/>
      <c r="BA4555" s="54"/>
    </row>
    <row r="4556" spans="43:53" x14ac:dyDescent="0.35">
      <c r="AQ4556" s="54"/>
      <c r="BA4556" s="54"/>
    </row>
    <row r="4557" spans="43:53" x14ac:dyDescent="0.35">
      <c r="AQ4557" s="54"/>
      <c r="BA4557" s="54"/>
    </row>
    <row r="4558" spans="43:53" x14ac:dyDescent="0.35">
      <c r="AQ4558" s="54"/>
      <c r="BA4558" s="54"/>
    </row>
    <row r="4559" spans="43:53" x14ac:dyDescent="0.35">
      <c r="AQ4559" s="54"/>
      <c r="BA4559" s="54"/>
    </row>
    <row r="4560" spans="43:53" x14ac:dyDescent="0.35">
      <c r="AQ4560" s="54"/>
      <c r="BA4560" s="54"/>
    </row>
    <row r="4561" spans="43:53" x14ac:dyDescent="0.35">
      <c r="AQ4561" s="54"/>
      <c r="BA4561" s="54"/>
    </row>
    <row r="4562" spans="43:53" x14ac:dyDescent="0.35">
      <c r="AQ4562" s="54"/>
      <c r="BA4562" s="54"/>
    </row>
    <row r="4563" spans="43:53" x14ac:dyDescent="0.35">
      <c r="AQ4563" s="54"/>
      <c r="BA4563" s="54"/>
    </row>
    <row r="4564" spans="43:53" x14ac:dyDescent="0.35">
      <c r="AQ4564" s="54"/>
      <c r="BA4564" s="54"/>
    </row>
    <row r="4565" spans="43:53" x14ac:dyDescent="0.35">
      <c r="AQ4565" s="54"/>
      <c r="BA4565" s="54"/>
    </row>
    <row r="4566" spans="43:53" x14ac:dyDescent="0.35">
      <c r="AQ4566" s="54"/>
      <c r="BA4566" s="54"/>
    </row>
    <row r="4567" spans="43:53" x14ac:dyDescent="0.35">
      <c r="AQ4567" s="54"/>
      <c r="BA4567" s="54"/>
    </row>
    <row r="4568" spans="43:53" x14ac:dyDescent="0.35">
      <c r="AQ4568" s="54"/>
      <c r="BA4568" s="54"/>
    </row>
    <row r="4569" spans="43:53" x14ac:dyDescent="0.35">
      <c r="AQ4569" s="54"/>
      <c r="BA4569" s="54"/>
    </row>
    <row r="4570" spans="43:53" x14ac:dyDescent="0.35">
      <c r="AQ4570" s="54"/>
      <c r="BA4570" s="54"/>
    </row>
    <row r="4571" spans="43:53" x14ac:dyDescent="0.35">
      <c r="AQ4571" s="54"/>
      <c r="BA4571" s="54"/>
    </row>
    <row r="4572" spans="43:53" x14ac:dyDescent="0.35">
      <c r="AQ4572" s="54"/>
      <c r="BA4572" s="54"/>
    </row>
    <row r="4573" spans="43:53" x14ac:dyDescent="0.35">
      <c r="AQ4573" s="54"/>
      <c r="BA4573" s="54"/>
    </row>
    <row r="4574" spans="43:53" x14ac:dyDescent="0.35">
      <c r="AQ4574" s="54"/>
      <c r="BA4574" s="54"/>
    </row>
    <row r="4575" spans="43:53" x14ac:dyDescent="0.35">
      <c r="AQ4575" s="54"/>
      <c r="BA4575" s="54"/>
    </row>
    <row r="4576" spans="43:53" x14ac:dyDescent="0.35">
      <c r="AQ4576" s="54"/>
      <c r="BA4576" s="54"/>
    </row>
    <row r="4577" spans="43:53" x14ac:dyDescent="0.35">
      <c r="AQ4577" s="54"/>
      <c r="BA4577" s="54"/>
    </row>
    <row r="4578" spans="43:53" x14ac:dyDescent="0.35">
      <c r="AQ4578" s="54"/>
      <c r="BA4578" s="54"/>
    </row>
    <row r="4579" spans="43:53" x14ac:dyDescent="0.35">
      <c r="AQ4579" s="54"/>
      <c r="BA4579" s="54"/>
    </row>
    <row r="4580" spans="43:53" x14ac:dyDescent="0.35">
      <c r="AQ4580" s="54"/>
      <c r="BA4580" s="54"/>
    </row>
    <row r="4581" spans="43:53" x14ac:dyDescent="0.35">
      <c r="AQ4581" s="54"/>
      <c r="BA4581" s="54"/>
    </row>
    <row r="4582" spans="43:53" x14ac:dyDescent="0.35">
      <c r="AQ4582" s="54"/>
      <c r="BA4582" s="54"/>
    </row>
    <row r="4583" spans="43:53" x14ac:dyDescent="0.35">
      <c r="AQ4583" s="54"/>
      <c r="BA4583" s="54"/>
    </row>
    <row r="4584" spans="43:53" x14ac:dyDescent="0.35">
      <c r="AQ4584" s="54"/>
      <c r="BA4584" s="54"/>
    </row>
    <row r="4585" spans="43:53" x14ac:dyDescent="0.35">
      <c r="AQ4585" s="54"/>
      <c r="BA4585" s="54"/>
    </row>
    <row r="4586" spans="43:53" x14ac:dyDescent="0.35">
      <c r="AQ4586" s="54"/>
      <c r="BA4586" s="54"/>
    </row>
    <row r="4587" spans="43:53" x14ac:dyDescent="0.35">
      <c r="AQ4587" s="54"/>
      <c r="BA4587" s="54"/>
    </row>
    <row r="4588" spans="43:53" x14ac:dyDescent="0.35">
      <c r="AQ4588" s="54"/>
      <c r="BA4588" s="54"/>
    </row>
    <row r="4589" spans="43:53" x14ac:dyDescent="0.35">
      <c r="AQ4589" s="54"/>
      <c r="BA4589" s="54"/>
    </row>
    <row r="4590" spans="43:53" x14ac:dyDescent="0.35">
      <c r="AQ4590" s="54"/>
      <c r="BA4590" s="54"/>
    </row>
    <row r="4591" spans="43:53" x14ac:dyDescent="0.35">
      <c r="AQ4591" s="54"/>
      <c r="BA4591" s="54"/>
    </row>
    <row r="4592" spans="43:53" x14ac:dyDescent="0.35">
      <c r="AQ4592" s="54"/>
      <c r="BA4592" s="54"/>
    </row>
    <row r="4593" spans="43:53" x14ac:dyDescent="0.35">
      <c r="AQ4593" s="54"/>
      <c r="BA4593" s="54"/>
    </row>
    <row r="4594" spans="43:53" x14ac:dyDescent="0.35">
      <c r="AQ4594" s="54"/>
      <c r="BA4594" s="54"/>
    </row>
    <row r="4595" spans="43:53" x14ac:dyDescent="0.35">
      <c r="AQ4595" s="54"/>
      <c r="BA4595" s="54"/>
    </row>
    <row r="4596" spans="43:53" x14ac:dyDescent="0.35">
      <c r="AQ4596" s="54"/>
      <c r="BA4596" s="54"/>
    </row>
    <row r="4597" spans="43:53" x14ac:dyDescent="0.35">
      <c r="AQ4597" s="54"/>
      <c r="BA4597" s="54"/>
    </row>
    <row r="4598" spans="43:53" x14ac:dyDescent="0.35">
      <c r="AQ4598" s="54"/>
      <c r="BA4598" s="54"/>
    </row>
    <row r="4599" spans="43:53" x14ac:dyDescent="0.35">
      <c r="AQ4599" s="54"/>
      <c r="BA4599" s="54"/>
    </row>
    <row r="4600" spans="43:53" x14ac:dyDescent="0.35">
      <c r="AQ4600" s="54"/>
      <c r="BA4600" s="54"/>
    </row>
    <row r="4601" spans="43:53" x14ac:dyDescent="0.35">
      <c r="AQ4601" s="54"/>
      <c r="BA4601" s="54"/>
    </row>
    <row r="4602" spans="43:53" x14ac:dyDescent="0.35">
      <c r="AQ4602" s="54"/>
      <c r="BA4602" s="54"/>
    </row>
    <row r="4603" spans="43:53" x14ac:dyDescent="0.35">
      <c r="AQ4603" s="54"/>
      <c r="BA4603" s="54"/>
    </row>
    <row r="4604" spans="43:53" x14ac:dyDescent="0.35">
      <c r="AQ4604" s="54"/>
      <c r="BA4604" s="54"/>
    </row>
    <row r="4605" spans="43:53" x14ac:dyDescent="0.35">
      <c r="AQ4605" s="54"/>
      <c r="BA4605" s="54"/>
    </row>
    <row r="4606" spans="43:53" x14ac:dyDescent="0.35">
      <c r="AQ4606" s="54"/>
      <c r="BA4606" s="54"/>
    </row>
    <row r="4607" spans="43:53" x14ac:dyDescent="0.35">
      <c r="AQ4607" s="54"/>
      <c r="BA4607" s="54"/>
    </row>
    <row r="4608" spans="43:53" x14ac:dyDescent="0.35">
      <c r="AQ4608" s="54"/>
      <c r="BA4608" s="54"/>
    </row>
    <row r="4609" spans="43:53" x14ac:dyDescent="0.35">
      <c r="AQ4609" s="54"/>
      <c r="BA4609" s="54"/>
    </row>
    <row r="4610" spans="43:53" x14ac:dyDescent="0.35">
      <c r="AQ4610" s="54"/>
      <c r="BA4610" s="54"/>
    </row>
    <row r="4611" spans="43:53" x14ac:dyDescent="0.35">
      <c r="AQ4611" s="54"/>
      <c r="BA4611" s="54"/>
    </row>
    <row r="4612" spans="43:53" x14ac:dyDescent="0.35">
      <c r="AQ4612" s="54"/>
      <c r="BA4612" s="54"/>
    </row>
    <row r="4613" spans="43:53" x14ac:dyDescent="0.35">
      <c r="AQ4613" s="54"/>
      <c r="BA4613" s="54"/>
    </row>
    <row r="4614" spans="43:53" x14ac:dyDescent="0.35">
      <c r="AQ4614" s="54"/>
      <c r="BA4614" s="54"/>
    </row>
    <row r="4615" spans="43:53" x14ac:dyDescent="0.35">
      <c r="AQ4615" s="54"/>
      <c r="BA4615" s="54"/>
    </row>
    <row r="4616" spans="43:53" x14ac:dyDescent="0.35">
      <c r="AQ4616" s="54"/>
      <c r="BA4616" s="54"/>
    </row>
    <row r="4617" spans="43:53" x14ac:dyDescent="0.35">
      <c r="AQ4617" s="54"/>
      <c r="BA4617" s="54"/>
    </row>
    <row r="4618" spans="43:53" x14ac:dyDescent="0.35">
      <c r="AQ4618" s="54"/>
      <c r="BA4618" s="54"/>
    </row>
    <row r="4619" spans="43:53" x14ac:dyDescent="0.35">
      <c r="AQ4619" s="54"/>
      <c r="BA4619" s="54"/>
    </row>
    <row r="4620" spans="43:53" x14ac:dyDescent="0.35">
      <c r="AQ4620" s="54"/>
      <c r="BA4620" s="54"/>
    </row>
    <row r="4621" spans="43:53" x14ac:dyDescent="0.35">
      <c r="AQ4621" s="54"/>
      <c r="BA4621" s="54"/>
    </row>
    <row r="4622" spans="43:53" x14ac:dyDescent="0.35">
      <c r="AQ4622" s="54"/>
      <c r="BA4622" s="54"/>
    </row>
    <row r="4623" spans="43:53" x14ac:dyDescent="0.35">
      <c r="AQ4623" s="54"/>
      <c r="BA4623" s="54"/>
    </row>
    <row r="4624" spans="43:53" x14ac:dyDescent="0.35">
      <c r="AQ4624" s="54"/>
      <c r="BA4624" s="54"/>
    </row>
    <row r="4625" spans="43:53" x14ac:dyDescent="0.35">
      <c r="AQ4625" s="54"/>
      <c r="BA4625" s="54"/>
    </row>
    <row r="4626" spans="43:53" x14ac:dyDescent="0.35">
      <c r="AQ4626" s="54"/>
      <c r="BA4626" s="54"/>
    </row>
    <row r="4627" spans="43:53" x14ac:dyDescent="0.35">
      <c r="AQ4627" s="54"/>
      <c r="BA4627" s="54"/>
    </row>
    <row r="4628" spans="43:53" x14ac:dyDescent="0.35">
      <c r="AQ4628" s="54"/>
      <c r="BA4628" s="54"/>
    </row>
    <row r="4629" spans="43:53" x14ac:dyDescent="0.35">
      <c r="AQ4629" s="54"/>
      <c r="BA4629" s="54"/>
    </row>
    <row r="4630" spans="43:53" x14ac:dyDescent="0.35">
      <c r="AQ4630" s="54"/>
      <c r="BA4630" s="54"/>
    </row>
    <row r="4631" spans="43:53" x14ac:dyDescent="0.35">
      <c r="AQ4631" s="54"/>
      <c r="BA4631" s="54"/>
    </row>
    <row r="4632" spans="43:53" x14ac:dyDescent="0.35">
      <c r="AQ4632" s="54"/>
      <c r="BA4632" s="54"/>
    </row>
    <row r="4633" spans="43:53" x14ac:dyDescent="0.35">
      <c r="AQ4633" s="54"/>
      <c r="BA4633" s="54"/>
    </row>
    <row r="4634" spans="43:53" x14ac:dyDescent="0.35">
      <c r="AQ4634" s="54"/>
      <c r="BA4634" s="54"/>
    </row>
    <row r="4635" spans="43:53" x14ac:dyDescent="0.35">
      <c r="AQ4635" s="54"/>
      <c r="BA4635" s="54"/>
    </row>
    <row r="4636" spans="43:53" x14ac:dyDescent="0.35">
      <c r="AQ4636" s="54"/>
      <c r="BA4636" s="54"/>
    </row>
    <row r="4637" spans="43:53" x14ac:dyDescent="0.35">
      <c r="AQ4637" s="54"/>
      <c r="BA4637" s="54"/>
    </row>
    <row r="4638" spans="43:53" x14ac:dyDescent="0.35">
      <c r="AQ4638" s="54"/>
      <c r="BA4638" s="54"/>
    </row>
    <row r="4639" spans="43:53" x14ac:dyDescent="0.35">
      <c r="AQ4639" s="54"/>
      <c r="BA4639" s="54"/>
    </row>
    <row r="4640" spans="43:53" x14ac:dyDescent="0.35">
      <c r="AQ4640" s="54"/>
      <c r="BA4640" s="54"/>
    </row>
    <row r="4641" spans="43:53" x14ac:dyDescent="0.35">
      <c r="AQ4641" s="54"/>
      <c r="BA4641" s="54"/>
    </row>
    <row r="4642" spans="43:53" x14ac:dyDescent="0.35">
      <c r="AQ4642" s="54"/>
      <c r="BA4642" s="54"/>
    </row>
    <row r="4643" spans="43:53" x14ac:dyDescent="0.35">
      <c r="AQ4643" s="54"/>
      <c r="BA4643" s="54"/>
    </row>
    <row r="4644" spans="43:53" x14ac:dyDescent="0.35">
      <c r="AQ4644" s="54"/>
      <c r="BA4644" s="54"/>
    </row>
    <row r="4645" spans="43:53" x14ac:dyDescent="0.35">
      <c r="AQ4645" s="54"/>
      <c r="BA4645" s="54"/>
    </row>
    <row r="4646" spans="43:53" x14ac:dyDescent="0.35">
      <c r="AQ4646" s="54"/>
      <c r="BA4646" s="54"/>
    </row>
    <row r="4647" spans="43:53" x14ac:dyDescent="0.35">
      <c r="AQ4647" s="54"/>
      <c r="BA4647" s="54"/>
    </row>
    <row r="4648" spans="43:53" x14ac:dyDescent="0.35">
      <c r="AQ4648" s="54"/>
      <c r="BA4648" s="54"/>
    </row>
    <row r="4649" spans="43:53" x14ac:dyDescent="0.35">
      <c r="AQ4649" s="54"/>
      <c r="BA4649" s="54"/>
    </row>
    <row r="4650" spans="43:53" x14ac:dyDescent="0.35">
      <c r="AQ4650" s="54"/>
      <c r="BA4650" s="54"/>
    </row>
    <row r="4651" spans="43:53" x14ac:dyDescent="0.35">
      <c r="AQ4651" s="54"/>
      <c r="BA4651" s="54"/>
    </row>
    <row r="4652" spans="43:53" x14ac:dyDescent="0.35">
      <c r="AQ4652" s="54"/>
      <c r="BA4652" s="54"/>
    </row>
    <row r="4653" spans="43:53" x14ac:dyDescent="0.35">
      <c r="AQ4653" s="54"/>
      <c r="BA4653" s="54"/>
    </row>
    <row r="4654" spans="43:53" x14ac:dyDescent="0.35">
      <c r="AQ4654" s="54"/>
      <c r="BA4654" s="54"/>
    </row>
    <row r="4655" spans="43:53" x14ac:dyDescent="0.35">
      <c r="AQ4655" s="54"/>
      <c r="BA4655" s="54"/>
    </row>
    <row r="4656" spans="43:53" x14ac:dyDescent="0.35">
      <c r="AQ4656" s="54"/>
      <c r="BA4656" s="54"/>
    </row>
    <row r="4657" spans="43:53" x14ac:dyDescent="0.35">
      <c r="AQ4657" s="54"/>
      <c r="BA4657" s="54"/>
    </row>
    <row r="4658" spans="43:53" x14ac:dyDescent="0.35">
      <c r="AQ4658" s="54"/>
      <c r="BA4658" s="54"/>
    </row>
    <row r="4659" spans="43:53" x14ac:dyDescent="0.35">
      <c r="AQ4659" s="54"/>
      <c r="BA4659" s="54"/>
    </row>
    <row r="4660" spans="43:53" x14ac:dyDescent="0.35">
      <c r="AQ4660" s="54"/>
      <c r="BA4660" s="54"/>
    </row>
    <row r="4661" spans="43:53" x14ac:dyDescent="0.35">
      <c r="AQ4661" s="54"/>
      <c r="BA4661" s="54"/>
    </row>
    <row r="4662" spans="43:53" x14ac:dyDescent="0.35">
      <c r="AQ4662" s="54"/>
      <c r="BA4662" s="54"/>
    </row>
    <row r="4663" spans="43:53" x14ac:dyDescent="0.35">
      <c r="AQ4663" s="54"/>
      <c r="BA4663" s="54"/>
    </row>
    <row r="4664" spans="43:53" x14ac:dyDescent="0.35">
      <c r="AQ4664" s="54"/>
      <c r="BA4664" s="54"/>
    </row>
    <row r="4665" spans="43:53" x14ac:dyDescent="0.35">
      <c r="AQ4665" s="54"/>
      <c r="BA4665" s="54"/>
    </row>
    <row r="4666" spans="43:53" x14ac:dyDescent="0.35">
      <c r="AQ4666" s="54"/>
      <c r="BA4666" s="54"/>
    </row>
    <row r="4667" spans="43:53" x14ac:dyDescent="0.35">
      <c r="AQ4667" s="54"/>
      <c r="BA4667" s="54"/>
    </row>
    <row r="4668" spans="43:53" x14ac:dyDescent="0.35">
      <c r="AQ4668" s="54"/>
      <c r="BA4668" s="54"/>
    </row>
    <row r="4669" spans="43:53" x14ac:dyDescent="0.35">
      <c r="AQ4669" s="54"/>
      <c r="BA4669" s="54"/>
    </row>
    <row r="4670" spans="43:53" x14ac:dyDescent="0.35">
      <c r="AQ4670" s="54"/>
      <c r="BA4670" s="54"/>
    </row>
    <row r="4671" spans="43:53" x14ac:dyDescent="0.35">
      <c r="AQ4671" s="54"/>
      <c r="BA4671" s="54"/>
    </row>
    <row r="4672" spans="43:53" x14ac:dyDescent="0.35">
      <c r="AQ4672" s="54"/>
      <c r="BA4672" s="54"/>
    </row>
    <row r="4673" spans="43:53" x14ac:dyDescent="0.35">
      <c r="AQ4673" s="54"/>
      <c r="BA4673" s="54"/>
    </row>
    <row r="4674" spans="43:53" x14ac:dyDescent="0.35">
      <c r="AQ4674" s="54"/>
      <c r="BA4674" s="54"/>
    </row>
    <row r="4675" spans="43:53" x14ac:dyDescent="0.35">
      <c r="AQ4675" s="54"/>
      <c r="BA4675" s="54"/>
    </row>
    <row r="4676" spans="43:53" x14ac:dyDescent="0.35">
      <c r="AQ4676" s="54"/>
      <c r="BA4676" s="54"/>
    </row>
    <row r="4677" spans="43:53" x14ac:dyDescent="0.35">
      <c r="AQ4677" s="54"/>
      <c r="BA4677" s="54"/>
    </row>
    <row r="4678" spans="43:53" x14ac:dyDescent="0.35">
      <c r="AQ4678" s="54"/>
      <c r="BA4678" s="54"/>
    </row>
    <row r="4679" spans="43:53" x14ac:dyDescent="0.35">
      <c r="AQ4679" s="54"/>
      <c r="BA4679" s="54"/>
    </row>
    <row r="4680" spans="43:53" x14ac:dyDescent="0.35">
      <c r="AQ4680" s="54"/>
      <c r="BA4680" s="54"/>
    </row>
    <row r="4681" spans="43:53" x14ac:dyDescent="0.35">
      <c r="AQ4681" s="54"/>
      <c r="BA4681" s="54"/>
    </row>
    <row r="4682" spans="43:53" x14ac:dyDescent="0.35">
      <c r="AQ4682" s="54"/>
      <c r="BA4682" s="54"/>
    </row>
    <row r="4683" spans="43:53" x14ac:dyDescent="0.35">
      <c r="AQ4683" s="54"/>
      <c r="BA4683" s="54"/>
    </row>
    <row r="4684" spans="43:53" x14ac:dyDescent="0.35">
      <c r="AQ4684" s="54"/>
      <c r="BA4684" s="54"/>
    </row>
    <row r="4685" spans="43:53" x14ac:dyDescent="0.35">
      <c r="AQ4685" s="54"/>
      <c r="BA4685" s="54"/>
    </row>
    <row r="4686" spans="43:53" x14ac:dyDescent="0.35">
      <c r="AQ4686" s="54"/>
      <c r="BA4686" s="54"/>
    </row>
    <row r="4687" spans="43:53" x14ac:dyDescent="0.35">
      <c r="AQ4687" s="54"/>
      <c r="BA4687" s="54"/>
    </row>
    <row r="4688" spans="43:53" x14ac:dyDescent="0.35">
      <c r="AQ4688" s="54"/>
      <c r="BA4688" s="54"/>
    </row>
    <row r="4689" spans="43:53" x14ac:dyDescent="0.35">
      <c r="AQ4689" s="54"/>
      <c r="BA4689" s="54"/>
    </row>
    <row r="4690" spans="43:53" x14ac:dyDescent="0.35">
      <c r="AQ4690" s="54"/>
      <c r="BA4690" s="54"/>
    </row>
    <row r="4691" spans="43:53" x14ac:dyDescent="0.35">
      <c r="AQ4691" s="54"/>
      <c r="BA4691" s="54"/>
    </row>
    <row r="4692" spans="43:53" x14ac:dyDescent="0.35">
      <c r="AQ4692" s="54"/>
      <c r="BA4692" s="54"/>
    </row>
    <row r="4693" spans="43:53" x14ac:dyDescent="0.35">
      <c r="AQ4693" s="54"/>
      <c r="BA4693" s="54"/>
    </row>
    <row r="4694" spans="43:53" x14ac:dyDescent="0.35">
      <c r="AQ4694" s="54"/>
      <c r="BA4694" s="54"/>
    </row>
    <row r="4695" spans="43:53" x14ac:dyDescent="0.35">
      <c r="AQ4695" s="54"/>
      <c r="BA4695" s="54"/>
    </row>
    <row r="4696" spans="43:53" x14ac:dyDescent="0.35">
      <c r="AQ4696" s="54"/>
      <c r="BA4696" s="54"/>
    </row>
    <row r="4697" spans="43:53" x14ac:dyDescent="0.35">
      <c r="AQ4697" s="54"/>
      <c r="BA4697" s="54"/>
    </row>
    <row r="4698" spans="43:53" x14ac:dyDescent="0.35">
      <c r="AQ4698" s="54"/>
      <c r="BA4698" s="54"/>
    </row>
    <row r="4699" spans="43:53" x14ac:dyDescent="0.35">
      <c r="AQ4699" s="54"/>
      <c r="BA4699" s="54"/>
    </row>
    <row r="4700" spans="43:53" x14ac:dyDescent="0.35">
      <c r="AQ4700" s="54"/>
      <c r="BA4700" s="54"/>
    </row>
    <row r="4701" spans="43:53" x14ac:dyDescent="0.35">
      <c r="AQ4701" s="54"/>
      <c r="BA4701" s="54"/>
    </row>
    <row r="4702" spans="43:53" x14ac:dyDescent="0.35">
      <c r="AQ4702" s="54"/>
      <c r="BA4702" s="54"/>
    </row>
    <row r="4703" spans="43:53" x14ac:dyDescent="0.35">
      <c r="AQ4703" s="54"/>
      <c r="BA4703" s="54"/>
    </row>
    <row r="4704" spans="43:53" x14ac:dyDescent="0.35">
      <c r="AQ4704" s="54"/>
      <c r="BA4704" s="54"/>
    </row>
    <row r="4705" spans="43:53" x14ac:dyDescent="0.35">
      <c r="AQ4705" s="54"/>
      <c r="BA4705" s="54"/>
    </row>
    <row r="4706" spans="43:53" x14ac:dyDescent="0.35">
      <c r="AQ4706" s="54"/>
      <c r="BA4706" s="54"/>
    </row>
    <row r="4707" spans="43:53" x14ac:dyDescent="0.35">
      <c r="AQ4707" s="54"/>
      <c r="BA4707" s="54"/>
    </row>
    <row r="4708" spans="43:53" x14ac:dyDescent="0.35">
      <c r="AQ4708" s="54"/>
      <c r="BA4708" s="54"/>
    </row>
    <row r="4709" spans="43:53" x14ac:dyDescent="0.35">
      <c r="AQ4709" s="54"/>
      <c r="BA4709" s="54"/>
    </row>
    <row r="4710" spans="43:53" x14ac:dyDescent="0.35">
      <c r="AQ4710" s="54"/>
      <c r="BA4710" s="54"/>
    </row>
    <row r="4711" spans="43:53" x14ac:dyDescent="0.35">
      <c r="AQ4711" s="54"/>
      <c r="BA4711" s="54"/>
    </row>
    <row r="4712" spans="43:53" x14ac:dyDescent="0.35">
      <c r="AQ4712" s="54"/>
      <c r="BA4712" s="54"/>
    </row>
    <row r="4713" spans="43:53" x14ac:dyDescent="0.35">
      <c r="AQ4713" s="54"/>
      <c r="BA4713" s="54"/>
    </row>
    <row r="4714" spans="43:53" x14ac:dyDescent="0.35">
      <c r="AQ4714" s="54"/>
      <c r="BA4714" s="54"/>
    </row>
    <row r="4715" spans="43:53" x14ac:dyDescent="0.35">
      <c r="AQ4715" s="54"/>
      <c r="BA4715" s="54"/>
    </row>
    <row r="4716" spans="43:53" x14ac:dyDescent="0.35">
      <c r="AQ4716" s="54"/>
      <c r="BA4716" s="54"/>
    </row>
    <row r="4717" spans="43:53" x14ac:dyDescent="0.35">
      <c r="AQ4717" s="54"/>
      <c r="BA4717" s="54"/>
    </row>
    <row r="4718" spans="43:53" x14ac:dyDescent="0.35">
      <c r="AQ4718" s="54"/>
      <c r="BA4718" s="54"/>
    </row>
    <row r="4719" spans="43:53" x14ac:dyDescent="0.35">
      <c r="AQ4719" s="54"/>
      <c r="BA4719" s="54"/>
    </row>
    <row r="4720" spans="43:53" x14ac:dyDescent="0.35">
      <c r="AQ4720" s="54"/>
      <c r="BA4720" s="54"/>
    </row>
    <row r="4721" spans="43:53" x14ac:dyDescent="0.35">
      <c r="AQ4721" s="54"/>
      <c r="BA4721" s="54"/>
    </row>
    <row r="4722" spans="43:53" x14ac:dyDescent="0.35">
      <c r="AQ4722" s="54"/>
      <c r="BA4722" s="54"/>
    </row>
    <row r="4723" spans="43:53" x14ac:dyDescent="0.35">
      <c r="AQ4723" s="54"/>
      <c r="BA4723" s="54"/>
    </row>
    <row r="4724" spans="43:53" x14ac:dyDescent="0.35">
      <c r="AQ4724" s="54"/>
      <c r="BA4724" s="54"/>
    </row>
    <row r="4725" spans="43:53" x14ac:dyDescent="0.35">
      <c r="AQ4725" s="54"/>
      <c r="BA4725" s="54"/>
    </row>
    <row r="4726" spans="43:53" x14ac:dyDescent="0.35">
      <c r="AQ4726" s="54"/>
      <c r="BA4726" s="54"/>
    </row>
    <row r="4727" spans="43:53" x14ac:dyDescent="0.35">
      <c r="AQ4727" s="54"/>
      <c r="BA4727" s="54"/>
    </row>
    <row r="4728" spans="43:53" x14ac:dyDescent="0.35">
      <c r="AQ4728" s="54"/>
      <c r="BA4728" s="54"/>
    </row>
    <row r="4729" spans="43:53" x14ac:dyDescent="0.35">
      <c r="AQ4729" s="54"/>
      <c r="BA4729" s="54"/>
    </row>
    <row r="4730" spans="43:53" x14ac:dyDescent="0.35">
      <c r="AQ4730" s="54"/>
      <c r="BA4730" s="54"/>
    </row>
    <row r="4731" spans="43:53" x14ac:dyDescent="0.35">
      <c r="AQ4731" s="54"/>
      <c r="BA4731" s="54"/>
    </row>
    <row r="4732" spans="43:53" x14ac:dyDescent="0.35">
      <c r="AQ4732" s="54"/>
      <c r="BA4732" s="54"/>
    </row>
    <row r="4733" spans="43:53" x14ac:dyDescent="0.35">
      <c r="AQ4733" s="54"/>
      <c r="BA4733" s="54"/>
    </row>
    <row r="4734" spans="43:53" x14ac:dyDescent="0.35">
      <c r="AQ4734" s="54"/>
      <c r="BA4734" s="54"/>
    </row>
    <row r="4735" spans="43:53" x14ac:dyDescent="0.35">
      <c r="AQ4735" s="54"/>
      <c r="BA4735" s="54"/>
    </row>
    <row r="4736" spans="43:53" x14ac:dyDescent="0.35">
      <c r="AQ4736" s="54"/>
      <c r="BA4736" s="54"/>
    </row>
    <row r="4737" spans="43:53" x14ac:dyDescent="0.35">
      <c r="AQ4737" s="54"/>
      <c r="BA4737" s="54"/>
    </row>
    <row r="4738" spans="43:53" x14ac:dyDescent="0.35">
      <c r="AQ4738" s="54"/>
      <c r="BA4738" s="54"/>
    </row>
    <row r="4739" spans="43:53" x14ac:dyDescent="0.35">
      <c r="AQ4739" s="54"/>
      <c r="BA4739" s="54"/>
    </row>
    <row r="4740" spans="43:53" x14ac:dyDescent="0.35">
      <c r="AQ4740" s="54"/>
      <c r="BA4740" s="54"/>
    </row>
    <row r="4741" spans="43:53" x14ac:dyDescent="0.35">
      <c r="AQ4741" s="54"/>
      <c r="BA4741" s="54"/>
    </row>
    <row r="4742" spans="43:53" x14ac:dyDescent="0.35">
      <c r="AQ4742" s="54"/>
      <c r="BA4742" s="54"/>
    </row>
    <row r="4743" spans="43:53" x14ac:dyDescent="0.35">
      <c r="AQ4743" s="54"/>
      <c r="BA4743" s="54"/>
    </row>
    <row r="4744" spans="43:53" x14ac:dyDescent="0.35">
      <c r="AQ4744" s="54"/>
      <c r="BA4744" s="54"/>
    </row>
    <row r="4745" spans="43:53" x14ac:dyDescent="0.35">
      <c r="AQ4745" s="54"/>
      <c r="BA4745" s="54"/>
    </row>
    <row r="4746" spans="43:53" x14ac:dyDescent="0.35">
      <c r="AQ4746" s="54"/>
      <c r="BA4746" s="54"/>
    </row>
    <row r="4747" spans="43:53" x14ac:dyDescent="0.35">
      <c r="AQ4747" s="54"/>
      <c r="BA4747" s="54"/>
    </row>
    <row r="4748" spans="43:53" x14ac:dyDescent="0.35">
      <c r="AQ4748" s="54"/>
      <c r="BA4748" s="54"/>
    </row>
    <row r="4749" spans="43:53" x14ac:dyDescent="0.35">
      <c r="AQ4749" s="54"/>
      <c r="BA4749" s="54"/>
    </row>
    <row r="4750" spans="43:53" x14ac:dyDescent="0.35">
      <c r="AQ4750" s="54"/>
      <c r="BA4750" s="54"/>
    </row>
    <row r="4751" spans="43:53" x14ac:dyDescent="0.35">
      <c r="AQ4751" s="54"/>
      <c r="BA4751" s="54"/>
    </row>
    <row r="4752" spans="43:53" x14ac:dyDescent="0.35">
      <c r="AQ4752" s="54"/>
      <c r="BA4752" s="54"/>
    </row>
    <row r="4753" spans="43:53" x14ac:dyDescent="0.35">
      <c r="AQ4753" s="54"/>
      <c r="BA4753" s="54"/>
    </row>
    <row r="4754" spans="43:53" x14ac:dyDescent="0.35">
      <c r="AQ4754" s="54"/>
      <c r="BA4754" s="54"/>
    </row>
    <row r="4755" spans="43:53" x14ac:dyDescent="0.35">
      <c r="AQ4755" s="54"/>
      <c r="BA4755" s="54"/>
    </row>
    <row r="4756" spans="43:53" x14ac:dyDescent="0.35">
      <c r="AQ4756" s="54"/>
      <c r="BA4756" s="54"/>
    </row>
    <row r="4757" spans="43:53" x14ac:dyDescent="0.35">
      <c r="AQ4757" s="54"/>
      <c r="BA4757" s="54"/>
    </row>
    <row r="4758" spans="43:53" x14ac:dyDescent="0.35">
      <c r="AQ4758" s="54"/>
      <c r="BA4758" s="54"/>
    </row>
    <row r="4759" spans="43:53" x14ac:dyDescent="0.35">
      <c r="AQ4759" s="54"/>
      <c r="BA4759" s="54"/>
    </row>
    <row r="4760" spans="43:53" x14ac:dyDescent="0.35">
      <c r="AQ4760" s="54"/>
      <c r="BA4760" s="54"/>
    </row>
    <row r="4761" spans="43:53" x14ac:dyDescent="0.35">
      <c r="AQ4761" s="54"/>
      <c r="BA4761" s="54"/>
    </row>
    <row r="4762" spans="43:53" x14ac:dyDescent="0.35">
      <c r="AQ4762" s="54"/>
      <c r="BA4762" s="54"/>
    </row>
    <row r="4763" spans="43:53" x14ac:dyDescent="0.35">
      <c r="AQ4763" s="54"/>
      <c r="BA4763" s="54"/>
    </row>
    <row r="4764" spans="43:53" x14ac:dyDescent="0.35">
      <c r="AQ4764" s="54"/>
      <c r="BA4764" s="54"/>
    </row>
    <row r="4765" spans="43:53" x14ac:dyDescent="0.35">
      <c r="AQ4765" s="54"/>
      <c r="BA4765" s="54"/>
    </row>
    <row r="4766" spans="43:53" x14ac:dyDescent="0.35">
      <c r="AQ4766" s="54"/>
      <c r="BA4766" s="54"/>
    </row>
    <row r="4767" spans="43:53" x14ac:dyDescent="0.35">
      <c r="AQ4767" s="54"/>
      <c r="BA4767" s="54"/>
    </row>
    <row r="4768" spans="43:53" x14ac:dyDescent="0.35">
      <c r="AQ4768" s="54"/>
      <c r="BA4768" s="54"/>
    </row>
    <row r="4769" spans="43:53" x14ac:dyDescent="0.35">
      <c r="AQ4769" s="54"/>
      <c r="BA4769" s="54"/>
    </row>
    <row r="4770" spans="43:53" x14ac:dyDescent="0.35">
      <c r="AQ4770" s="54"/>
      <c r="BA4770" s="54"/>
    </row>
    <row r="4771" spans="43:53" x14ac:dyDescent="0.35">
      <c r="AQ4771" s="54"/>
      <c r="BA4771" s="54"/>
    </row>
    <row r="4772" spans="43:53" x14ac:dyDescent="0.35">
      <c r="AQ4772" s="54"/>
      <c r="BA4772" s="54"/>
    </row>
    <row r="4773" spans="43:53" x14ac:dyDescent="0.35">
      <c r="AQ4773" s="54"/>
      <c r="BA4773" s="54"/>
    </row>
    <row r="4774" spans="43:53" x14ac:dyDescent="0.35">
      <c r="AQ4774" s="54"/>
      <c r="BA4774" s="54"/>
    </row>
    <row r="4775" spans="43:53" x14ac:dyDescent="0.35">
      <c r="AQ4775" s="54"/>
      <c r="BA4775" s="54"/>
    </row>
    <row r="4776" spans="43:53" x14ac:dyDescent="0.35">
      <c r="AQ4776" s="54"/>
      <c r="BA4776" s="54"/>
    </row>
    <row r="4777" spans="43:53" x14ac:dyDescent="0.35">
      <c r="AQ4777" s="54"/>
      <c r="BA4777" s="54"/>
    </row>
    <row r="4778" spans="43:53" x14ac:dyDescent="0.35">
      <c r="AQ4778" s="54"/>
      <c r="BA4778" s="54"/>
    </row>
    <row r="4779" spans="43:53" x14ac:dyDescent="0.35">
      <c r="AQ4779" s="54"/>
      <c r="BA4779" s="54"/>
    </row>
    <row r="4780" spans="43:53" x14ac:dyDescent="0.35">
      <c r="AQ4780" s="54"/>
      <c r="BA4780" s="54"/>
    </row>
    <row r="4781" spans="43:53" x14ac:dyDescent="0.35">
      <c r="AQ4781" s="54"/>
      <c r="BA4781" s="54"/>
    </row>
    <row r="4782" spans="43:53" x14ac:dyDescent="0.35">
      <c r="AQ4782" s="54"/>
      <c r="BA4782" s="54"/>
    </row>
    <row r="4783" spans="43:53" x14ac:dyDescent="0.35">
      <c r="AQ4783" s="54"/>
      <c r="BA4783" s="54"/>
    </row>
    <row r="4784" spans="43:53" x14ac:dyDescent="0.35">
      <c r="AQ4784" s="54"/>
      <c r="BA4784" s="54"/>
    </row>
    <row r="4785" spans="43:53" x14ac:dyDescent="0.35">
      <c r="AQ4785" s="54"/>
      <c r="BA4785" s="54"/>
    </row>
    <row r="4786" spans="43:53" x14ac:dyDescent="0.35">
      <c r="AQ4786" s="54"/>
      <c r="BA4786" s="54"/>
    </row>
    <row r="4787" spans="43:53" x14ac:dyDescent="0.35">
      <c r="AQ4787" s="54"/>
      <c r="BA4787" s="54"/>
    </row>
    <row r="4788" spans="43:53" x14ac:dyDescent="0.35">
      <c r="AQ4788" s="54"/>
      <c r="BA4788" s="54"/>
    </row>
    <row r="4789" spans="43:53" x14ac:dyDescent="0.35">
      <c r="AQ4789" s="54"/>
      <c r="BA4789" s="54"/>
    </row>
    <row r="4790" spans="43:53" x14ac:dyDescent="0.35">
      <c r="AQ4790" s="54"/>
      <c r="BA4790" s="54"/>
    </row>
    <row r="4791" spans="43:53" x14ac:dyDescent="0.35">
      <c r="AQ4791" s="54"/>
      <c r="BA4791" s="54"/>
    </row>
    <row r="4792" spans="43:53" x14ac:dyDescent="0.35">
      <c r="AQ4792" s="54"/>
      <c r="BA4792" s="54"/>
    </row>
    <row r="4793" spans="43:53" x14ac:dyDescent="0.35">
      <c r="AQ4793" s="54"/>
      <c r="BA4793" s="54"/>
    </row>
    <row r="4794" spans="43:53" x14ac:dyDescent="0.35">
      <c r="AQ4794" s="54"/>
      <c r="BA4794" s="54"/>
    </row>
    <row r="4795" spans="43:53" x14ac:dyDescent="0.35">
      <c r="AQ4795" s="54"/>
      <c r="BA4795" s="54"/>
    </row>
    <row r="4796" spans="43:53" x14ac:dyDescent="0.35">
      <c r="AQ4796" s="54"/>
      <c r="BA4796" s="54"/>
    </row>
    <row r="4797" spans="43:53" x14ac:dyDescent="0.35">
      <c r="AQ4797" s="54"/>
      <c r="BA4797" s="54"/>
    </row>
    <row r="4798" spans="43:53" x14ac:dyDescent="0.35">
      <c r="AQ4798" s="54"/>
      <c r="BA4798" s="54"/>
    </row>
    <row r="4799" spans="43:53" x14ac:dyDescent="0.35">
      <c r="AQ4799" s="54"/>
      <c r="BA4799" s="54"/>
    </row>
    <row r="4800" spans="43:53" x14ac:dyDescent="0.35">
      <c r="AQ4800" s="54"/>
      <c r="BA4800" s="54"/>
    </row>
    <row r="4801" spans="43:53" x14ac:dyDescent="0.35">
      <c r="AQ4801" s="54"/>
      <c r="BA4801" s="54"/>
    </row>
    <row r="4802" spans="43:53" x14ac:dyDescent="0.35">
      <c r="AQ4802" s="54"/>
      <c r="BA4802" s="54"/>
    </row>
    <row r="4803" spans="43:53" x14ac:dyDescent="0.35">
      <c r="AQ4803" s="54"/>
      <c r="BA4803" s="54"/>
    </row>
    <row r="4804" spans="43:53" x14ac:dyDescent="0.35">
      <c r="AQ4804" s="54"/>
      <c r="BA4804" s="54"/>
    </row>
    <row r="4805" spans="43:53" x14ac:dyDescent="0.35">
      <c r="AQ4805" s="54"/>
      <c r="BA4805" s="54"/>
    </row>
    <row r="4806" spans="43:53" x14ac:dyDescent="0.35">
      <c r="AQ4806" s="54"/>
      <c r="BA4806" s="54"/>
    </row>
    <row r="4807" spans="43:53" x14ac:dyDescent="0.35">
      <c r="AQ4807" s="54"/>
      <c r="BA4807" s="54"/>
    </row>
    <row r="4808" spans="43:53" x14ac:dyDescent="0.35">
      <c r="AQ4808" s="54"/>
      <c r="BA4808" s="54"/>
    </row>
    <row r="4809" spans="43:53" x14ac:dyDescent="0.35">
      <c r="AQ4809" s="54"/>
      <c r="BA4809" s="54"/>
    </row>
    <row r="4810" spans="43:53" x14ac:dyDescent="0.35">
      <c r="AQ4810" s="54"/>
      <c r="BA4810" s="54"/>
    </row>
    <row r="4811" spans="43:53" x14ac:dyDescent="0.35">
      <c r="AQ4811" s="54"/>
      <c r="BA4811" s="54"/>
    </row>
    <row r="4812" spans="43:53" x14ac:dyDescent="0.35">
      <c r="AQ4812" s="54"/>
      <c r="BA4812" s="54"/>
    </row>
    <row r="4813" spans="43:53" x14ac:dyDescent="0.35">
      <c r="AQ4813" s="54"/>
      <c r="BA4813" s="54"/>
    </row>
    <row r="4814" spans="43:53" x14ac:dyDescent="0.35">
      <c r="AQ4814" s="54"/>
      <c r="BA4814" s="54"/>
    </row>
    <row r="4815" spans="43:53" x14ac:dyDescent="0.35">
      <c r="AQ4815" s="54"/>
      <c r="BA4815" s="54"/>
    </row>
    <row r="4816" spans="43:53" x14ac:dyDescent="0.35">
      <c r="AQ4816" s="54"/>
      <c r="BA4816" s="54"/>
    </row>
    <row r="4817" spans="43:53" x14ac:dyDescent="0.35">
      <c r="AQ4817" s="54"/>
      <c r="BA4817" s="54"/>
    </row>
    <row r="4818" spans="43:53" x14ac:dyDescent="0.35">
      <c r="AQ4818" s="54"/>
      <c r="BA4818" s="54"/>
    </row>
    <row r="4819" spans="43:53" x14ac:dyDescent="0.35">
      <c r="AQ4819" s="54"/>
      <c r="BA4819" s="54"/>
    </row>
    <row r="4820" spans="43:53" x14ac:dyDescent="0.35">
      <c r="AQ4820" s="54"/>
      <c r="BA4820" s="54"/>
    </row>
    <row r="4821" spans="43:53" x14ac:dyDescent="0.35">
      <c r="AQ4821" s="54"/>
      <c r="BA4821" s="54"/>
    </row>
    <row r="4822" spans="43:53" x14ac:dyDescent="0.35">
      <c r="AQ4822" s="54"/>
      <c r="BA4822" s="54"/>
    </row>
    <row r="4823" spans="43:53" x14ac:dyDescent="0.35">
      <c r="AQ4823" s="54"/>
      <c r="BA4823" s="54"/>
    </row>
    <row r="4824" spans="43:53" x14ac:dyDescent="0.35">
      <c r="AQ4824" s="54"/>
      <c r="BA4824" s="54"/>
    </row>
    <row r="4825" spans="43:53" x14ac:dyDescent="0.35">
      <c r="AQ4825" s="54"/>
      <c r="BA4825" s="54"/>
    </row>
    <row r="4826" spans="43:53" x14ac:dyDescent="0.35">
      <c r="AQ4826" s="54"/>
      <c r="BA4826" s="54"/>
    </row>
    <row r="4827" spans="43:53" x14ac:dyDescent="0.35">
      <c r="AQ4827" s="54"/>
      <c r="BA4827" s="54"/>
    </row>
    <row r="4828" spans="43:53" x14ac:dyDescent="0.35">
      <c r="AQ4828" s="54"/>
      <c r="BA4828" s="54"/>
    </row>
    <row r="4829" spans="43:53" x14ac:dyDescent="0.35">
      <c r="AQ4829" s="54"/>
      <c r="BA4829" s="54"/>
    </row>
    <row r="4830" spans="43:53" x14ac:dyDescent="0.35">
      <c r="AQ4830" s="54"/>
      <c r="BA4830" s="54"/>
    </row>
    <row r="4831" spans="43:53" x14ac:dyDescent="0.35">
      <c r="AQ4831" s="54"/>
      <c r="BA4831" s="54"/>
    </row>
    <row r="4832" spans="43:53" x14ac:dyDescent="0.35">
      <c r="AQ4832" s="54"/>
      <c r="BA4832" s="54"/>
    </row>
    <row r="4833" spans="43:53" x14ac:dyDescent="0.35">
      <c r="AQ4833" s="54"/>
      <c r="BA4833" s="54"/>
    </row>
    <row r="4834" spans="43:53" x14ac:dyDescent="0.35">
      <c r="AQ4834" s="54"/>
      <c r="BA4834" s="54"/>
    </row>
    <row r="4835" spans="43:53" x14ac:dyDescent="0.35">
      <c r="AQ4835" s="54"/>
      <c r="BA4835" s="54"/>
    </row>
    <row r="4836" spans="43:53" x14ac:dyDescent="0.35">
      <c r="AQ4836" s="54"/>
      <c r="BA4836" s="54"/>
    </row>
    <row r="4837" spans="43:53" x14ac:dyDescent="0.35">
      <c r="AQ4837" s="54"/>
      <c r="BA4837" s="54"/>
    </row>
    <row r="4838" spans="43:53" x14ac:dyDescent="0.35">
      <c r="AQ4838" s="54"/>
      <c r="BA4838" s="54"/>
    </row>
    <row r="4839" spans="43:53" x14ac:dyDescent="0.35">
      <c r="AQ4839" s="54"/>
      <c r="BA4839" s="54"/>
    </row>
    <row r="4840" spans="43:53" x14ac:dyDescent="0.35">
      <c r="AQ4840" s="54"/>
      <c r="BA4840" s="54"/>
    </row>
    <row r="4841" spans="43:53" x14ac:dyDescent="0.35">
      <c r="AQ4841" s="54"/>
      <c r="BA4841" s="54"/>
    </row>
    <row r="4842" spans="43:53" x14ac:dyDescent="0.35">
      <c r="AQ4842" s="54"/>
      <c r="BA4842" s="54"/>
    </row>
    <row r="4843" spans="43:53" x14ac:dyDescent="0.35">
      <c r="AQ4843" s="54"/>
      <c r="BA4843" s="54"/>
    </row>
    <row r="4844" spans="43:53" x14ac:dyDescent="0.35">
      <c r="AQ4844" s="54"/>
      <c r="BA4844" s="54"/>
    </row>
    <row r="4845" spans="43:53" x14ac:dyDescent="0.35">
      <c r="AQ4845" s="54"/>
      <c r="BA4845" s="54"/>
    </row>
    <row r="4846" spans="43:53" x14ac:dyDescent="0.35">
      <c r="AQ4846" s="54"/>
      <c r="BA4846" s="54"/>
    </row>
    <row r="4847" spans="43:53" x14ac:dyDescent="0.35">
      <c r="AQ4847" s="54"/>
      <c r="BA4847" s="54"/>
    </row>
    <row r="4848" spans="43:53" x14ac:dyDescent="0.35">
      <c r="AQ4848" s="54"/>
      <c r="BA4848" s="54"/>
    </row>
    <row r="4849" spans="43:53" x14ac:dyDescent="0.35">
      <c r="AQ4849" s="54"/>
      <c r="BA4849" s="54"/>
    </row>
    <row r="4850" spans="43:53" x14ac:dyDescent="0.35">
      <c r="AQ4850" s="54"/>
      <c r="BA4850" s="54"/>
    </row>
    <row r="4851" spans="43:53" x14ac:dyDescent="0.35">
      <c r="AQ4851" s="54"/>
      <c r="BA4851" s="54"/>
    </row>
    <row r="4852" spans="43:53" x14ac:dyDescent="0.35">
      <c r="AQ4852" s="54"/>
      <c r="BA4852" s="54"/>
    </row>
    <row r="4853" spans="43:53" x14ac:dyDescent="0.35">
      <c r="AQ4853" s="54"/>
      <c r="BA4853" s="54"/>
    </row>
    <row r="4854" spans="43:53" x14ac:dyDescent="0.35">
      <c r="AQ4854" s="54"/>
      <c r="BA4854" s="54"/>
    </row>
    <row r="4855" spans="43:53" x14ac:dyDescent="0.35">
      <c r="AQ4855" s="54"/>
      <c r="BA4855" s="54"/>
    </row>
    <row r="4856" spans="43:53" x14ac:dyDescent="0.35">
      <c r="AQ4856" s="54"/>
      <c r="BA4856" s="54"/>
    </row>
    <row r="4857" spans="43:53" x14ac:dyDescent="0.35">
      <c r="AQ4857" s="54"/>
      <c r="BA4857" s="54"/>
    </row>
    <row r="4858" spans="43:53" x14ac:dyDescent="0.35">
      <c r="AQ4858" s="54"/>
      <c r="BA4858" s="54"/>
    </row>
    <row r="4859" spans="43:53" x14ac:dyDescent="0.35">
      <c r="AQ4859" s="54"/>
      <c r="BA4859" s="54"/>
    </row>
    <row r="4860" spans="43:53" x14ac:dyDescent="0.35">
      <c r="AQ4860" s="54"/>
      <c r="BA4860" s="54"/>
    </row>
    <row r="4861" spans="43:53" x14ac:dyDescent="0.35">
      <c r="AQ4861" s="54"/>
      <c r="BA4861" s="54"/>
    </row>
    <row r="4862" spans="43:53" x14ac:dyDescent="0.35">
      <c r="AQ4862" s="54"/>
      <c r="BA4862" s="54"/>
    </row>
    <row r="4863" spans="43:53" x14ac:dyDescent="0.35">
      <c r="AQ4863" s="54"/>
      <c r="BA4863" s="54"/>
    </row>
    <row r="4864" spans="43:53" x14ac:dyDescent="0.35">
      <c r="AQ4864" s="54"/>
      <c r="BA4864" s="54"/>
    </row>
    <row r="4865" spans="43:53" x14ac:dyDescent="0.35">
      <c r="AQ4865" s="54"/>
      <c r="BA4865" s="54"/>
    </row>
    <row r="4866" spans="43:53" x14ac:dyDescent="0.35">
      <c r="AQ4866" s="54"/>
      <c r="BA4866" s="54"/>
    </row>
    <row r="4867" spans="43:53" x14ac:dyDescent="0.35">
      <c r="AQ4867" s="54"/>
      <c r="BA4867" s="54"/>
    </row>
    <row r="4868" spans="43:53" x14ac:dyDescent="0.35">
      <c r="AQ4868" s="54"/>
      <c r="BA4868" s="54"/>
    </row>
    <row r="4869" spans="43:53" x14ac:dyDescent="0.35">
      <c r="AQ4869" s="54"/>
      <c r="BA4869" s="54"/>
    </row>
    <row r="4870" spans="43:53" x14ac:dyDescent="0.35">
      <c r="AQ4870" s="54"/>
      <c r="BA4870" s="54"/>
    </row>
    <row r="4871" spans="43:53" x14ac:dyDescent="0.35">
      <c r="AQ4871" s="54"/>
      <c r="BA4871" s="54"/>
    </row>
    <row r="4872" spans="43:53" x14ac:dyDescent="0.35">
      <c r="AQ4872" s="54"/>
      <c r="BA4872" s="54"/>
    </row>
    <row r="4873" spans="43:53" x14ac:dyDescent="0.35">
      <c r="AQ4873" s="54"/>
      <c r="BA4873" s="54"/>
    </row>
    <row r="4874" spans="43:53" x14ac:dyDescent="0.35">
      <c r="AQ4874" s="54"/>
      <c r="BA4874" s="54"/>
    </row>
    <row r="4875" spans="43:53" x14ac:dyDescent="0.35">
      <c r="AQ4875" s="54"/>
      <c r="BA4875" s="54"/>
    </row>
    <row r="4876" spans="43:53" x14ac:dyDescent="0.35">
      <c r="AQ4876" s="54"/>
      <c r="BA4876" s="54"/>
    </row>
    <row r="4877" spans="43:53" x14ac:dyDescent="0.35">
      <c r="AQ4877" s="54"/>
      <c r="BA4877" s="54"/>
    </row>
    <row r="4878" spans="43:53" x14ac:dyDescent="0.35">
      <c r="AQ4878" s="54"/>
      <c r="BA4878" s="54"/>
    </row>
    <row r="4879" spans="43:53" x14ac:dyDescent="0.35">
      <c r="AQ4879" s="54"/>
      <c r="BA4879" s="54"/>
    </row>
    <row r="4880" spans="43:53" x14ac:dyDescent="0.35">
      <c r="AQ4880" s="54"/>
      <c r="BA4880" s="54"/>
    </row>
    <row r="4881" spans="43:53" x14ac:dyDescent="0.35">
      <c r="AQ4881" s="54"/>
      <c r="BA4881" s="54"/>
    </row>
    <row r="4882" spans="43:53" x14ac:dyDescent="0.35">
      <c r="AQ4882" s="54"/>
      <c r="BA4882" s="54"/>
    </row>
    <row r="4883" spans="43:53" x14ac:dyDescent="0.35">
      <c r="AQ4883" s="54"/>
      <c r="BA4883" s="54"/>
    </row>
    <row r="4884" spans="43:53" x14ac:dyDescent="0.35">
      <c r="AQ4884" s="54"/>
      <c r="BA4884" s="54"/>
    </row>
    <row r="4885" spans="43:53" x14ac:dyDescent="0.35">
      <c r="AQ4885" s="54"/>
      <c r="BA4885" s="54"/>
    </row>
    <row r="4886" spans="43:53" x14ac:dyDescent="0.35">
      <c r="AQ4886" s="54"/>
      <c r="BA4886" s="54"/>
    </row>
    <row r="4887" spans="43:53" x14ac:dyDescent="0.35">
      <c r="AQ4887" s="54"/>
      <c r="BA4887" s="54"/>
    </row>
    <row r="4888" spans="43:53" x14ac:dyDescent="0.35">
      <c r="AQ4888" s="54"/>
      <c r="BA4888" s="54"/>
    </row>
    <row r="4889" spans="43:53" x14ac:dyDescent="0.35">
      <c r="AQ4889" s="54"/>
      <c r="BA4889" s="54"/>
    </row>
    <row r="4890" spans="43:53" x14ac:dyDescent="0.35">
      <c r="AQ4890" s="54"/>
      <c r="BA4890" s="54"/>
    </row>
    <row r="4891" spans="43:53" x14ac:dyDescent="0.35">
      <c r="AQ4891" s="54"/>
      <c r="BA4891" s="54"/>
    </row>
    <row r="4892" spans="43:53" x14ac:dyDescent="0.35">
      <c r="AQ4892" s="54"/>
      <c r="BA4892" s="54"/>
    </row>
    <row r="4893" spans="43:53" x14ac:dyDescent="0.35">
      <c r="AQ4893" s="54"/>
      <c r="BA4893" s="54"/>
    </row>
    <row r="4894" spans="43:53" x14ac:dyDescent="0.35">
      <c r="AQ4894" s="54"/>
      <c r="BA4894" s="54"/>
    </row>
    <row r="4895" spans="43:53" x14ac:dyDescent="0.35">
      <c r="AQ4895" s="54"/>
      <c r="BA4895" s="54"/>
    </row>
    <row r="4896" spans="43:53" x14ac:dyDescent="0.35">
      <c r="AQ4896" s="54"/>
      <c r="BA4896" s="54"/>
    </row>
    <row r="4897" spans="43:53" x14ac:dyDescent="0.35">
      <c r="AQ4897" s="54"/>
      <c r="BA4897" s="54"/>
    </row>
    <row r="4898" spans="43:53" x14ac:dyDescent="0.35">
      <c r="AQ4898" s="54"/>
      <c r="BA4898" s="54"/>
    </row>
    <row r="4899" spans="43:53" x14ac:dyDescent="0.35">
      <c r="AQ4899" s="54"/>
      <c r="BA4899" s="54"/>
    </row>
    <row r="4900" spans="43:53" x14ac:dyDescent="0.35">
      <c r="AQ4900" s="54"/>
      <c r="BA4900" s="54"/>
    </row>
    <row r="4901" spans="43:53" x14ac:dyDescent="0.35">
      <c r="AQ4901" s="54"/>
      <c r="BA4901" s="54"/>
    </row>
    <row r="4902" spans="43:53" x14ac:dyDescent="0.35">
      <c r="AQ4902" s="54"/>
      <c r="BA4902" s="54"/>
    </row>
    <row r="4903" spans="43:53" x14ac:dyDescent="0.35">
      <c r="AQ4903" s="54"/>
      <c r="BA4903" s="54"/>
    </row>
    <row r="4904" spans="43:53" x14ac:dyDescent="0.35">
      <c r="AQ4904" s="54"/>
      <c r="BA4904" s="54"/>
    </row>
    <row r="4905" spans="43:53" x14ac:dyDescent="0.35">
      <c r="AQ4905" s="54"/>
      <c r="BA4905" s="54"/>
    </row>
    <row r="4906" spans="43:53" x14ac:dyDescent="0.35">
      <c r="AQ4906" s="54"/>
      <c r="BA4906" s="54"/>
    </row>
    <row r="4907" spans="43:53" x14ac:dyDescent="0.35">
      <c r="AQ4907" s="54"/>
      <c r="BA4907" s="54"/>
    </row>
    <row r="4908" spans="43:53" x14ac:dyDescent="0.35">
      <c r="AQ4908" s="54"/>
      <c r="BA4908" s="54"/>
    </row>
    <row r="4909" spans="43:53" x14ac:dyDescent="0.35">
      <c r="AQ4909" s="54"/>
      <c r="BA4909" s="54"/>
    </row>
    <row r="4910" spans="43:53" x14ac:dyDescent="0.35">
      <c r="AQ4910" s="54"/>
      <c r="BA4910" s="54"/>
    </row>
    <row r="4911" spans="43:53" x14ac:dyDescent="0.35">
      <c r="AQ4911" s="54"/>
      <c r="BA4911" s="54"/>
    </row>
    <row r="4912" spans="43:53" x14ac:dyDescent="0.35">
      <c r="AQ4912" s="54"/>
      <c r="BA4912" s="54"/>
    </row>
    <row r="4913" spans="43:53" x14ac:dyDescent="0.35">
      <c r="AQ4913" s="54"/>
      <c r="BA4913" s="54"/>
    </row>
    <row r="4914" spans="43:53" x14ac:dyDescent="0.35">
      <c r="AQ4914" s="54"/>
      <c r="BA4914" s="54"/>
    </row>
    <row r="4915" spans="43:53" x14ac:dyDescent="0.35">
      <c r="AQ4915" s="54"/>
      <c r="BA4915" s="54"/>
    </row>
    <row r="4916" spans="43:53" x14ac:dyDescent="0.35">
      <c r="AQ4916" s="54"/>
      <c r="BA4916" s="54"/>
    </row>
    <row r="4917" spans="43:53" x14ac:dyDescent="0.35">
      <c r="AQ4917" s="54"/>
      <c r="BA4917" s="54"/>
    </row>
    <row r="4918" spans="43:53" x14ac:dyDescent="0.35">
      <c r="AQ4918" s="54"/>
      <c r="BA4918" s="54"/>
    </row>
    <row r="4919" spans="43:53" x14ac:dyDescent="0.35">
      <c r="AQ4919" s="54"/>
      <c r="BA4919" s="54"/>
    </row>
    <row r="4920" spans="43:53" x14ac:dyDescent="0.35">
      <c r="AQ4920" s="54"/>
      <c r="BA4920" s="54"/>
    </row>
    <row r="4921" spans="43:53" x14ac:dyDescent="0.35">
      <c r="AQ4921" s="54"/>
      <c r="BA4921" s="54"/>
    </row>
    <row r="4922" spans="43:53" x14ac:dyDescent="0.35">
      <c r="AQ4922" s="54"/>
      <c r="BA4922" s="54"/>
    </row>
    <row r="4923" spans="43:53" x14ac:dyDescent="0.35">
      <c r="AQ4923" s="54"/>
      <c r="BA4923" s="54"/>
    </row>
    <row r="4924" spans="43:53" x14ac:dyDescent="0.35">
      <c r="AQ4924" s="54"/>
      <c r="BA4924" s="54"/>
    </row>
    <row r="4925" spans="43:53" x14ac:dyDescent="0.35">
      <c r="AQ4925" s="54"/>
      <c r="BA4925" s="54"/>
    </row>
    <row r="4926" spans="43:53" x14ac:dyDescent="0.35">
      <c r="AQ4926" s="54"/>
      <c r="BA4926" s="54"/>
    </row>
    <row r="4927" spans="43:53" x14ac:dyDescent="0.35">
      <c r="AQ4927" s="54"/>
      <c r="BA4927" s="54"/>
    </row>
    <row r="4928" spans="43:53" x14ac:dyDescent="0.35">
      <c r="AQ4928" s="54"/>
      <c r="BA4928" s="54"/>
    </row>
    <row r="4929" spans="43:53" x14ac:dyDescent="0.35">
      <c r="AQ4929" s="54"/>
      <c r="BA4929" s="54"/>
    </row>
    <row r="4930" spans="43:53" x14ac:dyDescent="0.35">
      <c r="AQ4930" s="54"/>
      <c r="BA4930" s="54"/>
    </row>
    <row r="4931" spans="43:53" x14ac:dyDescent="0.35">
      <c r="AQ4931" s="54"/>
      <c r="BA4931" s="54"/>
    </row>
    <row r="4932" spans="43:53" x14ac:dyDescent="0.35">
      <c r="AQ4932" s="54"/>
      <c r="BA4932" s="54"/>
    </row>
    <row r="4933" spans="43:53" x14ac:dyDescent="0.35">
      <c r="AQ4933" s="54"/>
      <c r="BA4933" s="54"/>
    </row>
    <row r="4934" spans="43:53" x14ac:dyDescent="0.35">
      <c r="AQ4934" s="54"/>
      <c r="BA4934" s="54"/>
    </row>
    <row r="4935" spans="43:53" x14ac:dyDescent="0.35">
      <c r="AQ4935" s="54"/>
      <c r="BA4935" s="54"/>
    </row>
    <row r="4936" spans="43:53" x14ac:dyDescent="0.35">
      <c r="AQ4936" s="54"/>
      <c r="BA4936" s="54"/>
    </row>
    <row r="4937" spans="43:53" x14ac:dyDescent="0.35">
      <c r="AQ4937" s="54"/>
      <c r="BA4937" s="54"/>
    </row>
    <row r="4938" spans="43:53" x14ac:dyDescent="0.35">
      <c r="AQ4938" s="54"/>
      <c r="BA4938" s="54"/>
    </row>
    <row r="4939" spans="43:53" x14ac:dyDescent="0.35">
      <c r="AQ4939" s="54"/>
      <c r="BA4939" s="54"/>
    </row>
    <row r="4940" spans="43:53" x14ac:dyDescent="0.35">
      <c r="AQ4940" s="54"/>
      <c r="BA4940" s="54"/>
    </row>
    <row r="4941" spans="43:53" x14ac:dyDescent="0.35">
      <c r="AQ4941" s="54"/>
      <c r="BA4941" s="54"/>
    </row>
    <row r="4942" spans="43:53" x14ac:dyDescent="0.35">
      <c r="AQ4942" s="54"/>
      <c r="BA4942" s="54"/>
    </row>
    <row r="4943" spans="43:53" x14ac:dyDescent="0.35">
      <c r="AQ4943" s="54"/>
      <c r="BA4943" s="54"/>
    </row>
    <row r="4944" spans="43:53" x14ac:dyDescent="0.35">
      <c r="AQ4944" s="54"/>
      <c r="BA4944" s="54"/>
    </row>
    <row r="4945" spans="43:53" x14ac:dyDescent="0.35">
      <c r="AQ4945" s="54"/>
      <c r="BA4945" s="54"/>
    </row>
    <row r="4946" spans="43:53" x14ac:dyDescent="0.35">
      <c r="AQ4946" s="54"/>
      <c r="BA4946" s="54"/>
    </row>
    <row r="4947" spans="43:53" x14ac:dyDescent="0.35">
      <c r="AQ4947" s="54"/>
      <c r="BA4947" s="54"/>
    </row>
    <row r="4948" spans="43:53" x14ac:dyDescent="0.35">
      <c r="AQ4948" s="54"/>
      <c r="BA4948" s="54"/>
    </row>
    <row r="4949" spans="43:53" x14ac:dyDescent="0.35">
      <c r="AQ4949" s="54"/>
      <c r="BA4949" s="54"/>
    </row>
    <row r="4950" spans="43:53" x14ac:dyDescent="0.35">
      <c r="AQ4950" s="54"/>
      <c r="BA4950" s="54"/>
    </row>
    <row r="4951" spans="43:53" x14ac:dyDescent="0.35">
      <c r="AQ4951" s="54"/>
      <c r="BA4951" s="54"/>
    </row>
    <row r="4952" spans="43:53" x14ac:dyDescent="0.35">
      <c r="AQ4952" s="54"/>
      <c r="BA4952" s="54"/>
    </row>
    <row r="4953" spans="43:53" x14ac:dyDescent="0.35">
      <c r="AQ4953" s="54"/>
      <c r="BA4953" s="54"/>
    </row>
    <row r="4954" spans="43:53" x14ac:dyDescent="0.35">
      <c r="AQ4954" s="54"/>
      <c r="BA4954" s="54"/>
    </row>
    <row r="4955" spans="43:53" x14ac:dyDescent="0.35">
      <c r="AQ4955" s="54"/>
      <c r="BA4955" s="54"/>
    </row>
    <row r="4956" spans="43:53" x14ac:dyDescent="0.35">
      <c r="AQ4956" s="54"/>
      <c r="BA4956" s="54"/>
    </row>
    <row r="4957" spans="43:53" x14ac:dyDescent="0.35">
      <c r="AQ4957" s="54"/>
      <c r="BA4957" s="54"/>
    </row>
    <row r="4958" spans="43:53" x14ac:dyDescent="0.35">
      <c r="AQ4958" s="54"/>
      <c r="BA4958" s="54"/>
    </row>
    <row r="4959" spans="43:53" x14ac:dyDescent="0.35">
      <c r="AQ4959" s="54"/>
      <c r="BA4959" s="54"/>
    </row>
    <row r="4960" spans="43:53" x14ac:dyDescent="0.35">
      <c r="AQ4960" s="54"/>
      <c r="BA4960" s="54"/>
    </row>
    <row r="4961" spans="43:53" x14ac:dyDescent="0.35">
      <c r="AQ4961" s="54"/>
      <c r="BA4961" s="54"/>
    </row>
    <row r="4962" spans="43:53" x14ac:dyDescent="0.35">
      <c r="AQ4962" s="54"/>
      <c r="BA4962" s="54"/>
    </row>
    <row r="4963" spans="43:53" x14ac:dyDescent="0.35">
      <c r="AQ4963" s="54"/>
      <c r="BA4963" s="54"/>
    </row>
    <row r="4964" spans="43:53" x14ac:dyDescent="0.35">
      <c r="AQ4964" s="54"/>
      <c r="BA4964" s="54"/>
    </row>
    <row r="4965" spans="43:53" x14ac:dyDescent="0.35">
      <c r="AQ4965" s="54"/>
      <c r="BA4965" s="54"/>
    </row>
    <row r="4966" spans="43:53" x14ac:dyDescent="0.35">
      <c r="AQ4966" s="54"/>
      <c r="BA4966" s="54"/>
    </row>
    <row r="4967" spans="43:53" x14ac:dyDescent="0.35">
      <c r="AQ4967" s="54"/>
      <c r="BA4967" s="54"/>
    </row>
    <row r="4968" spans="43:53" x14ac:dyDescent="0.35">
      <c r="AQ4968" s="54"/>
      <c r="BA4968" s="54"/>
    </row>
    <row r="4969" spans="43:53" x14ac:dyDescent="0.35">
      <c r="AQ4969" s="54"/>
      <c r="BA4969" s="54"/>
    </row>
    <row r="4970" spans="43:53" x14ac:dyDescent="0.35">
      <c r="AQ4970" s="54"/>
      <c r="BA4970" s="54"/>
    </row>
    <row r="4971" spans="43:53" x14ac:dyDescent="0.35">
      <c r="AQ4971" s="54"/>
      <c r="BA4971" s="54"/>
    </row>
    <row r="4972" spans="43:53" x14ac:dyDescent="0.35">
      <c r="AQ4972" s="54"/>
      <c r="BA4972" s="54"/>
    </row>
    <row r="4973" spans="43:53" x14ac:dyDescent="0.35">
      <c r="AQ4973" s="54"/>
      <c r="BA4973" s="54"/>
    </row>
    <row r="4974" spans="43:53" x14ac:dyDescent="0.35">
      <c r="AQ4974" s="54"/>
      <c r="BA4974" s="54"/>
    </row>
    <row r="4975" spans="43:53" x14ac:dyDescent="0.35">
      <c r="AQ4975" s="54"/>
      <c r="BA4975" s="54"/>
    </row>
    <row r="4976" spans="43:53" x14ac:dyDescent="0.35">
      <c r="AQ4976" s="54"/>
      <c r="BA4976" s="54"/>
    </row>
    <row r="4977" spans="43:53" x14ac:dyDescent="0.35">
      <c r="AQ4977" s="54"/>
      <c r="BA4977" s="54"/>
    </row>
    <row r="4978" spans="43:53" x14ac:dyDescent="0.35">
      <c r="AQ4978" s="54"/>
      <c r="BA4978" s="54"/>
    </row>
    <row r="4979" spans="43:53" x14ac:dyDescent="0.35">
      <c r="AQ4979" s="54"/>
      <c r="BA4979" s="54"/>
    </row>
    <row r="4980" spans="43:53" x14ac:dyDescent="0.35">
      <c r="AQ4980" s="54"/>
      <c r="BA4980" s="54"/>
    </row>
    <row r="4981" spans="43:53" x14ac:dyDescent="0.35">
      <c r="AQ4981" s="54"/>
      <c r="BA4981" s="54"/>
    </row>
    <row r="4982" spans="43:53" x14ac:dyDescent="0.35">
      <c r="AQ4982" s="54"/>
      <c r="BA4982" s="54"/>
    </row>
    <row r="4983" spans="43:53" x14ac:dyDescent="0.35">
      <c r="AQ4983" s="54"/>
      <c r="BA4983" s="54"/>
    </row>
    <row r="4984" spans="43:53" x14ac:dyDescent="0.35">
      <c r="AQ4984" s="54"/>
      <c r="BA4984" s="54"/>
    </row>
    <row r="4985" spans="43:53" x14ac:dyDescent="0.35">
      <c r="AQ4985" s="54"/>
      <c r="BA4985" s="54"/>
    </row>
    <row r="4986" spans="43:53" x14ac:dyDescent="0.35">
      <c r="AQ4986" s="54"/>
      <c r="BA4986" s="54"/>
    </row>
    <row r="4987" spans="43:53" x14ac:dyDescent="0.35">
      <c r="AQ4987" s="54"/>
      <c r="BA4987" s="54"/>
    </row>
    <row r="4988" spans="43:53" x14ac:dyDescent="0.35">
      <c r="AQ4988" s="54"/>
      <c r="BA4988" s="54"/>
    </row>
    <row r="4989" spans="43:53" x14ac:dyDescent="0.35">
      <c r="AQ4989" s="54"/>
      <c r="BA4989" s="54"/>
    </row>
    <row r="4990" spans="43:53" x14ac:dyDescent="0.35">
      <c r="AQ4990" s="54"/>
      <c r="BA4990" s="54"/>
    </row>
    <row r="4991" spans="43:53" x14ac:dyDescent="0.35">
      <c r="AQ4991" s="54"/>
      <c r="BA4991" s="54"/>
    </row>
    <row r="4992" spans="43:53" x14ac:dyDescent="0.35">
      <c r="AQ4992" s="54"/>
      <c r="BA4992" s="54"/>
    </row>
    <row r="4993" spans="43:53" x14ac:dyDescent="0.35">
      <c r="AQ4993" s="54"/>
      <c r="BA4993" s="54"/>
    </row>
    <row r="4994" spans="43:53" x14ac:dyDescent="0.35">
      <c r="AQ4994" s="54"/>
      <c r="BA4994" s="54"/>
    </row>
    <row r="4995" spans="43:53" x14ac:dyDescent="0.35">
      <c r="AQ4995" s="54"/>
      <c r="BA4995" s="54"/>
    </row>
    <row r="4996" spans="43:53" x14ac:dyDescent="0.35">
      <c r="AQ4996" s="54"/>
      <c r="BA4996" s="54"/>
    </row>
    <row r="4997" spans="43:53" x14ac:dyDescent="0.35">
      <c r="AQ4997" s="54"/>
      <c r="BA4997" s="54"/>
    </row>
    <row r="4998" spans="43:53" x14ac:dyDescent="0.35">
      <c r="AQ4998" s="54"/>
      <c r="BA4998" s="54"/>
    </row>
    <row r="4999" spans="43:53" x14ac:dyDescent="0.35">
      <c r="AQ4999" s="54"/>
      <c r="BA4999" s="54"/>
    </row>
    <row r="5000" spans="43:53" x14ac:dyDescent="0.35">
      <c r="AQ5000" s="54"/>
      <c r="BA5000" s="54"/>
    </row>
    <row r="5001" spans="43:53" x14ac:dyDescent="0.35">
      <c r="AQ5001" s="54"/>
      <c r="BA5001" s="54"/>
    </row>
    <row r="5002" spans="43:53" x14ac:dyDescent="0.35">
      <c r="AQ5002" s="54"/>
      <c r="BA5002" s="54"/>
    </row>
    <row r="5003" spans="43:53" x14ac:dyDescent="0.35">
      <c r="AQ5003" s="54"/>
      <c r="BA5003" s="54"/>
    </row>
    <row r="5004" spans="43:53" x14ac:dyDescent="0.35">
      <c r="AQ5004" s="54"/>
      <c r="BA5004" s="54"/>
    </row>
    <row r="5005" spans="43:53" x14ac:dyDescent="0.35">
      <c r="AQ5005" s="54"/>
      <c r="BA5005" s="54"/>
    </row>
    <row r="5006" spans="43:53" x14ac:dyDescent="0.35">
      <c r="AQ5006" s="54"/>
      <c r="BA5006" s="54"/>
    </row>
    <row r="5007" spans="43:53" x14ac:dyDescent="0.35">
      <c r="AQ5007" s="54"/>
      <c r="BA5007" s="54"/>
    </row>
    <row r="5008" spans="43:53" x14ac:dyDescent="0.35">
      <c r="AQ5008" s="54"/>
      <c r="BA5008" s="54"/>
    </row>
    <row r="5009" spans="43:53" x14ac:dyDescent="0.35">
      <c r="AQ5009" s="54"/>
      <c r="BA5009" s="54"/>
    </row>
    <row r="5010" spans="43:53" x14ac:dyDescent="0.35">
      <c r="AQ5010" s="54"/>
      <c r="BA5010" s="54"/>
    </row>
    <row r="5011" spans="43:53" x14ac:dyDescent="0.35">
      <c r="AQ5011" s="54"/>
      <c r="BA5011" s="54"/>
    </row>
    <row r="5012" spans="43:53" x14ac:dyDescent="0.35">
      <c r="AQ5012" s="54"/>
      <c r="BA5012" s="54"/>
    </row>
    <row r="5013" spans="43:53" x14ac:dyDescent="0.35">
      <c r="AQ5013" s="54"/>
      <c r="BA5013" s="54"/>
    </row>
    <row r="5014" spans="43:53" x14ac:dyDescent="0.35">
      <c r="AQ5014" s="54"/>
      <c r="BA5014" s="54"/>
    </row>
    <row r="5015" spans="43:53" x14ac:dyDescent="0.35">
      <c r="AQ5015" s="54"/>
      <c r="BA5015" s="54"/>
    </row>
    <row r="5016" spans="43:53" x14ac:dyDescent="0.35">
      <c r="AQ5016" s="54"/>
      <c r="BA5016" s="54"/>
    </row>
    <row r="5017" spans="43:53" x14ac:dyDescent="0.35">
      <c r="AQ5017" s="54"/>
      <c r="BA5017" s="54"/>
    </row>
    <row r="5018" spans="43:53" x14ac:dyDescent="0.35">
      <c r="AQ5018" s="54"/>
      <c r="BA5018" s="54"/>
    </row>
    <row r="5019" spans="43:53" x14ac:dyDescent="0.35">
      <c r="AQ5019" s="54"/>
      <c r="BA5019" s="54"/>
    </row>
    <row r="5020" spans="43:53" x14ac:dyDescent="0.35">
      <c r="AQ5020" s="54"/>
      <c r="BA5020" s="54"/>
    </row>
    <row r="5021" spans="43:53" x14ac:dyDescent="0.35">
      <c r="AQ5021" s="54"/>
      <c r="BA5021" s="54"/>
    </row>
    <row r="5022" spans="43:53" x14ac:dyDescent="0.35">
      <c r="AQ5022" s="54"/>
      <c r="BA5022" s="54"/>
    </row>
    <row r="5023" spans="43:53" x14ac:dyDescent="0.35">
      <c r="AQ5023" s="54"/>
      <c r="BA5023" s="54"/>
    </row>
    <row r="5024" spans="43:53" x14ac:dyDescent="0.35">
      <c r="AQ5024" s="54"/>
      <c r="BA5024" s="54"/>
    </row>
    <row r="5025" spans="43:53" x14ac:dyDescent="0.35">
      <c r="AQ5025" s="54"/>
      <c r="BA5025" s="54"/>
    </row>
    <row r="5026" spans="43:53" x14ac:dyDescent="0.35">
      <c r="AQ5026" s="54"/>
      <c r="BA5026" s="54"/>
    </row>
    <row r="5027" spans="43:53" x14ac:dyDescent="0.35">
      <c r="AQ5027" s="54"/>
      <c r="BA5027" s="54"/>
    </row>
    <row r="5028" spans="43:53" x14ac:dyDescent="0.35">
      <c r="AQ5028" s="54"/>
      <c r="BA5028" s="54"/>
    </row>
    <row r="5029" spans="43:53" x14ac:dyDescent="0.35">
      <c r="AQ5029" s="54"/>
      <c r="BA5029" s="54"/>
    </row>
    <row r="5030" spans="43:53" x14ac:dyDescent="0.35">
      <c r="AQ5030" s="54"/>
      <c r="BA5030" s="54"/>
    </row>
    <row r="5031" spans="43:53" x14ac:dyDescent="0.35">
      <c r="AQ5031" s="54"/>
      <c r="BA5031" s="54"/>
    </row>
    <row r="5032" spans="43:53" x14ac:dyDescent="0.35">
      <c r="AQ5032" s="54"/>
      <c r="BA5032" s="54"/>
    </row>
    <row r="5033" spans="43:53" x14ac:dyDescent="0.35">
      <c r="AQ5033" s="54"/>
      <c r="BA5033" s="54"/>
    </row>
    <row r="5034" spans="43:53" x14ac:dyDescent="0.35">
      <c r="AQ5034" s="54"/>
      <c r="BA5034" s="54"/>
    </row>
    <row r="5035" spans="43:53" x14ac:dyDescent="0.35">
      <c r="AQ5035" s="54"/>
      <c r="BA5035" s="54"/>
    </row>
    <row r="5036" spans="43:53" x14ac:dyDescent="0.35">
      <c r="AQ5036" s="54"/>
      <c r="BA5036" s="54"/>
    </row>
    <row r="5037" spans="43:53" x14ac:dyDescent="0.35">
      <c r="AQ5037" s="54"/>
      <c r="BA5037" s="54"/>
    </row>
    <row r="5038" spans="43:53" x14ac:dyDescent="0.35">
      <c r="AQ5038" s="54"/>
      <c r="BA5038" s="54"/>
    </row>
    <row r="5039" spans="43:53" x14ac:dyDescent="0.35">
      <c r="AQ5039" s="54"/>
      <c r="BA5039" s="54"/>
    </row>
    <row r="5040" spans="43:53" x14ac:dyDescent="0.35">
      <c r="AQ5040" s="54"/>
      <c r="BA5040" s="54"/>
    </row>
    <row r="5041" spans="43:53" x14ac:dyDescent="0.35">
      <c r="AQ5041" s="54"/>
      <c r="BA5041" s="54"/>
    </row>
    <row r="5042" spans="43:53" x14ac:dyDescent="0.35">
      <c r="AQ5042" s="54"/>
      <c r="BA5042" s="54"/>
    </row>
    <row r="5043" spans="43:53" x14ac:dyDescent="0.35">
      <c r="AQ5043" s="54"/>
      <c r="BA5043" s="54"/>
    </row>
    <row r="5044" spans="43:53" x14ac:dyDescent="0.35">
      <c r="AQ5044" s="54"/>
      <c r="BA5044" s="54"/>
    </row>
    <row r="5045" spans="43:53" x14ac:dyDescent="0.35">
      <c r="AQ5045" s="54"/>
      <c r="BA5045" s="54"/>
    </row>
    <row r="5046" spans="43:53" x14ac:dyDescent="0.35">
      <c r="AQ5046" s="54"/>
      <c r="BA5046" s="54"/>
    </row>
    <row r="5047" spans="43:53" x14ac:dyDescent="0.35">
      <c r="AQ5047" s="54"/>
      <c r="BA5047" s="54"/>
    </row>
    <row r="5048" spans="43:53" x14ac:dyDescent="0.35">
      <c r="AQ5048" s="54"/>
      <c r="BA5048" s="54"/>
    </row>
    <row r="5049" spans="43:53" x14ac:dyDescent="0.35">
      <c r="AQ5049" s="54"/>
      <c r="BA5049" s="54"/>
    </row>
    <row r="5050" spans="43:53" x14ac:dyDescent="0.35">
      <c r="AQ5050" s="54"/>
      <c r="BA5050" s="54"/>
    </row>
    <row r="5051" spans="43:53" x14ac:dyDescent="0.35">
      <c r="AQ5051" s="54"/>
      <c r="BA5051" s="54"/>
    </row>
    <row r="5052" spans="43:53" x14ac:dyDescent="0.35">
      <c r="AQ5052" s="54"/>
      <c r="BA5052" s="54"/>
    </row>
    <row r="5053" spans="43:53" x14ac:dyDescent="0.35">
      <c r="AQ5053" s="54"/>
      <c r="BA5053" s="54"/>
    </row>
    <row r="5054" spans="43:53" x14ac:dyDescent="0.35">
      <c r="AQ5054" s="54"/>
      <c r="BA5054" s="54"/>
    </row>
    <row r="5055" spans="43:53" x14ac:dyDescent="0.35">
      <c r="AQ5055" s="54"/>
      <c r="BA5055" s="54"/>
    </row>
    <row r="5056" spans="43:53" x14ac:dyDescent="0.35">
      <c r="AQ5056" s="54"/>
      <c r="BA5056" s="54"/>
    </row>
    <row r="5057" spans="43:53" x14ac:dyDescent="0.35">
      <c r="AQ5057" s="54"/>
      <c r="BA5057" s="54"/>
    </row>
    <row r="5058" spans="43:53" x14ac:dyDescent="0.35">
      <c r="AQ5058" s="54"/>
      <c r="BA5058" s="54"/>
    </row>
    <row r="5059" spans="43:53" x14ac:dyDescent="0.35">
      <c r="AQ5059" s="54"/>
      <c r="BA5059" s="54"/>
    </row>
    <row r="5060" spans="43:53" x14ac:dyDescent="0.35">
      <c r="AQ5060" s="54"/>
      <c r="BA5060" s="54"/>
    </row>
    <row r="5061" spans="43:53" x14ac:dyDescent="0.35">
      <c r="AQ5061" s="54"/>
      <c r="BA5061" s="54"/>
    </row>
    <row r="5062" spans="43:53" x14ac:dyDescent="0.35">
      <c r="AQ5062" s="54"/>
      <c r="BA5062" s="54"/>
    </row>
    <row r="5063" spans="43:53" x14ac:dyDescent="0.35">
      <c r="AQ5063" s="54"/>
      <c r="BA5063" s="54"/>
    </row>
    <row r="5064" spans="43:53" x14ac:dyDescent="0.35">
      <c r="AQ5064" s="54"/>
      <c r="BA5064" s="54"/>
    </row>
    <row r="5065" spans="43:53" x14ac:dyDescent="0.35">
      <c r="AQ5065" s="54"/>
      <c r="BA5065" s="54"/>
    </row>
    <row r="5066" spans="43:53" x14ac:dyDescent="0.35">
      <c r="AQ5066" s="54"/>
      <c r="BA5066" s="54"/>
    </row>
    <row r="5067" spans="43:53" x14ac:dyDescent="0.35">
      <c r="AQ5067" s="54"/>
      <c r="BA5067" s="54"/>
    </row>
    <row r="5068" spans="43:53" x14ac:dyDescent="0.35">
      <c r="AQ5068" s="54"/>
      <c r="BA5068" s="54"/>
    </row>
    <row r="5069" spans="43:53" x14ac:dyDescent="0.35">
      <c r="AQ5069" s="54"/>
      <c r="BA5069" s="54"/>
    </row>
    <row r="5070" spans="43:53" x14ac:dyDescent="0.35">
      <c r="AQ5070" s="54"/>
      <c r="BA5070" s="54"/>
    </row>
    <row r="5071" spans="43:53" x14ac:dyDescent="0.35">
      <c r="AQ5071" s="54"/>
      <c r="BA5071" s="54"/>
    </row>
    <row r="5072" spans="43:53" x14ac:dyDescent="0.35">
      <c r="AQ5072" s="54"/>
      <c r="BA5072" s="54"/>
    </row>
    <row r="5073" spans="43:53" x14ac:dyDescent="0.35">
      <c r="AQ5073" s="54"/>
      <c r="BA5073" s="54"/>
    </row>
    <row r="5074" spans="43:53" x14ac:dyDescent="0.35">
      <c r="AQ5074" s="54"/>
      <c r="BA5074" s="54"/>
    </row>
    <row r="5075" spans="43:53" x14ac:dyDescent="0.35">
      <c r="AQ5075" s="54"/>
      <c r="BA5075" s="54"/>
    </row>
    <row r="5076" spans="43:53" x14ac:dyDescent="0.35">
      <c r="AQ5076" s="54"/>
      <c r="BA5076" s="54"/>
    </row>
    <row r="5077" spans="43:53" x14ac:dyDescent="0.35">
      <c r="AQ5077" s="54"/>
      <c r="BA5077" s="54"/>
    </row>
    <row r="5078" spans="43:53" x14ac:dyDescent="0.35">
      <c r="AQ5078" s="54"/>
      <c r="BA5078" s="54"/>
    </row>
    <row r="5079" spans="43:53" x14ac:dyDescent="0.35">
      <c r="AQ5079" s="54"/>
      <c r="BA5079" s="54"/>
    </row>
    <row r="5080" spans="43:53" x14ac:dyDescent="0.35">
      <c r="AQ5080" s="54"/>
      <c r="BA5080" s="54"/>
    </row>
    <row r="5081" spans="43:53" x14ac:dyDescent="0.35">
      <c r="AQ5081" s="54"/>
      <c r="BA5081" s="54"/>
    </row>
    <row r="5082" spans="43:53" x14ac:dyDescent="0.35">
      <c r="AQ5082" s="54"/>
      <c r="BA5082" s="54"/>
    </row>
    <row r="5083" spans="43:53" x14ac:dyDescent="0.35">
      <c r="AQ5083" s="54"/>
      <c r="BA5083" s="54"/>
    </row>
    <row r="5084" spans="43:53" x14ac:dyDescent="0.35">
      <c r="AQ5084" s="54"/>
      <c r="BA5084" s="54"/>
    </row>
    <row r="5085" spans="43:53" x14ac:dyDescent="0.35">
      <c r="AQ5085" s="54"/>
      <c r="BA5085" s="54"/>
    </row>
    <row r="5086" spans="43:53" x14ac:dyDescent="0.35">
      <c r="AQ5086" s="54"/>
      <c r="BA5086" s="54"/>
    </row>
    <row r="5087" spans="43:53" x14ac:dyDescent="0.35">
      <c r="AQ5087" s="54"/>
      <c r="BA5087" s="54"/>
    </row>
    <row r="5088" spans="43:53" x14ac:dyDescent="0.35">
      <c r="AQ5088" s="54"/>
      <c r="BA5088" s="54"/>
    </row>
    <row r="5089" spans="43:53" x14ac:dyDescent="0.35">
      <c r="AQ5089" s="54"/>
      <c r="BA5089" s="54"/>
    </row>
    <row r="5090" spans="43:53" x14ac:dyDescent="0.35">
      <c r="AQ5090" s="54"/>
      <c r="BA5090" s="54"/>
    </row>
    <row r="5091" spans="43:53" x14ac:dyDescent="0.35">
      <c r="AQ5091" s="54"/>
      <c r="BA5091" s="54"/>
    </row>
    <row r="5092" spans="43:53" x14ac:dyDescent="0.35">
      <c r="AQ5092" s="54"/>
      <c r="BA5092" s="54"/>
    </row>
    <row r="5093" spans="43:53" x14ac:dyDescent="0.35">
      <c r="AQ5093" s="54"/>
      <c r="BA5093" s="54"/>
    </row>
    <row r="5094" spans="43:53" x14ac:dyDescent="0.35">
      <c r="AQ5094" s="54"/>
      <c r="BA5094" s="54"/>
    </row>
    <row r="5095" spans="43:53" x14ac:dyDescent="0.35">
      <c r="AQ5095" s="54"/>
      <c r="BA5095" s="54"/>
    </row>
    <row r="5096" spans="43:53" x14ac:dyDescent="0.35">
      <c r="AQ5096" s="54"/>
      <c r="BA5096" s="54"/>
    </row>
    <row r="5097" spans="43:53" x14ac:dyDescent="0.35">
      <c r="AQ5097" s="54"/>
      <c r="BA5097" s="54"/>
    </row>
    <row r="5098" spans="43:53" x14ac:dyDescent="0.35">
      <c r="AQ5098" s="54"/>
      <c r="BA5098" s="54"/>
    </row>
    <row r="5099" spans="43:53" x14ac:dyDescent="0.35">
      <c r="AQ5099" s="54"/>
      <c r="BA5099" s="54"/>
    </row>
    <row r="5100" spans="43:53" x14ac:dyDescent="0.35">
      <c r="AQ5100" s="54"/>
      <c r="BA5100" s="54"/>
    </row>
    <row r="5101" spans="43:53" x14ac:dyDescent="0.35">
      <c r="AQ5101" s="54"/>
      <c r="BA5101" s="54"/>
    </row>
    <row r="5102" spans="43:53" x14ac:dyDescent="0.35">
      <c r="AQ5102" s="54"/>
      <c r="BA5102" s="54"/>
    </row>
    <row r="5103" spans="43:53" x14ac:dyDescent="0.35">
      <c r="AQ5103" s="54"/>
      <c r="BA5103" s="54"/>
    </row>
    <row r="5104" spans="43:53" x14ac:dyDescent="0.35">
      <c r="AQ5104" s="54"/>
      <c r="BA5104" s="54"/>
    </row>
    <row r="5105" spans="43:53" x14ac:dyDescent="0.35">
      <c r="AQ5105" s="54"/>
      <c r="BA5105" s="54"/>
    </row>
    <row r="5106" spans="43:53" x14ac:dyDescent="0.35">
      <c r="AQ5106" s="54"/>
      <c r="BA5106" s="54"/>
    </row>
    <row r="5107" spans="43:53" x14ac:dyDescent="0.35">
      <c r="AQ5107" s="54"/>
      <c r="BA5107" s="54"/>
    </row>
    <row r="5108" spans="43:53" x14ac:dyDescent="0.35">
      <c r="AQ5108" s="54"/>
      <c r="BA5108" s="54"/>
    </row>
    <row r="5109" spans="43:53" x14ac:dyDescent="0.35">
      <c r="AQ5109" s="54"/>
      <c r="BA5109" s="54"/>
    </row>
    <row r="5110" spans="43:53" x14ac:dyDescent="0.35">
      <c r="AQ5110" s="54"/>
      <c r="BA5110" s="54"/>
    </row>
    <row r="5111" spans="43:53" x14ac:dyDescent="0.35">
      <c r="AQ5111" s="54"/>
      <c r="BA5111" s="54"/>
    </row>
    <row r="5112" spans="43:53" x14ac:dyDescent="0.35">
      <c r="AQ5112" s="54"/>
      <c r="BA5112" s="54"/>
    </row>
    <row r="5113" spans="43:53" x14ac:dyDescent="0.35">
      <c r="AQ5113" s="54"/>
      <c r="BA5113" s="54"/>
    </row>
    <row r="5114" spans="43:53" x14ac:dyDescent="0.35">
      <c r="AQ5114" s="54"/>
      <c r="BA5114" s="54"/>
    </row>
    <row r="5115" spans="43:53" x14ac:dyDescent="0.35">
      <c r="AQ5115" s="54"/>
      <c r="BA5115" s="54"/>
    </row>
    <row r="5116" spans="43:53" x14ac:dyDescent="0.35">
      <c r="AQ5116" s="54"/>
      <c r="BA5116" s="54"/>
    </row>
    <row r="5117" spans="43:53" x14ac:dyDescent="0.35">
      <c r="AQ5117" s="54"/>
      <c r="BA5117" s="54"/>
    </row>
    <row r="5118" spans="43:53" x14ac:dyDescent="0.35">
      <c r="AQ5118" s="54"/>
      <c r="BA5118" s="54"/>
    </row>
    <row r="5119" spans="43:53" x14ac:dyDescent="0.35">
      <c r="AQ5119" s="54"/>
      <c r="BA5119" s="54"/>
    </row>
    <row r="5120" spans="43:53" x14ac:dyDescent="0.35">
      <c r="AQ5120" s="54"/>
      <c r="BA5120" s="54"/>
    </row>
    <row r="5121" spans="43:53" x14ac:dyDescent="0.35">
      <c r="AQ5121" s="54"/>
      <c r="BA5121" s="54"/>
    </row>
    <row r="5122" spans="43:53" x14ac:dyDescent="0.35">
      <c r="AQ5122" s="54"/>
      <c r="BA5122" s="54"/>
    </row>
    <row r="5123" spans="43:53" x14ac:dyDescent="0.35">
      <c r="AQ5123" s="54"/>
      <c r="BA5123" s="54"/>
    </row>
    <row r="5124" spans="43:53" x14ac:dyDescent="0.35">
      <c r="AQ5124" s="54"/>
      <c r="BA5124" s="54"/>
    </row>
    <row r="5125" spans="43:53" x14ac:dyDescent="0.35">
      <c r="AQ5125" s="54"/>
      <c r="BA5125" s="54"/>
    </row>
    <row r="5126" spans="43:53" x14ac:dyDescent="0.35">
      <c r="AQ5126" s="54"/>
      <c r="BA5126" s="54"/>
    </row>
    <row r="5127" spans="43:53" x14ac:dyDescent="0.35">
      <c r="AQ5127" s="54"/>
      <c r="BA5127" s="54"/>
    </row>
    <row r="5128" spans="43:53" x14ac:dyDescent="0.35">
      <c r="AQ5128" s="54"/>
      <c r="BA5128" s="54"/>
    </row>
    <row r="5129" spans="43:53" x14ac:dyDescent="0.35">
      <c r="AQ5129" s="54"/>
      <c r="BA5129" s="54"/>
    </row>
    <row r="5130" spans="43:53" x14ac:dyDescent="0.35">
      <c r="AQ5130" s="54"/>
      <c r="BA5130" s="54"/>
    </row>
    <row r="5131" spans="43:53" x14ac:dyDescent="0.35">
      <c r="AQ5131" s="54"/>
      <c r="BA5131" s="54"/>
    </row>
    <row r="5132" spans="43:53" x14ac:dyDescent="0.35">
      <c r="AQ5132" s="54"/>
      <c r="BA5132" s="54"/>
    </row>
    <row r="5133" spans="43:53" x14ac:dyDescent="0.35">
      <c r="AQ5133" s="54"/>
      <c r="BA5133" s="54"/>
    </row>
    <row r="5134" spans="43:53" x14ac:dyDescent="0.35">
      <c r="AQ5134" s="54"/>
      <c r="BA5134" s="54"/>
    </row>
    <row r="5135" spans="43:53" x14ac:dyDescent="0.35">
      <c r="AQ5135" s="54"/>
      <c r="BA5135" s="54"/>
    </row>
    <row r="5136" spans="43:53" x14ac:dyDescent="0.35">
      <c r="AQ5136" s="54"/>
      <c r="BA5136" s="54"/>
    </row>
    <row r="5137" spans="43:53" x14ac:dyDescent="0.35">
      <c r="AQ5137" s="54"/>
      <c r="BA5137" s="54"/>
    </row>
    <row r="5138" spans="43:53" x14ac:dyDescent="0.35">
      <c r="AQ5138" s="54"/>
      <c r="BA5138" s="54"/>
    </row>
    <row r="5139" spans="43:53" x14ac:dyDescent="0.35">
      <c r="AQ5139" s="54"/>
      <c r="BA5139" s="54"/>
    </row>
    <row r="5140" spans="43:53" x14ac:dyDescent="0.35">
      <c r="AQ5140" s="54"/>
      <c r="BA5140" s="54"/>
    </row>
    <row r="5141" spans="43:53" x14ac:dyDescent="0.35">
      <c r="AQ5141" s="54"/>
      <c r="BA5141" s="54"/>
    </row>
    <row r="5142" spans="43:53" x14ac:dyDescent="0.35">
      <c r="AQ5142" s="54"/>
      <c r="BA5142" s="54"/>
    </row>
    <row r="5143" spans="43:53" x14ac:dyDescent="0.35">
      <c r="AQ5143" s="54"/>
      <c r="BA5143" s="54"/>
    </row>
    <row r="5144" spans="43:53" x14ac:dyDescent="0.35">
      <c r="AQ5144" s="54"/>
      <c r="BA5144" s="54"/>
    </row>
    <row r="5145" spans="43:53" x14ac:dyDescent="0.35">
      <c r="AQ5145" s="54"/>
      <c r="BA5145" s="54"/>
    </row>
    <row r="5146" spans="43:53" x14ac:dyDescent="0.35">
      <c r="AQ5146" s="54"/>
      <c r="BA5146" s="54"/>
    </row>
    <row r="5147" spans="43:53" x14ac:dyDescent="0.35">
      <c r="AQ5147" s="54"/>
      <c r="BA5147" s="54"/>
    </row>
    <row r="5148" spans="43:53" x14ac:dyDescent="0.35">
      <c r="AQ5148" s="54"/>
      <c r="BA5148" s="54"/>
    </row>
    <row r="5149" spans="43:53" x14ac:dyDescent="0.35">
      <c r="AQ5149" s="54"/>
      <c r="BA5149" s="54"/>
    </row>
    <row r="5150" spans="43:53" x14ac:dyDescent="0.35">
      <c r="AQ5150" s="54"/>
      <c r="BA5150" s="54"/>
    </row>
    <row r="5151" spans="43:53" x14ac:dyDescent="0.35">
      <c r="AQ5151" s="54"/>
      <c r="BA5151" s="54"/>
    </row>
    <row r="5152" spans="43:53" x14ac:dyDescent="0.35">
      <c r="AQ5152" s="54"/>
      <c r="BA5152" s="54"/>
    </row>
    <row r="5153" spans="43:53" x14ac:dyDescent="0.35">
      <c r="AQ5153" s="54"/>
      <c r="BA5153" s="54"/>
    </row>
    <row r="5154" spans="43:53" x14ac:dyDescent="0.35">
      <c r="AQ5154" s="54"/>
      <c r="BA5154" s="54"/>
    </row>
    <row r="5155" spans="43:53" x14ac:dyDescent="0.35">
      <c r="AQ5155" s="54"/>
      <c r="BA5155" s="54"/>
    </row>
    <row r="5156" spans="43:53" x14ac:dyDescent="0.35">
      <c r="AQ5156" s="54"/>
      <c r="BA5156" s="54"/>
    </row>
    <row r="5157" spans="43:53" x14ac:dyDescent="0.35">
      <c r="AQ5157" s="54"/>
      <c r="BA5157" s="54"/>
    </row>
    <row r="5158" spans="43:53" x14ac:dyDescent="0.35">
      <c r="AQ5158" s="54"/>
      <c r="BA5158" s="54"/>
    </row>
    <row r="5159" spans="43:53" x14ac:dyDescent="0.35">
      <c r="AQ5159" s="54"/>
      <c r="BA5159" s="54"/>
    </row>
    <row r="5160" spans="43:53" x14ac:dyDescent="0.35">
      <c r="AQ5160" s="54"/>
      <c r="BA5160" s="54"/>
    </row>
    <row r="5161" spans="43:53" x14ac:dyDescent="0.35">
      <c r="AQ5161" s="54"/>
      <c r="BA5161" s="54"/>
    </row>
    <row r="5162" spans="43:53" x14ac:dyDescent="0.35">
      <c r="AQ5162" s="54"/>
      <c r="BA5162" s="54"/>
    </row>
    <row r="5163" spans="43:53" x14ac:dyDescent="0.35">
      <c r="AQ5163" s="54"/>
      <c r="BA5163" s="54"/>
    </row>
    <row r="5164" spans="43:53" x14ac:dyDescent="0.35">
      <c r="AQ5164" s="54"/>
      <c r="BA5164" s="54"/>
    </row>
    <row r="5165" spans="43:53" x14ac:dyDescent="0.35">
      <c r="AQ5165" s="54"/>
      <c r="BA5165" s="54"/>
    </row>
    <row r="5166" spans="43:53" x14ac:dyDescent="0.35">
      <c r="AQ5166" s="54"/>
      <c r="BA5166" s="54"/>
    </row>
    <row r="5167" spans="43:53" x14ac:dyDescent="0.35">
      <c r="AQ5167" s="54"/>
      <c r="BA5167" s="54"/>
    </row>
    <row r="5168" spans="43:53" x14ac:dyDescent="0.35">
      <c r="AQ5168" s="54"/>
      <c r="BA5168" s="54"/>
    </row>
    <row r="5169" spans="43:53" x14ac:dyDescent="0.35">
      <c r="AQ5169" s="54"/>
      <c r="BA5169" s="54"/>
    </row>
    <row r="5170" spans="43:53" x14ac:dyDescent="0.35">
      <c r="AQ5170" s="54"/>
      <c r="BA5170" s="54"/>
    </row>
    <row r="5171" spans="43:53" x14ac:dyDescent="0.35">
      <c r="AQ5171" s="54"/>
      <c r="BA5171" s="54"/>
    </row>
    <row r="5172" spans="43:53" x14ac:dyDescent="0.35">
      <c r="AQ5172" s="54"/>
      <c r="BA5172" s="54"/>
    </row>
    <row r="5173" spans="43:53" x14ac:dyDescent="0.35">
      <c r="AQ5173" s="54"/>
      <c r="BA5173" s="54"/>
    </row>
    <row r="5174" spans="43:53" x14ac:dyDescent="0.35">
      <c r="AQ5174" s="54"/>
      <c r="BA5174" s="54"/>
    </row>
    <row r="5175" spans="43:53" x14ac:dyDescent="0.35">
      <c r="AQ5175" s="54"/>
      <c r="BA5175" s="54"/>
    </row>
    <row r="5176" spans="43:53" x14ac:dyDescent="0.35">
      <c r="AQ5176" s="54"/>
      <c r="BA5176" s="54"/>
    </row>
    <row r="5177" spans="43:53" x14ac:dyDescent="0.35">
      <c r="AQ5177" s="54"/>
      <c r="BA5177" s="54"/>
    </row>
    <row r="5178" spans="43:53" x14ac:dyDescent="0.35">
      <c r="AQ5178" s="54"/>
      <c r="BA5178" s="54"/>
    </row>
    <row r="5179" spans="43:53" x14ac:dyDescent="0.35">
      <c r="AQ5179" s="54"/>
      <c r="BA5179" s="54"/>
    </row>
    <row r="5180" spans="43:53" x14ac:dyDescent="0.35">
      <c r="AQ5180" s="54"/>
      <c r="BA5180" s="54"/>
    </row>
    <row r="5181" spans="43:53" x14ac:dyDescent="0.35">
      <c r="AQ5181" s="54"/>
      <c r="BA5181" s="54"/>
    </row>
    <row r="5182" spans="43:53" x14ac:dyDescent="0.35">
      <c r="AQ5182" s="54"/>
      <c r="BA5182" s="54"/>
    </row>
    <row r="5183" spans="43:53" x14ac:dyDescent="0.35">
      <c r="AQ5183" s="54"/>
      <c r="BA5183" s="54"/>
    </row>
    <row r="5184" spans="43:53" x14ac:dyDescent="0.35">
      <c r="AQ5184" s="54"/>
      <c r="BA5184" s="54"/>
    </row>
    <row r="5185" spans="43:53" x14ac:dyDescent="0.35">
      <c r="AQ5185" s="54"/>
      <c r="BA5185" s="54"/>
    </row>
    <row r="5186" spans="43:53" x14ac:dyDescent="0.35">
      <c r="AQ5186" s="54"/>
      <c r="BA5186" s="54"/>
    </row>
    <row r="5187" spans="43:53" x14ac:dyDescent="0.35">
      <c r="AQ5187" s="54"/>
      <c r="BA5187" s="54"/>
    </row>
    <row r="5188" spans="43:53" x14ac:dyDescent="0.35">
      <c r="AQ5188" s="54"/>
      <c r="BA5188" s="54"/>
    </row>
    <row r="5189" spans="43:53" x14ac:dyDescent="0.35">
      <c r="AQ5189" s="54"/>
      <c r="BA5189" s="54"/>
    </row>
    <row r="5190" spans="43:53" x14ac:dyDescent="0.35">
      <c r="AQ5190" s="54"/>
      <c r="BA5190" s="54"/>
    </row>
    <row r="5191" spans="43:53" x14ac:dyDescent="0.35">
      <c r="AQ5191" s="54"/>
      <c r="BA5191" s="54"/>
    </row>
    <row r="5192" spans="43:53" x14ac:dyDescent="0.35">
      <c r="AQ5192" s="54"/>
      <c r="BA5192" s="54"/>
    </row>
    <row r="5193" spans="43:53" x14ac:dyDescent="0.35">
      <c r="AQ5193" s="54"/>
      <c r="BA5193" s="54"/>
    </row>
    <row r="5194" spans="43:53" x14ac:dyDescent="0.35">
      <c r="AQ5194" s="54"/>
      <c r="BA5194" s="54"/>
    </row>
    <row r="5195" spans="43:53" x14ac:dyDescent="0.35">
      <c r="AQ5195" s="54"/>
      <c r="BA5195" s="54"/>
    </row>
    <row r="5196" spans="43:53" x14ac:dyDescent="0.35">
      <c r="AQ5196" s="54"/>
      <c r="BA5196" s="54"/>
    </row>
    <row r="5197" spans="43:53" x14ac:dyDescent="0.35">
      <c r="AQ5197" s="54"/>
      <c r="BA5197" s="54"/>
    </row>
    <row r="5198" spans="43:53" x14ac:dyDescent="0.35">
      <c r="AQ5198" s="54"/>
      <c r="BA5198" s="54"/>
    </row>
    <row r="5199" spans="43:53" x14ac:dyDescent="0.35">
      <c r="AQ5199" s="54"/>
      <c r="BA5199" s="54"/>
    </row>
    <row r="5200" spans="43:53" x14ac:dyDescent="0.35">
      <c r="AQ5200" s="54"/>
      <c r="BA5200" s="54"/>
    </row>
    <row r="5201" spans="43:53" x14ac:dyDescent="0.35">
      <c r="AQ5201" s="54"/>
      <c r="BA5201" s="54"/>
    </row>
    <row r="5202" spans="43:53" x14ac:dyDescent="0.35">
      <c r="AQ5202" s="54"/>
      <c r="BA5202" s="54"/>
    </row>
    <row r="5203" spans="43:53" x14ac:dyDescent="0.35">
      <c r="AQ5203" s="54"/>
      <c r="BA5203" s="54"/>
    </row>
    <row r="5204" spans="43:53" x14ac:dyDescent="0.35">
      <c r="AQ5204" s="54"/>
      <c r="BA5204" s="54"/>
    </row>
    <row r="5205" spans="43:53" x14ac:dyDescent="0.35">
      <c r="AQ5205" s="54"/>
      <c r="BA5205" s="54"/>
    </row>
    <row r="5206" spans="43:53" x14ac:dyDescent="0.35">
      <c r="AQ5206" s="54"/>
      <c r="BA5206" s="54"/>
    </row>
    <row r="5207" spans="43:53" x14ac:dyDescent="0.35">
      <c r="AQ5207" s="54"/>
      <c r="BA5207" s="54"/>
    </row>
    <row r="5208" spans="43:53" x14ac:dyDescent="0.35">
      <c r="AQ5208" s="54"/>
      <c r="BA5208" s="54"/>
    </row>
    <row r="5209" spans="43:53" x14ac:dyDescent="0.35">
      <c r="AQ5209" s="54"/>
      <c r="BA5209" s="54"/>
    </row>
    <row r="5210" spans="43:53" x14ac:dyDescent="0.35">
      <c r="AQ5210" s="54"/>
      <c r="BA5210" s="54"/>
    </row>
    <row r="5211" spans="43:53" x14ac:dyDescent="0.35">
      <c r="AQ5211" s="54"/>
      <c r="BA5211" s="54"/>
    </row>
    <row r="5212" spans="43:53" x14ac:dyDescent="0.35">
      <c r="AQ5212" s="54"/>
      <c r="BA5212" s="54"/>
    </row>
    <row r="5213" spans="43:53" x14ac:dyDescent="0.35">
      <c r="AQ5213" s="54"/>
      <c r="BA5213" s="54"/>
    </row>
    <row r="5214" spans="43:53" x14ac:dyDescent="0.35">
      <c r="AQ5214" s="54"/>
      <c r="BA5214" s="54"/>
    </row>
    <row r="5215" spans="43:53" x14ac:dyDescent="0.35">
      <c r="AQ5215" s="54"/>
      <c r="BA5215" s="54"/>
    </row>
    <row r="5216" spans="43:53" x14ac:dyDescent="0.35">
      <c r="AQ5216" s="54"/>
      <c r="BA5216" s="54"/>
    </row>
    <row r="5217" spans="43:53" x14ac:dyDescent="0.35">
      <c r="AQ5217" s="54"/>
      <c r="BA5217" s="54"/>
    </row>
    <row r="5218" spans="43:53" x14ac:dyDescent="0.35">
      <c r="AQ5218" s="54"/>
      <c r="BA5218" s="54"/>
    </row>
    <row r="5219" spans="43:53" x14ac:dyDescent="0.35">
      <c r="AQ5219" s="54"/>
      <c r="BA5219" s="54"/>
    </row>
    <row r="5220" spans="43:53" x14ac:dyDescent="0.35">
      <c r="AQ5220" s="54"/>
      <c r="BA5220" s="54"/>
    </row>
    <row r="5221" spans="43:53" x14ac:dyDescent="0.35">
      <c r="AQ5221" s="54"/>
      <c r="BA5221" s="54"/>
    </row>
    <row r="5222" spans="43:53" x14ac:dyDescent="0.35">
      <c r="AQ5222" s="54"/>
      <c r="BA5222" s="54"/>
    </row>
    <row r="5223" spans="43:53" x14ac:dyDescent="0.35">
      <c r="AQ5223" s="54"/>
      <c r="BA5223" s="54"/>
    </row>
    <row r="5224" spans="43:53" x14ac:dyDescent="0.35">
      <c r="AQ5224" s="54"/>
      <c r="BA5224" s="54"/>
    </row>
    <row r="5225" spans="43:53" x14ac:dyDescent="0.35">
      <c r="AQ5225" s="54"/>
      <c r="BA5225" s="54"/>
    </row>
    <row r="5226" spans="43:53" x14ac:dyDescent="0.35">
      <c r="AQ5226" s="54"/>
      <c r="BA5226" s="54"/>
    </row>
    <row r="5227" spans="43:53" x14ac:dyDescent="0.35">
      <c r="AQ5227" s="54"/>
      <c r="BA5227" s="54"/>
    </row>
    <row r="5228" spans="43:53" x14ac:dyDescent="0.35">
      <c r="AQ5228" s="54"/>
      <c r="BA5228" s="54"/>
    </row>
    <row r="5229" spans="43:53" x14ac:dyDescent="0.35">
      <c r="AQ5229" s="54"/>
      <c r="BA5229" s="54"/>
    </row>
    <row r="5230" spans="43:53" x14ac:dyDescent="0.35">
      <c r="AQ5230" s="54"/>
      <c r="BA5230" s="54"/>
    </row>
    <row r="5231" spans="43:53" x14ac:dyDescent="0.35">
      <c r="AQ5231" s="54"/>
      <c r="BA5231" s="54"/>
    </row>
    <row r="5232" spans="43:53" x14ac:dyDescent="0.35">
      <c r="AQ5232" s="54"/>
      <c r="BA5232" s="54"/>
    </row>
    <row r="5233" spans="43:53" x14ac:dyDescent="0.35">
      <c r="AQ5233" s="54"/>
      <c r="BA5233" s="54"/>
    </row>
    <row r="5234" spans="43:53" x14ac:dyDescent="0.35">
      <c r="AQ5234" s="54"/>
      <c r="BA5234" s="54"/>
    </row>
    <row r="5235" spans="43:53" x14ac:dyDescent="0.35">
      <c r="AQ5235" s="54"/>
      <c r="BA5235" s="54"/>
    </row>
    <row r="5236" spans="43:53" x14ac:dyDescent="0.35">
      <c r="AQ5236" s="54"/>
      <c r="BA5236" s="54"/>
    </row>
    <row r="5237" spans="43:53" x14ac:dyDescent="0.35">
      <c r="AQ5237" s="54"/>
      <c r="BA5237" s="54"/>
    </row>
    <row r="5238" spans="43:53" x14ac:dyDescent="0.35">
      <c r="AQ5238" s="54"/>
      <c r="BA5238" s="54"/>
    </row>
    <row r="5239" spans="43:53" x14ac:dyDescent="0.35">
      <c r="AQ5239" s="54"/>
      <c r="BA5239" s="54"/>
    </row>
    <row r="5240" spans="43:53" x14ac:dyDescent="0.35">
      <c r="AQ5240" s="54"/>
      <c r="BA5240" s="54"/>
    </row>
    <row r="5241" spans="43:53" x14ac:dyDescent="0.35">
      <c r="AQ5241" s="54"/>
      <c r="BA5241" s="54"/>
    </row>
    <row r="5242" spans="43:53" x14ac:dyDescent="0.35">
      <c r="AQ5242" s="54"/>
      <c r="BA5242" s="54"/>
    </row>
    <row r="5243" spans="43:53" x14ac:dyDescent="0.35">
      <c r="AQ5243" s="54"/>
      <c r="BA5243" s="54"/>
    </row>
    <row r="5244" spans="43:53" x14ac:dyDescent="0.35">
      <c r="AQ5244" s="54"/>
      <c r="BA5244" s="54"/>
    </row>
    <row r="5245" spans="43:53" x14ac:dyDescent="0.35">
      <c r="AQ5245" s="54"/>
      <c r="BA5245" s="54"/>
    </row>
    <row r="5246" spans="43:53" x14ac:dyDescent="0.35">
      <c r="AQ5246" s="54"/>
      <c r="BA5246" s="54"/>
    </row>
    <row r="5247" spans="43:53" x14ac:dyDescent="0.35">
      <c r="AQ5247" s="54"/>
      <c r="BA5247" s="54"/>
    </row>
    <row r="5248" spans="43:53" x14ac:dyDescent="0.35">
      <c r="AQ5248" s="54"/>
      <c r="BA5248" s="54"/>
    </row>
    <row r="5249" spans="43:53" x14ac:dyDescent="0.35">
      <c r="AQ5249" s="54"/>
      <c r="BA5249" s="54"/>
    </row>
    <row r="5250" spans="43:53" x14ac:dyDescent="0.35">
      <c r="AQ5250" s="54"/>
      <c r="BA5250" s="54"/>
    </row>
    <row r="5251" spans="43:53" x14ac:dyDescent="0.35">
      <c r="AQ5251" s="54"/>
      <c r="BA5251" s="54"/>
    </row>
    <row r="5252" spans="43:53" x14ac:dyDescent="0.35">
      <c r="AQ5252" s="54"/>
      <c r="BA5252" s="54"/>
    </row>
    <row r="5253" spans="43:53" x14ac:dyDescent="0.35">
      <c r="AQ5253" s="54"/>
      <c r="BA5253" s="54"/>
    </row>
    <row r="5254" spans="43:53" x14ac:dyDescent="0.35">
      <c r="AQ5254" s="54"/>
      <c r="BA5254" s="54"/>
    </row>
    <row r="5255" spans="43:53" x14ac:dyDescent="0.35">
      <c r="AQ5255" s="54"/>
      <c r="BA5255" s="54"/>
    </row>
    <row r="5256" spans="43:53" x14ac:dyDescent="0.35">
      <c r="AQ5256" s="54"/>
      <c r="BA5256" s="54"/>
    </row>
    <row r="5257" spans="43:53" x14ac:dyDescent="0.35">
      <c r="AQ5257" s="54"/>
      <c r="BA5257" s="54"/>
    </row>
    <row r="5258" spans="43:53" x14ac:dyDescent="0.35">
      <c r="AQ5258" s="54"/>
      <c r="BA5258" s="54"/>
    </row>
    <row r="5259" spans="43:53" x14ac:dyDescent="0.35">
      <c r="AQ5259" s="54"/>
      <c r="BA5259" s="54"/>
    </row>
    <row r="5260" spans="43:53" x14ac:dyDescent="0.35">
      <c r="AQ5260" s="54"/>
      <c r="BA5260" s="54"/>
    </row>
    <row r="5261" spans="43:53" x14ac:dyDescent="0.35">
      <c r="AQ5261" s="54"/>
      <c r="BA5261" s="54"/>
    </row>
    <row r="5262" spans="43:53" x14ac:dyDescent="0.35">
      <c r="AQ5262" s="54"/>
      <c r="BA5262" s="54"/>
    </row>
    <row r="5263" spans="43:53" x14ac:dyDescent="0.35">
      <c r="AQ5263" s="54"/>
      <c r="BA5263" s="54"/>
    </row>
    <row r="5264" spans="43:53" x14ac:dyDescent="0.35">
      <c r="AQ5264" s="54"/>
      <c r="BA5264" s="54"/>
    </row>
    <row r="5265" spans="43:53" x14ac:dyDescent="0.35">
      <c r="AQ5265" s="54"/>
      <c r="BA5265" s="54"/>
    </row>
    <row r="5266" spans="43:53" x14ac:dyDescent="0.35">
      <c r="AQ5266" s="54"/>
      <c r="BA5266" s="54"/>
    </row>
    <row r="5267" spans="43:53" x14ac:dyDescent="0.35">
      <c r="AQ5267" s="54"/>
      <c r="BA5267" s="54"/>
    </row>
    <row r="5268" spans="43:53" x14ac:dyDescent="0.35">
      <c r="AQ5268" s="54"/>
      <c r="BA5268" s="54"/>
    </row>
    <row r="5269" spans="43:53" x14ac:dyDescent="0.35">
      <c r="AQ5269" s="54"/>
      <c r="BA5269" s="54"/>
    </row>
    <row r="5270" spans="43:53" x14ac:dyDescent="0.35">
      <c r="AQ5270" s="54"/>
      <c r="BA5270" s="54"/>
    </row>
    <row r="5271" spans="43:53" x14ac:dyDescent="0.35">
      <c r="AQ5271" s="54"/>
      <c r="BA5271" s="54"/>
    </row>
    <row r="5272" spans="43:53" x14ac:dyDescent="0.35">
      <c r="AQ5272" s="54"/>
      <c r="BA5272" s="54"/>
    </row>
    <row r="5273" spans="43:53" x14ac:dyDescent="0.35">
      <c r="AQ5273" s="54"/>
      <c r="BA5273" s="54"/>
    </row>
    <row r="5274" spans="43:53" x14ac:dyDescent="0.35">
      <c r="AQ5274" s="54"/>
      <c r="BA5274" s="54"/>
    </row>
    <row r="5275" spans="43:53" x14ac:dyDescent="0.35">
      <c r="AQ5275" s="54"/>
      <c r="BA5275" s="54"/>
    </row>
    <row r="5276" spans="43:53" x14ac:dyDescent="0.35">
      <c r="AQ5276" s="54"/>
      <c r="BA5276" s="54"/>
    </row>
    <row r="5277" spans="43:53" x14ac:dyDescent="0.35">
      <c r="AQ5277" s="54"/>
      <c r="BA5277" s="54"/>
    </row>
    <row r="5278" spans="43:53" x14ac:dyDescent="0.35">
      <c r="AQ5278" s="54"/>
      <c r="BA5278" s="54"/>
    </row>
    <row r="5279" spans="43:53" x14ac:dyDescent="0.35">
      <c r="AQ5279" s="54"/>
      <c r="BA5279" s="54"/>
    </row>
    <row r="5280" spans="43:53" x14ac:dyDescent="0.35">
      <c r="AQ5280" s="54"/>
      <c r="BA5280" s="54"/>
    </row>
    <row r="5281" spans="43:53" x14ac:dyDescent="0.35">
      <c r="AQ5281" s="54"/>
      <c r="BA5281" s="54"/>
    </row>
    <row r="5282" spans="43:53" x14ac:dyDescent="0.35">
      <c r="AQ5282" s="54"/>
      <c r="BA5282" s="54"/>
    </row>
    <row r="5283" spans="43:53" x14ac:dyDescent="0.35">
      <c r="AQ5283" s="54"/>
      <c r="BA5283" s="54"/>
    </row>
    <row r="5284" spans="43:53" x14ac:dyDescent="0.35">
      <c r="AQ5284" s="54"/>
      <c r="BA5284" s="54"/>
    </row>
    <row r="5285" spans="43:53" x14ac:dyDescent="0.35">
      <c r="AQ5285" s="54"/>
      <c r="BA5285" s="54"/>
    </row>
    <row r="5286" spans="43:53" x14ac:dyDescent="0.35">
      <c r="AQ5286" s="54"/>
      <c r="BA5286" s="54"/>
    </row>
    <row r="5287" spans="43:53" x14ac:dyDescent="0.35">
      <c r="AQ5287" s="54"/>
      <c r="BA5287" s="54"/>
    </row>
    <row r="5288" spans="43:53" x14ac:dyDescent="0.35">
      <c r="AQ5288" s="54"/>
      <c r="BA5288" s="54"/>
    </row>
    <row r="5289" spans="43:53" x14ac:dyDescent="0.35">
      <c r="AQ5289" s="54"/>
      <c r="BA5289" s="54"/>
    </row>
    <row r="5290" spans="43:53" x14ac:dyDescent="0.35">
      <c r="AQ5290" s="54"/>
      <c r="BA5290" s="54"/>
    </row>
    <row r="5291" spans="43:53" x14ac:dyDescent="0.35">
      <c r="AQ5291" s="54"/>
      <c r="BA5291" s="54"/>
    </row>
    <row r="5292" spans="43:53" x14ac:dyDescent="0.35">
      <c r="AQ5292" s="54"/>
      <c r="BA5292" s="54"/>
    </row>
    <row r="5293" spans="43:53" x14ac:dyDescent="0.35">
      <c r="AQ5293" s="54"/>
      <c r="BA5293" s="54"/>
    </row>
    <row r="5294" spans="43:53" x14ac:dyDescent="0.35">
      <c r="AQ5294" s="54"/>
      <c r="BA5294" s="54"/>
    </row>
    <row r="5295" spans="43:53" x14ac:dyDescent="0.35">
      <c r="AQ5295" s="54"/>
      <c r="BA5295" s="54"/>
    </row>
    <row r="5296" spans="43:53" x14ac:dyDescent="0.35">
      <c r="AQ5296" s="54"/>
      <c r="BA5296" s="54"/>
    </row>
    <row r="5297" spans="43:53" x14ac:dyDescent="0.35">
      <c r="AQ5297" s="54"/>
      <c r="BA5297" s="54"/>
    </row>
    <row r="5298" spans="43:53" x14ac:dyDescent="0.35">
      <c r="AQ5298" s="54"/>
      <c r="BA5298" s="54"/>
    </row>
    <row r="5299" spans="43:53" x14ac:dyDescent="0.35">
      <c r="AQ5299" s="54"/>
      <c r="BA5299" s="54"/>
    </row>
    <row r="5300" spans="43:53" x14ac:dyDescent="0.35">
      <c r="AQ5300" s="54"/>
      <c r="BA5300" s="54"/>
    </row>
    <row r="5301" spans="43:53" x14ac:dyDescent="0.35">
      <c r="AQ5301" s="54"/>
      <c r="BA5301" s="54"/>
    </row>
    <row r="5302" spans="43:53" x14ac:dyDescent="0.35">
      <c r="AQ5302" s="54"/>
      <c r="BA5302" s="54"/>
    </row>
    <row r="5303" spans="43:53" x14ac:dyDescent="0.35">
      <c r="AQ5303" s="54"/>
      <c r="BA5303" s="54"/>
    </row>
    <row r="5304" spans="43:53" x14ac:dyDescent="0.35">
      <c r="AQ5304" s="54"/>
      <c r="BA5304" s="54"/>
    </row>
    <row r="5305" spans="43:53" x14ac:dyDescent="0.35">
      <c r="AQ5305" s="54"/>
      <c r="BA5305" s="54"/>
    </row>
    <row r="5306" spans="43:53" x14ac:dyDescent="0.35">
      <c r="AQ5306" s="54"/>
      <c r="BA5306" s="54"/>
    </row>
    <row r="5307" spans="43:53" x14ac:dyDescent="0.35">
      <c r="AQ5307" s="54"/>
      <c r="BA5307" s="54"/>
    </row>
    <row r="5308" spans="43:53" x14ac:dyDescent="0.35">
      <c r="AQ5308" s="54"/>
      <c r="BA5308" s="54"/>
    </row>
    <row r="5309" spans="43:53" x14ac:dyDescent="0.35">
      <c r="AQ5309" s="54"/>
      <c r="BA5309" s="54"/>
    </row>
    <row r="5310" spans="43:53" x14ac:dyDescent="0.35">
      <c r="AQ5310" s="54"/>
      <c r="BA5310" s="54"/>
    </row>
    <row r="5311" spans="43:53" x14ac:dyDescent="0.35">
      <c r="AQ5311" s="54"/>
      <c r="BA5311" s="54"/>
    </row>
    <row r="5312" spans="43:53" x14ac:dyDescent="0.35">
      <c r="AQ5312" s="54"/>
      <c r="BA5312" s="54"/>
    </row>
    <row r="5313" spans="43:53" x14ac:dyDescent="0.35">
      <c r="AQ5313" s="54"/>
      <c r="BA5313" s="54"/>
    </row>
    <row r="5314" spans="43:53" x14ac:dyDescent="0.35">
      <c r="AQ5314" s="54"/>
      <c r="BA5314" s="54"/>
    </row>
    <row r="5315" spans="43:53" x14ac:dyDescent="0.35">
      <c r="AQ5315" s="54"/>
      <c r="BA5315" s="54"/>
    </row>
    <row r="5316" spans="43:53" x14ac:dyDescent="0.35">
      <c r="AQ5316" s="54"/>
      <c r="BA5316" s="54"/>
    </row>
    <row r="5317" spans="43:53" x14ac:dyDescent="0.35">
      <c r="AQ5317" s="54"/>
      <c r="BA5317" s="54"/>
    </row>
    <row r="5318" spans="43:53" x14ac:dyDescent="0.35">
      <c r="AQ5318" s="54"/>
      <c r="BA5318" s="54"/>
    </row>
    <row r="5319" spans="43:53" x14ac:dyDescent="0.35">
      <c r="AQ5319" s="54"/>
      <c r="BA5319" s="54"/>
    </row>
    <row r="5320" spans="43:53" x14ac:dyDescent="0.35">
      <c r="AQ5320" s="54"/>
      <c r="BA5320" s="54"/>
    </row>
    <row r="5321" spans="43:53" x14ac:dyDescent="0.35">
      <c r="AQ5321" s="54"/>
      <c r="BA5321" s="54"/>
    </row>
    <row r="5322" spans="43:53" x14ac:dyDescent="0.35">
      <c r="AQ5322" s="54"/>
      <c r="BA5322" s="54"/>
    </row>
    <row r="5323" spans="43:53" x14ac:dyDescent="0.35">
      <c r="AQ5323" s="54"/>
      <c r="BA5323" s="54"/>
    </row>
    <row r="5324" spans="43:53" x14ac:dyDescent="0.35">
      <c r="AQ5324" s="54"/>
      <c r="BA5324" s="54"/>
    </row>
    <row r="5325" spans="43:53" x14ac:dyDescent="0.35">
      <c r="AQ5325" s="54"/>
      <c r="BA5325" s="54"/>
    </row>
    <row r="5326" spans="43:53" x14ac:dyDescent="0.35">
      <c r="AQ5326" s="54"/>
      <c r="BA5326" s="54"/>
    </row>
    <row r="5327" spans="43:53" x14ac:dyDescent="0.35">
      <c r="AQ5327" s="54"/>
      <c r="BA5327" s="54"/>
    </row>
    <row r="5328" spans="43:53" x14ac:dyDescent="0.35">
      <c r="AQ5328" s="54"/>
      <c r="BA5328" s="54"/>
    </row>
    <row r="5329" spans="43:53" x14ac:dyDescent="0.35">
      <c r="AQ5329" s="54"/>
      <c r="BA5329" s="54"/>
    </row>
    <row r="5330" spans="43:53" x14ac:dyDescent="0.35">
      <c r="AQ5330" s="54"/>
      <c r="BA5330" s="54"/>
    </row>
    <row r="5331" spans="43:53" x14ac:dyDescent="0.35">
      <c r="AQ5331" s="54"/>
      <c r="BA5331" s="54"/>
    </row>
    <row r="5332" spans="43:53" x14ac:dyDescent="0.35">
      <c r="AQ5332" s="54"/>
      <c r="BA5332" s="54"/>
    </row>
    <row r="5333" spans="43:53" x14ac:dyDescent="0.35">
      <c r="AQ5333" s="54"/>
      <c r="BA5333" s="54"/>
    </row>
    <row r="5334" spans="43:53" x14ac:dyDescent="0.35">
      <c r="AQ5334" s="54"/>
      <c r="BA5334" s="54"/>
    </row>
    <row r="5335" spans="43:53" x14ac:dyDescent="0.35">
      <c r="AQ5335" s="54"/>
      <c r="BA5335" s="54"/>
    </row>
    <row r="5336" spans="43:53" x14ac:dyDescent="0.35">
      <c r="AQ5336" s="54"/>
      <c r="BA5336" s="54"/>
    </row>
    <row r="5337" spans="43:53" x14ac:dyDescent="0.35">
      <c r="AQ5337" s="54"/>
      <c r="BA5337" s="54"/>
    </row>
    <row r="5338" spans="43:53" x14ac:dyDescent="0.35">
      <c r="AQ5338" s="54"/>
      <c r="BA5338" s="54"/>
    </row>
    <row r="5339" spans="43:53" x14ac:dyDescent="0.35">
      <c r="AQ5339" s="54"/>
      <c r="BA5339" s="54"/>
    </row>
    <row r="5340" spans="43:53" x14ac:dyDescent="0.35">
      <c r="AQ5340" s="54"/>
      <c r="BA5340" s="54"/>
    </row>
    <row r="5341" spans="43:53" x14ac:dyDescent="0.35">
      <c r="AQ5341" s="54"/>
      <c r="BA5341" s="54"/>
    </row>
    <row r="5342" spans="43:53" x14ac:dyDescent="0.35">
      <c r="AQ5342" s="54"/>
      <c r="BA5342" s="54"/>
    </row>
    <row r="5343" spans="43:53" x14ac:dyDescent="0.35">
      <c r="AQ5343" s="54"/>
      <c r="BA5343" s="54"/>
    </row>
    <row r="5344" spans="43:53" x14ac:dyDescent="0.35">
      <c r="AQ5344" s="54"/>
      <c r="BA5344" s="54"/>
    </row>
    <row r="5345" spans="43:53" x14ac:dyDescent="0.35">
      <c r="AQ5345" s="54"/>
      <c r="BA5345" s="54"/>
    </row>
    <row r="5346" spans="43:53" x14ac:dyDescent="0.35">
      <c r="AQ5346" s="54"/>
      <c r="BA5346" s="54"/>
    </row>
    <row r="5347" spans="43:53" x14ac:dyDescent="0.35">
      <c r="AQ5347" s="54"/>
      <c r="BA5347" s="54"/>
    </row>
    <row r="5348" spans="43:53" x14ac:dyDescent="0.35">
      <c r="AQ5348" s="54"/>
      <c r="BA5348" s="54"/>
    </row>
    <row r="5349" spans="43:53" x14ac:dyDescent="0.35">
      <c r="AQ5349" s="54"/>
      <c r="BA5349" s="54"/>
    </row>
    <row r="5350" spans="43:53" x14ac:dyDescent="0.35">
      <c r="AQ5350" s="54"/>
      <c r="BA5350" s="54"/>
    </row>
    <row r="5351" spans="43:53" x14ac:dyDescent="0.35">
      <c r="AQ5351" s="54"/>
      <c r="BA5351" s="54"/>
    </row>
    <row r="5352" spans="43:53" x14ac:dyDescent="0.35">
      <c r="AQ5352" s="54"/>
      <c r="BA5352" s="54"/>
    </row>
    <row r="5353" spans="43:53" x14ac:dyDescent="0.35">
      <c r="AQ5353" s="54"/>
      <c r="BA5353" s="54"/>
    </row>
    <row r="5354" spans="43:53" x14ac:dyDescent="0.35">
      <c r="AQ5354" s="54"/>
      <c r="BA5354" s="54"/>
    </row>
    <row r="5355" spans="43:53" x14ac:dyDescent="0.35">
      <c r="AQ5355" s="54"/>
      <c r="BA5355" s="54"/>
    </row>
    <row r="5356" spans="43:53" x14ac:dyDescent="0.35">
      <c r="AQ5356" s="54"/>
      <c r="BA5356" s="54"/>
    </row>
    <row r="5357" spans="43:53" x14ac:dyDescent="0.35">
      <c r="AQ5357" s="54"/>
      <c r="BA5357" s="54"/>
    </row>
    <row r="5358" spans="43:53" x14ac:dyDescent="0.35">
      <c r="AQ5358" s="54"/>
      <c r="BA5358" s="54"/>
    </row>
    <row r="5359" spans="43:53" x14ac:dyDescent="0.35">
      <c r="AQ5359" s="54"/>
      <c r="BA5359" s="54"/>
    </row>
    <row r="5360" spans="43:53" x14ac:dyDescent="0.35">
      <c r="AQ5360" s="54"/>
      <c r="BA5360" s="54"/>
    </row>
    <row r="5361" spans="43:53" x14ac:dyDescent="0.35">
      <c r="AQ5361" s="54"/>
      <c r="BA5361" s="54"/>
    </row>
    <row r="5362" spans="43:53" x14ac:dyDescent="0.35">
      <c r="AQ5362" s="54"/>
      <c r="BA5362" s="54"/>
    </row>
    <row r="5363" spans="43:53" x14ac:dyDescent="0.35">
      <c r="AQ5363" s="54"/>
      <c r="BA5363" s="54"/>
    </row>
    <row r="5364" spans="43:53" x14ac:dyDescent="0.35">
      <c r="AQ5364" s="54"/>
      <c r="BA5364" s="54"/>
    </row>
    <row r="5365" spans="43:53" x14ac:dyDescent="0.35">
      <c r="AQ5365" s="54"/>
      <c r="BA5365" s="54"/>
    </row>
    <row r="5366" spans="43:53" x14ac:dyDescent="0.35">
      <c r="AQ5366" s="54"/>
      <c r="BA5366" s="54"/>
    </row>
    <row r="5367" spans="43:53" x14ac:dyDescent="0.35">
      <c r="AQ5367" s="54"/>
      <c r="BA5367" s="54"/>
    </row>
    <row r="5368" spans="43:53" x14ac:dyDescent="0.35">
      <c r="AQ5368" s="54"/>
      <c r="BA5368" s="54"/>
    </row>
    <row r="5369" spans="43:53" x14ac:dyDescent="0.35">
      <c r="AQ5369" s="54"/>
      <c r="BA5369" s="54"/>
    </row>
    <row r="5370" spans="43:53" x14ac:dyDescent="0.35">
      <c r="AQ5370" s="54"/>
      <c r="BA5370" s="54"/>
    </row>
    <row r="5371" spans="43:53" x14ac:dyDescent="0.35">
      <c r="AQ5371" s="54"/>
      <c r="BA5371" s="54"/>
    </row>
    <row r="5372" spans="43:53" x14ac:dyDescent="0.35">
      <c r="AQ5372" s="54"/>
      <c r="BA5372" s="54"/>
    </row>
    <row r="5373" spans="43:53" x14ac:dyDescent="0.35">
      <c r="AQ5373" s="54"/>
      <c r="BA5373" s="54"/>
    </row>
    <row r="5374" spans="43:53" x14ac:dyDescent="0.35">
      <c r="AQ5374" s="54"/>
      <c r="BA5374" s="54"/>
    </row>
    <row r="5375" spans="43:53" x14ac:dyDescent="0.35">
      <c r="AQ5375" s="54"/>
      <c r="BA5375" s="54"/>
    </row>
    <row r="5376" spans="43:53" x14ac:dyDescent="0.35">
      <c r="AQ5376" s="54"/>
      <c r="BA5376" s="54"/>
    </row>
    <row r="5377" spans="43:53" x14ac:dyDescent="0.35">
      <c r="AQ5377" s="54"/>
      <c r="BA5377" s="54"/>
    </row>
    <row r="5378" spans="43:53" x14ac:dyDescent="0.35">
      <c r="AQ5378" s="54"/>
      <c r="BA5378" s="54"/>
    </row>
    <row r="5379" spans="43:53" x14ac:dyDescent="0.35">
      <c r="AQ5379" s="54"/>
      <c r="BA5379" s="54"/>
    </row>
    <row r="5380" spans="43:53" x14ac:dyDescent="0.35">
      <c r="AQ5380" s="54"/>
      <c r="BA5380" s="54"/>
    </row>
    <row r="5381" spans="43:53" x14ac:dyDescent="0.35">
      <c r="AQ5381" s="54"/>
      <c r="BA5381" s="54"/>
    </row>
    <row r="5382" spans="43:53" x14ac:dyDescent="0.35">
      <c r="AQ5382" s="54"/>
      <c r="BA5382" s="54"/>
    </row>
    <row r="5383" spans="43:53" x14ac:dyDescent="0.35">
      <c r="AQ5383" s="54"/>
      <c r="BA5383" s="54"/>
    </row>
    <row r="5384" spans="43:53" x14ac:dyDescent="0.35">
      <c r="AQ5384" s="54"/>
      <c r="BA5384" s="54"/>
    </row>
    <row r="5385" spans="43:53" x14ac:dyDescent="0.35">
      <c r="AQ5385" s="54"/>
      <c r="BA5385" s="54"/>
    </row>
    <row r="5386" spans="43:53" x14ac:dyDescent="0.35">
      <c r="AQ5386" s="54"/>
      <c r="BA5386" s="54"/>
    </row>
    <row r="5387" spans="43:53" x14ac:dyDescent="0.35">
      <c r="AQ5387" s="54"/>
      <c r="BA5387" s="54"/>
    </row>
    <row r="5388" spans="43:53" x14ac:dyDescent="0.35">
      <c r="AQ5388" s="54"/>
      <c r="BA5388" s="54"/>
    </row>
    <row r="5389" spans="43:53" x14ac:dyDescent="0.35">
      <c r="AQ5389" s="54"/>
      <c r="BA5389" s="54"/>
    </row>
    <row r="5390" spans="43:53" x14ac:dyDescent="0.35">
      <c r="AQ5390" s="54"/>
      <c r="BA5390" s="54"/>
    </row>
    <row r="5391" spans="43:53" x14ac:dyDescent="0.35">
      <c r="AQ5391" s="54"/>
      <c r="BA5391" s="54"/>
    </row>
    <row r="5392" spans="43:53" x14ac:dyDescent="0.35">
      <c r="AQ5392" s="54"/>
      <c r="BA5392" s="54"/>
    </row>
    <row r="5393" spans="43:53" x14ac:dyDescent="0.35">
      <c r="AQ5393" s="54"/>
      <c r="BA5393" s="54"/>
    </row>
    <row r="5394" spans="43:53" x14ac:dyDescent="0.35">
      <c r="AQ5394" s="54"/>
      <c r="BA5394" s="54"/>
    </row>
    <row r="5395" spans="43:53" x14ac:dyDescent="0.35">
      <c r="AQ5395" s="54"/>
      <c r="BA5395" s="54"/>
    </row>
    <row r="5396" spans="43:53" x14ac:dyDescent="0.35">
      <c r="AQ5396" s="54"/>
      <c r="BA5396" s="54"/>
    </row>
    <row r="5397" spans="43:53" x14ac:dyDescent="0.35">
      <c r="AQ5397" s="54"/>
      <c r="BA5397" s="54"/>
    </row>
    <row r="5398" spans="43:53" x14ac:dyDescent="0.35">
      <c r="AQ5398" s="54"/>
      <c r="BA5398" s="54"/>
    </row>
    <row r="5399" spans="43:53" x14ac:dyDescent="0.35">
      <c r="AQ5399" s="54"/>
      <c r="BA5399" s="54"/>
    </row>
    <row r="5400" spans="43:53" x14ac:dyDescent="0.35">
      <c r="AQ5400" s="54"/>
      <c r="BA5400" s="54"/>
    </row>
    <row r="5401" spans="43:53" x14ac:dyDescent="0.35">
      <c r="AQ5401" s="54"/>
      <c r="BA5401" s="54"/>
    </row>
    <row r="5402" spans="43:53" x14ac:dyDescent="0.35">
      <c r="AQ5402" s="54"/>
      <c r="BA5402" s="54"/>
    </row>
    <row r="5403" spans="43:53" x14ac:dyDescent="0.35">
      <c r="AQ5403" s="54"/>
      <c r="BA5403" s="54"/>
    </row>
    <row r="5404" spans="43:53" x14ac:dyDescent="0.35">
      <c r="AQ5404" s="54"/>
      <c r="BA5404" s="54"/>
    </row>
    <row r="5405" spans="43:53" x14ac:dyDescent="0.35">
      <c r="AQ5405" s="54"/>
      <c r="BA5405" s="54"/>
    </row>
    <row r="5406" spans="43:53" x14ac:dyDescent="0.35">
      <c r="AQ5406" s="54"/>
      <c r="BA5406" s="54"/>
    </row>
    <row r="5407" spans="43:53" x14ac:dyDescent="0.35">
      <c r="AQ5407" s="54"/>
      <c r="BA5407" s="54"/>
    </row>
    <row r="5408" spans="43:53" x14ac:dyDescent="0.35">
      <c r="AQ5408" s="54"/>
      <c r="BA5408" s="54"/>
    </row>
    <row r="5409" spans="43:53" x14ac:dyDescent="0.35">
      <c r="AQ5409" s="54"/>
      <c r="BA5409" s="54"/>
    </row>
    <row r="5410" spans="43:53" x14ac:dyDescent="0.35">
      <c r="AQ5410" s="54"/>
      <c r="BA5410" s="54"/>
    </row>
    <row r="5411" spans="43:53" x14ac:dyDescent="0.35">
      <c r="AQ5411" s="54"/>
      <c r="BA5411" s="54"/>
    </row>
    <row r="5412" spans="43:53" x14ac:dyDescent="0.35">
      <c r="AQ5412" s="54"/>
      <c r="BA5412" s="54"/>
    </row>
    <row r="5413" spans="43:53" x14ac:dyDescent="0.35">
      <c r="AQ5413" s="54"/>
      <c r="BA5413" s="54"/>
    </row>
    <row r="5414" spans="43:53" x14ac:dyDescent="0.35">
      <c r="AQ5414" s="54"/>
      <c r="BA5414" s="54"/>
    </row>
    <row r="5415" spans="43:53" x14ac:dyDescent="0.35">
      <c r="AQ5415" s="54"/>
      <c r="BA5415" s="54"/>
    </row>
    <row r="5416" spans="43:53" x14ac:dyDescent="0.35">
      <c r="AQ5416" s="54"/>
      <c r="BA5416" s="54"/>
    </row>
    <row r="5417" spans="43:53" x14ac:dyDescent="0.35">
      <c r="AQ5417" s="54"/>
      <c r="BA5417" s="54"/>
    </row>
    <row r="5418" spans="43:53" x14ac:dyDescent="0.35">
      <c r="AQ5418" s="54"/>
      <c r="BA5418" s="54"/>
    </row>
    <row r="5419" spans="43:53" x14ac:dyDescent="0.35">
      <c r="AQ5419" s="54"/>
      <c r="BA5419" s="54"/>
    </row>
    <row r="5420" spans="43:53" x14ac:dyDescent="0.35">
      <c r="AQ5420" s="54"/>
      <c r="BA5420" s="54"/>
    </row>
    <row r="5421" spans="43:53" x14ac:dyDescent="0.35">
      <c r="AQ5421" s="54"/>
      <c r="BA5421" s="54"/>
    </row>
    <row r="5422" spans="43:53" x14ac:dyDescent="0.35">
      <c r="AQ5422" s="54"/>
      <c r="BA5422" s="54"/>
    </row>
    <row r="5423" spans="43:53" x14ac:dyDescent="0.35">
      <c r="AQ5423" s="54"/>
      <c r="BA5423" s="54"/>
    </row>
    <row r="5424" spans="43:53" x14ac:dyDescent="0.35">
      <c r="AQ5424" s="54"/>
      <c r="BA5424" s="54"/>
    </row>
    <row r="5425" spans="43:53" x14ac:dyDescent="0.35">
      <c r="AQ5425" s="54"/>
      <c r="BA5425" s="54"/>
    </row>
    <row r="5426" spans="43:53" x14ac:dyDescent="0.35">
      <c r="AQ5426" s="54"/>
      <c r="BA5426" s="54"/>
    </row>
    <row r="5427" spans="43:53" x14ac:dyDescent="0.35">
      <c r="AQ5427" s="54"/>
      <c r="BA5427" s="54"/>
    </row>
    <row r="5428" spans="43:53" x14ac:dyDescent="0.35">
      <c r="AQ5428" s="54"/>
      <c r="BA5428" s="54"/>
    </row>
    <row r="5429" spans="43:53" x14ac:dyDescent="0.35">
      <c r="AQ5429" s="54"/>
      <c r="BA5429" s="54"/>
    </row>
    <row r="5430" spans="43:53" x14ac:dyDescent="0.35">
      <c r="AQ5430" s="54"/>
      <c r="BA5430" s="54"/>
    </row>
    <row r="5431" spans="43:53" x14ac:dyDescent="0.35">
      <c r="AQ5431" s="54"/>
      <c r="BA5431" s="54"/>
    </row>
    <row r="5432" spans="43:53" x14ac:dyDescent="0.35">
      <c r="AQ5432" s="54"/>
      <c r="BA5432" s="54"/>
    </row>
    <row r="5433" spans="43:53" x14ac:dyDescent="0.35">
      <c r="AQ5433" s="54"/>
      <c r="BA5433" s="54"/>
    </row>
    <row r="5434" spans="43:53" x14ac:dyDescent="0.35">
      <c r="AQ5434" s="54"/>
      <c r="BA5434" s="54"/>
    </row>
    <row r="5435" spans="43:53" x14ac:dyDescent="0.35">
      <c r="AQ5435" s="54"/>
      <c r="BA5435" s="54"/>
    </row>
    <row r="5436" spans="43:53" x14ac:dyDescent="0.35">
      <c r="AQ5436" s="54"/>
      <c r="BA5436" s="54"/>
    </row>
    <row r="5437" spans="43:53" x14ac:dyDescent="0.35">
      <c r="AQ5437" s="54"/>
      <c r="BA5437" s="54"/>
    </row>
    <row r="5438" spans="43:53" x14ac:dyDescent="0.35">
      <c r="AQ5438" s="54"/>
      <c r="BA5438" s="54"/>
    </row>
    <row r="5439" spans="43:53" x14ac:dyDescent="0.35">
      <c r="AQ5439" s="54"/>
      <c r="BA5439" s="54"/>
    </row>
    <row r="5440" spans="43:53" x14ac:dyDescent="0.35">
      <c r="AQ5440" s="54"/>
      <c r="BA5440" s="54"/>
    </row>
    <row r="5441" spans="43:53" x14ac:dyDescent="0.35">
      <c r="AQ5441" s="54"/>
      <c r="BA5441" s="54"/>
    </row>
    <row r="5442" spans="43:53" x14ac:dyDescent="0.35">
      <c r="AQ5442" s="54"/>
      <c r="BA5442" s="54"/>
    </row>
    <row r="5443" spans="43:53" x14ac:dyDescent="0.35">
      <c r="AQ5443" s="54"/>
      <c r="BA5443" s="54"/>
    </row>
    <row r="5444" spans="43:53" x14ac:dyDescent="0.35">
      <c r="AQ5444" s="54"/>
      <c r="BA5444" s="54"/>
    </row>
    <row r="5445" spans="43:53" x14ac:dyDescent="0.35">
      <c r="AQ5445" s="54"/>
      <c r="BA5445" s="54"/>
    </row>
    <row r="5446" spans="43:53" x14ac:dyDescent="0.35">
      <c r="AQ5446" s="54"/>
      <c r="BA5446" s="54"/>
    </row>
    <row r="5447" spans="43:53" x14ac:dyDescent="0.35">
      <c r="AQ5447" s="54"/>
      <c r="BA5447" s="54"/>
    </row>
    <row r="5448" spans="43:53" x14ac:dyDescent="0.35">
      <c r="AQ5448" s="54"/>
      <c r="BA5448" s="54"/>
    </row>
    <row r="5449" spans="43:53" x14ac:dyDescent="0.35">
      <c r="AQ5449" s="54"/>
      <c r="BA5449" s="54"/>
    </row>
    <row r="5450" spans="43:53" x14ac:dyDescent="0.35">
      <c r="AQ5450" s="54"/>
      <c r="BA5450" s="54"/>
    </row>
    <row r="5451" spans="43:53" x14ac:dyDescent="0.35">
      <c r="AQ5451" s="54"/>
      <c r="BA5451" s="54"/>
    </row>
    <row r="5452" spans="43:53" x14ac:dyDescent="0.35">
      <c r="AQ5452" s="54"/>
      <c r="BA5452" s="54"/>
    </row>
    <row r="5453" spans="43:53" x14ac:dyDescent="0.35">
      <c r="AQ5453" s="54"/>
      <c r="BA5453" s="54"/>
    </row>
    <row r="5454" spans="43:53" x14ac:dyDescent="0.35">
      <c r="AQ5454" s="54"/>
      <c r="BA5454" s="54"/>
    </row>
    <row r="5455" spans="43:53" x14ac:dyDescent="0.35">
      <c r="AQ5455" s="54"/>
      <c r="BA5455" s="54"/>
    </row>
    <row r="5456" spans="43:53" x14ac:dyDescent="0.35">
      <c r="AQ5456" s="54"/>
      <c r="BA5456" s="54"/>
    </row>
    <row r="5457" spans="43:53" x14ac:dyDescent="0.35">
      <c r="AQ5457" s="54"/>
      <c r="BA5457" s="54"/>
    </row>
    <row r="5458" spans="43:53" x14ac:dyDescent="0.35">
      <c r="AQ5458" s="54"/>
      <c r="BA5458" s="54"/>
    </row>
    <row r="5459" spans="43:53" x14ac:dyDescent="0.35">
      <c r="AQ5459" s="54"/>
      <c r="BA5459" s="54"/>
    </row>
    <row r="5460" spans="43:53" x14ac:dyDescent="0.35">
      <c r="AQ5460" s="54"/>
      <c r="BA5460" s="54"/>
    </row>
    <row r="5461" spans="43:53" x14ac:dyDescent="0.35">
      <c r="AQ5461" s="54"/>
      <c r="BA5461" s="54"/>
    </row>
    <row r="5462" spans="43:53" x14ac:dyDescent="0.35">
      <c r="AQ5462" s="54"/>
      <c r="BA5462" s="54"/>
    </row>
    <row r="5463" spans="43:53" x14ac:dyDescent="0.35">
      <c r="AQ5463" s="54"/>
      <c r="BA5463" s="54"/>
    </row>
    <row r="5464" spans="43:53" x14ac:dyDescent="0.35">
      <c r="AQ5464" s="54"/>
      <c r="BA5464" s="54"/>
    </row>
    <row r="5465" spans="43:53" x14ac:dyDescent="0.35">
      <c r="AQ5465" s="54"/>
      <c r="BA5465" s="54"/>
    </row>
    <row r="5466" spans="43:53" x14ac:dyDescent="0.35">
      <c r="AQ5466" s="54"/>
      <c r="BA5466" s="54"/>
    </row>
    <row r="5467" spans="43:53" x14ac:dyDescent="0.35">
      <c r="AQ5467" s="54"/>
      <c r="BA5467" s="54"/>
    </row>
    <row r="5468" spans="43:53" x14ac:dyDescent="0.35">
      <c r="AQ5468" s="54"/>
      <c r="BA5468" s="54"/>
    </row>
    <row r="5469" spans="43:53" x14ac:dyDescent="0.35">
      <c r="AQ5469" s="54"/>
      <c r="BA5469" s="54"/>
    </row>
    <row r="5470" spans="43:53" x14ac:dyDescent="0.35">
      <c r="AQ5470" s="54"/>
      <c r="BA5470" s="54"/>
    </row>
    <row r="5471" spans="43:53" x14ac:dyDescent="0.35">
      <c r="AQ5471" s="54"/>
      <c r="BA5471" s="54"/>
    </row>
    <row r="5472" spans="43:53" x14ac:dyDescent="0.35">
      <c r="AQ5472" s="54"/>
      <c r="BA5472" s="54"/>
    </row>
    <row r="5473" spans="43:53" x14ac:dyDescent="0.35">
      <c r="AQ5473" s="54"/>
      <c r="BA5473" s="54"/>
    </row>
    <row r="5474" spans="43:53" x14ac:dyDescent="0.35">
      <c r="AQ5474" s="54"/>
      <c r="BA5474" s="54"/>
    </row>
    <row r="5475" spans="43:53" x14ac:dyDescent="0.35">
      <c r="AQ5475" s="54"/>
      <c r="BA5475" s="54"/>
    </row>
    <row r="5476" spans="43:53" x14ac:dyDescent="0.35">
      <c r="AQ5476" s="54"/>
      <c r="BA5476" s="54"/>
    </row>
    <row r="5477" spans="43:53" x14ac:dyDescent="0.35">
      <c r="AQ5477" s="54"/>
      <c r="BA5477" s="54"/>
    </row>
    <row r="5478" spans="43:53" x14ac:dyDescent="0.35">
      <c r="AQ5478" s="54"/>
      <c r="BA5478" s="54"/>
    </row>
    <row r="5479" spans="43:53" x14ac:dyDescent="0.35">
      <c r="AQ5479" s="54"/>
      <c r="BA5479" s="54"/>
    </row>
    <row r="5480" spans="43:53" x14ac:dyDescent="0.35">
      <c r="AQ5480" s="54"/>
      <c r="BA5480" s="54"/>
    </row>
    <row r="5481" spans="43:53" x14ac:dyDescent="0.35">
      <c r="AQ5481" s="54"/>
      <c r="BA5481" s="54"/>
    </row>
    <row r="5482" spans="43:53" x14ac:dyDescent="0.35">
      <c r="AQ5482" s="54"/>
      <c r="BA5482" s="54"/>
    </row>
    <row r="5483" spans="43:53" x14ac:dyDescent="0.35">
      <c r="AQ5483" s="54"/>
      <c r="BA5483" s="54"/>
    </row>
    <row r="5484" spans="43:53" x14ac:dyDescent="0.35">
      <c r="AQ5484" s="54"/>
      <c r="BA5484" s="54"/>
    </row>
    <row r="5485" spans="43:53" x14ac:dyDescent="0.35">
      <c r="AQ5485" s="54"/>
      <c r="BA5485" s="54"/>
    </row>
    <row r="5486" spans="43:53" x14ac:dyDescent="0.35">
      <c r="AQ5486" s="54"/>
      <c r="BA5486" s="54"/>
    </row>
    <row r="5487" spans="43:53" x14ac:dyDescent="0.35">
      <c r="AQ5487" s="54"/>
      <c r="BA5487" s="54"/>
    </row>
    <row r="5488" spans="43:53" x14ac:dyDescent="0.35">
      <c r="AQ5488" s="54"/>
      <c r="BA5488" s="54"/>
    </row>
    <row r="5489" spans="43:53" x14ac:dyDescent="0.35">
      <c r="AQ5489" s="54"/>
      <c r="BA5489" s="54"/>
    </row>
    <row r="5490" spans="43:53" x14ac:dyDescent="0.35">
      <c r="AQ5490" s="54"/>
      <c r="BA5490" s="54"/>
    </row>
    <row r="5491" spans="43:53" x14ac:dyDescent="0.35">
      <c r="AQ5491" s="54"/>
      <c r="BA5491" s="54"/>
    </row>
    <row r="5492" spans="43:53" x14ac:dyDescent="0.35">
      <c r="AQ5492" s="54"/>
      <c r="BA5492" s="54"/>
    </row>
    <row r="5493" spans="43:53" x14ac:dyDescent="0.35">
      <c r="AQ5493" s="54"/>
      <c r="BA5493" s="54"/>
    </row>
    <row r="5494" spans="43:53" x14ac:dyDescent="0.35">
      <c r="AQ5494" s="54"/>
      <c r="BA5494" s="54"/>
    </row>
    <row r="5495" spans="43:53" x14ac:dyDescent="0.35">
      <c r="AQ5495" s="54"/>
      <c r="BA5495" s="54"/>
    </row>
    <row r="5496" spans="43:53" x14ac:dyDescent="0.35">
      <c r="AQ5496" s="54"/>
      <c r="BA5496" s="54"/>
    </row>
    <row r="5497" spans="43:53" x14ac:dyDescent="0.35">
      <c r="AQ5497" s="54"/>
      <c r="BA5497" s="54"/>
    </row>
    <row r="5498" spans="43:53" x14ac:dyDescent="0.35">
      <c r="AQ5498" s="54"/>
      <c r="BA5498" s="54"/>
    </row>
    <row r="5499" spans="43:53" x14ac:dyDescent="0.35">
      <c r="AQ5499" s="54"/>
      <c r="BA5499" s="54"/>
    </row>
    <row r="5500" spans="43:53" x14ac:dyDescent="0.35">
      <c r="AQ5500" s="54"/>
      <c r="BA5500" s="54"/>
    </row>
    <row r="5501" spans="43:53" x14ac:dyDescent="0.35">
      <c r="AQ5501" s="54"/>
      <c r="BA5501" s="54"/>
    </row>
    <row r="5502" spans="43:53" x14ac:dyDescent="0.35">
      <c r="AQ5502" s="54"/>
      <c r="BA5502" s="54"/>
    </row>
    <row r="5503" spans="43:53" x14ac:dyDescent="0.35">
      <c r="AQ5503" s="54"/>
      <c r="BA5503" s="54"/>
    </row>
    <row r="5504" spans="43:53" x14ac:dyDescent="0.35">
      <c r="AQ5504" s="54"/>
      <c r="BA5504" s="54"/>
    </row>
    <row r="5505" spans="43:53" x14ac:dyDescent="0.35">
      <c r="AQ5505" s="54"/>
      <c r="BA5505" s="54"/>
    </row>
    <row r="5506" spans="43:53" x14ac:dyDescent="0.35">
      <c r="AQ5506" s="54"/>
      <c r="BA5506" s="54"/>
    </row>
    <row r="5507" spans="43:53" x14ac:dyDescent="0.35">
      <c r="AQ5507" s="54"/>
      <c r="BA5507" s="54"/>
    </row>
    <row r="5508" spans="43:53" x14ac:dyDescent="0.35">
      <c r="AQ5508" s="54"/>
      <c r="BA5508" s="54"/>
    </row>
    <row r="5509" spans="43:53" x14ac:dyDescent="0.35">
      <c r="AQ5509" s="54"/>
      <c r="BA5509" s="54"/>
    </row>
    <row r="5510" spans="43:53" x14ac:dyDescent="0.35">
      <c r="AQ5510" s="54"/>
      <c r="BA5510" s="54"/>
    </row>
    <row r="5511" spans="43:53" x14ac:dyDescent="0.35">
      <c r="AQ5511" s="54"/>
      <c r="BA5511" s="54"/>
    </row>
    <row r="5512" spans="43:53" x14ac:dyDescent="0.35">
      <c r="AQ5512" s="54"/>
      <c r="BA5512" s="54"/>
    </row>
    <row r="5513" spans="43:53" x14ac:dyDescent="0.35">
      <c r="AQ5513" s="54"/>
      <c r="BA5513" s="54"/>
    </row>
    <row r="5514" spans="43:53" x14ac:dyDescent="0.35">
      <c r="AQ5514" s="54"/>
      <c r="BA5514" s="54"/>
    </row>
    <row r="5515" spans="43:53" x14ac:dyDescent="0.35">
      <c r="AQ5515" s="54"/>
      <c r="BA5515" s="54"/>
    </row>
    <row r="5516" spans="43:53" x14ac:dyDescent="0.35">
      <c r="AQ5516" s="54"/>
      <c r="BA5516" s="54"/>
    </row>
    <row r="5517" spans="43:53" x14ac:dyDescent="0.35">
      <c r="AQ5517" s="54"/>
      <c r="BA5517" s="54"/>
    </row>
    <row r="5518" spans="43:53" x14ac:dyDescent="0.35">
      <c r="AQ5518" s="54"/>
      <c r="BA5518" s="54"/>
    </row>
    <row r="5519" spans="43:53" x14ac:dyDescent="0.35">
      <c r="AQ5519" s="54"/>
      <c r="BA5519" s="54"/>
    </row>
    <row r="5520" spans="43:53" x14ac:dyDescent="0.35">
      <c r="AQ5520" s="54"/>
      <c r="BA5520" s="54"/>
    </row>
    <row r="5521" spans="43:53" x14ac:dyDescent="0.35">
      <c r="AQ5521" s="54"/>
      <c r="BA5521" s="54"/>
    </row>
    <row r="5522" spans="43:53" x14ac:dyDescent="0.35">
      <c r="AQ5522" s="54"/>
      <c r="BA5522" s="54"/>
    </row>
    <row r="5523" spans="43:53" x14ac:dyDescent="0.35">
      <c r="AQ5523" s="54"/>
      <c r="BA5523" s="54"/>
    </row>
    <row r="5524" spans="43:53" x14ac:dyDescent="0.35">
      <c r="AQ5524" s="54"/>
      <c r="BA5524" s="54"/>
    </row>
    <row r="5525" spans="43:53" x14ac:dyDescent="0.35">
      <c r="AQ5525" s="54"/>
      <c r="BA5525" s="54"/>
    </row>
    <row r="5526" spans="43:53" x14ac:dyDescent="0.35">
      <c r="AQ5526" s="54"/>
      <c r="BA5526" s="54"/>
    </row>
    <row r="5527" spans="43:53" x14ac:dyDescent="0.35">
      <c r="AQ5527" s="54"/>
      <c r="BA5527" s="54"/>
    </row>
    <row r="5528" spans="43:53" x14ac:dyDescent="0.35">
      <c r="AQ5528" s="54"/>
      <c r="BA5528" s="54"/>
    </row>
    <row r="5529" spans="43:53" x14ac:dyDescent="0.35">
      <c r="AQ5529" s="54"/>
      <c r="BA5529" s="54"/>
    </row>
    <row r="5530" spans="43:53" x14ac:dyDescent="0.35">
      <c r="AQ5530" s="54"/>
      <c r="BA5530" s="54"/>
    </row>
    <row r="5531" spans="43:53" x14ac:dyDescent="0.35">
      <c r="AQ5531" s="54"/>
      <c r="BA5531" s="54"/>
    </row>
    <row r="5532" spans="43:53" x14ac:dyDescent="0.35">
      <c r="AQ5532" s="54"/>
      <c r="BA5532" s="54"/>
    </row>
    <row r="5533" spans="43:53" x14ac:dyDescent="0.35">
      <c r="AQ5533" s="54"/>
      <c r="BA5533" s="54"/>
    </row>
    <row r="5534" spans="43:53" x14ac:dyDescent="0.35">
      <c r="AQ5534" s="54"/>
      <c r="BA5534" s="54"/>
    </row>
    <row r="5535" spans="43:53" x14ac:dyDescent="0.35">
      <c r="AQ5535" s="54"/>
      <c r="BA5535" s="54"/>
    </row>
    <row r="5536" spans="43:53" x14ac:dyDescent="0.35">
      <c r="AQ5536" s="54"/>
      <c r="BA5536" s="54"/>
    </row>
    <row r="5537" spans="43:53" x14ac:dyDescent="0.35">
      <c r="AQ5537" s="54"/>
      <c r="BA5537" s="54"/>
    </row>
    <row r="5538" spans="43:53" x14ac:dyDescent="0.35">
      <c r="AQ5538" s="54"/>
      <c r="BA5538" s="54"/>
    </row>
    <row r="5539" spans="43:53" x14ac:dyDescent="0.35">
      <c r="AQ5539" s="54"/>
      <c r="BA5539" s="54"/>
    </row>
    <row r="5540" spans="43:53" x14ac:dyDescent="0.35">
      <c r="AQ5540" s="54"/>
      <c r="BA5540" s="54"/>
    </row>
    <row r="5541" spans="43:53" x14ac:dyDescent="0.35">
      <c r="AQ5541" s="54"/>
      <c r="BA5541" s="54"/>
    </row>
    <row r="5542" spans="43:53" x14ac:dyDescent="0.35">
      <c r="AQ5542" s="54"/>
      <c r="BA5542" s="54"/>
    </row>
    <row r="5543" spans="43:53" x14ac:dyDescent="0.35">
      <c r="AQ5543" s="54"/>
      <c r="BA5543" s="54"/>
    </row>
    <row r="5544" spans="43:53" x14ac:dyDescent="0.35">
      <c r="AQ5544" s="54"/>
      <c r="BA5544" s="54"/>
    </row>
    <row r="5545" spans="43:53" x14ac:dyDescent="0.35">
      <c r="AQ5545" s="54"/>
      <c r="BA5545" s="54"/>
    </row>
    <row r="5546" spans="43:53" x14ac:dyDescent="0.35">
      <c r="AQ5546" s="54"/>
      <c r="BA5546" s="54"/>
    </row>
    <row r="5547" spans="43:53" x14ac:dyDescent="0.35">
      <c r="AQ5547" s="54"/>
      <c r="BA5547" s="54"/>
    </row>
    <row r="5548" spans="43:53" x14ac:dyDescent="0.35">
      <c r="AQ5548" s="54"/>
      <c r="BA5548" s="54"/>
    </row>
    <row r="5549" spans="43:53" x14ac:dyDescent="0.35">
      <c r="AQ5549" s="54"/>
      <c r="BA5549" s="54"/>
    </row>
    <row r="5550" spans="43:53" x14ac:dyDescent="0.35">
      <c r="AQ5550" s="54"/>
      <c r="BA5550" s="54"/>
    </row>
    <row r="5551" spans="43:53" x14ac:dyDescent="0.35">
      <c r="AQ5551" s="54"/>
      <c r="BA5551" s="54"/>
    </row>
    <row r="5552" spans="43:53" x14ac:dyDescent="0.35">
      <c r="AQ5552" s="54"/>
      <c r="BA5552" s="54"/>
    </row>
    <row r="5553" spans="43:53" x14ac:dyDescent="0.35">
      <c r="AQ5553" s="54"/>
      <c r="BA5553" s="54"/>
    </row>
    <row r="5554" spans="43:53" x14ac:dyDescent="0.35">
      <c r="AQ5554" s="54"/>
      <c r="BA5554" s="54"/>
    </row>
    <row r="5555" spans="43:53" x14ac:dyDescent="0.35">
      <c r="AQ5555" s="54"/>
      <c r="BA5555" s="54"/>
    </row>
    <row r="5556" spans="43:53" x14ac:dyDescent="0.35">
      <c r="AQ5556" s="54"/>
      <c r="BA5556" s="54"/>
    </row>
    <row r="5557" spans="43:53" x14ac:dyDescent="0.35">
      <c r="AQ5557" s="54"/>
      <c r="BA5557" s="54"/>
    </row>
    <row r="5558" spans="43:53" x14ac:dyDescent="0.35">
      <c r="AQ5558" s="54"/>
      <c r="BA5558" s="54"/>
    </row>
    <row r="5559" spans="43:53" x14ac:dyDescent="0.35">
      <c r="AQ5559" s="54"/>
      <c r="BA5559" s="54"/>
    </row>
    <row r="5560" spans="43:53" x14ac:dyDescent="0.35">
      <c r="AQ5560" s="54"/>
      <c r="BA5560" s="54"/>
    </row>
    <row r="5561" spans="43:53" x14ac:dyDescent="0.35">
      <c r="AQ5561" s="54"/>
      <c r="BA5561" s="54"/>
    </row>
    <row r="5562" spans="43:53" x14ac:dyDescent="0.35">
      <c r="AQ5562" s="54"/>
      <c r="BA5562" s="54"/>
    </row>
    <row r="5563" spans="43:53" x14ac:dyDescent="0.35">
      <c r="AQ5563" s="54"/>
      <c r="BA5563" s="54"/>
    </row>
    <row r="5564" spans="43:53" x14ac:dyDescent="0.35">
      <c r="AQ5564" s="54"/>
      <c r="BA5564" s="54"/>
    </row>
    <row r="5565" spans="43:53" x14ac:dyDescent="0.35">
      <c r="AQ5565" s="54"/>
      <c r="BA5565" s="54"/>
    </row>
    <row r="5566" spans="43:53" x14ac:dyDescent="0.35">
      <c r="AQ5566" s="54"/>
      <c r="BA5566" s="54"/>
    </row>
    <row r="5567" spans="43:53" x14ac:dyDescent="0.35">
      <c r="AQ5567" s="54"/>
      <c r="BA5567" s="54"/>
    </row>
    <row r="5568" spans="43:53" x14ac:dyDescent="0.35">
      <c r="AQ5568" s="54"/>
      <c r="BA5568" s="54"/>
    </row>
    <row r="5569" spans="43:53" x14ac:dyDescent="0.35">
      <c r="AQ5569" s="54"/>
      <c r="BA5569" s="54"/>
    </row>
    <row r="5570" spans="43:53" x14ac:dyDescent="0.35">
      <c r="AQ5570" s="54"/>
      <c r="BA5570" s="54"/>
    </row>
    <row r="5571" spans="43:53" x14ac:dyDescent="0.35">
      <c r="AQ5571" s="54"/>
      <c r="BA5571" s="54"/>
    </row>
    <row r="5572" spans="43:53" x14ac:dyDescent="0.35">
      <c r="AQ5572" s="54"/>
      <c r="BA5572" s="54"/>
    </row>
    <row r="5573" spans="43:53" x14ac:dyDescent="0.35">
      <c r="AQ5573" s="54"/>
      <c r="BA5573" s="54"/>
    </row>
    <row r="5574" spans="43:53" x14ac:dyDescent="0.35">
      <c r="AQ5574" s="54"/>
      <c r="BA5574" s="54"/>
    </row>
    <row r="5575" spans="43:53" x14ac:dyDescent="0.35">
      <c r="AQ5575" s="54"/>
      <c r="BA5575" s="54"/>
    </row>
    <row r="5576" spans="43:53" x14ac:dyDescent="0.35">
      <c r="AQ5576" s="54"/>
      <c r="BA5576" s="54"/>
    </row>
    <row r="5577" spans="43:53" x14ac:dyDescent="0.35">
      <c r="AQ5577" s="54"/>
      <c r="BA5577" s="54"/>
    </row>
    <row r="5578" spans="43:53" x14ac:dyDescent="0.35">
      <c r="AQ5578" s="54"/>
      <c r="BA5578" s="54"/>
    </row>
    <row r="5579" spans="43:53" x14ac:dyDescent="0.35">
      <c r="AQ5579" s="54"/>
      <c r="BA5579" s="54"/>
    </row>
    <row r="5580" spans="43:53" x14ac:dyDescent="0.35">
      <c r="AQ5580" s="54"/>
      <c r="BA5580" s="54"/>
    </row>
    <row r="5581" spans="43:53" x14ac:dyDescent="0.35">
      <c r="AQ5581" s="54"/>
      <c r="BA5581" s="54"/>
    </row>
    <row r="5582" spans="43:53" x14ac:dyDescent="0.35">
      <c r="AQ5582" s="54"/>
      <c r="BA5582" s="54"/>
    </row>
    <row r="5583" spans="43:53" x14ac:dyDescent="0.35">
      <c r="AQ5583" s="54"/>
      <c r="BA5583" s="54"/>
    </row>
    <row r="5584" spans="43:53" x14ac:dyDescent="0.35">
      <c r="AQ5584" s="54"/>
      <c r="BA5584" s="54"/>
    </row>
    <row r="5585" spans="43:53" x14ac:dyDescent="0.35">
      <c r="AQ5585" s="54"/>
      <c r="BA5585" s="54"/>
    </row>
    <row r="5586" spans="43:53" x14ac:dyDescent="0.35">
      <c r="AQ5586" s="54"/>
      <c r="BA5586" s="54"/>
    </row>
    <row r="5587" spans="43:53" x14ac:dyDescent="0.35">
      <c r="AQ5587" s="54"/>
      <c r="BA5587" s="54"/>
    </row>
    <row r="5588" spans="43:53" x14ac:dyDescent="0.35">
      <c r="AQ5588" s="54"/>
      <c r="BA5588" s="54"/>
    </row>
    <row r="5589" spans="43:53" x14ac:dyDescent="0.35">
      <c r="AQ5589" s="54"/>
      <c r="BA5589" s="54"/>
    </row>
    <row r="5590" spans="43:53" x14ac:dyDescent="0.35">
      <c r="AQ5590" s="54"/>
      <c r="BA5590" s="54"/>
    </row>
    <row r="5591" spans="43:53" x14ac:dyDescent="0.35">
      <c r="AQ5591" s="54"/>
      <c r="BA5591" s="54"/>
    </row>
    <row r="5592" spans="43:53" x14ac:dyDescent="0.35">
      <c r="AQ5592" s="54"/>
      <c r="BA5592" s="54"/>
    </row>
    <row r="5593" spans="43:53" x14ac:dyDescent="0.35">
      <c r="AQ5593" s="54"/>
      <c r="BA5593" s="54"/>
    </row>
    <row r="5594" spans="43:53" x14ac:dyDescent="0.35">
      <c r="AQ5594" s="54"/>
      <c r="BA5594" s="54"/>
    </row>
    <row r="5595" spans="43:53" x14ac:dyDescent="0.35">
      <c r="AQ5595" s="54"/>
      <c r="BA5595" s="54"/>
    </row>
    <row r="5596" spans="43:53" x14ac:dyDescent="0.35">
      <c r="AQ5596" s="54"/>
      <c r="BA5596" s="54"/>
    </row>
    <row r="5597" spans="43:53" x14ac:dyDescent="0.35">
      <c r="AQ5597" s="54"/>
      <c r="BA5597" s="54"/>
    </row>
    <row r="5598" spans="43:53" x14ac:dyDescent="0.35">
      <c r="AQ5598" s="54"/>
      <c r="BA5598" s="54"/>
    </row>
    <row r="5599" spans="43:53" x14ac:dyDescent="0.35">
      <c r="AQ5599" s="54"/>
      <c r="BA5599" s="54"/>
    </row>
    <row r="5600" spans="43:53" x14ac:dyDescent="0.35">
      <c r="AQ5600" s="54"/>
      <c r="BA5600" s="54"/>
    </row>
    <row r="5601" spans="43:53" x14ac:dyDescent="0.35">
      <c r="AQ5601" s="54"/>
      <c r="BA5601" s="54"/>
    </row>
    <row r="5602" spans="43:53" x14ac:dyDescent="0.35">
      <c r="AQ5602" s="54"/>
      <c r="BA5602" s="54"/>
    </row>
    <row r="5603" spans="43:53" x14ac:dyDescent="0.35">
      <c r="AQ5603" s="54"/>
      <c r="BA5603" s="54"/>
    </row>
    <row r="5604" spans="43:53" x14ac:dyDescent="0.35">
      <c r="AQ5604" s="54"/>
      <c r="BA5604" s="54"/>
    </row>
    <row r="5605" spans="43:53" x14ac:dyDescent="0.35">
      <c r="AQ5605" s="54"/>
      <c r="BA5605" s="54"/>
    </row>
    <row r="5606" spans="43:53" x14ac:dyDescent="0.35">
      <c r="AQ5606" s="54"/>
      <c r="BA5606" s="54"/>
    </row>
    <row r="5607" spans="43:53" x14ac:dyDescent="0.35">
      <c r="AQ5607" s="54"/>
      <c r="BA5607" s="54"/>
    </row>
    <row r="5608" spans="43:53" x14ac:dyDescent="0.35">
      <c r="AQ5608" s="54"/>
      <c r="BA5608" s="54"/>
    </row>
    <row r="5609" spans="43:53" x14ac:dyDescent="0.35">
      <c r="AQ5609" s="54"/>
      <c r="BA5609" s="54"/>
    </row>
    <row r="5610" spans="43:53" x14ac:dyDescent="0.35">
      <c r="AQ5610" s="54"/>
      <c r="BA5610" s="54"/>
    </row>
    <row r="5611" spans="43:53" x14ac:dyDescent="0.35">
      <c r="AQ5611" s="54"/>
      <c r="BA5611" s="54"/>
    </row>
    <row r="5612" spans="43:53" x14ac:dyDescent="0.35">
      <c r="AQ5612" s="54"/>
      <c r="BA5612" s="54"/>
    </row>
    <row r="5613" spans="43:53" x14ac:dyDescent="0.35">
      <c r="AQ5613" s="54"/>
      <c r="BA5613" s="54"/>
    </row>
    <row r="5614" spans="43:53" x14ac:dyDescent="0.35">
      <c r="AQ5614" s="54"/>
      <c r="BA5614" s="54"/>
    </row>
    <row r="5615" spans="43:53" x14ac:dyDescent="0.35">
      <c r="AQ5615" s="54"/>
      <c r="BA5615" s="54"/>
    </row>
    <row r="5616" spans="43:53" x14ac:dyDescent="0.35">
      <c r="AQ5616" s="54"/>
      <c r="BA5616" s="54"/>
    </row>
    <row r="5617" spans="43:53" x14ac:dyDescent="0.35">
      <c r="AQ5617" s="54"/>
      <c r="BA5617" s="54"/>
    </row>
    <row r="5618" spans="43:53" x14ac:dyDescent="0.35">
      <c r="AQ5618" s="54"/>
      <c r="BA5618" s="54"/>
    </row>
    <row r="5619" spans="43:53" x14ac:dyDescent="0.35">
      <c r="AQ5619" s="54"/>
      <c r="BA5619" s="54"/>
    </row>
    <row r="5620" spans="43:53" x14ac:dyDescent="0.35">
      <c r="AQ5620" s="54"/>
      <c r="BA5620" s="54"/>
    </row>
    <row r="5621" spans="43:53" x14ac:dyDescent="0.35">
      <c r="AQ5621" s="54"/>
      <c r="BA5621" s="54"/>
    </row>
    <row r="5622" spans="43:53" x14ac:dyDescent="0.35">
      <c r="AQ5622" s="54"/>
      <c r="BA5622" s="54"/>
    </row>
    <row r="5623" spans="43:53" x14ac:dyDescent="0.35">
      <c r="AQ5623" s="54"/>
      <c r="BA5623" s="54"/>
    </row>
    <row r="5624" spans="43:53" x14ac:dyDescent="0.35">
      <c r="AQ5624" s="54"/>
      <c r="BA5624" s="54"/>
    </row>
    <row r="5625" spans="43:53" x14ac:dyDescent="0.35">
      <c r="AQ5625" s="54"/>
      <c r="BA5625" s="54"/>
    </row>
    <row r="5626" spans="43:53" x14ac:dyDescent="0.35">
      <c r="AQ5626" s="54"/>
      <c r="BA5626" s="54"/>
    </row>
    <row r="5627" spans="43:53" x14ac:dyDescent="0.35">
      <c r="AQ5627" s="54"/>
      <c r="BA5627" s="54"/>
    </row>
    <row r="5628" spans="43:53" x14ac:dyDescent="0.35">
      <c r="AQ5628" s="54"/>
      <c r="BA5628" s="54"/>
    </row>
    <row r="5629" spans="43:53" x14ac:dyDescent="0.35">
      <c r="AQ5629" s="54"/>
      <c r="BA5629" s="54"/>
    </row>
    <row r="5630" spans="43:53" x14ac:dyDescent="0.35">
      <c r="AQ5630" s="54"/>
      <c r="BA5630" s="54"/>
    </row>
    <row r="5631" spans="43:53" x14ac:dyDescent="0.35">
      <c r="AQ5631" s="54"/>
      <c r="BA5631" s="54"/>
    </row>
    <row r="5632" spans="43:53" x14ac:dyDescent="0.35">
      <c r="AQ5632" s="54"/>
      <c r="BA5632" s="54"/>
    </row>
    <row r="5633" spans="43:53" x14ac:dyDescent="0.35">
      <c r="AQ5633" s="54"/>
      <c r="BA5633" s="54"/>
    </row>
    <row r="5634" spans="43:53" x14ac:dyDescent="0.35">
      <c r="AQ5634" s="54"/>
      <c r="BA5634" s="54"/>
    </row>
    <row r="5635" spans="43:53" x14ac:dyDescent="0.35">
      <c r="AQ5635" s="54"/>
      <c r="BA5635" s="54"/>
    </row>
    <row r="5636" spans="43:53" x14ac:dyDescent="0.35">
      <c r="AQ5636" s="54"/>
      <c r="BA5636" s="54"/>
    </row>
    <row r="5637" spans="43:53" x14ac:dyDescent="0.35">
      <c r="AQ5637" s="54"/>
      <c r="BA5637" s="54"/>
    </row>
    <row r="5638" spans="43:53" x14ac:dyDescent="0.35">
      <c r="AQ5638" s="54"/>
      <c r="BA5638" s="54"/>
    </row>
    <row r="5639" spans="43:53" x14ac:dyDescent="0.35">
      <c r="AQ5639" s="54"/>
      <c r="BA5639" s="54"/>
    </row>
    <row r="5640" spans="43:53" x14ac:dyDescent="0.35">
      <c r="AQ5640" s="54"/>
      <c r="BA5640" s="54"/>
    </row>
    <row r="5641" spans="43:53" x14ac:dyDescent="0.35">
      <c r="AQ5641" s="54"/>
      <c r="BA5641" s="54"/>
    </row>
    <row r="5642" spans="43:53" x14ac:dyDescent="0.35">
      <c r="AQ5642" s="54"/>
      <c r="BA5642" s="54"/>
    </row>
    <row r="5643" spans="43:53" x14ac:dyDescent="0.35">
      <c r="AQ5643" s="54"/>
      <c r="BA5643" s="54"/>
    </row>
    <row r="5644" spans="43:53" x14ac:dyDescent="0.35">
      <c r="AQ5644" s="54"/>
      <c r="BA5644" s="54"/>
    </row>
    <row r="5645" spans="43:53" x14ac:dyDescent="0.35">
      <c r="AQ5645" s="54"/>
      <c r="BA5645" s="54"/>
    </row>
    <row r="5646" spans="43:53" x14ac:dyDescent="0.35">
      <c r="AQ5646" s="54"/>
      <c r="BA5646" s="54"/>
    </row>
    <row r="5647" spans="43:53" x14ac:dyDescent="0.35">
      <c r="AQ5647" s="54"/>
      <c r="BA5647" s="54"/>
    </row>
    <row r="5648" spans="43:53" x14ac:dyDescent="0.35">
      <c r="AQ5648" s="54"/>
      <c r="BA5648" s="54"/>
    </row>
    <row r="5649" spans="43:53" x14ac:dyDescent="0.35">
      <c r="AQ5649" s="54"/>
      <c r="BA5649" s="54"/>
    </row>
    <row r="5650" spans="43:53" x14ac:dyDescent="0.35">
      <c r="AQ5650" s="54"/>
      <c r="BA5650" s="54"/>
    </row>
    <row r="5651" spans="43:53" x14ac:dyDescent="0.35">
      <c r="AQ5651" s="54"/>
      <c r="BA5651" s="54"/>
    </row>
    <row r="5652" spans="43:53" x14ac:dyDescent="0.35">
      <c r="AQ5652" s="54"/>
      <c r="BA5652" s="54"/>
    </row>
    <row r="5653" spans="43:53" x14ac:dyDescent="0.35">
      <c r="AQ5653" s="54"/>
      <c r="BA5653" s="54"/>
    </row>
    <row r="5654" spans="43:53" x14ac:dyDescent="0.35">
      <c r="AQ5654" s="54"/>
      <c r="BA5654" s="54"/>
    </row>
    <row r="5655" spans="43:53" x14ac:dyDescent="0.35">
      <c r="AQ5655" s="54"/>
      <c r="BA5655" s="54"/>
    </row>
    <row r="5656" spans="43:53" x14ac:dyDescent="0.35">
      <c r="AQ5656" s="54"/>
      <c r="BA5656" s="54"/>
    </row>
    <row r="5657" spans="43:53" x14ac:dyDescent="0.35">
      <c r="AQ5657" s="54"/>
      <c r="BA5657" s="54"/>
    </row>
    <row r="5658" spans="43:53" x14ac:dyDescent="0.35">
      <c r="AQ5658" s="54"/>
      <c r="BA5658" s="54"/>
    </row>
    <row r="5659" spans="43:53" x14ac:dyDescent="0.35">
      <c r="AQ5659" s="54"/>
      <c r="BA5659" s="54"/>
    </row>
    <row r="5660" spans="43:53" x14ac:dyDescent="0.35">
      <c r="AQ5660" s="54"/>
      <c r="BA5660" s="54"/>
    </row>
    <row r="5661" spans="43:53" x14ac:dyDescent="0.35">
      <c r="AQ5661" s="54"/>
      <c r="BA5661" s="54"/>
    </row>
    <row r="5662" spans="43:53" x14ac:dyDescent="0.35">
      <c r="AQ5662" s="54"/>
      <c r="BA5662" s="54"/>
    </row>
    <row r="5663" spans="43:53" x14ac:dyDescent="0.35">
      <c r="AQ5663" s="54"/>
      <c r="BA5663" s="54"/>
    </row>
    <row r="5664" spans="43:53" x14ac:dyDescent="0.35">
      <c r="AQ5664" s="54"/>
      <c r="BA5664" s="54"/>
    </row>
    <row r="5665" spans="43:53" x14ac:dyDescent="0.35">
      <c r="AQ5665" s="54"/>
      <c r="BA5665" s="54"/>
    </row>
    <row r="5666" spans="43:53" x14ac:dyDescent="0.35">
      <c r="AQ5666" s="54"/>
      <c r="BA5666" s="54"/>
    </row>
    <row r="5667" spans="43:53" x14ac:dyDescent="0.35">
      <c r="AQ5667" s="54"/>
      <c r="BA5667" s="54"/>
    </row>
    <row r="5668" spans="43:53" x14ac:dyDescent="0.35">
      <c r="AQ5668" s="54"/>
      <c r="BA5668" s="54"/>
    </row>
    <row r="5669" spans="43:53" x14ac:dyDescent="0.35">
      <c r="AQ5669" s="54"/>
      <c r="BA5669" s="54"/>
    </row>
    <row r="5670" spans="43:53" x14ac:dyDescent="0.35">
      <c r="AQ5670" s="54"/>
      <c r="BA5670" s="54"/>
    </row>
    <row r="5671" spans="43:53" x14ac:dyDescent="0.35">
      <c r="AQ5671" s="54"/>
      <c r="BA5671" s="54"/>
    </row>
    <row r="5672" spans="43:53" x14ac:dyDescent="0.35">
      <c r="AQ5672" s="54"/>
      <c r="BA5672" s="54"/>
    </row>
    <row r="5673" spans="43:53" x14ac:dyDescent="0.35">
      <c r="AQ5673" s="54"/>
      <c r="BA5673" s="54"/>
    </row>
    <row r="5674" spans="43:53" x14ac:dyDescent="0.35">
      <c r="AQ5674" s="54"/>
      <c r="BA5674" s="54"/>
    </row>
    <row r="5675" spans="43:53" x14ac:dyDescent="0.35">
      <c r="AQ5675" s="54"/>
      <c r="BA5675" s="54"/>
    </row>
    <row r="5676" spans="43:53" x14ac:dyDescent="0.35">
      <c r="AQ5676" s="54"/>
      <c r="BA5676" s="54"/>
    </row>
    <row r="5677" spans="43:53" x14ac:dyDescent="0.35">
      <c r="AQ5677" s="54"/>
      <c r="BA5677" s="54"/>
    </row>
    <row r="5678" spans="43:53" x14ac:dyDescent="0.35">
      <c r="AQ5678" s="54"/>
      <c r="BA5678" s="54"/>
    </row>
    <row r="5679" spans="43:53" x14ac:dyDescent="0.35">
      <c r="AQ5679" s="54"/>
      <c r="BA5679" s="54"/>
    </row>
    <row r="5680" spans="43:53" x14ac:dyDescent="0.35">
      <c r="AQ5680" s="54"/>
      <c r="BA5680" s="54"/>
    </row>
    <row r="5681" spans="43:53" x14ac:dyDescent="0.35">
      <c r="AQ5681" s="54"/>
      <c r="BA5681" s="54"/>
    </row>
    <row r="5682" spans="43:53" x14ac:dyDescent="0.35">
      <c r="AQ5682" s="54"/>
      <c r="BA5682" s="54"/>
    </row>
    <row r="5683" spans="43:53" x14ac:dyDescent="0.35">
      <c r="AQ5683" s="54"/>
      <c r="BA5683" s="54"/>
    </row>
    <row r="5684" spans="43:53" x14ac:dyDescent="0.35">
      <c r="AQ5684" s="54"/>
      <c r="BA5684" s="54"/>
    </row>
    <row r="5685" spans="43:53" x14ac:dyDescent="0.35">
      <c r="AQ5685" s="54"/>
      <c r="BA5685" s="54"/>
    </row>
    <row r="5686" spans="43:53" x14ac:dyDescent="0.35">
      <c r="AQ5686" s="54"/>
      <c r="BA5686" s="54"/>
    </row>
    <row r="5687" spans="43:53" x14ac:dyDescent="0.35">
      <c r="AQ5687" s="54"/>
      <c r="BA5687" s="54"/>
    </row>
    <row r="5688" spans="43:53" x14ac:dyDescent="0.35">
      <c r="AQ5688" s="54"/>
      <c r="BA5688" s="54"/>
    </row>
    <row r="5689" spans="43:53" x14ac:dyDescent="0.35">
      <c r="AQ5689" s="54"/>
      <c r="BA5689" s="54"/>
    </row>
    <row r="5690" spans="43:53" x14ac:dyDescent="0.35">
      <c r="AQ5690" s="54"/>
      <c r="BA5690" s="54"/>
    </row>
    <row r="5691" spans="43:53" x14ac:dyDescent="0.35">
      <c r="AQ5691" s="54"/>
      <c r="BA5691" s="54"/>
    </row>
    <row r="5692" spans="43:53" x14ac:dyDescent="0.35">
      <c r="AQ5692" s="54"/>
      <c r="BA5692" s="54"/>
    </row>
    <row r="5693" spans="43:53" x14ac:dyDescent="0.35">
      <c r="AQ5693" s="54"/>
      <c r="BA5693" s="54"/>
    </row>
    <row r="5694" spans="43:53" x14ac:dyDescent="0.35">
      <c r="AQ5694" s="54"/>
      <c r="BA5694" s="54"/>
    </row>
    <row r="5695" spans="43:53" x14ac:dyDescent="0.35">
      <c r="AQ5695" s="54"/>
      <c r="BA5695" s="54"/>
    </row>
    <row r="5696" spans="43:53" x14ac:dyDescent="0.35">
      <c r="AQ5696" s="54"/>
      <c r="BA5696" s="54"/>
    </row>
    <row r="5697" spans="43:53" x14ac:dyDescent="0.35">
      <c r="AQ5697" s="54"/>
      <c r="BA5697" s="54"/>
    </row>
    <row r="5698" spans="43:53" x14ac:dyDescent="0.35">
      <c r="AQ5698" s="54"/>
      <c r="BA5698" s="54"/>
    </row>
    <row r="5699" spans="43:53" x14ac:dyDescent="0.35">
      <c r="AQ5699" s="54"/>
      <c r="BA5699" s="54"/>
    </row>
    <row r="5700" spans="43:53" x14ac:dyDescent="0.35">
      <c r="AQ5700" s="54"/>
      <c r="BA5700" s="54"/>
    </row>
    <row r="5701" spans="43:53" x14ac:dyDescent="0.35">
      <c r="AQ5701" s="54"/>
      <c r="BA5701" s="54"/>
    </row>
    <row r="5702" spans="43:53" x14ac:dyDescent="0.35">
      <c r="AQ5702" s="54"/>
      <c r="BA5702" s="54"/>
    </row>
    <row r="5703" spans="43:53" x14ac:dyDescent="0.35">
      <c r="AQ5703" s="54"/>
      <c r="BA5703" s="54"/>
    </row>
    <row r="5704" spans="43:53" x14ac:dyDescent="0.35">
      <c r="AQ5704" s="54"/>
      <c r="BA5704" s="54"/>
    </row>
    <row r="5705" spans="43:53" x14ac:dyDescent="0.35">
      <c r="AQ5705" s="54"/>
      <c r="BA5705" s="54"/>
    </row>
    <row r="5706" spans="43:53" x14ac:dyDescent="0.35">
      <c r="AQ5706" s="54"/>
      <c r="BA5706" s="54"/>
    </row>
    <row r="5707" spans="43:53" x14ac:dyDescent="0.35">
      <c r="AQ5707" s="54"/>
      <c r="BA5707" s="54"/>
    </row>
    <row r="5708" spans="43:53" x14ac:dyDescent="0.35">
      <c r="AQ5708" s="54"/>
      <c r="BA5708" s="54"/>
    </row>
    <row r="5709" spans="43:53" x14ac:dyDescent="0.35">
      <c r="AQ5709" s="54"/>
      <c r="BA5709" s="54"/>
    </row>
    <row r="5710" spans="43:53" x14ac:dyDescent="0.35">
      <c r="AQ5710" s="54"/>
      <c r="BA5710" s="54"/>
    </row>
    <row r="5711" spans="43:53" x14ac:dyDescent="0.35">
      <c r="AQ5711" s="54"/>
      <c r="BA5711" s="54"/>
    </row>
    <row r="5712" spans="43:53" x14ac:dyDescent="0.35">
      <c r="AQ5712" s="54"/>
      <c r="BA5712" s="54"/>
    </row>
    <row r="5713" spans="43:53" x14ac:dyDescent="0.35">
      <c r="AQ5713" s="54"/>
      <c r="BA5713" s="54"/>
    </row>
    <row r="5714" spans="43:53" x14ac:dyDescent="0.35">
      <c r="AQ5714" s="54"/>
      <c r="BA5714" s="54"/>
    </row>
    <row r="5715" spans="43:53" x14ac:dyDescent="0.35">
      <c r="AQ5715" s="54"/>
      <c r="BA5715" s="54"/>
    </row>
    <row r="5716" spans="43:53" x14ac:dyDescent="0.35">
      <c r="AQ5716" s="54"/>
      <c r="BA5716" s="54"/>
    </row>
    <row r="5717" spans="43:53" x14ac:dyDescent="0.35">
      <c r="AQ5717" s="54"/>
      <c r="BA5717" s="54"/>
    </row>
    <row r="5718" spans="43:53" x14ac:dyDescent="0.35">
      <c r="AQ5718" s="54"/>
      <c r="BA5718" s="54"/>
    </row>
    <row r="5719" spans="43:53" x14ac:dyDescent="0.35">
      <c r="AQ5719" s="54"/>
      <c r="BA5719" s="54"/>
    </row>
    <row r="5720" spans="43:53" x14ac:dyDescent="0.35">
      <c r="AQ5720" s="54"/>
      <c r="BA5720" s="54"/>
    </row>
    <row r="5721" spans="43:53" x14ac:dyDescent="0.35">
      <c r="AQ5721" s="54"/>
      <c r="BA5721" s="54"/>
    </row>
    <row r="5722" spans="43:53" x14ac:dyDescent="0.35">
      <c r="AQ5722" s="54"/>
      <c r="BA5722" s="54"/>
    </row>
    <row r="5723" spans="43:53" x14ac:dyDescent="0.35">
      <c r="AQ5723" s="54"/>
      <c r="BA5723" s="54"/>
    </row>
    <row r="5724" spans="43:53" x14ac:dyDescent="0.35">
      <c r="AQ5724" s="54"/>
      <c r="BA5724" s="54"/>
    </row>
    <row r="5725" spans="43:53" x14ac:dyDescent="0.35">
      <c r="AQ5725" s="54"/>
      <c r="BA5725" s="54"/>
    </row>
    <row r="5726" spans="43:53" x14ac:dyDescent="0.35">
      <c r="AQ5726" s="54"/>
      <c r="BA5726" s="54"/>
    </row>
    <row r="5727" spans="43:53" x14ac:dyDescent="0.35">
      <c r="AQ5727" s="54"/>
      <c r="BA5727" s="54"/>
    </row>
    <row r="5728" spans="43:53" x14ac:dyDescent="0.35">
      <c r="AQ5728" s="54"/>
      <c r="BA5728" s="54"/>
    </row>
    <row r="5729" spans="43:53" x14ac:dyDescent="0.35">
      <c r="AQ5729" s="54"/>
      <c r="BA5729" s="54"/>
    </row>
    <row r="5730" spans="43:53" x14ac:dyDescent="0.35">
      <c r="AQ5730" s="54"/>
      <c r="BA5730" s="54"/>
    </row>
    <row r="5731" spans="43:53" x14ac:dyDescent="0.35">
      <c r="AQ5731" s="54"/>
      <c r="BA5731" s="54"/>
    </row>
    <row r="5732" spans="43:53" x14ac:dyDescent="0.35">
      <c r="AQ5732" s="54"/>
      <c r="BA5732" s="54"/>
    </row>
    <row r="5733" spans="43:53" x14ac:dyDescent="0.35">
      <c r="AQ5733" s="54"/>
      <c r="BA5733" s="54"/>
    </row>
    <row r="5734" spans="43:53" x14ac:dyDescent="0.35">
      <c r="AQ5734" s="54"/>
      <c r="BA5734" s="54"/>
    </row>
    <row r="5735" spans="43:53" x14ac:dyDescent="0.35">
      <c r="AQ5735" s="54"/>
      <c r="BA5735" s="54"/>
    </row>
    <row r="5736" spans="43:53" x14ac:dyDescent="0.35">
      <c r="AQ5736" s="54"/>
      <c r="BA5736" s="54"/>
    </row>
    <row r="5737" spans="43:53" x14ac:dyDescent="0.35">
      <c r="AQ5737" s="54"/>
      <c r="BA5737" s="54"/>
    </row>
    <row r="5738" spans="43:53" x14ac:dyDescent="0.35">
      <c r="AQ5738" s="54"/>
      <c r="BA5738" s="54"/>
    </row>
    <row r="5739" spans="43:53" x14ac:dyDescent="0.35">
      <c r="AQ5739" s="54"/>
      <c r="BA5739" s="54"/>
    </row>
    <row r="5740" spans="43:53" x14ac:dyDescent="0.35">
      <c r="AQ5740" s="54"/>
      <c r="BA5740" s="54"/>
    </row>
    <row r="5741" spans="43:53" x14ac:dyDescent="0.35">
      <c r="AQ5741" s="54"/>
      <c r="BA5741" s="54"/>
    </row>
    <row r="5742" spans="43:53" x14ac:dyDescent="0.35">
      <c r="AQ5742" s="54"/>
      <c r="BA5742" s="54"/>
    </row>
    <row r="5743" spans="43:53" x14ac:dyDescent="0.35">
      <c r="AQ5743" s="54"/>
      <c r="BA5743" s="54"/>
    </row>
    <row r="5744" spans="43:53" x14ac:dyDescent="0.35">
      <c r="AQ5744" s="54"/>
      <c r="BA5744" s="54"/>
    </row>
    <row r="5745" spans="43:53" x14ac:dyDescent="0.35">
      <c r="AQ5745" s="54"/>
      <c r="BA5745" s="54"/>
    </row>
    <row r="5746" spans="43:53" x14ac:dyDescent="0.35">
      <c r="AQ5746" s="54"/>
      <c r="BA5746" s="54"/>
    </row>
    <row r="5747" spans="43:53" x14ac:dyDescent="0.35">
      <c r="AQ5747" s="54"/>
      <c r="BA5747" s="54"/>
    </row>
    <row r="5748" spans="43:53" x14ac:dyDescent="0.35">
      <c r="AQ5748" s="54"/>
      <c r="BA5748" s="54"/>
    </row>
    <row r="5749" spans="43:53" x14ac:dyDescent="0.35">
      <c r="AQ5749" s="54"/>
      <c r="BA5749" s="54"/>
    </row>
    <row r="5750" spans="43:53" x14ac:dyDescent="0.35">
      <c r="AQ5750" s="54"/>
      <c r="BA5750" s="54"/>
    </row>
    <row r="5751" spans="43:53" x14ac:dyDescent="0.35">
      <c r="AQ5751" s="54"/>
      <c r="BA5751" s="54"/>
    </row>
    <row r="5752" spans="43:53" x14ac:dyDescent="0.35">
      <c r="AQ5752" s="54"/>
      <c r="BA5752" s="54"/>
    </row>
    <row r="5753" spans="43:53" x14ac:dyDescent="0.35">
      <c r="AQ5753" s="54"/>
      <c r="BA5753" s="54"/>
    </row>
    <row r="5754" spans="43:53" x14ac:dyDescent="0.35">
      <c r="AQ5754" s="54"/>
      <c r="BA5754" s="54"/>
    </row>
    <row r="5755" spans="43:53" x14ac:dyDescent="0.35">
      <c r="AQ5755" s="54"/>
      <c r="BA5755" s="54"/>
    </row>
    <row r="5756" spans="43:53" x14ac:dyDescent="0.35">
      <c r="AQ5756" s="54"/>
      <c r="BA5756" s="54"/>
    </row>
    <row r="5757" spans="43:53" x14ac:dyDescent="0.35">
      <c r="AQ5757" s="54"/>
      <c r="BA5757" s="54"/>
    </row>
    <row r="5758" spans="43:53" x14ac:dyDescent="0.35">
      <c r="AQ5758" s="54"/>
      <c r="BA5758" s="54"/>
    </row>
    <row r="5759" spans="43:53" x14ac:dyDescent="0.35">
      <c r="AQ5759" s="54"/>
      <c r="BA5759" s="54"/>
    </row>
    <row r="5760" spans="43:53" x14ac:dyDescent="0.35">
      <c r="AQ5760" s="54"/>
      <c r="BA5760" s="54"/>
    </row>
    <row r="5761" spans="43:53" x14ac:dyDescent="0.35">
      <c r="AQ5761" s="54"/>
      <c r="BA5761" s="54"/>
    </row>
    <row r="5762" spans="43:53" x14ac:dyDescent="0.35">
      <c r="AQ5762" s="54"/>
      <c r="BA5762" s="54"/>
    </row>
    <row r="5763" spans="43:53" x14ac:dyDescent="0.35">
      <c r="AQ5763" s="54"/>
      <c r="BA5763" s="54"/>
    </row>
    <row r="5764" spans="43:53" x14ac:dyDescent="0.35">
      <c r="AQ5764" s="54"/>
      <c r="BA5764" s="54"/>
    </row>
    <row r="5765" spans="43:53" x14ac:dyDescent="0.35">
      <c r="AQ5765" s="54"/>
      <c r="BA5765" s="54"/>
    </row>
    <row r="5766" spans="43:53" x14ac:dyDescent="0.35">
      <c r="AQ5766" s="54"/>
      <c r="BA5766" s="54"/>
    </row>
    <row r="5767" spans="43:53" x14ac:dyDescent="0.35">
      <c r="AQ5767" s="54"/>
      <c r="BA5767" s="54"/>
    </row>
    <row r="5768" spans="43:53" x14ac:dyDescent="0.35">
      <c r="AQ5768" s="54"/>
      <c r="BA5768" s="54"/>
    </row>
    <row r="5769" spans="43:53" x14ac:dyDescent="0.35">
      <c r="AQ5769" s="54"/>
      <c r="BA5769" s="54"/>
    </row>
    <row r="5770" spans="43:53" x14ac:dyDescent="0.35">
      <c r="AQ5770" s="54"/>
      <c r="BA5770" s="54"/>
    </row>
    <row r="5771" spans="43:53" x14ac:dyDescent="0.35">
      <c r="AQ5771" s="54"/>
      <c r="BA5771" s="54"/>
    </row>
    <row r="5772" spans="43:53" x14ac:dyDescent="0.35">
      <c r="AQ5772" s="54"/>
      <c r="BA5772" s="54"/>
    </row>
    <row r="5773" spans="43:53" x14ac:dyDescent="0.35">
      <c r="AQ5773" s="54"/>
      <c r="BA5773" s="54"/>
    </row>
    <row r="5774" spans="43:53" x14ac:dyDescent="0.35">
      <c r="AQ5774" s="54"/>
      <c r="BA5774" s="54"/>
    </row>
    <row r="5775" spans="43:53" x14ac:dyDescent="0.35">
      <c r="AQ5775" s="54"/>
      <c r="BA5775" s="54"/>
    </row>
    <row r="5776" spans="43:53" x14ac:dyDescent="0.35">
      <c r="AQ5776" s="54"/>
      <c r="BA5776" s="54"/>
    </row>
    <row r="5777" spans="43:53" x14ac:dyDescent="0.35">
      <c r="AQ5777" s="54"/>
      <c r="BA5777" s="54"/>
    </row>
    <row r="5778" spans="43:53" x14ac:dyDescent="0.35">
      <c r="AQ5778" s="54"/>
      <c r="BA5778" s="54"/>
    </row>
    <row r="5779" spans="43:53" x14ac:dyDescent="0.35">
      <c r="AQ5779" s="54"/>
      <c r="BA5779" s="54"/>
    </row>
    <row r="5780" spans="43:53" x14ac:dyDescent="0.35">
      <c r="AQ5780" s="54"/>
      <c r="BA5780" s="54"/>
    </row>
    <row r="5781" spans="43:53" x14ac:dyDescent="0.35">
      <c r="AQ5781" s="54"/>
      <c r="BA5781" s="54"/>
    </row>
    <row r="5782" spans="43:53" x14ac:dyDescent="0.35">
      <c r="AQ5782" s="54"/>
      <c r="BA5782" s="54"/>
    </row>
    <row r="5783" spans="43:53" x14ac:dyDescent="0.35">
      <c r="AQ5783" s="54"/>
      <c r="BA5783" s="54"/>
    </row>
    <row r="5784" spans="43:53" x14ac:dyDescent="0.35">
      <c r="AQ5784" s="54"/>
      <c r="BA5784" s="54"/>
    </row>
    <row r="5785" spans="43:53" x14ac:dyDescent="0.35">
      <c r="AQ5785" s="54"/>
      <c r="BA5785" s="54"/>
    </row>
    <row r="5786" spans="43:53" x14ac:dyDescent="0.35">
      <c r="AQ5786" s="54"/>
      <c r="BA5786" s="54"/>
    </row>
    <row r="5787" spans="43:53" x14ac:dyDescent="0.35">
      <c r="AQ5787" s="54"/>
      <c r="BA5787" s="54"/>
    </row>
    <row r="5788" spans="43:53" x14ac:dyDescent="0.35">
      <c r="AQ5788" s="54"/>
      <c r="BA5788" s="54"/>
    </row>
    <row r="5789" spans="43:53" x14ac:dyDescent="0.35">
      <c r="AQ5789" s="54"/>
      <c r="BA5789" s="54"/>
    </row>
    <row r="5790" spans="43:53" x14ac:dyDescent="0.35">
      <c r="AQ5790" s="54"/>
      <c r="BA5790" s="54"/>
    </row>
    <row r="5791" spans="43:53" x14ac:dyDescent="0.35">
      <c r="AQ5791" s="54"/>
      <c r="BA5791" s="54"/>
    </row>
    <row r="5792" spans="43:53" x14ac:dyDescent="0.35">
      <c r="AQ5792" s="54"/>
      <c r="BA5792" s="54"/>
    </row>
    <row r="5793" spans="43:53" x14ac:dyDescent="0.35">
      <c r="AQ5793" s="54"/>
      <c r="BA5793" s="54"/>
    </row>
    <row r="5794" spans="43:53" x14ac:dyDescent="0.35">
      <c r="AQ5794" s="54"/>
      <c r="BA5794" s="54"/>
    </row>
    <row r="5795" spans="43:53" x14ac:dyDescent="0.35">
      <c r="AQ5795" s="54"/>
      <c r="BA5795" s="54"/>
    </row>
    <row r="5796" spans="43:53" x14ac:dyDescent="0.35">
      <c r="AQ5796" s="54"/>
      <c r="BA5796" s="54"/>
    </row>
    <row r="5797" spans="43:53" x14ac:dyDescent="0.35">
      <c r="AQ5797" s="54"/>
      <c r="BA5797" s="54"/>
    </row>
    <row r="5798" spans="43:53" x14ac:dyDescent="0.35">
      <c r="AQ5798" s="54"/>
      <c r="BA5798" s="54"/>
    </row>
    <row r="5799" spans="43:53" x14ac:dyDescent="0.35">
      <c r="AQ5799" s="54"/>
      <c r="BA5799" s="54"/>
    </row>
    <row r="5800" spans="43:53" x14ac:dyDescent="0.35">
      <c r="AQ5800" s="54"/>
      <c r="BA5800" s="54"/>
    </row>
    <row r="5801" spans="43:53" x14ac:dyDescent="0.35">
      <c r="AQ5801" s="54"/>
      <c r="BA5801" s="54"/>
    </row>
    <row r="5802" spans="43:53" x14ac:dyDescent="0.35">
      <c r="AQ5802" s="54"/>
      <c r="BA5802" s="54"/>
    </row>
    <row r="5803" spans="43:53" x14ac:dyDescent="0.35">
      <c r="AQ5803" s="54"/>
      <c r="BA5803" s="54"/>
    </row>
    <row r="5804" spans="43:53" x14ac:dyDescent="0.35">
      <c r="AQ5804" s="54"/>
      <c r="BA5804" s="54"/>
    </row>
    <row r="5805" spans="43:53" x14ac:dyDescent="0.35">
      <c r="AQ5805" s="54"/>
      <c r="BA5805" s="54"/>
    </row>
    <row r="5806" spans="43:53" x14ac:dyDescent="0.35">
      <c r="AQ5806" s="54"/>
      <c r="BA5806" s="54"/>
    </row>
    <row r="5807" spans="43:53" x14ac:dyDescent="0.35">
      <c r="AQ5807" s="54"/>
      <c r="BA5807" s="54"/>
    </row>
    <row r="5808" spans="43:53" x14ac:dyDescent="0.35">
      <c r="AQ5808" s="54"/>
      <c r="BA5808" s="54"/>
    </row>
    <row r="5809" spans="43:53" x14ac:dyDescent="0.35">
      <c r="AQ5809" s="54"/>
      <c r="BA5809" s="54"/>
    </row>
    <row r="5810" spans="43:53" x14ac:dyDescent="0.35">
      <c r="AQ5810" s="54"/>
      <c r="BA5810" s="54"/>
    </row>
    <row r="5811" spans="43:53" x14ac:dyDescent="0.35">
      <c r="AQ5811" s="54"/>
      <c r="BA5811" s="54"/>
    </row>
    <row r="5812" spans="43:53" x14ac:dyDescent="0.35">
      <c r="AQ5812" s="54"/>
      <c r="BA5812" s="54"/>
    </row>
    <row r="5813" spans="43:53" x14ac:dyDescent="0.35">
      <c r="AQ5813" s="54"/>
      <c r="BA5813" s="54"/>
    </row>
    <row r="5814" spans="43:53" x14ac:dyDescent="0.35">
      <c r="AQ5814" s="54"/>
      <c r="BA5814" s="54"/>
    </row>
    <row r="5815" spans="43:53" x14ac:dyDescent="0.35">
      <c r="AQ5815" s="54"/>
      <c r="BA5815" s="54"/>
    </row>
    <row r="5816" spans="43:53" x14ac:dyDescent="0.35">
      <c r="AQ5816" s="54"/>
      <c r="BA5816" s="54"/>
    </row>
    <row r="5817" spans="43:53" x14ac:dyDescent="0.35">
      <c r="AQ5817" s="54"/>
      <c r="BA5817" s="54"/>
    </row>
    <row r="5818" spans="43:53" x14ac:dyDescent="0.35">
      <c r="AQ5818" s="54"/>
      <c r="BA5818" s="54"/>
    </row>
    <row r="5819" spans="43:53" x14ac:dyDescent="0.35">
      <c r="AQ5819" s="54"/>
      <c r="BA5819" s="54"/>
    </row>
    <row r="5820" spans="43:53" x14ac:dyDescent="0.35">
      <c r="AQ5820" s="54"/>
      <c r="BA5820" s="54"/>
    </row>
    <row r="5821" spans="43:53" x14ac:dyDescent="0.35">
      <c r="AQ5821" s="54"/>
      <c r="BA5821" s="54"/>
    </row>
    <row r="5822" spans="43:53" x14ac:dyDescent="0.35">
      <c r="AQ5822" s="54"/>
      <c r="BA5822" s="54"/>
    </row>
    <row r="5823" spans="43:53" x14ac:dyDescent="0.35">
      <c r="AQ5823" s="54"/>
      <c r="BA5823" s="54"/>
    </row>
    <row r="5824" spans="43:53" x14ac:dyDescent="0.35">
      <c r="AQ5824" s="54"/>
      <c r="BA5824" s="54"/>
    </row>
    <row r="5825" spans="43:53" x14ac:dyDescent="0.35">
      <c r="AQ5825" s="54"/>
      <c r="BA5825" s="54"/>
    </row>
    <row r="5826" spans="43:53" x14ac:dyDescent="0.35">
      <c r="AQ5826" s="54"/>
      <c r="BA5826" s="54"/>
    </row>
    <row r="5827" spans="43:53" x14ac:dyDescent="0.35">
      <c r="AQ5827" s="54"/>
      <c r="BA5827" s="54"/>
    </row>
    <row r="5828" spans="43:53" x14ac:dyDescent="0.35">
      <c r="AQ5828" s="54"/>
      <c r="BA5828" s="54"/>
    </row>
    <row r="5829" spans="43:53" x14ac:dyDescent="0.35">
      <c r="AQ5829" s="54"/>
      <c r="BA5829" s="54"/>
    </row>
    <row r="5830" spans="43:53" x14ac:dyDescent="0.35">
      <c r="AQ5830" s="54"/>
      <c r="BA5830" s="54"/>
    </row>
    <row r="5831" spans="43:53" x14ac:dyDescent="0.35">
      <c r="AQ5831" s="54"/>
      <c r="BA5831" s="54"/>
    </row>
    <row r="5832" spans="43:53" x14ac:dyDescent="0.35">
      <c r="AQ5832" s="54"/>
      <c r="BA5832" s="54"/>
    </row>
    <row r="5833" spans="43:53" x14ac:dyDescent="0.35">
      <c r="AQ5833" s="54"/>
      <c r="BA5833" s="54"/>
    </row>
    <row r="5834" spans="43:53" x14ac:dyDescent="0.35">
      <c r="AQ5834" s="54"/>
      <c r="BA5834" s="54"/>
    </row>
    <row r="5835" spans="43:53" x14ac:dyDescent="0.35">
      <c r="AQ5835" s="54"/>
      <c r="BA5835" s="54"/>
    </row>
    <row r="5836" spans="43:53" x14ac:dyDescent="0.35">
      <c r="AQ5836" s="54"/>
      <c r="BA5836" s="54"/>
    </row>
    <row r="5837" spans="43:53" x14ac:dyDescent="0.35">
      <c r="AQ5837" s="54"/>
      <c r="BA5837" s="54"/>
    </row>
    <row r="5838" spans="43:53" x14ac:dyDescent="0.35">
      <c r="AQ5838" s="54"/>
      <c r="BA5838" s="54"/>
    </row>
    <row r="5839" spans="43:53" x14ac:dyDescent="0.35">
      <c r="AQ5839" s="54"/>
      <c r="BA5839" s="54"/>
    </row>
    <row r="5840" spans="43:53" x14ac:dyDescent="0.35">
      <c r="AQ5840" s="54"/>
      <c r="BA5840" s="54"/>
    </row>
    <row r="5841" spans="43:53" x14ac:dyDescent="0.35">
      <c r="AQ5841" s="54"/>
      <c r="BA5841" s="54"/>
    </row>
    <row r="5842" spans="43:53" x14ac:dyDescent="0.35">
      <c r="AQ5842" s="54"/>
      <c r="BA5842" s="54"/>
    </row>
    <row r="5843" spans="43:53" x14ac:dyDescent="0.35">
      <c r="AQ5843" s="54"/>
      <c r="BA5843" s="54"/>
    </row>
    <row r="5844" spans="43:53" x14ac:dyDescent="0.35">
      <c r="AQ5844" s="54"/>
      <c r="BA5844" s="54"/>
    </row>
    <row r="5845" spans="43:53" x14ac:dyDescent="0.35">
      <c r="AQ5845" s="54"/>
      <c r="BA5845" s="54"/>
    </row>
    <row r="5846" spans="43:53" x14ac:dyDescent="0.35">
      <c r="AQ5846" s="54"/>
      <c r="BA5846" s="54"/>
    </row>
    <row r="5847" spans="43:53" x14ac:dyDescent="0.35">
      <c r="AQ5847" s="54"/>
      <c r="BA5847" s="54"/>
    </row>
    <row r="5848" spans="43:53" x14ac:dyDescent="0.35">
      <c r="AQ5848" s="54"/>
      <c r="BA5848" s="54"/>
    </row>
    <row r="5849" spans="43:53" x14ac:dyDescent="0.35">
      <c r="AQ5849" s="54"/>
      <c r="BA5849" s="54"/>
    </row>
    <row r="5850" spans="43:53" x14ac:dyDescent="0.35">
      <c r="AQ5850" s="54"/>
      <c r="BA5850" s="54"/>
    </row>
    <row r="5851" spans="43:53" x14ac:dyDescent="0.35">
      <c r="AQ5851" s="54"/>
      <c r="BA5851" s="54"/>
    </row>
    <row r="5852" spans="43:53" x14ac:dyDescent="0.35">
      <c r="AQ5852" s="54"/>
      <c r="BA5852" s="54"/>
    </row>
    <row r="5853" spans="43:53" x14ac:dyDescent="0.35">
      <c r="AQ5853" s="54"/>
      <c r="BA5853" s="54"/>
    </row>
    <row r="5854" spans="43:53" x14ac:dyDescent="0.35">
      <c r="AQ5854" s="54"/>
      <c r="BA5854" s="54"/>
    </row>
    <row r="5855" spans="43:53" x14ac:dyDescent="0.35">
      <c r="AQ5855" s="54"/>
      <c r="BA5855" s="54"/>
    </row>
    <row r="5856" spans="43:53" x14ac:dyDescent="0.35">
      <c r="AQ5856" s="54"/>
      <c r="BA5856" s="54"/>
    </row>
    <row r="5857" spans="43:53" x14ac:dyDescent="0.35">
      <c r="AQ5857" s="54"/>
      <c r="BA5857" s="54"/>
    </row>
    <row r="5858" spans="43:53" x14ac:dyDescent="0.35">
      <c r="AQ5858" s="54"/>
      <c r="BA5858" s="54"/>
    </row>
    <row r="5859" spans="43:53" x14ac:dyDescent="0.35">
      <c r="AQ5859" s="54"/>
      <c r="BA5859" s="54"/>
    </row>
    <row r="5860" spans="43:53" x14ac:dyDescent="0.35">
      <c r="AQ5860" s="54"/>
      <c r="BA5860" s="54"/>
    </row>
    <row r="5861" spans="43:53" x14ac:dyDescent="0.35">
      <c r="AQ5861" s="54"/>
      <c r="BA5861" s="54"/>
    </row>
    <row r="5862" spans="43:53" x14ac:dyDescent="0.35">
      <c r="AQ5862" s="54"/>
      <c r="BA5862" s="54"/>
    </row>
    <row r="5863" spans="43:53" x14ac:dyDescent="0.35">
      <c r="AQ5863" s="54"/>
      <c r="BA5863" s="54"/>
    </row>
    <row r="5864" spans="43:53" x14ac:dyDescent="0.35">
      <c r="AQ5864" s="54"/>
      <c r="BA5864" s="54"/>
    </row>
    <row r="5865" spans="43:53" x14ac:dyDescent="0.35">
      <c r="AQ5865" s="54"/>
      <c r="BA5865" s="54"/>
    </row>
    <row r="5866" spans="43:53" x14ac:dyDescent="0.35">
      <c r="AQ5866" s="54"/>
      <c r="BA5866" s="54"/>
    </row>
    <row r="5867" spans="43:53" x14ac:dyDescent="0.35">
      <c r="AQ5867" s="54"/>
      <c r="BA5867" s="54"/>
    </row>
    <row r="5868" spans="43:53" x14ac:dyDescent="0.35">
      <c r="AQ5868" s="54"/>
      <c r="BA5868" s="54"/>
    </row>
    <row r="5869" spans="43:53" x14ac:dyDescent="0.35">
      <c r="AQ5869" s="54"/>
      <c r="BA5869" s="54"/>
    </row>
    <row r="5870" spans="43:53" x14ac:dyDescent="0.35">
      <c r="AQ5870" s="54"/>
      <c r="BA5870" s="54"/>
    </row>
    <row r="5871" spans="43:53" x14ac:dyDescent="0.35">
      <c r="AQ5871" s="54"/>
      <c r="BA5871" s="54"/>
    </row>
    <row r="5872" spans="43:53" x14ac:dyDescent="0.35">
      <c r="AQ5872" s="54"/>
      <c r="BA5872" s="54"/>
    </row>
    <row r="5873" spans="43:53" x14ac:dyDescent="0.35">
      <c r="AQ5873" s="54"/>
      <c r="BA5873" s="54"/>
    </row>
    <row r="5874" spans="43:53" x14ac:dyDescent="0.35">
      <c r="AQ5874" s="54"/>
      <c r="BA5874" s="54"/>
    </row>
    <row r="5875" spans="43:53" x14ac:dyDescent="0.35">
      <c r="AQ5875" s="54"/>
      <c r="BA5875" s="54"/>
    </row>
    <row r="5876" spans="43:53" x14ac:dyDescent="0.35">
      <c r="AQ5876" s="54"/>
      <c r="BA5876" s="54"/>
    </row>
    <row r="5877" spans="43:53" x14ac:dyDescent="0.35">
      <c r="AQ5877" s="54"/>
      <c r="BA5877" s="54"/>
    </row>
    <row r="5878" spans="43:53" x14ac:dyDescent="0.35">
      <c r="AQ5878" s="54"/>
      <c r="BA5878" s="54"/>
    </row>
    <row r="5879" spans="43:53" x14ac:dyDescent="0.35">
      <c r="AQ5879" s="54"/>
      <c r="BA5879" s="54"/>
    </row>
    <row r="5880" spans="43:53" x14ac:dyDescent="0.35">
      <c r="AQ5880" s="54"/>
      <c r="BA5880" s="54"/>
    </row>
    <row r="5881" spans="43:53" x14ac:dyDescent="0.35">
      <c r="AQ5881" s="54"/>
      <c r="BA5881" s="54"/>
    </row>
    <row r="5882" spans="43:53" x14ac:dyDescent="0.35">
      <c r="AQ5882" s="54"/>
      <c r="BA5882" s="54"/>
    </row>
    <row r="5883" spans="43:53" x14ac:dyDescent="0.35">
      <c r="AQ5883" s="54"/>
      <c r="BA5883" s="54"/>
    </row>
    <row r="5884" spans="43:53" x14ac:dyDescent="0.35">
      <c r="AQ5884" s="54"/>
      <c r="BA5884" s="54"/>
    </row>
    <row r="5885" spans="43:53" x14ac:dyDescent="0.35">
      <c r="AQ5885" s="54"/>
      <c r="BA5885" s="54"/>
    </row>
    <row r="5886" spans="43:53" x14ac:dyDescent="0.35">
      <c r="AQ5886" s="54"/>
      <c r="BA5886" s="54"/>
    </row>
    <row r="5887" spans="43:53" x14ac:dyDescent="0.35">
      <c r="AQ5887" s="54"/>
      <c r="BA5887" s="54"/>
    </row>
    <row r="5888" spans="43:53" x14ac:dyDescent="0.35">
      <c r="AQ5888" s="54"/>
      <c r="BA5888" s="54"/>
    </row>
    <row r="5889" spans="43:53" x14ac:dyDescent="0.35">
      <c r="AQ5889" s="54"/>
      <c r="BA5889" s="54"/>
    </row>
    <row r="5890" spans="43:53" x14ac:dyDescent="0.35">
      <c r="AQ5890" s="54"/>
      <c r="BA5890" s="54"/>
    </row>
    <row r="5891" spans="43:53" x14ac:dyDescent="0.35">
      <c r="AQ5891" s="54"/>
      <c r="BA5891" s="54"/>
    </row>
    <row r="5892" spans="43:53" x14ac:dyDescent="0.35">
      <c r="AQ5892" s="54"/>
      <c r="BA5892" s="54"/>
    </row>
    <row r="5893" spans="43:53" x14ac:dyDescent="0.35">
      <c r="AQ5893" s="54"/>
      <c r="BA5893" s="54"/>
    </row>
    <row r="5894" spans="43:53" x14ac:dyDescent="0.35">
      <c r="AQ5894" s="54"/>
      <c r="BA5894" s="54"/>
    </row>
    <row r="5895" spans="43:53" x14ac:dyDescent="0.35">
      <c r="AQ5895" s="54"/>
      <c r="BA5895" s="54"/>
    </row>
    <row r="5896" spans="43:53" x14ac:dyDescent="0.35">
      <c r="AQ5896" s="54"/>
      <c r="BA5896" s="54"/>
    </row>
    <row r="5897" spans="43:53" x14ac:dyDescent="0.35">
      <c r="AQ5897" s="54"/>
      <c r="BA5897" s="54"/>
    </row>
    <row r="5898" spans="43:53" x14ac:dyDescent="0.35">
      <c r="AQ5898" s="54"/>
      <c r="BA5898" s="54"/>
    </row>
    <row r="5899" spans="43:53" x14ac:dyDescent="0.35">
      <c r="AQ5899" s="54"/>
      <c r="BA5899" s="54"/>
    </row>
    <row r="5900" spans="43:53" x14ac:dyDescent="0.35">
      <c r="AQ5900" s="54"/>
      <c r="BA5900" s="54"/>
    </row>
    <row r="5901" spans="43:53" x14ac:dyDescent="0.35">
      <c r="AQ5901" s="54"/>
      <c r="BA5901" s="54"/>
    </row>
    <row r="5902" spans="43:53" x14ac:dyDescent="0.35">
      <c r="AQ5902" s="54"/>
      <c r="BA5902" s="54"/>
    </row>
    <row r="5903" spans="43:53" x14ac:dyDescent="0.35">
      <c r="AQ5903" s="54"/>
      <c r="BA5903" s="54"/>
    </row>
    <row r="5904" spans="43:53" x14ac:dyDescent="0.35">
      <c r="AQ5904" s="54"/>
      <c r="BA5904" s="54"/>
    </row>
    <row r="5905" spans="43:53" x14ac:dyDescent="0.35">
      <c r="AQ5905" s="54"/>
      <c r="BA5905" s="54"/>
    </row>
    <row r="5906" spans="43:53" x14ac:dyDescent="0.35">
      <c r="AQ5906" s="54"/>
      <c r="BA5906" s="54"/>
    </row>
    <row r="5907" spans="43:53" x14ac:dyDescent="0.35">
      <c r="AQ5907" s="54"/>
      <c r="BA5907" s="54"/>
    </row>
    <row r="5908" spans="43:53" x14ac:dyDescent="0.35">
      <c r="AQ5908" s="54"/>
      <c r="BA5908" s="54"/>
    </row>
    <row r="5909" spans="43:53" x14ac:dyDescent="0.35">
      <c r="AQ5909" s="54"/>
      <c r="BA5909" s="54"/>
    </row>
    <row r="5910" spans="43:53" x14ac:dyDescent="0.35">
      <c r="AQ5910" s="54"/>
      <c r="BA5910" s="54"/>
    </row>
    <row r="5911" spans="43:53" x14ac:dyDescent="0.35">
      <c r="AQ5911" s="54"/>
      <c r="BA5911" s="54"/>
    </row>
    <row r="5912" spans="43:53" x14ac:dyDescent="0.35">
      <c r="AQ5912" s="54"/>
      <c r="BA5912" s="54"/>
    </row>
    <row r="5913" spans="43:53" x14ac:dyDescent="0.35">
      <c r="AQ5913" s="54"/>
      <c r="BA5913" s="54"/>
    </row>
    <row r="5914" spans="43:53" x14ac:dyDescent="0.35">
      <c r="AQ5914" s="54"/>
      <c r="BA5914" s="54"/>
    </row>
    <row r="5915" spans="43:53" x14ac:dyDescent="0.35">
      <c r="AQ5915" s="54"/>
      <c r="BA5915" s="54"/>
    </row>
    <row r="5916" spans="43:53" x14ac:dyDescent="0.35">
      <c r="AQ5916" s="54"/>
      <c r="BA5916" s="54"/>
    </row>
    <row r="5917" spans="43:53" x14ac:dyDescent="0.35">
      <c r="AQ5917" s="54"/>
      <c r="BA5917" s="54"/>
    </row>
    <row r="5918" spans="43:53" x14ac:dyDescent="0.35">
      <c r="AQ5918" s="54"/>
      <c r="BA5918" s="54"/>
    </row>
    <row r="5919" spans="43:53" x14ac:dyDescent="0.35">
      <c r="AQ5919" s="54"/>
      <c r="BA5919" s="54"/>
    </row>
    <row r="5920" spans="43:53" x14ac:dyDescent="0.35">
      <c r="AQ5920" s="54"/>
      <c r="BA5920" s="54"/>
    </row>
    <row r="5921" spans="43:53" x14ac:dyDescent="0.35">
      <c r="AQ5921" s="54"/>
      <c r="BA5921" s="54"/>
    </row>
    <row r="5922" spans="43:53" x14ac:dyDescent="0.35">
      <c r="AQ5922" s="54"/>
      <c r="BA5922" s="54"/>
    </row>
    <row r="5923" spans="43:53" x14ac:dyDescent="0.35">
      <c r="AQ5923" s="54"/>
      <c r="BA5923" s="54"/>
    </row>
    <row r="5924" spans="43:53" x14ac:dyDescent="0.35">
      <c r="AQ5924" s="54"/>
      <c r="BA5924" s="54"/>
    </row>
    <row r="5925" spans="43:53" x14ac:dyDescent="0.35">
      <c r="AQ5925" s="54"/>
      <c r="BA5925" s="54"/>
    </row>
    <row r="5926" spans="43:53" x14ac:dyDescent="0.35">
      <c r="AQ5926" s="54"/>
      <c r="BA5926" s="54"/>
    </row>
    <row r="5927" spans="43:53" x14ac:dyDescent="0.35">
      <c r="AQ5927" s="54"/>
      <c r="BA5927" s="54"/>
    </row>
    <row r="5928" spans="43:53" x14ac:dyDescent="0.35">
      <c r="AQ5928" s="54"/>
      <c r="BA5928" s="54"/>
    </row>
    <row r="5929" spans="43:53" x14ac:dyDescent="0.35">
      <c r="AQ5929" s="54"/>
      <c r="BA5929" s="54"/>
    </row>
    <row r="5930" spans="43:53" x14ac:dyDescent="0.35">
      <c r="AQ5930" s="54"/>
      <c r="BA5930" s="54"/>
    </row>
    <row r="5931" spans="43:53" x14ac:dyDescent="0.35">
      <c r="AQ5931" s="54"/>
      <c r="BA5931" s="54"/>
    </row>
    <row r="5932" spans="43:53" x14ac:dyDescent="0.35">
      <c r="AQ5932" s="54"/>
      <c r="BA5932" s="54"/>
    </row>
    <row r="5933" spans="43:53" x14ac:dyDescent="0.35">
      <c r="AQ5933" s="54"/>
      <c r="BA5933" s="54"/>
    </row>
    <row r="5934" spans="43:53" x14ac:dyDescent="0.35">
      <c r="AQ5934" s="54"/>
      <c r="BA5934" s="54"/>
    </row>
    <row r="5935" spans="43:53" x14ac:dyDescent="0.35">
      <c r="AQ5935" s="54"/>
      <c r="BA5935" s="54"/>
    </row>
    <row r="5936" spans="43:53" x14ac:dyDescent="0.35">
      <c r="AQ5936" s="54"/>
      <c r="BA5936" s="54"/>
    </row>
    <row r="5937" spans="43:53" x14ac:dyDescent="0.35">
      <c r="AQ5937" s="54"/>
      <c r="BA5937" s="54"/>
    </row>
    <row r="5938" spans="43:53" x14ac:dyDescent="0.35">
      <c r="AQ5938" s="54"/>
      <c r="BA5938" s="54"/>
    </row>
    <row r="5939" spans="43:53" x14ac:dyDescent="0.35">
      <c r="AQ5939" s="54"/>
      <c r="BA5939" s="54"/>
    </row>
    <row r="5940" spans="43:53" x14ac:dyDescent="0.35">
      <c r="AQ5940" s="54"/>
      <c r="BA5940" s="54"/>
    </row>
    <row r="5941" spans="43:53" x14ac:dyDescent="0.35">
      <c r="AQ5941" s="54"/>
      <c r="BA5941" s="54"/>
    </row>
    <row r="5942" spans="43:53" x14ac:dyDescent="0.35">
      <c r="AQ5942" s="54"/>
      <c r="BA5942" s="54"/>
    </row>
    <row r="5943" spans="43:53" x14ac:dyDescent="0.35">
      <c r="AQ5943" s="54"/>
      <c r="BA5943" s="54"/>
    </row>
    <row r="5944" spans="43:53" x14ac:dyDescent="0.35">
      <c r="AQ5944" s="54"/>
      <c r="BA5944" s="54"/>
    </row>
    <row r="5945" spans="43:53" x14ac:dyDescent="0.35">
      <c r="AQ5945" s="54"/>
      <c r="BA5945" s="54"/>
    </row>
    <row r="5946" spans="43:53" x14ac:dyDescent="0.35">
      <c r="AQ5946" s="54"/>
      <c r="BA5946" s="54"/>
    </row>
    <row r="5947" spans="43:53" x14ac:dyDescent="0.35">
      <c r="AQ5947" s="54"/>
      <c r="BA5947" s="54"/>
    </row>
    <row r="5948" spans="43:53" x14ac:dyDescent="0.35">
      <c r="AQ5948" s="54"/>
      <c r="BA5948" s="54"/>
    </row>
    <row r="5949" spans="43:53" x14ac:dyDescent="0.35">
      <c r="AQ5949" s="54"/>
      <c r="BA5949" s="54"/>
    </row>
    <row r="5950" spans="43:53" x14ac:dyDescent="0.35">
      <c r="AQ5950" s="54"/>
      <c r="BA5950" s="54"/>
    </row>
    <row r="5951" spans="43:53" x14ac:dyDescent="0.35">
      <c r="AQ5951" s="54"/>
      <c r="BA5951" s="54"/>
    </row>
    <row r="5952" spans="43:53" x14ac:dyDescent="0.35">
      <c r="AQ5952" s="54"/>
      <c r="BA5952" s="54"/>
    </row>
    <row r="5953" spans="43:53" x14ac:dyDescent="0.35">
      <c r="AQ5953" s="54"/>
      <c r="BA5953" s="54"/>
    </row>
    <row r="5954" spans="43:53" x14ac:dyDescent="0.35">
      <c r="AQ5954" s="54"/>
      <c r="BA5954" s="54"/>
    </row>
    <row r="5955" spans="43:53" x14ac:dyDescent="0.35">
      <c r="AQ5955" s="54"/>
      <c r="BA5955" s="54"/>
    </row>
    <row r="5956" spans="43:53" x14ac:dyDescent="0.35">
      <c r="AQ5956" s="54"/>
      <c r="BA5956" s="54"/>
    </row>
    <row r="5957" spans="43:53" x14ac:dyDescent="0.35">
      <c r="AQ5957" s="54"/>
      <c r="BA5957" s="54"/>
    </row>
    <row r="5958" spans="43:53" x14ac:dyDescent="0.35">
      <c r="AQ5958" s="54"/>
      <c r="BA5958" s="54"/>
    </row>
    <row r="5959" spans="43:53" x14ac:dyDescent="0.35">
      <c r="AQ5959" s="54"/>
      <c r="BA5959" s="54"/>
    </row>
    <row r="5960" spans="43:53" x14ac:dyDescent="0.35">
      <c r="AQ5960" s="54"/>
      <c r="BA5960" s="54"/>
    </row>
    <row r="5961" spans="43:53" x14ac:dyDescent="0.35">
      <c r="AQ5961" s="54"/>
      <c r="BA5961" s="54"/>
    </row>
    <row r="5962" spans="43:53" x14ac:dyDescent="0.35">
      <c r="AQ5962" s="54"/>
      <c r="BA5962" s="54"/>
    </row>
    <row r="5963" spans="43:53" x14ac:dyDescent="0.35">
      <c r="AQ5963" s="54"/>
      <c r="BA5963" s="54"/>
    </row>
    <row r="5964" spans="43:53" x14ac:dyDescent="0.35">
      <c r="AQ5964" s="54"/>
      <c r="BA5964" s="54"/>
    </row>
    <row r="5965" spans="43:53" x14ac:dyDescent="0.35">
      <c r="AQ5965" s="54"/>
      <c r="BA5965" s="54"/>
    </row>
    <row r="5966" spans="43:53" x14ac:dyDescent="0.35">
      <c r="AQ5966" s="54"/>
      <c r="BA5966" s="54"/>
    </row>
    <row r="5967" spans="43:53" x14ac:dyDescent="0.35">
      <c r="AQ5967" s="54"/>
      <c r="BA5967" s="54"/>
    </row>
    <row r="5968" spans="43:53" x14ac:dyDescent="0.35">
      <c r="AQ5968" s="54"/>
      <c r="BA5968" s="54"/>
    </row>
    <row r="5969" spans="43:53" x14ac:dyDescent="0.35">
      <c r="AQ5969" s="54"/>
      <c r="BA5969" s="54"/>
    </row>
    <row r="5970" spans="43:53" x14ac:dyDescent="0.35">
      <c r="AQ5970" s="54"/>
      <c r="BA5970" s="54"/>
    </row>
    <row r="5971" spans="43:53" x14ac:dyDescent="0.35">
      <c r="AQ5971" s="54"/>
      <c r="BA5971" s="54"/>
    </row>
    <row r="5972" spans="43:53" x14ac:dyDescent="0.35">
      <c r="AQ5972" s="54"/>
      <c r="BA5972" s="54"/>
    </row>
    <row r="5973" spans="43:53" x14ac:dyDescent="0.35">
      <c r="AQ5973" s="54"/>
      <c r="BA5973" s="54"/>
    </row>
    <row r="5974" spans="43:53" x14ac:dyDescent="0.35">
      <c r="AQ5974" s="54"/>
      <c r="BA5974" s="54"/>
    </row>
    <row r="5975" spans="43:53" x14ac:dyDescent="0.35">
      <c r="AQ5975" s="54"/>
      <c r="BA5975" s="54"/>
    </row>
    <row r="5976" spans="43:53" x14ac:dyDescent="0.35">
      <c r="AQ5976" s="54"/>
      <c r="BA5976" s="54"/>
    </row>
    <row r="5977" spans="43:53" x14ac:dyDescent="0.35">
      <c r="AQ5977" s="54"/>
      <c r="BA5977" s="54"/>
    </row>
    <row r="5978" spans="43:53" x14ac:dyDescent="0.35">
      <c r="AQ5978" s="54"/>
      <c r="BA5978" s="54"/>
    </row>
    <row r="5979" spans="43:53" x14ac:dyDescent="0.35">
      <c r="AQ5979" s="54"/>
      <c r="BA5979" s="54"/>
    </row>
    <row r="5980" spans="43:53" x14ac:dyDescent="0.35">
      <c r="AQ5980" s="54"/>
      <c r="BA5980" s="54"/>
    </row>
    <row r="5981" spans="43:53" x14ac:dyDescent="0.35">
      <c r="AQ5981" s="54"/>
      <c r="BA5981" s="54"/>
    </row>
    <row r="5982" spans="43:53" x14ac:dyDescent="0.35">
      <c r="AQ5982" s="54"/>
      <c r="BA5982" s="54"/>
    </row>
    <row r="5983" spans="43:53" x14ac:dyDescent="0.35">
      <c r="AQ5983" s="54"/>
      <c r="BA5983" s="54"/>
    </row>
    <row r="5984" spans="43:53" x14ac:dyDescent="0.35">
      <c r="AQ5984" s="54"/>
      <c r="BA5984" s="54"/>
    </row>
    <row r="5985" spans="43:53" x14ac:dyDescent="0.35">
      <c r="AQ5985" s="54"/>
      <c r="BA5985" s="54"/>
    </row>
    <row r="5986" spans="43:53" x14ac:dyDescent="0.35">
      <c r="AQ5986" s="54"/>
      <c r="BA5986" s="54"/>
    </row>
    <row r="5987" spans="43:53" x14ac:dyDescent="0.35">
      <c r="AQ5987" s="54"/>
      <c r="BA5987" s="54"/>
    </row>
    <row r="5988" spans="43:53" x14ac:dyDescent="0.35">
      <c r="AQ5988" s="54"/>
      <c r="BA5988" s="54"/>
    </row>
    <row r="5989" spans="43:53" x14ac:dyDescent="0.35">
      <c r="AQ5989" s="54"/>
      <c r="BA5989" s="54"/>
    </row>
    <row r="5990" spans="43:53" x14ac:dyDescent="0.35">
      <c r="AQ5990" s="54"/>
      <c r="BA5990" s="54"/>
    </row>
    <row r="5991" spans="43:53" x14ac:dyDescent="0.35">
      <c r="AQ5991" s="54"/>
      <c r="BA5991" s="54"/>
    </row>
    <row r="5992" spans="43:53" x14ac:dyDescent="0.35">
      <c r="AQ5992" s="54"/>
      <c r="BA5992" s="54"/>
    </row>
    <row r="5993" spans="43:53" x14ac:dyDescent="0.35">
      <c r="AQ5993" s="54"/>
      <c r="BA5993" s="54"/>
    </row>
    <row r="5994" spans="43:53" x14ac:dyDescent="0.35">
      <c r="AQ5994" s="54"/>
      <c r="BA5994" s="54"/>
    </row>
    <row r="5995" spans="43:53" x14ac:dyDescent="0.35">
      <c r="AQ5995" s="54"/>
      <c r="BA5995" s="54"/>
    </row>
    <row r="5996" spans="43:53" x14ac:dyDescent="0.35">
      <c r="AQ5996" s="54"/>
      <c r="BA5996" s="54"/>
    </row>
    <row r="5997" spans="43:53" x14ac:dyDescent="0.35">
      <c r="AQ5997" s="54"/>
      <c r="BA5997" s="54"/>
    </row>
    <row r="5998" spans="43:53" x14ac:dyDescent="0.35">
      <c r="AQ5998" s="54"/>
      <c r="BA5998" s="54"/>
    </row>
    <row r="5999" spans="43:53" x14ac:dyDescent="0.35">
      <c r="AQ5999" s="54"/>
      <c r="BA5999" s="54"/>
    </row>
    <row r="6000" spans="43:53" x14ac:dyDescent="0.35">
      <c r="AQ6000" s="54"/>
      <c r="BA6000" s="54"/>
    </row>
    <row r="6001" spans="43:53" x14ac:dyDescent="0.35">
      <c r="AQ6001" s="54"/>
      <c r="BA6001" s="54"/>
    </row>
    <row r="6002" spans="43:53" x14ac:dyDescent="0.35">
      <c r="AQ6002" s="54"/>
      <c r="BA6002" s="54"/>
    </row>
    <row r="6003" spans="43:53" x14ac:dyDescent="0.35">
      <c r="AQ6003" s="54"/>
      <c r="BA6003" s="54"/>
    </row>
    <row r="6004" spans="43:53" x14ac:dyDescent="0.35">
      <c r="AQ6004" s="54"/>
      <c r="BA6004" s="54"/>
    </row>
    <row r="6005" spans="43:53" x14ac:dyDescent="0.35">
      <c r="AQ6005" s="54"/>
      <c r="BA6005" s="54"/>
    </row>
    <row r="6006" spans="43:53" x14ac:dyDescent="0.35">
      <c r="AQ6006" s="54"/>
      <c r="BA6006" s="54"/>
    </row>
    <row r="6007" spans="43:53" x14ac:dyDescent="0.35">
      <c r="AQ6007" s="54"/>
      <c r="BA6007" s="54"/>
    </row>
    <row r="6008" spans="43:53" x14ac:dyDescent="0.35">
      <c r="AQ6008" s="54"/>
      <c r="BA6008" s="54"/>
    </row>
    <row r="6009" spans="43:53" x14ac:dyDescent="0.35">
      <c r="AQ6009" s="54"/>
      <c r="BA6009" s="54"/>
    </row>
    <row r="6010" spans="43:53" x14ac:dyDescent="0.35">
      <c r="AQ6010" s="54"/>
      <c r="BA6010" s="54"/>
    </row>
    <row r="6011" spans="43:53" x14ac:dyDescent="0.35">
      <c r="AQ6011" s="54"/>
      <c r="BA6011" s="54"/>
    </row>
    <row r="6012" spans="43:53" x14ac:dyDescent="0.35">
      <c r="AQ6012" s="54"/>
      <c r="BA6012" s="54"/>
    </row>
    <row r="6013" spans="43:53" x14ac:dyDescent="0.35">
      <c r="AQ6013" s="54"/>
      <c r="BA6013" s="54"/>
    </row>
    <row r="6014" spans="43:53" x14ac:dyDescent="0.35">
      <c r="AQ6014" s="54"/>
      <c r="BA6014" s="54"/>
    </row>
    <row r="6015" spans="43:53" x14ac:dyDescent="0.35">
      <c r="AQ6015" s="54"/>
      <c r="BA6015" s="54"/>
    </row>
    <row r="6016" spans="43:53" x14ac:dyDescent="0.35">
      <c r="AQ6016" s="54"/>
      <c r="BA6016" s="54"/>
    </row>
    <row r="6017" spans="43:53" x14ac:dyDescent="0.35">
      <c r="AQ6017" s="54"/>
      <c r="BA6017" s="54"/>
    </row>
    <row r="6018" spans="43:53" x14ac:dyDescent="0.35">
      <c r="AQ6018" s="54"/>
      <c r="BA6018" s="54"/>
    </row>
    <row r="6019" spans="43:53" x14ac:dyDescent="0.35">
      <c r="AQ6019" s="54"/>
      <c r="BA6019" s="54"/>
    </row>
    <row r="6020" spans="43:53" x14ac:dyDescent="0.35">
      <c r="AQ6020" s="54"/>
      <c r="BA6020" s="54"/>
    </row>
    <row r="6021" spans="43:53" x14ac:dyDescent="0.35">
      <c r="AQ6021" s="54"/>
      <c r="BA6021" s="54"/>
    </row>
    <row r="6022" spans="43:53" x14ac:dyDescent="0.35">
      <c r="AQ6022" s="54"/>
      <c r="BA6022" s="54"/>
    </row>
    <row r="6023" spans="43:53" x14ac:dyDescent="0.35">
      <c r="AQ6023" s="54"/>
      <c r="BA6023" s="54"/>
    </row>
    <row r="6024" spans="43:53" x14ac:dyDescent="0.35">
      <c r="AQ6024" s="54"/>
      <c r="BA6024" s="54"/>
    </row>
    <row r="6025" spans="43:53" x14ac:dyDescent="0.35">
      <c r="AQ6025" s="54"/>
      <c r="BA6025" s="54"/>
    </row>
    <row r="6026" spans="43:53" x14ac:dyDescent="0.35">
      <c r="AQ6026" s="54"/>
      <c r="BA6026" s="54"/>
    </row>
    <row r="6027" spans="43:53" x14ac:dyDescent="0.35">
      <c r="AQ6027" s="54"/>
      <c r="BA6027" s="54"/>
    </row>
    <row r="6028" spans="43:53" x14ac:dyDescent="0.35">
      <c r="AQ6028" s="54"/>
      <c r="BA6028" s="54"/>
    </row>
    <row r="6029" spans="43:53" x14ac:dyDescent="0.35">
      <c r="AQ6029" s="54"/>
      <c r="BA6029" s="54"/>
    </row>
    <row r="6030" spans="43:53" x14ac:dyDescent="0.35">
      <c r="AQ6030" s="54"/>
      <c r="BA6030" s="54"/>
    </row>
    <row r="6031" spans="43:53" x14ac:dyDescent="0.35">
      <c r="AQ6031" s="54"/>
      <c r="BA6031" s="54"/>
    </row>
    <row r="6032" spans="43:53" x14ac:dyDescent="0.35">
      <c r="AQ6032" s="54"/>
      <c r="BA6032" s="54"/>
    </row>
    <row r="6033" spans="43:53" x14ac:dyDescent="0.35">
      <c r="AQ6033" s="54"/>
      <c r="BA6033" s="54"/>
    </row>
    <row r="6034" spans="43:53" x14ac:dyDescent="0.35">
      <c r="AQ6034" s="54"/>
      <c r="BA6034" s="54"/>
    </row>
    <row r="6035" spans="43:53" x14ac:dyDescent="0.35">
      <c r="AQ6035" s="54"/>
      <c r="BA6035" s="54"/>
    </row>
    <row r="6036" spans="43:53" x14ac:dyDescent="0.35">
      <c r="AQ6036" s="54"/>
      <c r="BA6036" s="54"/>
    </row>
    <row r="6037" spans="43:53" x14ac:dyDescent="0.35">
      <c r="AQ6037" s="54"/>
      <c r="BA6037" s="54"/>
    </row>
    <row r="6038" spans="43:53" x14ac:dyDescent="0.35">
      <c r="AQ6038" s="54"/>
      <c r="BA6038" s="54"/>
    </row>
    <row r="6039" spans="43:53" x14ac:dyDescent="0.35">
      <c r="AQ6039" s="54"/>
      <c r="BA6039" s="54"/>
    </row>
    <row r="6040" spans="43:53" x14ac:dyDescent="0.35">
      <c r="AQ6040" s="54"/>
      <c r="BA6040" s="54"/>
    </row>
    <row r="6041" spans="43:53" x14ac:dyDescent="0.35">
      <c r="AQ6041" s="54"/>
      <c r="BA6041" s="54"/>
    </row>
    <row r="6042" spans="43:53" x14ac:dyDescent="0.35">
      <c r="AQ6042" s="54"/>
      <c r="BA6042" s="54"/>
    </row>
    <row r="6043" spans="43:53" x14ac:dyDescent="0.35">
      <c r="AQ6043" s="54"/>
      <c r="BA6043" s="54"/>
    </row>
    <row r="6044" spans="43:53" x14ac:dyDescent="0.35">
      <c r="AQ6044" s="54"/>
      <c r="BA6044" s="54"/>
    </row>
    <row r="6045" spans="43:53" x14ac:dyDescent="0.35">
      <c r="AQ6045" s="54"/>
      <c r="BA6045" s="54"/>
    </row>
    <row r="6046" spans="43:53" x14ac:dyDescent="0.35">
      <c r="AQ6046" s="54"/>
      <c r="BA6046" s="54"/>
    </row>
    <row r="6047" spans="43:53" x14ac:dyDescent="0.35">
      <c r="AQ6047" s="54"/>
      <c r="BA6047" s="54"/>
    </row>
    <row r="6048" spans="43:53" x14ac:dyDescent="0.35">
      <c r="AQ6048" s="54"/>
      <c r="BA6048" s="54"/>
    </row>
    <row r="6049" spans="43:53" x14ac:dyDescent="0.35">
      <c r="AQ6049" s="54"/>
      <c r="BA6049" s="54"/>
    </row>
    <row r="6050" spans="43:53" x14ac:dyDescent="0.35">
      <c r="AQ6050" s="54"/>
      <c r="BA6050" s="54"/>
    </row>
    <row r="6051" spans="43:53" x14ac:dyDescent="0.35">
      <c r="AQ6051" s="54"/>
      <c r="BA6051" s="54"/>
    </row>
    <row r="6052" spans="43:53" x14ac:dyDescent="0.35">
      <c r="AQ6052" s="54"/>
      <c r="BA6052" s="54"/>
    </row>
    <row r="6053" spans="43:53" x14ac:dyDescent="0.35">
      <c r="AQ6053" s="54"/>
      <c r="BA6053" s="54"/>
    </row>
    <row r="6054" spans="43:53" x14ac:dyDescent="0.35">
      <c r="AQ6054" s="54"/>
      <c r="BA6054" s="54"/>
    </row>
    <row r="6055" spans="43:53" x14ac:dyDescent="0.35">
      <c r="AQ6055" s="54"/>
      <c r="BA6055" s="54"/>
    </row>
    <row r="6056" spans="43:53" x14ac:dyDescent="0.35">
      <c r="AQ6056" s="54"/>
      <c r="BA6056" s="54"/>
    </row>
    <row r="6057" spans="43:53" x14ac:dyDescent="0.35">
      <c r="AQ6057" s="54"/>
      <c r="BA6057" s="54"/>
    </row>
    <row r="6058" spans="43:53" x14ac:dyDescent="0.35">
      <c r="AQ6058" s="54"/>
      <c r="BA6058" s="54"/>
    </row>
    <row r="6059" spans="43:53" x14ac:dyDescent="0.35">
      <c r="AQ6059" s="54"/>
      <c r="BA6059" s="54"/>
    </row>
    <row r="6060" spans="43:53" x14ac:dyDescent="0.35">
      <c r="AQ6060" s="54"/>
      <c r="BA6060" s="54"/>
    </row>
    <row r="6061" spans="43:53" x14ac:dyDescent="0.35">
      <c r="AQ6061" s="54"/>
      <c r="BA6061" s="54"/>
    </row>
    <row r="6062" spans="43:53" x14ac:dyDescent="0.35">
      <c r="AQ6062" s="54"/>
      <c r="BA6062" s="54"/>
    </row>
    <row r="6063" spans="43:53" x14ac:dyDescent="0.35">
      <c r="AQ6063" s="54"/>
      <c r="BA6063" s="54"/>
    </row>
    <row r="6064" spans="43:53" x14ac:dyDescent="0.35">
      <c r="AQ6064" s="54"/>
      <c r="BA6064" s="54"/>
    </row>
    <row r="6065" spans="43:53" x14ac:dyDescent="0.35">
      <c r="AQ6065" s="54"/>
      <c r="BA6065" s="54"/>
    </row>
    <row r="6066" spans="43:53" x14ac:dyDescent="0.35">
      <c r="AQ6066" s="54"/>
      <c r="BA6066" s="54"/>
    </row>
    <row r="6067" spans="43:53" x14ac:dyDescent="0.35">
      <c r="AQ6067" s="54"/>
      <c r="BA6067" s="54"/>
    </row>
    <row r="6068" spans="43:53" x14ac:dyDescent="0.35">
      <c r="AQ6068" s="54"/>
      <c r="BA6068" s="54"/>
    </row>
    <row r="6069" spans="43:53" x14ac:dyDescent="0.35">
      <c r="AQ6069" s="54"/>
      <c r="BA6069" s="54"/>
    </row>
    <row r="6070" spans="43:53" x14ac:dyDescent="0.35">
      <c r="AQ6070" s="54"/>
      <c r="BA6070" s="54"/>
    </row>
    <row r="6071" spans="43:53" x14ac:dyDescent="0.35">
      <c r="AQ6071" s="54"/>
      <c r="BA6071" s="54"/>
    </row>
    <row r="6072" spans="43:53" x14ac:dyDescent="0.35">
      <c r="AQ6072" s="54"/>
      <c r="BA6072" s="54"/>
    </row>
    <row r="6073" spans="43:53" x14ac:dyDescent="0.35">
      <c r="AQ6073" s="54"/>
      <c r="BA6073" s="54"/>
    </row>
    <row r="6074" spans="43:53" x14ac:dyDescent="0.35">
      <c r="AQ6074" s="54"/>
      <c r="BA6074" s="54"/>
    </row>
    <row r="6075" spans="43:53" x14ac:dyDescent="0.35">
      <c r="AQ6075" s="54"/>
      <c r="BA6075" s="54"/>
    </row>
    <row r="6076" spans="43:53" x14ac:dyDescent="0.35">
      <c r="AQ6076" s="54"/>
      <c r="BA6076" s="54"/>
    </row>
    <row r="6077" spans="43:53" x14ac:dyDescent="0.35">
      <c r="AQ6077" s="54"/>
      <c r="BA6077" s="54"/>
    </row>
    <row r="6078" spans="43:53" x14ac:dyDescent="0.35">
      <c r="AQ6078" s="54"/>
      <c r="BA6078" s="54"/>
    </row>
    <row r="6079" spans="43:53" x14ac:dyDescent="0.35">
      <c r="AQ6079" s="54"/>
      <c r="BA6079" s="54"/>
    </row>
    <row r="6080" spans="43:53" x14ac:dyDescent="0.35">
      <c r="AQ6080" s="54"/>
      <c r="BA6080" s="54"/>
    </row>
    <row r="6081" spans="43:53" x14ac:dyDescent="0.35">
      <c r="AQ6081" s="54"/>
      <c r="BA6081" s="54"/>
    </row>
    <row r="6082" spans="43:53" x14ac:dyDescent="0.35">
      <c r="AQ6082" s="54"/>
      <c r="BA6082" s="54"/>
    </row>
    <row r="6083" spans="43:53" x14ac:dyDescent="0.35">
      <c r="AQ6083" s="54"/>
      <c r="BA6083" s="54"/>
    </row>
    <row r="6084" spans="43:53" x14ac:dyDescent="0.35">
      <c r="AQ6084" s="54"/>
      <c r="BA6084" s="54"/>
    </row>
    <row r="6085" spans="43:53" x14ac:dyDescent="0.35">
      <c r="AQ6085" s="54"/>
      <c r="BA6085" s="54"/>
    </row>
    <row r="6086" spans="43:53" x14ac:dyDescent="0.35">
      <c r="AQ6086" s="54"/>
      <c r="BA6086" s="54"/>
    </row>
    <row r="6087" spans="43:53" x14ac:dyDescent="0.35">
      <c r="AQ6087" s="54"/>
      <c r="BA6087" s="54"/>
    </row>
    <row r="6088" spans="43:53" x14ac:dyDescent="0.35">
      <c r="AQ6088" s="54"/>
      <c r="BA6088" s="54"/>
    </row>
    <row r="6089" spans="43:53" x14ac:dyDescent="0.35">
      <c r="AQ6089" s="54"/>
      <c r="BA6089" s="54"/>
    </row>
    <row r="6090" spans="43:53" x14ac:dyDescent="0.35">
      <c r="AQ6090" s="54"/>
      <c r="BA6090" s="54"/>
    </row>
    <row r="6091" spans="43:53" x14ac:dyDescent="0.35">
      <c r="AQ6091" s="54"/>
      <c r="BA6091" s="54"/>
    </row>
    <row r="6092" spans="43:53" x14ac:dyDescent="0.35">
      <c r="AQ6092" s="54"/>
      <c r="BA6092" s="54"/>
    </row>
    <row r="6093" spans="43:53" x14ac:dyDescent="0.35">
      <c r="AQ6093" s="54"/>
      <c r="BA6093" s="54"/>
    </row>
    <row r="6094" spans="43:53" x14ac:dyDescent="0.35">
      <c r="AQ6094" s="54"/>
      <c r="BA6094" s="54"/>
    </row>
    <row r="6095" spans="43:53" x14ac:dyDescent="0.35">
      <c r="AQ6095" s="54"/>
      <c r="BA6095" s="54"/>
    </row>
    <row r="6096" spans="43:53" x14ac:dyDescent="0.35">
      <c r="AQ6096" s="54"/>
      <c r="BA6096" s="54"/>
    </row>
    <row r="6097" spans="43:53" x14ac:dyDescent="0.35">
      <c r="AQ6097" s="54"/>
      <c r="BA6097" s="54"/>
    </row>
    <row r="6098" spans="43:53" x14ac:dyDescent="0.35">
      <c r="AQ6098" s="54"/>
      <c r="BA6098" s="54"/>
    </row>
    <row r="6099" spans="43:53" x14ac:dyDescent="0.35">
      <c r="AQ6099" s="54"/>
      <c r="BA6099" s="54"/>
    </row>
    <row r="6100" spans="43:53" x14ac:dyDescent="0.35">
      <c r="AQ6100" s="54"/>
      <c r="BA6100" s="54"/>
    </row>
    <row r="6101" spans="43:53" x14ac:dyDescent="0.35">
      <c r="AQ6101" s="54"/>
      <c r="BA6101" s="54"/>
    </row>
    <row r="6102" spans="43:53" x14ac:dyDescent="0.35">
      <c r="AQ6102" s="54"/>
      <c r="BA6102" s="54"/>
    </row>
    <row r="6103" spans="43:53" x14ac:dyDescent="0.35">
      <c r="AQ6103" s="54"/>
      <c r="BA6103" s="54"/>
    </row>
    <row r="6104" spans="43:53" x14ac:dyDescent="0.35">
      <c r="AQ6104" s="54"/>
      <c r="BA6104" s="54"/>
    </row>
    <row r="6105" spans="43:53" x14ac:dyDescent="0.35">
      <c r="AQ6105" s="54"/>
      <c r="BA6105" s="54"/>
    </row>
    <row r="6106" spans="43:53" x14ac:dyDescent="0.35">
      <c r="AQ6106" s="54"/>
      <c r="BA6106" s="54"/>
    </row>
    <row r="6107" spans="43:53" x14ac:dyDescent="0.35">
      <c r="AQ6107" s="54"/>
      <c r="BA6107" s="54"/>
    </row>
    <row r="6108" spans="43:53" x14ac:dyDescent="0.35">
      <c r="AQ6108" s="54"/>
      <c r="BA6108" s="54"/>
    </row>
    <row r="6109" spans="43:53" x14ac:dyDescent="0.35">
      <c r="AQ6109" s="54"/>
      <c r="BA6109" s="54"/>
    </row>
    <row r="6110" spans="43:53" x14ac:dyDescent="0.35">
      <c r="AQ6110" s="54"/>
      <c r="BA6110" s="54"/>
    </row>
    <row r="6111" spans="43:53" x14ac:dyDescent="0.35">
      <c r="AQ6111" s="54"/>
      <c r="BA6111" s="54"/>
    </row>
    <row r="6112" spans="43:53" x14ac:dyDescent="0.35">
      <c r="AQ6112" s="54"/>
      <c r="BA6112" s="54"/>
    </row>
    <row r="6113" spans="43:53" x14ac:dyDescent="0.35">
      <c r="AQ6113" s="54"/>
      <c r="BA6113" s="54"/>
    </row>
    <row r="6114" spans="43:53" x14ac:dyDescent="0.35">
      <c r="AQ6114" s="54"/>
      <c r="BA6114" s="54"/>
    </row>
    <row r="6115" spans="43:53" x14ac:dyDescent="0.35">
      <c r="AQ6115" s="54"/>
      <c r="BA6115" s="54"/>
    </row>
    <row r="6116" spans="43:53" x14ac:dyDescent="0.35">
      <c r="AQ6116" s="54"/>
      <c r="BA6116" s="54"/>
    </row>
    <row r="6117" spans="43:53" x14ac:dyDescent="0.35">
      <c r="AQ6117" s="54"/>
      <c r="BA6117" s="54"/>
    </row>
    <row r="6118" spans="43:53" x14ac:dyDescent="0.35">
      <c r="AQ6118" s="54"/>
      <c r="BA6118" s="54"/>
    </row>
    <row r="6119" spans="43:53" x14ac:dyDescent="0.35">
      <c r="AQ6119" s="54"/>
      <c r="BA6119" s="54"/>
    </row>
    <row r="6120" spans="43:53" x14ac:dyDescent="0.35">
      <c r="AQ6120" s="54"/>
      <c r="BA6120" s="54"/>
    </row>
    <row r="6121" spans="43:53" x14ac:dyDescent="0.35">
      <c r="AQ6121" s="54"/>
      <c r="BA6121" s="54"/>
    </row>
    <row r="6122" spans="43:53" x14ac:dyDescent="0.35">
      <c r="AQ6122" s="54"/>
      <c r="BA6122" s="54"/>
    </row>
    <row r="6123" spans="43:53" x14ac:dyDescent="0.35">
      <c r="AQ6123" s="54"/>
      <c r="BA6123" s="54"/>
    </row>
    <row r="6124" spans="43:53" x14ac:dyDescent="0.35">
      <c r="AQ6124" s="54"/>
      <c r="BA6124" s="54"/>
    </row>
    <row r="6125" spans="43:53" x14ac:dyDescent="0.35">
      <c r="AQ6125" s="54"/>
      <c r="BA6125" s="54"/>
    </row>
    <row r="6126" spans="43:53" x14ac:dyDescent="0.35">
      <c r="AQ6126" s="54"/>
      <c r="BA6126" s="54"/>
    </row>
    <row r="6127" spans="43:53" x14ac:dyDescent="0.35">
      <c r="AQ6127" s="54"/>
      <c r="BA6127" s="54"/>
    </row>
    <row r="6128" spans="43:53" x14ac:dyDescent="0.35">
      <c r="AQ6128" s="54"/>
      <c r="BA6128" s="54"/>
    </row>
    <row r="6129" spans="43:53" x14ac:dyDescent="0.35">
      <c r="AQ6129" s="54"/>
      <c r="BA6129" s="54"/>
    </row>
    <row r="6130" spans="43:53" x14ac:dyDescent="0.35">
      <c r="AQ6130" s="54"/>
      <c r="BA6130" s="54"/>
    </row>
    <row r="6131" spans="43:53" x14ac:dyDescent="0.35">
      <c r="AQ6131" s="54"/>
      <c r="BA6131" s="54"/>
    </row>
    <row r="6132" spans="43:53" x14ac:dyDescent="0.35">
      <c r="AQ6132" s="54"/>
      <c r="BA6132" s="54"/>
    </row>
    <row r="6133" spans="43:53" x14ac:dyDescent="0.35">
      <c r="AQ6133" s="54"/>
      <c r="BA6133" s="54"/>
    </row>
    <row r="6134" spans="43:53" x14ac:dyDescent="0.35">
      <c r="AQ6134" s="54"/>
      <c r="BA6134" s="54"/>
    </row>
    <row r="6135" spans="43:53" x14ac:dyDescent="0.35">
      <c r="AQ6135" s="54"/>
      <c r="BA6135" s="54"/>
    </row>
    <row r="6136" spans="43:53" x14ac:dyDescent="0.35">
      <c r="AQ6136" s="54"/>
      <c r="BA6136" s="54"/>
    </row>
    <row r="6137" spans="43:53" x14ac:dyDescent="0.35">
      <c r="AQ6137" s="54"/>
      <c r="BA6137" s="54"/>
    </row>
    <row r="6138" spans="43:53" x14ac:dyDescent="0.35">
      <c r="AQ6138" s="54"/>
      <c r="BA6138" s="54"/>
    </row>
    <row r="6139" spans="43:53" x14ac:dyDescent="0.35">
      <c r="AQ6139" s="54"/>
      <c r="BA6139" s="54"/>
    </row>
    <row r="6140" spans="43:53" x14ac:dyDescent="0.35">
      <c r="AQ6140" s="54"/>
      <c r="BA6140" s="54"/>
    </row>
    <row r="6141" spans="43:53" x14ac:dyDescent="0.35">
      <c r="AQ6141" s="54"/>
      <c r="BA6141" s="54"/>
    </row>
    <row r="6142" spans="43:53" x14ac:dyDescent="0.35">
      <c r="AQ6142" s="54"/>
      <c r="BA6142" s="54"/>
    </row>
    <row r="6143" spans="43:53" x14ac:dyDescent="0.35">
      <c r="AQ6143" s="54"/>
      <c r="BA6143" s="54"/>
    </row>
    <row r="6144" spans="43:53" x14ac:dyDescent="0.35">
      <c r="AQ6144" s="54"/>
      <c r="BA6144" s="54"/>
    </row>
    <row r="6145" spans="43:53" x14ac:dyDescent="0.35">
      <c r="AQ6145" s="54"/>
      <c r="BA6145" s="54"/>
    </row>
    <row r="6146" spans="43:53" x14ac:dyDescent="0.35">
      <c r="AQ6146" s="54"/>
      <c r="BA6146" s="54"/>
    </row>
    <row r="6147" spans="43:53" x14ac:dyDescent="0.35">
      <c r="AQ6147" s="54"/>
      <c r="BA6147" s="54"/>
    </row>
    <row r="6148" spans="43:53" x14ac:dyDescent="0.35">
      <c r="AQ6148" s="54"/>
      <c r="BA6148" s="54"/>
    </row>
    <row r="6149" spans="43:53" x14ac:dyDescent="0.35">
      <c r="AQ6149" s="54"/>
      <c r="BA6149" s="54"/>
    </row>
    <row r="6150" spans="43:53" x14ac:dyDescent="0.35">
      <c r="AQ6150" s="54"/>
      <c r="BA6150" s="54"/>
    </row>
    <row r="6151" spans="43:53" x14ac:dyDescent="0.35">
      <c r="AQ6151" s="54"/>
      <c r="BA6151" s="54"/>
    </row>
    <row r="6152" spans="43:53" x14ac:dyDescent="0.35">
      <c r="AQ6152" s="54"/>
      <c r="BA6152" s="54"/>
    </row>
    <row r="6153" spans="43:53" x14ac:dyDescent="0.35">
      <c r="AQ6153" s="54"/>
      <c r="BA6153" s="54"/>
    </row>
    <row r="6154" spans="43:53" x14ac:dyDescent="0.35">
      <c r="AQ6154" s="54"/>
      <c r="BA6154" s="54"/>
    </row>
    <row r="6155" spans="43:53" x14ac:dyDescent="0.35">
      <c r="AQ6155" s="54"/>
      <c r="BA6155" s="54"/>
    </row>
    <row r="6156" spans="43:53" x14ac:dyDescent="0.35">
      <c r="AQ6156" s="54"/>
      <c r="BA6156" s="54"/>
    </row>
    <row r="6157" spans="43:53" x14ac:dyDescent="0.35">
      <c r="AQ6157" s="54"/>
      <c r="BA6157" s="54"/>
    </row>
    <row r="6158" spans="43:53" x14ac:dyDescent="0.35">
      <c r="AQ6158" s="54"/>
      <c r="BA6158" s="54"/>
    </row>
    <row r="6159" spans="43:53" x14ac:dyDescent="0.35">
      <c r="AQ6159" s="54"/>
      <c r="BA6159" s="54"/>
    </row>
    <row r="6160" spans="43:53" x14ac:dyDescent="0.35">
      <c r="AQ6160" s="54"/>
      <c r="BA6160" s="54"/>
    </row>
    <row r="6161" spans="43:53" x14ac:dyDescent="0.35">
      <c r="AQ6161" s="54"/>
      <c r="BA6161" s="54"/>
    </row>
    <row r="6162" spans="43:53" x14ac:dyDescent="0.35">
      <c r="AQ6162" s="54"/>
      <c r="BA6162" s="54"/>
    </row>
    <row r="6163" spans="43:53" x14ac:dyDescent="0.35">
      <c r="AQ6163" s="54"/>
      <c r="BA6163" s="54"/>
    </row>
    <row r="6164" spans="43:53" x14ac:dyDescent="0.35">
      <c r="AQ6164" s="54"/>
      <c r="BA6164" s="54"/>
    </row>
    <row r="6165" spans="43:53" x14ac:dyDescent="0.35">
      <c r="AQ6165" s="54"/>
      <c r="BA6165" s="54"/>
    </row>
    <row r="6166" spans="43:53" x14ac:dyDescent="0.35">
      <c r="AQ6166" s="54"/>
      <c r="BA6166" s="54"/>
    </row>
    <row r="6167" spans="43:53" x14ac:dyDescent="0.35">
      <c r="AQ6167" s="54"/>
      <c r="BA6167" s="54"/>
    </row>
    <row r="6168" spans="43:53" x14ac:dyDescent="0.35">
      <c r="AQ6168" s="54"/>
      <c r="BA6168" s="54"/>
    </row>
    <row r="6169" spans="43:53" x14ac:dyDescent="0.35">
      <c r="AQ6169" s="54"/>
      <c r="BA6169" s="54"/>
    </row>
    <row r="6170" spans="43:53" x14ac:dyDescent="0.35">
      <c r="AQ6170" s="54"/>
      <c r="BA6170" s="54"/>
    </row>
    <row r="6171" spans="43:53" x14ac:dyDescent="0.35">
      <c r="AQ6171" s="54"/>
      <c r="BA6171" s="54"/>
    </row>
    <row r="6172" spans="43:53" x14ac:dyDescent="0.35">
      <c r="AQ6172" s="54"/>
      <c r="BA6172" s="54"/>
    </row>
    <row r="6173" spans="43:53" x14ac:dyDescent="0.35">
      <c r="AQ6173" s="54"/>
      <c r="BA6173" s="54"/>
    </row>
    <row r="6174" spans="43:53" x14ac:dyDescent="0.35">
      <c r="AQ6174" s="54"/>
      <c r="BA6174" s="54"/>
    </row>
    <row r="6175" spans="43:53" x14ac:dyDescent="0.35">
      <c r="AQ6175" s="54"/>
      <c r="BA6175" s="54"/>
    </row>
    <row r="6176" spans="43:53" x14ac:dyDescent="0.35">
      <c r="AQ6176" s="54"/>
      <c r="BA6176" s="54"/>
    </row>
    <row r="6177" spans="43:53" x14ac:dyDescent="0.35">
      <c r="AQ6177" s="54"/>
      <c r="BA6177" s="54"/>
    </row>
    <row r="6178" spans="43:53" x14ac:dyDescent="0.35">
      <c r="AQ6178" s="54"/>
      <c r="BA6178" s="54"/>
    </row>
    <row r="6179" spans="43:53" x14ac:dyDescent="0.35">
      <c r="AQ6179" s="54"/>
      <c r="BA6179" s="54"/>
    </row>
    <row r="6180" spans="43:53" x14ac:dyDescent="0.35">
      <c r="AQ6180" s="54"/>
      <c r="BA6180" s="54"/>
    </row>
    <row r="6181" spans="43:53" x14ac:dyDescent="0.35">
      <c r="AQ6181" s="54"/>
      <c r="BA6181" s="54"/>
    </row>
    <row r="6182" spans="43:53" x14ac:dyDescent="0.35">
      <c r="AQ6182" s="54"/>
      <c r="BA6182" s="54"/>
    </row>
    <row r="6183" spans="43:53" x14ac:dyDescent="0.35">
      <c r="AQ6183" s="54"/>
      <c r="BA6183" s="54"/>
    </row>
    <row r="6184" spans="43:53" x14ac:dyDescent="0.35">
      <c r="AQ6184" s="54"/>
      <c r="BA6184" s="54"/>
    </row>
    <row r="6185" spans="43:53" x14ac:dyDescent="0.35">
      <c r="AQ6185" s="54"/>
      <c r="BA6185" s="54"/>
    </row>
    <row r="6186" spans="43:53" x14ac:dyDescent="0.35">
      <c r="AQ6186" s="54"/>
      <c r="BA6186" s="54"/>
    </row>
    <row r="6187" spans="43:53" x14ac:dyDescent="0.35">
      <c r="AQ6187" s="54"/>
      <c r="BA6187" s="54"/>
    </row>
    <row r="6188" spans="43:53" x14ac:dyDescent="0.35">
      <c r="AQ6188" s="54"/>
      <c r="BA6188" s="54"/>
    </row>
    <row r="6189" spans="43:53" x14ac:dyDescent="0.35">
      <c r="AQ6189" s="54"/>
      <c r="BA6189" s="54"/>
    </row>
    <row r="6190" spans="43:53" x14ac:dyDescent="0.35">
      <c r="AQ6190" s="54"/>
      <c r="BA6190" s="54"/>
    </row>
    <row r="6191" spans="43:53" x14ac:dyDescent="0.35">
      <c r="AQ6191" s="54"/>
      <c r="BA6191" s="54"/>
    </row>
    <row r="6192" spans="43:53" x14ac:dyDescent="0.35">
      <c r="AQ6192" s="54"/>
      <c r="BA6192" s="54"/>
    </row>
    <row r="6193" spans="43:53" x14ac:dyDescent="0.35">
      <c r="AQ6193" s="54"/>
      <c r="BA6193" s="54"/>
    </row>
    <row r="6194" spans="43:53" x14ac:dyDescent="0.35">
      <c r="AQ6194" s="54"/>
      <c r="BA6194" s="54"/>
    </row>
    <row r="6195" spans="43:53" x14ac:dyDescent="0.35">
      <c r="AQ6195" s="54"/>
      <c r="BA6195" s="54"/>
    </row>
    <row r="6196" spans="43:53" x14ac:dyDescent="0.35">
      <c r="AQ6196" s="54"/>
      <c r="BA6196" s="54"/>
    </row>
    <row r="6197" spans="43:53" x14ac:dyDescent="0.35">
      <c r="AQ6197" s="54"/>
      <c r="BA6197" s="54"/>
    </row>
    <row r="6198" spans="43:53" x14ac:dyDescent="0.35">
      <c r="AQ6198" s="54"/>
      <c r="BA6198" s="54"/>
    </row>
    <row r="6199" spans="43:53" x14ac:dyDescent="0.35">
      <c r="AQ6199" s="54"/>
      <c r="BA6199" s="54"/>
    </row>
    <row r="6200" spans="43:53" x14ac:dyDescent="0.35">
      <c r="AQ6200" s="54"/>
      <c r="BA6200" s="54"/>
    </row>
    <row r="6201" spans="43:53" x14ac:dyDescent="0.35">
      <c r="AQ6201" s="54"/>
      <c r="BA6201" s="54"/>
    </row>
    <row r="6202" spans="43:53" x14ac:dyDescent="0.35">
      <c r="AQ6202" s="54"/>
      <c r="BA6202" s="54"/>
    </row>
    <row r="6203" spans="43:53" x14ac:dyDescent="0.35">
      <c r="AQ6203" s="54"/>
      <c r="BA6203" s="54"/>
    </row>
    <row r="6204" spans="43:53" x14ac:dyDescent="0.35">
      <c r="AQ6204" s="54"/>
      <c r="BA6204" s="54"/>
    </row>
    <row r="6205" spans="43:53" x14ac:dyDescent="0.35">
      <c r="AQ6205" s="54"/>
      <c r="BA6205" s="54"/>
    </row>
    <row r="6206" spans="43:53" x14ac:dyDescent="0.35">
      <c r="AQ6206" s="54"/>
      <c r="BA6206" s="54"/>
    </row>
    <row r="6207" spans="43:53" x14ac:dyDescent="0.35">
      <c r="AQ6207" s="54"/>
      <c r="BA6207" s="54"/>
    </row>
    <row r="6208" spans="43:53" x14ac:dyDescent="0.35">
      <c r="AQ6208" s="54"/>
      <c r="BA6208" s="54"/>
    </row>
    <row r="6209" spans="43:53" x14ac:dyDescent="0.35">
      <c r="AQ6209" s="54"/>
      <c r="BA6209" s="54"/>
    </row>
    <row r="6210" spans="43:53" x14ac:dyDescent="0.35">
      <c r="AQ6210" s="54"/>
      <c r="BA6210" s="54"/>
    </row>
    <row r="6211" spans="43:53" x14ac:dyDescent="0.35">
      <c r="AQ6211" s="54"/>
      <c r="BA6211" s="54"/>
    </row>
    <row r="6212" spans="43:53" x14ac:dyDescent="0.35">
      <c r="AQ6212" s="54"/>
      <c r="BA6212" s="54"/>
    </row>
    <row r="6213" spans="43:53" x14ac:dyDescent="0.35">
      <c r="AQ6213" s="54"/>
      <c r="BA6213" s="54"/>
    </row>
    <row r="6214" spans="43:53" x14ac:dyDescent="0.35">
      <c r="AQ6214" s="54"/>
      <c r="BA6214" s="54"/>
    </row>
    <row r="6215" spans="43:53" x14ac:dyDescent="0.35">
      <c r="AQ6215" s="54"/>
      <c r="BA6215" s="54"/>
    </row>
    <row r="6216" spans="43:53" x14ac:dyDescent="0.35">
      <c r="AQ6216" s="54"/>
      <c r="BA6216" s="54"/>
    </row>
    <row r="6217" spans="43:53" x14ac:dyDescent="0.35">
      <c r="AQ6217" s="54"/>
      <c r="BA6217" s="54"/>
    </row>
    <row r="6218" spans="43:53" x14ac:dyDescent="0.35">
      <c r="AQ6218" s="54"/>
      <c r="BA6218" s="54"/>
    </row>
    <row r="6219" spans="43:53" x14ac:dyDescent="0.35">
      <c r="AQ6219" s="54"/>
      <c r="BA6219" s="54"/>
    </row>
    <row r="6220" spans="43:53" x14ac:dyDescent="0.35">
      <c r="AQ6220" s="54"/>
      <c r="BA6220" s="54"/>
    </row>
    <row r="6221" spans="43:53" x14ac:dyDescent="0.35">
      <c r="AQ6221" s="54"/>
      <c r="BA6221" s="54"/>
    </row>
    <row r="6222" spans="43:53" x14ac:dyDescent="0.35">
      <c r="AQ6222" s="54"/>
      <c r="BA6222" s="54"/>
    </row>
    <row r="6223" spans="43:53" x14ac:dyDescent="0.35">
      <c r="AQ6223" s="54"/>
      <c r="BA6223" s="54"/>
    </row>
    <row r="6224" spans="43:53" x14ac:dyDescent="0.35">
      <c r="AQ6224" s="54"/>
      <c r="BA6224" s="54"/>
    </row>
    <row r="6225" spans="43:53" x14ac:dyDescent="0.35">
      <c r="AQ6225" s="54"/>
      <c r="BA6225" s="54"/>
    </row>
    <row r="6226" spans="43:53" x14ac:dyDescent="0.35">
      <c r="AQ6226" s="54"/>
      <c r="BA6226" s="54"/>
    </row>
    <row r="6227" spans="43:53" x14ac:dyDescent="0.35">
      <c r="AQ6227" s="54"/>
      <c r="BA6227" s="54"/>
    </row>
    <row r="6228" spans="43:53" x14ac:dyDescent="0.35">
      <c r="AQ6228" s="54"/>
      <c r="BA6228" s="54"/>
    </row>
    <row r="6229" spans="43:53" x14ac:dyDescent="0.35">
      <c r="AQ6229" s="54"/>
      <c r="BA6229" s="54"/>
    </row>
    <row r="6230" spans="43:53" x14ac:dyDescent="0.35">
      <c r="AQ6230" s="54"/>
      <c r="BA6230" s="54"/>
    </row>
    <row r="6231" spans="43:53" x14ac:dyDescent="0.35">
      <c r="AQ6231" s="54"/>
      <c r="BA6231" s="54"/>
    </row>
    <row r="6232" spans="43:53" x14ac:dyDescent="0.35">
      <c r="AQ6232" s="54"/>
      <c r="BA6232" s="54"/>
    </row>
    <row r="6233" spans="43:53" x14ac:dyDescent="0.35">
      <c r="AQ6233" s="54"/>
      <c r="BA6233" s="54"/>
    </row>
    <row r="6234" spans="43:53" x14ac:dyDescent="0.35">
      <c r="AQ6234" s="54"/>
      <c r="BA6234" s="54"/>
    </row>
    <row r="6235" spans="43:53" x14ac:dyDescent="0.35">
      <c r="AQ6235" s="54"/>
      <c r="BA6235" s="54"/>
    </row>
    <row r="6236" spans="43:53" x14ac:dyDescent="0.35">
      <c r="AQ6236" s="54"/>
      <c r="BA6236" s="54"/>
    </row>
    <row r="6237" spans="43:53" x14ac:dyDescent="0.35">
      <c r="AQ6237" s="54"/>
      <c r="BA6237" s="54"/>
    </row>
    <row r="6238" spans="43:53" x14ac:dyDescent="0.35">
      <c r="AQ6238" s="54"/>
      <c r="BA6238" s="54"/>
    </row>
    <row r="6239" spans="43:53" x14ac:dyDescent="0.35">
      <c r="AQ6239" s="54"/>
      <c r="BA6239" s="54"/>
    </row>
    <row r="6240" spans="43:53" x14ac:dyDescent="0.35">
      <c r="AQ6240" s="54"/>
      <c r="BA6240" s="54"/>
    </row>
    <row r="6241" spans="43:53" x14ac:dyDescent="0.35">
      <c r="AQ6241" s="54"/>
      <c r="BA6241" s="54"/>
    </row>
    <row r="6242" spans="43:53" x14ac:dyDescent="0.35">
      <c r="AQ6242" s="54"/>
      <c r="BA6242" s="54"/>
    </row>
    <row r="6243" spans="43:53" x14ac:dyDescent="0.35">
      <c r="AQ6243" s="54"/>
      <c r="BA6243" s="54"/>
    </row>
    <row r="6244" spans="43:53" x14ac:dyDescent="0.35">
      <c r="AQ6244" s="54"/>
      <c r="BA6244" s="54"/>
    </row>
    <row r="6245" spans="43:53" x14ac:dyDescent="0.35">
      <c r="AQ6245" s="54"/>
      <c r="BA6245" s="54"/>
    </row>
    <row r="6246" spans="43:53" x14ac:dyDescent="0.35">
      <c r="AQ6246" s="54"/>
      <c r="BA6246" s="54"/>
    </row>
    <row r="6247" spans="43:53" x14ac:dyDescent="0.35">
      <c r="AQ6247" s="54"/>
      <c r="BA6247" s="54"/>
    </row>
    <row r="6248" spans="43:53" x14ac:dyDescent="0.35">
      <c r="AQ6248" s="54"/>
      <c r="BA6248" s="54"/>
    </row>
    <row r="6249" spans="43:53" x14ac:dyDescent="0.35">
      <c r="AQ6249" s="54"/>
      <c r="BA6249" s="54"/>
    </row>
    <row r="6250" spans="43:53" x14ac:dyDescent="0.35">
      <c r="AQ6250" s="54"/>
      <c r="BA6250" s="54"/>
    </row>
    <row r="6251" spans="43:53" x14ac:dyDescent="0.35">
      <c r="AQ6251" s="54"/>
      <c r="BA6251" s="54"/>
    </row>
    <row r="6252" spans="43:53" x14ac:dyDescent="0.35">
      <c r="AQ6252" s="54"/>
      <c r="BA6252" s="54"/>
    </row>
    <row r="6253" spans="43:53" x14ac:dyDescent="0.35">
      <c r="AQ6253" s="54"/>
      <c r="BA6253" s="54"/>
    </row>
    <row r="6254" spans="43:53" x14ac:dyDescent="0.35">
      <c r="AQ6254" s="54"/>
      <c r="BA6254" s="54"/>
    </row>
    <row r="6255" spans="43:53" x14ac:dyDescent="0.35">
      <c r="AQ6255" s="54"/>
      <c r="BA6255" s="54"/>
    </row>
    <row r="6256" spans="43:53" x14ac:dyDescent="0.35">
      <c r="AQ6256" s="54"/>
      <c r="BA6256" s="54"/>
    </row>
    <row r="6257" spans="43:53" x14ac:dyDescent="0.35">
      <c r="AQ6257" s="54"/>
      <c r="BA6257" s="54"/>
    </row>
    <row r="6258" spans="43:53" x14ac:dyDescent="0.35">
      <c r="AQ6258" s="54"/>
      <c r="BA6258" s="54"/>
    </row>
    <row r="6259" spans="43:53" x14ac:dyDescent="0.35">
      <c r="AQ6259" s="54"/>
      <c r="BA6259" s="54"/>
    </row>
    <row r="6260" spans="43:53" x14ac:dyDescent="0.35">
      <c r="AQ6260" s="54"/>
      <c r="BA6260" s="54"/>
    </row>
    <row r="6261" spans="43:53" x14ac:dyDescent="0.35">
      <c r="AQ6261" s="54"/>
      <c r="BA6261" s="54"/>
    </row>
    <row r="6262" spans="43:53" x14ac:dyDescent="0.35">
      <c r="AQ6262" s="54"/>
      <c r="BA6262" s="54"/>
    </row>
    <row r="6263" spans="43:53" x14ac:dyDescent="0.35">
      <c r="AQ6263" s="54"/>
      <c r="BA6263" s="54"/>
    </row>
    <row r="6264" spans="43:53" x14ac:dyDescent="0.35">
      <c r="AQ6264" s="54"/>
      <c r="BA6264" s="54"/>
    </row>
    <row r="6265" spans="43:53" x14ac:dyDescent="0.35">
      <c r="AQ6265" s="54"/>
      <c r="BA6265" s="54"/>
    </row>
    <row r="6266" spans="43:53" x14ac:dyDescent="0.35">
      <c r="AQ6266" s="54"/>
      <c r="BA6266" s="54"/>
    </row>
    <row r="6267" spans="43:53" x14ac:dyDescent="0.35">
      <c r="AQ6267" s="54"/>
      <c r="BA6267" s="54"/>
    </row>
    <row r="6268" spans="43:53" x14ac:dyDescent="0.35">
      <c r="AQ6268" s="54"/>
      <c r="BA6268" s="54"/>
    </row>
    <row r="6269" spans="43:53" x14ac:dyDescent="0.35">
      <c r="AQ6269" s="54"/>
      <c r="BA6269" s="54"/>
    </row>
    <row r="6270" spans="43:53" x14ac:dyDescent="0.35">
      <c r="AQ6270" s="54"/>
      <c r="BA6270" s="54"/>
    </row>
    <row r="6271" spans="43:53" x14ac:dyDescent="0.35">
      <c r="AQ6271" s="54"/>
      <c r="BA6271" s="54"/>
    </row>
    <row r="6272" spans="43:53" x14ac:dyDescent="0.35">
      <c r="AQ6272" s="54"/>
      <c r="BA6272" s="54"/>
    </row>
    <row r="6273" spans="43:53" x14ac:dyDescent="0.35">
      <c r="AQ6273" s="54"/>
      <c r="BA6273" s="54"/>
    </row>
    <row r="6274" spans="43:53" x14ac:dyDescent="0.35">
      <c r="AQ6274" s="54"/>
      <c r="BA6274" s="54"/>
    </row>
    <row r="6275" spans="43:53" x14ac:dyDescent="0.35">
      <c r="AQ6275" s="54"/>
      <c r="BA6275" s="54"/>
    </row>
    <row r="6276" spans="43:53" x14ac:dyDescent="0.35">
      <c r="AQ6276" s="54"/>
      <c r="BA6276" s="54"/>
    </row>
    <row r="6277" spans="43:53" x14ac:dyDescent="0.35">
      <c r="AQ6277" s="54"/>
      <c r="BA6277" s="54"/>
    </row>
    <row r="6278" spans="43:53" x14ac:dyDescent="0.35">
      <c r="AQ6278" s="54"/>
      <c r="BA6278" s="54"/>
    </row>
    <row r="6279" spans="43:53" x14ac:dyDescent="0.35">
      <c r="AQ6279" s="54"/>
      <c r="BA6279" s="54"/>
    </row>
    <row r="6280" spans="43:53" x14ac:dyDescent="0.35">
      <c r="AQ6280" s="54"/>
      <c r="BA6280" s="54"/>
    </row>
    <row r="6281" spans="43:53" x14ac:dyDescent="0.35">
      <c r="AQ6281" s="54"/>
      <c r="BA6281" s="54"/>
    </row>
    <row r="6282" spans="43:53" x14ac:dyDescent="0.35">
      <c r="AQ6282" s="54"/>
      <c r="BA6282" s="54"/>
    </row>
    <row r="6283" spans="43:53" x14ac:dyDescent="0.35">
      <c r="AQ6283" s="54"/>
      <c r="BA6283" s="54"/>
    </row>
    <row r="6284" spans="43:53" x14ac:dyDescent="0.35">
      <c r="AQ6284" s="54"/>
      <c r="BA6284" s="54"/>
    </row>
    <row r="6285" spans="43:53" x14ac:dyDescent="0.35">
      <c r="AQ6285" s="54"/>
      <c r="BA6285" s="54"/>
    </row>
    <row r="6286" spans="43:53" x14ac:dyDescent="0.35">
      <c r="AQ6286" s="54"/>
      <c r="BA6286" s="54"/>
    </row>
    <row r="6287" spans="43:53" x14ac:dyDescent="0.35">
      <c r="AQ6287" s="54"/>
      <c r="BA6287" s="54"/>
    </row>
    <row r="6288" spans="43:53" x14ac:dyDescent="0.35">
      <c r="AQ6288" s="54"/>
      <c r="BA6288" s="54"/>
    </row>
    <row r="6289" spans="43:53" x14ac:dyDescent="0.35">
      <c r="AQ6289" s="54"/>
      <c r="BA6289" s="54"/>
    </row>
    <row r="6290" spans="43:53" x14ac:dyDescent="0.35">
      <c r="AQ6290" s="54"/>
      <c r="BA6290" s="54"/>
    </row>
    <row r="6291" spans="43:53" x14ac:dyDescent="0.35">
      <c r="AQ6291" s="54"/>
      <c r="BA6291" s="54"/>
    </row>
    <row r="6292" spans="43:53" x14ac:dyDescent="0.35">
      <c r="AQ6292" s="54"/>
      <c r="BA6292" s="54"/>
    </row>
    <row r="6293" spans="43:53" x14ac:dyDescent="0.35">
      <c r="AQ6293" s="54"/>
      <c r="BA6293" s="54"/>
    </row>
    <row r="6294" spans="43:53" x14ac:dyDescent="0.35">
      <c r="AQ6294" s="54"/>
      <c r="BA6294" s="54"/>
    </row>
    <row r="6295" spans="43:53" x14ac:dyDescent="0.35">
      <c r="AQ6295" s="54"/>
      <c r="BA6295" s="54"/>
    </row>
    <row r="6296" spans="43:53" x14ac:dyDescent="0.35">
      <c r="AQ6296" s="54"/>
      <c r="BA6296" s="54"/>
    </row>
    <row r="6297" spans="43:53" x14ac:dyDescent="0.35">
      <c r="AQ6297" s="54"/>
      <c r="BA6297" s="54"/>
    </row>
    <row r="6298" spans="43:53" x14ac:dyDescent="0.35">
      <c r="AQ6298" s="54"/>
      <c r="BA6298" s="54"/>
    </row>
    <row r="6299" spans="43:53" x14ac:dyDescent="0.35">
      <c r="AQ6299" s="54"/>
      <c r="BA6299" s="54"/>
    </row>
    <row r="6300" spans="43:53" x14ac:dyDescent="0.35">
      <c r="AQ6300" s="54"/>
      <c r="BA6300" s="54"/>
    </row>
    <row r="6301" spans="43:53" x14ac:dyDescent="0.35">
      <c r="AQ6301" s="54"/>
      <c r="BA6301" s="54"/>
    </row>
    <row r="6302" spans="43:53" x14ac:dyDescent="0.35">
      <c r="AQ6302" s="54"/>
      <c r="BA6302" s="54"/>
    </row>
    <row r="6303" spans="43:53" x14ac:dyDescent="0.35">
      <c r="AQ6303" s="54"/>
      <c r="BA6303" s="54"/>
    </row>
    <row r="6304" spans="43:53" x14ac:dyDescent="0.35">
      <c r="AQ6304" s="54"/>
      <c r="BA6304" s="54"/>
    </row>
    <row r="6305" spans="43:53" x14ac:dyDescent="0.35">
      <c r="AQ6305" s="54"/>
      <c r="BA6305" s="54"/>
    </row>
    <row r="6306" spans="43:53" x14ac:dyDescent="0.35">
      <c r="AQ6306" s="54"/>
      <c r="BA6306" s="54"/>
    </row>
    <row r="6307" spans="43:53" x14ac:dyDescent="0.35">
      <c r="AQ6307" s="54"/>
      <c r="BA6307" s="54"/>
    </row>
    <row r="6308" spans="43:53" x14ac:dyDescent="0.35">
      <c r="AQ6308" s="54"/>
      <c r="BA6308" s="54"/>
    </row>
    <row r="6309" spans="43:53" x14ac:dyDescent="0.35">
      <c r="AQ6309" s="54"/>
      <c r="BA6309" s="54"/>
    </row>
    <row r="6310" spans="43:53" x14ac:dyDescent="0.35">
      <c r="AQ6310" s="54"/>
      <c r="BA6310" s="54"/>
    </row>
    <row r="6311" spans="43:53" x14ac:dyDescent="0.35">
      <c r="AQ6311" s="54"/>
      <c r="BA6311" s="54"/>
    </row>
    <row r="6312" spans="43:53" x14ac:dyDescent="0.35">
      <c r="AQ6312" s="54"/>
      <c r="BA6312" s="54"/>
    </row>
    <row r="6313" spans="43:53" x14ac:dyDescent="0.35">
      <c r="AQ6313" s="54"/>
      <c r="BA6313" s="54"/>
    </row>
    <row r="6314" spans="43:53" x14ac:dyDescent="0.35">
      <c r="AQ6314" s="54"/>
      <c r="BA6314" s="54"/>
    </row>
    <row r="6315" spans="43:53" x14ac:dyDescent="0.35">
      <c r="AQ6315" s="54"/>
      <c r="BA6315" s="54"/>
    </row>
    <row r="6316" spans="43:53" x14ac:dyDescent="0.35">
      <c r="AQ6316" s="54"/>
      <c r="BA6316" s="54"/>
    </row>
    <row r="6317" spans="43:53" x14ac:dyDescent="0.35">
      <c r="AQ6317" s="54"/>
      <c r="BA6317" s="54"/>
    </row>
    <row r="6318" spans="43:53" x14ac:dyDescent="0.35">
      <c r="AQ6318" s="54"/>
      <c r="BA6318" s="54"/>
    </row>
    <row r="6319" spans="43:53" x14ac:dyDescent="0.35">
      <c r="AQ6319" s="54"/>
      <c r="BA6319" s="54"/>
    </row>
    <row r="6320" spans="43:53" x14ac:dyDescent="0.35">
      <c r="AQ6320" s="54"/>
      <c r="BA6320" s="54"/>
    </row>
    <row r="6321" spans="43:53" x14ac:dyDescent="0.35">
      <c r="AQ6321" s="54"/>
      <c r="BA6321" s="54"/>
    </row>
    <row r="6322" spans="43:53" x14ac:dyDescent="0.35">
      <c r="AQ6322" s="54"/>
      <c r="BA6322" s="54"/>
    </row>
    <row r="6323" spans="43:53" x14ac:dyDescent="0.35">
      <c r="AQ6323" s="54"/>
      <c r="BA6323" s="54"/>
    </row>
    <row r="6324" spans="43:53" x14ac:dyDescent="0.35">
      <c r="AQ6324" s="54"/>
      <c r="BA6324" s="54"/>
    </row>
    <row r="6325" spans="43:53" x14ac:dyDescent="0.35">
      <c r="AQ6325" s="54"/>
      <c r="BA6325" s="54"/>
    </row>
    <row r="6326" spans="43:53" x14ac:dyDescent="0.35">
      <c r="AQ6326" s="54"/>
      <c r="BA6326" s="54"/>
    </row>
    <row r="6327" spans="43:53" x14ac:dyDescent="0.35">
      <c r="AQ6327" s="54"/>
      <c r="BA6327" s="54"/>
    </row>
    <row r="6328" spans="43:53" x14ac:dyDescent="0.35">
      <c r="AQ6328" s="54"/>
      <c r="BA6328" s="54"/>
    </row>
    <row r="6329" spans="43:53" x14ac:dyDescent="0.35">
      <c r="AQ6329" s="54"/>
      <c r="BA6329" s="54"/>
    </row>
    <row r="6330" spans="43:53" x14ac:dyDescent="0.35">
      <c r="AQ6330" s="54"/>
      <c r="BA6330" s="54"/>
    </row>
    <row r="6331" spans="43:53" x14ac:dyDescent="0.35">
      <c r="AQ6331" s="54"/>
      <c r="BA6331" s="54"/>
    </row>
    <row r="6332" spans="43:53" x14ac:dyDescent="0.35">
      <c r="AQ6332" s="54"/>
      <c r="BA6332" s="54"/>
    </row>
    <row r="6333" spans="43:53" x14ac:dyDescent="0.35">
      <c r="AQ6333" s="54"/>
      <c r="BA6333" s="54"/>
    </row>
    <row r="6334" spans="43:53" x14ac:dyDescent="0.35">
      <c r="AQ6334" s="54"/>
      <c r="BA6334" s="54"/>
    </row>
    <row r="6335" spans="43:53" x14ac:dyDescent="0.35">
      <c r="AQ6335" s="54"/>
      <c r="BA6335" s="54"/>
    </row>
    <row r="6336" spans="43:53" x14ac:dyDescent="0.35">
      <c r="AQ6336" s="54"/>
      <c r="BA6336" s="54"/>
    </row>
    <row r="6337" spans="43:53" x14ac:dyDescent="0.35">
      <c r="AQ6337" s="54"/>
      <c r="BA6337" s="54"/>
    </row>
    <row r="6338" spans="43:53" x14ac:dyDescent="0.35">
      <c r="AQ6338" s="54"/>
      <c r="BA6338" s="54"/>
    </row>
    <row r="6339" spans="43:53" x14ac:dyDescent="0.35">
      <c r="AQ6339" s="54"/>
      <c r="BA6339" s="54"/>
    </row>
    <row r="6340" spans="43:53" x14ac:dyDescent="0.35">
      <c r="AQ6340" s="54"/>
      <c r="BA6340" s="54"/>
    </row>
    <row r="6341" spans="43:53" x14ac:dyDescent="0.35">
      <c r="AQ6341" s="54"/>
      <c r="BA6341" s="54"/>
    </row>
    <row r="6342" spans="43:53" x14ac:dyDescent="0.35">
      <c r="AQ6342" s="54"/>
      <c r="BA6342" s="54"/>
    </row>
    <row r="6343" spans="43:53" x14ac:dyDescent="0.35">
      <c r="AQ6343" s="54"/>
      <c r="BA6343" s="54"/>
    </row>
    <row r="6344" spans="43:53" x14ac:dyDescent="0.35">
      <c r="AQ6344" s="54"/>
      <c r="BA6344" s="54"/>
    </row>
    <row r="6345" spans="43:53" x14ac:dyDescent="0.35">
      <c r="AQ6345" s="54"/>
      <c r="BA6345" s="54"/>
    </row>
    <row r="6346" spans="43:53" x14ac:dyDescent="0.35">
      <c r="AQ6346" s="54"/>
      <c r="BA6346" s="54"/>
    </row>
    <row r="6347" spans="43:53" x14ac:dyDescent="0.35">
      <c r="AQ6347" s="54"/>
      <c r="BA6347" s="54"/>
    </row>
    <row r="6348" spans="43:53" x14ac:dyDescent="0.35">
      <c r="AQ6348" s="54"/>
      <c r="BA6348" s="54"/>
    </row>
    <row r="6349" spans="43:53" x14ac:dyDescent="0.35">
      <c r="AQ6349" s="54"/>
      <c r="BA6349" s="54"/>
    </row>
    <row r="6350" spans="43:53" x14ac:dyDescent="0.35">
      <c r="AQ6350" s="54"/>
      <c r="BA6350" s="54"/>
    </row>
    <row r="6351" spans="43:53" x14ac:dyDescent="0.35">
      <c r="AQ6351" s="54"/>
      <c r="BA6351" s="54"/>
    </row>
    <row r="6352" spans="43:53" x14ac:dyDescent="0.35">
      <c r="AQ6352" s="54"/>
      <c r="BA6352" s="54"/>
    </row>
    <row r="6353" spans="43:53" x14ac:dyDescent="0.35">
      <c r="AQ6353" s="54"/>
      <c r="BA6353" s="54"/>
    </row>
    <row r="6354" spans="43:53" x14ac:dyDescent="0.35">
      <c r="AQ6354" s="54"/>
      <c r="BA6354" s="54"/>
    </row>
    <row r="6355" spans="43:53" x14ac:dyDescent="0.35">
      <c r="AQ6355" s="54"/>
      <c r="BA6355" s="54"/>
    </row>
    <row r="6356" spans="43:53" x14ac:dyDescent="0.35">
      <c r="AQ6356" s="54"/>
      <c r="BA6356" s="54"/>
    </row>
    <row r="6357" spans="43:53" x14ac:dyDescent="0.35">
      <c r="AQ6357" s="54"/>
      <c r="BA6357" s="54"/>
    </row>
    <row r="6358" spans="43:53" x14ac:dyDescent="0.35">
      <c r="AQ6358" s="54"/>
      <c r="BA6358" s="54"/>
    </row>
    <row r="6359" spans="43:53" x14ac:dyDescent="0.35">
      <c r="AQ6359" s="54"/>
      <c r="BA6359" s="54"/>
    </row>
    <row r="6360" spans="43:53" x14ac:dyDescent="0.35">
      <c r="AQ6360" s="54"/>
      <c r="BA6360" s="54"/>
    </row>
    <row r="6361" spans="43:53" x14ac:dyDescent="0.35">
      <c r="AQ6361" s="54"/>
      <c r="BA6361" s="54"/>
    </row>
    <row r="6362" spans="43:53" x14ac:dyDescent="0.35">
      <c r="AQ6362" s="54"/>
      <c r="BA6362" s="54"/>
    </row>
    <row r="6363" spans="43:53" x14ac:dyDescent="0.35">
      <c r="AQ6363" s="54"/>
      <c r="BA6363" s="54"/>
    </row>
    <row r="6364" spans="43:53" x14ac:dyDescent="0.35">
      <c r="AQ6364" s="54"/>
      <c r="BA6364" s="54"/>
    </row>
    <row r="6365" spans="43:53" x14ac:dyDescent="0.35">
      <c r="AQ6365" s="54"/>
      <c r="BA6365" s="54"/>
    </row>
    <row r="6366" spans="43:53" x14ac:dyDescent="0.35">
      <c r="AQ6366" s="54"/>
      <c r="BA6366" s="54"/>
    </row>
    <row r="6367" spans="43:53" x14ac:dyDescent="0.35">
      <c r="AQ6367" s="54"/>
      <c r="BA6367" s="54"/>
    </row>
    <row r="6368" spans="43:53" x14ac:dyDescent="0.35">
      <c r="AQ6368" s="54"/>
      <c r="BA6368" s="54"/>
    </row>
    <row r="6369" spans="43:53" x14ac:dyDescent="0.35">
      <c r="AQ6369" s="54"/>
      <c r="BA6369" s="54"/>
    </row>
    <row r="6370" spans="43:53" x14ac:dyDescent="0.35">
      <c r="AQ6370" s="54"/>
      <c r="BA6370" s="54"/>
    </row>
    <row r="6371" spans="43:53" x14ac:dyDescent="0.35">
      <c r="AQ6371" s="54"/>
      <c r="BA6371" s="54"/>
    </row>
    <row r="6372" spans="43:53" x14ac:dyDescent="0.35">
      <c r="AQ6372" s="54"/>
      <c r="BA6372" s="54"/>
    </row>
    <row r="6373" spans="43:53" x14ac:dyDescent="0.35">
      <c r="AQ6373" s="54"/>
      <c r="BA6373" s="54"/>
    </row>
    <row r="6374" spans="43:53" x14ac:dyDescent="0.35">
      <c r="AQ6374" s="54"/>
      <c r="BA6374" s="54"/>
    </row>
    <row r="6375" spans="43:53" x14ac:dyDescent="0.35">
      <c r="AQ6375" s="54"/>
      <c r="BA6375" s="54"/>
    </row>
    <row r="6376" spans="43:53" x14ac:dyDescent="0.35">
      <c r="AQ6376" s="54"/>
      <c r="BA6376" s="54"/>
    </row>
    <row r="6377" spans="43:53" x14ac:dyDescent="0.35">
      <c r="AQ6377" s="54"/>
      <c r="BA6377" s="54"/>
    </row>
    <row r="6378" spans="43:53" x14ac:dyDescent="0.35">
      <c r="AQ6378" s="54"/>
      <c r="BA6378" s="54"/>
    </row>
    <row r="6379" spans="43:53" x14ac:dyDescent="0.35">
      <c r="AQ6379" s="54"/>
      <c r="BA6379" s="54"/>
    </row>
    <row r="6380" spans="43:53" x14ac:dyDescent="0.35">
      <c r="AQ6380" s="54"/>
      <c r="BA6380" s="54"/>
    </row>
    <row r="6381" spans="43:53" x14ac:dyDescent="0.35">
      <c r="AQ6381" s="54"/>
      <c r="BA6381" s="54"/>
    </row>
    <row r="6382" spans="43:53" x14ac:dyDescent="0.35">
      <c r="AQ6382" s="54"/>
      <c r="BA6382" s="54"/>
    </row>
    <row r="6383" spans="43:53" x14ac:dyDescent="0.35">
      <c r="AQ6383" s="54"/>
      <c r="BA6383" s="54"/>
    </row>
    <row r="6384" spans="43:53" x14ac:dyDescent="0.35">
      <c r="AQ6384" s="54"/>
      <c r="BA6384" s="54"/>
    </row>
    <row r="6385" spans="43:53" x14ac:dyDescent="0.35">
      <c r="AQ6385" s="54"/>
      <c r="BA6385" s="54"/>
    </row>
    <row r="6386" spans="43:53" x14ac:dyDescent="0.35">
      <c r="AQ6386" s="54"/>
      <c r="BA6386" s="54"/>
    </row>
    <row r="6387" spans="43:53" x14ac:dyDescent="0.35">
      <c r="AQ6387" s="54"/>
      <c r="BA6387" s="54"/>
    </row>
    <row r="6388" spans="43:53" x14ac:dyDescent="0.35">
      <c r="AQ6388" s="54"/>
      <c r="BA6388" s="54"/>
    </row>
    <row r="6389" spans="43:53" x14ac:dyDescent="0.35">
      <c r="AQ6389" s="54"/>
      <c r="BA6389" s="54"/>
    </row>
    <row r="6390" spans="43:53" x14ac:dyDescent="0.35">
      <c r="AQ6390" s="54"/>
      <c r="BA6390" s="54"/>
    </row>
    <row r="6391" spans="43:53" x14ac:dyDescent="0.35">
      <c r="AQ6391" s="54"/>
      <c r="BA6391" s="54"/>
    </row>
    <row r="6392" spans="43:53" x14ac:dyDescent="0.35">
      <c r="AQ6392" s="54"/>
      <c r="BA6392" s="54"/>
    </row>
    <row r="6393" spans="43:53" x14ac:dyDescent="0.35">
      <c r="AQ6393" s="54"/>
      <c r="BA6393" s="54"/>
    </row>
    <row r="6394" spans="43:53" x14ac:dyDescent="0.35">
      <c r="AQ6394" s="54"/>
      <c r="BA6394" s="54"/>
    </row>
    <row r="6395" spans="43:53" x14ac:dyDescent="0.35">
      <c r="AQ6395" s="54"/>
      <c r="BA6395" s="54"/>
    </row>
    <row r="6396" spans="43:53" x14ac:dyDescent="0.35">
      <c r="AQ6396" s="54"/>
      <c r="BA6396" s="54"/>
    </row>
    <row r="6397" spans="43:53" x14ac:dyDescent="0.35">
      <c r="AQ6397" s="54"/>
      <c r="BA6397" s="54"/>
    </row>
    <row r="6398" spans="43:53" x14ac:dyDescent="0.35">
      <c r="AQ6398" s="54"/>
      <c r="BA6398" s="54"/>
    </row>
    <row r="6399" spans="43:53" x14ac:dyDescent="0.35">
      <c r="AQ6399" s="54"/>
      <c r="BA6399" s="54"/>
    </row>
    <row r="6400" spans="43:53" x14ac:dyDescent="0.35">
      <c r="AQ6400" s="54"/>
      <c r="BA6400" s="54"/>
    </row>
    <row r="6401" spans="43:53" x14ac:dyDescent="0.35">
      <c r="AQ6401" s="54"/>
      <c r="BA6401" s="54"/>
    </row>
    <row r="6402" spans="43:53" x14ac:dyDescent="0.35">
      <c r="AQ6402" s="54"/>
      <c r="BA6402" s="54"/>
    </row>
    <row r="6403" spans="43:53" x14ac:dyDescent="0.35">
      <c r="AQ6403" s="54"/>
      <c r="BA6403" s="54"/>
    </row>
    <row r="6404" spans="43:53" x14ac:dyDescent="0.35">
      <c r="AQ6404" s="54"/>
      <c r="BA6404" s="54"/>
    </row>
    <row r="6405" spans="43:53" x14ac:dyDescent="0.35">
      <c r="AQ6405" s="54"/>
      <c r="BA6405" s="54"/>
    </row>
    <row r="6406" spans="43:53" x14ac:dyDescent="0.35">
      <c r="AQ6406" s="54"/>
      <c r="BA6406" s="54"/>
    </row>
    <row r="6407" spans="43:53" x14ac:dyDescent="0.35">
      <c r="AQ6407" s="54"/>
      <c r="BA6407" s="54"/>
    </row>
    <row r="6408" spans="43:53" x14ac:dyDescent="0.35">
      <c r="AQ6408" s="54"/>
      <c r="BA6408" s="54"/>
    </row>
    <row r="6409" spans="43:53" x14ac:dyDescent="0.35">
      <c r="AQ6409" s="54"/>
      <c r="BA6409" s="54"/>
    </row>
    <row r="6410" spans="43:53" x14ac:dyDescent="0.35">
      <c r="AQ6410" s="54"/>
      <c r="BA6410" s="54"/>
    </row>
    <row r="6411" spans="43:53" x14ac:dyDescent="0.35">
      <c r="AQ6411" s="54"/>
      <c r="BA6411" s="54"/>
    </row>
    <row r="6412" spans="43:53" x14ac:dyDescent="0.35">
      <c r="AQ6412" s="54"/>
      <c r="BA6412" s="54"/>
    </row>
    <row r="6413" spans="43:53" x14ac:dyDescent="0.35">
      <c r="AQ6413" s="54"/>
      <c r="BA6413" s="54"/>
    </row>
    <row r="6414" spans="43:53" x14ac:dyDescent="0.35">
      <c r="AQ6414" s="54"/>
      <c r="BA6414" s="54"/>
    </row>
    <row r="6415" spans="43:53" x14ac:dyDescent="0.35">
      <c r="AQ6415" s="54"/>
      <c r="BA6415" s="54"/>
    </row>
    <row r="6416" spans="43:53" x14ac:dyDescent="0.35">
      <c r="AQ6416" s="54"/>
      <c r="BA6416" s="54"/>
    </row>
    <row r="6417" spans="43:53" x14ac:dyDescent="0.35">
      <c r="AQ6417" s="54"/>
      <c r="BA6417" s="54"/>
    </row>
    <row r="6418" spans="43:53" x14ac:dyDescent="0.35">
      <c r="AQ6418" s="54"/>
      <c r="BA6418" s="54"/>
    </row>
    <row r="6419" spans="43:53" x14ac:dyDescent="0.35">
      <c r="AQ6419" s="54"/>
      <c r="BA6419" s="54"/>
    </row>
    <row r="6420" spans="43:53" x14ac:dyDescent="0.35">
      <c r="AQ6420" s="54"/>
      <c r="BA6420" s="54"/>
    </row>
    <row r="6421" spans="43:53" x14ac:dyDescent="0.35">
      <c r="AQ6421" s="54"/>
      <c r="BA6421" s="54"/>
    </row>
    <row r="6422" spans="43:53" x14ac:dyDescent="0.35">
      <c r="AQ6422" s="54"/>
      <c r="BA6422" s="54"/>
    </row>
    <row r="6423" spans="43:53" x14ac:dyDescent="0.35">
      <c r="AQ6423" s="54"/>
      <c r="BA6423" s="54"/>
    </row>
    <row r="6424" spans="43:53" x14ac:dyDescent="0.35">
      <c r="AQ6424" s="54"/>
      <c r="BA6424" s="54"/>
    </row>
    <row r="6425" spans="43:53" x14ac:dyDescent="0.35">
      <c r="AQ6425" s="54"/>
      <c r="BA6425" s="54"/>
    </row>
    <row r="6426" spans="43:53" x14ac:dyDescent="0.35">
      <c r="AQ6426" s="54"/>
      <c r="BA6426" s="54"/>
    </row>
    <row r="6427" spans="43:53" x14ac:dyDescent="0.35">
      <c r="AQ6427" s="54"/>
      <c r="BA6427" s="54"/>
    </row>
    <row r="6428" spans="43:53" x14ac:dyDescent="0.35">
      <c r="AQ6428" s="54"/>
      <c r="BA6428" s="54"/>
    </row>
    <row r="6429" spans="43:53" x14ac:dyDescent="0.35">
      <c r="AQ6429" s="54"/>
      <c r="BA6429" s="54"/>
    </row>
    <row r="6430" spans="43:53" x14ac:dyDescent="0.35">
      <c r="AQ6430" s="54"/>
      <c r="BA6430" s="54"/>
    </row>
    <row r="6431" spans="43:53" x14ac:dyDescent="0.35">
      <c r="AQ6431" s="54"/>
      <c r="BA6431" s="54"/>
    </row>
    <row r="6432" spans="43:53" x14ac:dyDescent="0.35">
      <c r="AQ6432" s="54"/>
      <c r="BA6432" s="54"/>
    </row>
    <row r="6433" spans="43:53" x14ac:dyDescent="0.35">
      <c r="AQ6433" s="54"/>
      <c r="BA6433" s="54"/>
    </row>
    <row r="6434" spans="43:53" x14ac:dyDescent="0.35">
      <c r="AQ6434" s="54"/>
      <c r="BA6434" s="54"/>
    </row>
    <row r="6435" spans="43:53" x14ac:dyDescent="0.35">
      <c r="AQ6435" s="54"/>
      <c r="BA6435" s="54"/>
    </row>
    <row r="6436" spans="43:53" x14ac:dyDescent="0.35">
      <c r="AQ6436" s="54"/>
      <c r="BA6436" s="54"/>
    </row>
    <row r="6437" spans="43:53" x14ac:dyDescent="0.35">
      <c r="AQ6437" s="54"/>
      <c r="BA6437" s="54"/>
    </row>
    <row r="6438" spans="43:53" x14ac:dyDescent="0.35">
      <c r="AQ6438" s="54"/>
      <c r="BA6438" s="54"/>
    </row>
    <row r="6439" spans="43:53" x14ac:dyDescent="0.35">
      <c r="AQ6439" s="54"/>
      <c r="BA6439" s="54"/>
    </row>
    <row r="6440" spans="43:53" x14ac:dyDescent="0.35">
      <c r="AQ6440" s="54"/>
      <c r="BA6440" s="54"/>
    </row>
    <row r="6441" spans="43:53" x14ac:dyDescent="0.35">
      <c r="AQ6441" s="54"/>
      <c r="BA6441" s="54"/>
    </row>
    <row r="6442" spans="43:53" x14ac:dyDescent="0.35">
      <c r="AQ6442" s="54"/>
      <c r="BA6442" s="54"/>
    </row>
    <row r="6443" spans="43:53" x14ac:dyDescent="0.35">
      <c r="AQ6443" s="54"/>
      <c r="BA6443" s="54"/>
    </row>
    <row r="6444" spans="43:53" x14ac:dyDescent="0.35">
      <c r="AQ6444" s="54"/>
      <c r="BA6444" s="54"/>
    </row>
    <row r="6445" spans="43:53" x14ac:dyDescent="0.35">
      <c r="AQ6445" s="54"/>
      <c r="BA6445" s="54"/>
    </row>
    <row r="6446" spans="43:53" x14ac:dyDescent="0.35">
      <c r="AQ6446" s="54"/>
      <c r="BA6446" s="54"/>
    </row>
    <row r="6447" spans="43:53" x14ac:dyDescent="0.35">
      <c r="AQ6447" s="54"/>
      <c r="BA6447" s="54"/>
    </row>
    <row r="6448" spans="43:53" x14ac:dyDescent="0.35">
      <c r="AQ6448" s="54"/>
      <c r="BA6448" s="54"/>
    </row>
    <row r="6449" spans="43:53" x14ac:dyDescent="0.35">
      <c r="AQ6449" s="54"/>
      <c r="BA6449" s="54"/>
    </row>
    <row r="6450" spans="43:53" x14ac:dyDescent="0.35">
      <c r="AQ6450" s="54"/>
      <c r="BA6450" s="54"/>
    </row>
    <row r="6451" spans="43:53" x14ac:dyDescent="0.35">
      <c r="AQ6451" s="54"/>
      <c r="BA6451" s="54"/>
    </row>
    <row r="6452" spans="43:53" x14ac:dyDescent="0.35">
      <c r="AQ6452" s="54"/>
      <c r="BA6452" s="54"/>
    </row>
    <row r="6453" spans="43:53" x14ac:dyDescent="0.35">
      <c r="AQ6453" s="54"/>
      <c r="BA6453" s="54"/>
    </row>
    <row r="6454" spans="43:53" x14ac:dyDescent="0.35">
      <c r="AQ6454" s="54"/>
      <c r="BA6454" s="54"/>
    </row>
    <row r="6455" spans="43:53" x14ac:dyDescent="0.35">
      <c r="AQ6455" s="54"/>
      <c r="BA6455" s="54"/>
    </row>
    <row r="6456" spans="43:53" x14ac:dyDescent="0.35">
      <c r="AQ6456" s="54"/>
      <c r="BA6456" s="54"/>
    </row>
    <row r="6457" spans="43:53" x14ac:dyDescent="0.35">
      <c r="AQ6457" s="54"/>
      <c r="BA6457" s="54"/>
    </row>
    <row r="6458" spans="43:53" x14ac:dyDescent="0.35">
      <c r="AQ6458" s="54"/>
      <c r="BA6458" s="54"/>
    </row>
    <row r="6459" spans="43:53" x14ac:dyDescent="0.35">
      <c r="AQ6459" s="54"/>
      <c r="BA6459" s="54"/>
    </row>
    <row r="6460" spans="43:53" x14ac:dyDescent="0.35">
      <c r="AQ6460" s="54"/>
      <c r="BA6460" s="54"/>
    </row>
    <row r="6461" spans="43:53" x14ac:dyDescent="0.35">
      <c r="AQ6461" s="54"/>
      <c r="BA6461" s="54"/>
    </row>
    <row r="6462" spans="43:53" x14ac:dyDescent="0.35">
      <c r="AQ6462" s="54"/>
      <c r="BA6462" s="54"/>
    </row>
    <row r="6463" spans="43:53" x14ac:dyDescent="0.35">
      <c r="AQ6463" s="54"/>
      <c r="BA6463" s="54"/>
    </row>
    <row r="6464" spans="43:53" x14ac:dyDescent="0.35">
      <c r="AQ6464" s="54"/>
      <c r="BA6464" s="54"/>
    </row>
    <row r="6465" spans="43:53" x14ac:dyDescent="0.35">
      <c r="AQ6465" s="54"/>
      <c r="BA6465" s="54"/>
    </row>
    <row r="6466" spans="43:53" x14ac:dyDescent="0.35">
      <c r="AQ6466" s="54"/>
      <c r="BA6466" s="54"/>
    </row>
    <row r="6467" spans="43:53" x14ac:dyDescent="0.35">
      <c r="AQ6467" s="54"/>
      <c r="BA6467" s="54"/>
    </row>
    <row r="6468" spans="43:53" x14ac:dyDescent="0.35">
      <c r="AQ6468" s="54"/>
      <c r="BA6468" s="54"/>
    </row>
    <row r="6469" spans="43:53" x14ac:dyDescent="0.35">
      <c r="AQ6469" s="54"/>
      <c r="BA6469" s="54"/>
    </row>
    <row r="6470" spans="43:53" x14ac:dyDescent="0.35">
      <c r="AQ6470" s="54"/>
      <c r="BA6470" s="54"/>
    </row>
    <row r="6471" spans="43:53" x14ac:dyDescent="0.35">
      <c r="AQ6471" s="54"/>
      <c r="BA6471" s="54"/>
    </row>
    <row r="6472" spans="43:53" x14ac:dyDescent="0.35">
      <c r="AQ6472" s="54"/>
      <c r="BA6472" s="54"/>
    </row>
    <row r="6473" spans="43:53" x14ac:dyDescent="0.35">
      <c r="AQ6473" s="54"/>
      <c r="BA6473" s="54"/>
    </row>
    <row r="6474" spans="43:53" x14ac:dyDescent="0.35">
      <c r="AQ6474" s="54"/>
      <c r="BA6474" s="54"/>
    </row>
    <row r="6475" spans="43:53" x14ac:dyDescent="0.35">
      <c r="AQ6475" s="54"/>
      <c r="BA6475" s="54"/>
    </row>
    <row r="6476" spans="43:53" x14ac:dyDescent="0.35">
      <c r="AQ6476" s="54"/>
      <c r="BA6476" s="54"/>
    </row>
    <row r="6477" spans="43:53" x14ac:dyDescent="0.35">
      <c r="AQ6477" s="54"/>
      <c r="BA6477" s="54"/>
    </row>
    <row r="6478" spans="43:53" x14ac:dyDescent="0.35">
      <c r="AQ6478" s="54"/>
      <c r="BA6478" s="54"/>
    </row>
    <row r="6479" spans="43:53" x14ac:dyDescent="0.35">
      <c r="AQ6479" s="54"/>
      <c r="BA6479" s="54"/>
    </row>
    <row r="6480" spans="43:53" x14ac:dyDescent="0.35">
      <c r="AQ6480" s="54"/>
      <c r="BA6480" s="54"/>
    </row>
    <row r="6481" spans="43:53" x14ac:dyDescent="0.35">
      <c r="AQ6481" s="54"/>
      <c r="BA6481" s="54"/>
    </row>
    <row r="6482" spans="43:53" x14ac:dyDescent="0.35">
      <c r="AQ6482" s="54"/>
      <c r="BA6482" s="54"/>
    </row>
    <row r="6483" spans="43:53" x14ac:dyDescent="0.35">
      <c r="AQ6483" s="54"/>
      <c r="BA6483" s="54"/>
    </row>
    <row r="6484" spans="43:53" x14ac:dyDescent="0.35">
      <c r="AQ6484" s="54"/>
      <c r="BA6484" s="54"/>
    </row>
    <row r="6485" spans="43:53" x14ac:dyDescent="0.35">
      <c r="AQ6485" s="54"/>
      <c r="BA6485" s="54"/>
    </row>
    <row r="6486" spans="43:53" x14ac:dyDescent="0.35">
      <c r="AQ6486" s="54"/>
      <c r="BA6486" s="54"/>
    </row>
    <row r="6487" spans="43:53" x14ac:dyDescent="0.35">
      <c r="AQ6487" s="54"/>
      <c r="BA6487" s="54"/>
    </row>
    <row r="6488" spans="43:53" x14ac:dyDescent="0.35">
      <c r="AQ6488" s="54"/>
      <c r="BA6488" s="54"/>
    </row>
    <row r="6489" spans="43:53" x14ac:dyDescent="0.35">
      <c r="AQ6489" s="54"/>
      <c r="BA6489" s="54"/>
    </row>
    <row r="6490" spans="43:53" x14ac:dyDescent="0.35">
      <c r="AQ6490" s="54"/>
      <c r="BA6490" s="54"/>
    </row>
    <row r="6491" spans="43:53" x14ac:dyDescent="0.35">
      <c r="AQ6491" s="54"/>
      <c r="BA6491" s="54"/>
    </row>
    <row r="6492" spans="43:53" x14ac:dyDescent="0.35">
      <c r="AQ6492" s="54"/>
      <c r="BA6492" s="54"/>
    </row>
    <row r="6493" spans="43:53" x14ac:dyDescent="0.35">
      <c r="AQ6493" s="54"/>
      <c r="BA6493" s="54"/>
    </row>
    <row r="6494" spans="43:53" x14ac:dyDescent="0.35">
      <c r="AQ6494" s="54"/>
      <c r="BA6494" s="54"/>
    </row>
    <row r="6495" spans="43:53" x14ac:dyDescent="0.35">
      <c r="AQ6495" s="54"/>
      <c r="BA6495" s="54"/>
    </row>
    <row r="6496" spans="43:53" x14ac:dyDescent="0.35">
      <c r="AQ6496" s="54"/>
      <c r="BA6496" s="54"/>
    </row>
    <row r="6497" spans="43:53" x14ac:dyDescent="0.35">
      <c r="AQ6497" s="54"/>
      <c r="BA6497" s="54"/>
    </row>
    <row r="6498" spans="43:53" x14ac:dyDescent="0.35">
      <c r="AQ6498" s="54"/>
      <c r="BA6498" s="54"/>
    </row>
    <row r="6499" spans="43:53" x14ac:dyDescent="0.35">
      <c r="AQ6499" s="54"/>
      <c r="BA6499" s="54"/>
    </row>
    <row r="6500" spans="43:53" x14ac:dyDescent="0.35">
      <c r="AQ6500" s="54"/>
      <c r="BA6500" s="54"/>
    </row>
    <row r="6501" spans="43:53" x14ac:dyDescent="0.35">
      <c r="AQ6501" s="54"/>
      <c r="BA6501" s="54"/>
    </row>
    <row r="6502" spans="43:53" x14ac:dyDescent="0.35">
      <c r="AQ6502" s="54"/>
      <c r="BA6502" s="54"/>
    </row>
    <row r="6503" spans="43:53" x14ac:dyDescent="0.35">
      <c r="AQ6503" s="54"/>
      <c r="BA6503" s="54"/>
    </row>
    <row r="6504" spans="43:53" x14ac:dyDescent="0.35">
      <c r="AQ6504" s="54"/>
      <c r="BA6504" s="54"/>
    </row>
    <row r="6505" spans="43:53" x14ac:dyDescent="0.35">
      <c r="AQ6505" s="54"/>
      <c r="BA6505" s="54"/>
    </row>
    <row r="6506" spans="43:53" x14ac:dyDescent="0.35">
      <c r="AQ6506" s="54"/>
      <c r="BA6506" s="54"/>
    </row>
    <row r="6507" spans="43:53" x14ac:dyDescent="0.35">
      <c r="AQ6507" s="54"/>
      <c r="BA6507" s="54"/>
    </row>
    <row r="6508" spans="43:53" x14ac:dyDescent="0.35">
      <c r="AQ6508" s="54"/>
      <c r="BA6508" s="54"/>
    </row>
    <row r="6509" spans="43:53" x14ac:dyDescent="0.35">
      <c r="AQ6509" s="54"/>
      <c r="BA6509" s="54"/>
    </row>
    <row r="6510" spans="43:53" x14ac:dyDescent="0.35">
      <c r="AQ6510" s="54"/>
      <c r="BA6510" s="54"/>
    </row>
    <row r="6511" spans="43:53" x14ac:dyDescent="0.35">
      <c r="AQ6511" s="54"/>
      <c r="BA6511" s="54"/>
    </row>
    <row r="6512" spans="43:53" x14ac:dyDescent="0.35">
      <c r="AQ6512" s="54"/>
      <c r="BA6512" s="54"/>
    </row>
    <row r="6513" spans="43:53" x14ac:dyDescent="0.35">
      <c r="AQ6513" s="54"/>
      <c r="BA6513" s="54"/>
    </row>
    <row r="6514" spans="43:53" x14ac:dyDescent="0.35">
      <c r="AQ6514" s="54"/>
      <c r="BA6514" s="54"/>
    </row>
    <row r="6515" spans="43:53" x14ac:dyDescent="0.35">
      <c r="AQ6515" s="54"/>
      <c r="BA6515" s="54"/>
    </row>
    <row r="6516" spans="43:53" x14ac:dyDescent="0.35">
      <c r="AQ6516" s="54"/>
      <c r="BA6516" s="54"/>
    </row>
    <row r="6517" spans="43:53" x14ac:dyDescent="0.35">
      <c r="AQ6517" s="54"/>
      <c r="BA6517" s="54"/>
    </row>
    <row r="6518" spans="43:53" x14ac:dyDescent="0.35">
      <c r="AQ6518" s="54"/>
      <c r="BA6518" s="54"/>
    </row>
    <row r="6519" spans="43:53" x14ac:dyDescent="0.35">
      <c r="AQ6519" s="54"/>
      <c r="BA6519" s="54"/>
    </row>
    <row r="6520" spans="43:53" x14ac:dyDescent="0.35">
      <c r="AQ6520" s="54"/>
      <c r="BA6520" s="54"/>
    </row>
    <row r="6521" spans="43:53" x14ac:dyDescent="0.35">
      <c r="AQ6521" s="54"/>
      <c r="BA6521" s="54"/>
    </row>
    <row r="6522" spans="43:53" x14ac:dyDescent="0.35">
      <c r="AQ6522" s="54"/>
      <c r="BA6522" s="54"/>
    </row>
    <row r="6523" spans="43:53" x14ac:dyDescent="0.35">
      <c r="AQ6523" s="54"/>
      <c r="BA6523" s="54"/>
    </row>
    <row r="6524" spans="43:53" x14ac:dyDescent="0.35">
      <c r="AQ6524" s="54"/>
      <c r="BA6524" s="54"/>
    </row>
    <row r="6525" spans="43:53" x14ac:dyDescent="0.35">
      <c r="AQ6525" s="54"/>
      <c r="BA6525" s="54"/>
    </row>
    <row r="6526" spans="43:53" x14ac:dyDescent="0.35">
      <c r="AQ6526" s="54"/>
      <c r="BA6526" s="54"/>
    </row>
    <row r="6527" spans="43:53" x14ac:dyDescent="0.35">
      <c r="AQ6527" s="54"/>
      <c r="BA6527" s="54"/>
    </row>
    <row r="6528" spans="43:53" x14ac:dyDescent="0.35">
      <c r="AQ6528" s="54"/>
      <c r="BA6528" s="54"/>
    </row>
    <row r="6529" spans="43:53" x14ac:dyDescent="0.35">
      <c r="AQ6529" s="54"/>
      <c r="BA6529" s="54"/>
    </row>
    <row r="6530" spans="43:53" x14ac:dyDescent="0.35">
      <c r="AQ6530" s="54"/>
      <c r="BA6530" s="54"/>
    </row>
    <row r="6531" spans="43:53" x14ac:dyDescent="0.35">
      <c r="AQ6531" s="54"/>
      <c r="BA6531" s="54"/>
    </row>
    <row r="6532" spans="43:53" x14ac:dyDescent="0.35">
      <c r="AQ6532" s="54"/>
      <c r="BA6532" s="54"/>
    </row>
    <row r="6533" spans="43:53" x14ac:dyDescent="0.35">
      <c r="AQ6533" s="54"/>
      <c r="BA6533" s="54"/>
    </row>
    <row r="6534" spans="43:53" x14ac:dyDescent="0.35">
      <c r="AQ6534" s="54"/>
      <c r="BA6534" s="54"/>
    </row>
    <row r="6535" spans="43:53" x14ac:dyDescent="0.35">
      <c r="AQ6535" s="54"/>
      <c r="BA6535" s="54"/>
    </row>
    <row r="6536" spans="43:53" x14ac:dyDescent="0.35">
      <c r="AQ6536" s="54"/>
      <c r="BA6536" s="54"/>
    </row>
    <row r="6537" spans="43:53" x14ac:dyDescent="0.35">
      <c r="AQ6537" s="54"/>
      <c r="BA6537" s="54"/>
    </row>
    <row r="6538" spans="43:53" x14ac:dyDescent="0.35">
      <c r="AQ6538" s="54"/>
      <c r="BA6538" s="54"/>
    </row>
    <row r="6539" spans="43:53" x14ac:dyDescent="0.35">
      <c r="AQ6539" s="54"/>
      <c r="BA6539" s="54"/>
    </row>
    <row r="6540" spans="43:53" x14ac:dyDescent="0.35">
      <c r="AQ6540" s="54"/>
      <c r="BA6540" s="54"/>
    </row>
    <row r="6541" spans="43:53" x14ac:dyDescent="0.35">
      <c r="AQ6541" s="54"/>
      <c r="BA6541" s="54"/>
    </row>
    <row r="6542" spans="43:53" x14ac:dyDescent="0.35">
      <c r="AQ6542" s="54"/>
      <c r="BA6542" s="54"/>
    </row>
    <row r="6543" spans="43:53" x14ac:dyDescent="0.35">
      <c r="AQ6543" s="54"/>
      <c r="BA6543" s="54"/>
    </row>
    <row r="6544" spans="43:53" x14ac:dyDescent="0.35">
      <c r="AQ6544" s="54"/>
      <c r="BA6544" s="54"/>
    </row>
    <row r="6545" spans="43:53" x14ac:dyDescent="0.35">
      <c r="AQ6545" s="54"/>
      <c r="BA6545" s="54"/>
    </row>
    <row r="6546" spans="43:53" x14ac:dyDescent="0.35">
      <c r="AQ6546" s="54"/>
      <c r="BA6546" s="54"/>
    </row>
    <row r="6547" spans="43:53" x14ac:dyDescent="0.35">
      <c r="AQ6547" s="54"/>
      <c r="BA6547" s="54"/>
    </row>
    <row r="6548" spans="43:53" x14ac:dyDescent="0.35">
      <c r="AQ6548" s="54"/>
      <c r="BA6548" s="54"/>
    </row>
    <row r="6549" spans="43:53" x14ac:dyDescent="0.35">
      <c r="AQ6549" s="54"/>
      <c r="BA6549" s="54"/>
    </row>
    <row r="6550" spans="43:53" x14ac:dyDescent="0.35">
      <c r="AQ6550" s="54"/>
      <c r="BA6550" s="54"/>
    </row>
    <row r="6551" spans="43:53" x14ac:dyDescent="0.35">
      <c r="AQ6551" s="54"/>
      <c r="BA6551" s="54"/>
    </row>
    <row r="6552" spans="43:53" x14ac:dyDescent="0.35">
      <c r="AQ6552" s="54"/>
      <c r="BA6552" s="54"/>
    </row>
    <row r="6553" spans="43:53" x14ac:dyDescent="0.35">
      <c r="AQ6553" s="54"/>
      <c r="BA6553" s="54"/>
    </row>
    <row r="6554" spans="43:53" x14ac:dyDescent="0.35">
      <c r="AQ6554" s="54"/>
      <c r="BA6554" s="54"/>
    </row>
    <row r="6555" spans="43:53" x14ac:dyDescent="0.35">
      <c r="AQ6555" s="54"/>
      <c r="BA6555" s="54"/>
    </row>
    <row r="6556" spans="43:53" x14ac:dyDescent="0.35">
      <c r="AQ6556" s="54"/>
      <c r="BA6556" s="54"/>
    </row>
    <row r="6557" spans="43:53" x14ac:dyDescent="0.35">
      <c r="AQ6557" s="54"/>
      <c r="BA6557" s="54"/>
    </row>
    <row r="6558" spans="43:53" x14ac:dyDescent="0.35">
      <c r="AQ6558" s="54"/>
      <c r="BA6558" s="54"/>
    </row>
    <row r="6559" spans="43:53" x14ac:dyDescent="0.35">
      <c r="AQ6559" s="54"/>
      <c r="BA6559" s="54"/>
    </row>
    <row r="6560" spans="43:53" x14ac:dyDescent="0.35">
      <c r="AQ6560" s="54"/>
      <c r="BA6560" s="54"/>
    </row>
    <row r="6561" spans="43:53" x14ac:dyDescent="0.35">
      <c r="AQ6561" s="54"/>
      <c r="BA6561" s="54"/>
    </row>
    <row r="6562" spans="43:53" x14ac:dyDescent="0.35">
      <c r="AQ6562" s="54"/>
      <c r="BA6562" s="54"/>
    </row>
    <row r="6563" spans="43:53" x14ac:dyDescent="0.35">
      <c r="AQ6563" s="54"/>
      <c r="BA6563" s="54"/>
    </row>
    <row r="6564" spans="43:53" x14ac:dyDescent="0.35">
      <c r="AQ6564" s="54"/>
      <c r="BA6564" s="54"/>
    </row>
    <row r="6565" spans="43:53" x14ac:dyDescent="0.35">
      <c r="AQ6565" s="54"/>
      <c r="BA6565" s="54"/>
    </row>
    <row r="6566" spans="43:53" x14ac:dyDescent="0.35">
      <c r="AQ6566" s="54"/>
      <c r="BA6566" s="54"/>
    </row>
    <row r="6567" spans="43:53" x14ac:dyDescent="0.35">
      <c r="AQ6567" s="54"/>
      <c r="BA6567" s="54"/>
    </row>
    <row r="6568" spans="43:53" x14ac:dyDescent="0.35">
      <c r="AQ6568" s="54"/>
      <c r="BA6568" s="54"/>
    </row>
    <row r="6569" spans="43:53" x14ac:dyDescent="0.35">
      <c r="AQ6569" s="54"/>
      <c r="BA6569" s="54"/>
    </row>
    <row r="6570" spans="43:53" x14ac:dyDescent="0.35">
      <c r="AQ6570" s="54"/>
      <c r="BA6570" s="54"/>
    </row>
    <row r="6571" spans="43:53" x14ac:dyDescent="0.35">
      <c r="AQ6571" s="54"/>
      <c r="BA6571" s="54"/>
    </row>
    <row r="6572" spans="43:53" x14ac:dyDescent="0.35">
      <c r="AQ6572" s="54"/>
      <c r="BA6572" s="54"/>
    </row>
    <row r="6573" spans="43:53" x14ac:dyDescent="0.35">
      <c r="AQ6573" s="54"/>
      <c r="BA6573" s="54"/>
    </row>
    <row r="6574" spans="43:53" x14ac:dyDescent="0.35">
      <c r="AQ6574" s="54"/>
      <c r="BA6574" s="54"/>
    </row>
    <row r="6575" spans="43:53" x14ac:dyDescent="0.35">
      <c r="AQ6575" s="54"/>
      <c r="BA6575" s="54"/>
    </row>
    <row r="6576" spans="43:53" x14ac:dyDescent="0.35">
      <c r="AQ6576" s="54"/>
      <c r="BA6576" s="54"/>
    </row>
    <row r="6577" spans="43:53" x14ac:dyDescent="0.35">
      <c r="AQ6577" s="54"/>
      <c r="BA6577" s="54"/>
    </row>
    <row r="6578" spans="43:53" x14ac:dyDescent="0.35">
      <c r="AQ6578" s="54"/>
      <c r="BA6578" s="54"/>
    </row>
    <row r="6579" spans="43:53" x14ac:dyDescent="0.35">
      <c r="AQ6579" s="54"/>
      <c r="BA6579" s="54"/>
    </row>
    <row r="6580" spans="43:53" x14ac:dyDescent="0.35">
      <c r="AQ6580" s="54"/>
      <c r="BA6580" s="54"/>
    </row>
    <row r="6581" spans="43:53" x14ac:dyDescent="0.35">
      <c r="AQ6581" s="54"/>
      <c r="BA6581" s="54"/>
    </row>
    <row r="6582" spans="43:53" x14ac:dyDescent="0.35">
      <c r="AQ6582" s="54"/>
      <c r="BA6582" s="54"/>
    </row>
    <row r="6583" spans="43:53" x14ac:dyDescent="0.35">
      <c r="AQ6583" s="54"/>
      <c r="BA6583" s="54"/>
    </row>
    <row r="6584" spans="43:53" x14ac:dyDescent="0.35">
      <c r="AQ6584" s="54"/>
      <c r="BA6584" s="54"/>
    </row>
    <row r="6585" spans="43:53" x14ac:dyDescent="0.35">
      <c r="AQ6585" s="54"/>
      <c r="BA6585" s="54"/>
    </row>
    <row r="6586" spans="43:53" x14ac:dyDescent="0.35">
      <c r="AQ6586" s="54"/>
      <c r="BA6586" s="54"/>
    </row>
    <row r="6587" spans="43:53" x14ac:dyDescent="0.35">
      <c r="AQ6587" s="54"/>
      <c r="BA6587" s="54"/>
    </row>
    <row r="6588" spans="43:53" x14ac:dyDescent="0.35">
      <c r="AQ6588" s="54"/>
      <c r="BA6588" s="54"/>
    </row>
    <row r="6589" spans="43:53" x14ac:dyDescent="0.35">
      <c r="AQ6589" s="54"/>
      <c r="BA6589" s="54"/>
    </row>
    <row r="6590" spans="43:53" x14ac:dyDescent="0.35">
      <c r="AQ6590" s="54"/>
      <c r="BA6590" s="54"/>
    </row>
    <row r="6591" spans="43:53" x14ac:dyDescent="0.35">
      <c r="AQ6591" s="54"/>
      <c r="BA6591" s="54"/>
    </row>
    <row r="6592" spans="43:53" x14ac:dyDescent="0.35">
      <c r="AQ6592" s="54"/>
      <c r="BA6592" s="54"/>
    </row>
    <row r="6593" spans="43:53" x14ac:dyDescent="0.35">
      <c r="AQ6593" s="54"/>
      <c r="BA6593" s="54"/>
    </row>
    <row r="6594" spans="43:53" x14ac:dyDescent="0.35">
      <c r="AQ6594" s="54"/>
      <c r="BA6594" s="54"/>
    </row>
    <row r="6595" spans="43:53" x14ac:dyDescent="0.35">
      <c r="AQ6595" s="54"/>
      <c r="BA6595" s="54"/>
    </row>
    <row r="6596" spans="43:53" x14ac:dyDescent="0.35">
      <c r="AQ6596" s="54"/>
      <c r="BA6596" s="54"/>
    </row>
    <row r="6597" spans="43:53" x14ac:dyDescent="0.35">
      <c r="AQ6597" s="54"/>
      <c r="BA6597" s="54"/>
    </row>
    <row r="6598" spans="43:53" x14ac:dyDescent="0.35">
      <c r="AQ6598" s="54"/>
      <c r="BA6598" s="54"/>
    </row>
    <row r="6599" spans="43:53" x14ac:dyDescent="0.35">
      <c r="AQ6599" s="54"/>
      <c r="BA6599" s="54"/>
    </row>
    <row r="6600" spans="43:53" x14ac:dyDescent="0.35">
      <c r="AQ6600" s="54"/>
      <c r="BA6600" s="54"/>
    </row>
    <row r="6601" spans="43:53" x14ac:dyDescent="0.35">
      <c r="AQ6601" s="54"/>
      <c r="BA6601" s="54"/>
    </row>
    <row r="6602" spans="43:53" x14ac:dyDescent="0.35">
      <c r="AQ6602" s="54"/>
      <c r="BA6602" s="54"/>
    </row>
    <row r="6603" spans="43:53" x14ac:dyDescent="0.35">
      <c r="AQ6603" s="54"/>
      <c r="BA6603" s="54"/>
    </row>
    <row r="6604" spans="43:53" x14ac:dyDescent="0.35">
      <c r="AQ6604" s="54"/>
      <c r="BA6604" s="54"/>
    </row>
    <row r="6605" spans="43:53" x14ac:dyDescent="0.35">
      <c r="AQ6605" s="54"/>
      <c r="BA6605" s="54"/>
    </row>
    <row r="6606" spans="43:53" x14ac:dyDescent="0.35">
      <c r="AQ6606" s="54"/>
      <c r="BA6606" s="54"/>
    </row>
    <row r="6607" spans="43:53" x14ac:dyDescent="0.35">
      <c r="AQ6607" s="54"/>
      <c r="BA6607" s="54"/>
    </row>
    <row r="6608" spans="43:53" x14ac:dyDescent="0.35">
      <c r="AQ6608" s="54"/>
      <c r="BA6608" s="54"/>
    </row>
    <row r="6609" spans="43:53" x14ac:dyDescent="0.35">
      <c r="AQ6609" s="54"/>
      <c r="BA6609" s="54"/>
    </row>
    <row r="6610" spans="43:53" x14ac:dyDescent="0.35">
      <c r="AQ6610" s="54"/>
      <c r="BA6610" s="54"/>
    </row>
    <row r="6611" spans="43:53" x14ac:dyDescent="0.35">
      <c r="AQ6611" s="54"/>
      <c r="BA6611" s="54"/>
    </row>
    <row r="6612" spans="43:53" x14ac:dyDescent="0.35">
      <c r="AQ6612" s="54"/>
      <c r="BA6612" s="54"/>
    </row>
    <row r="6613" spans="43:53" x14ac:dyDescent="0.35">
      <c r="AQ6613" s="54"/>
      <c r="BA6613" s="54"/>
    </row>
    <row r="6614" spans="43:53" x14ac:dyDescent="0.35">
      <c r="AQ6614" s="54"/>
      <c r="BA6614" s="54"/>
    </row>
    <row r="6615" spans="43:53" x14ac:dyDescent="0.35">
      <c r="AQ6615" s="54"/>
      <c r="BA6615" s="54"/>
    </row>
    <row r="6616" spans="43:53" x14ac:dyDescent="0.35">
      <c r="AQ6616" s="54"/>
      <c r="BA6616" s="54"/>
    </row>
    <row r="6617" spans="43:53" x14ac:dyDescent="0.35">
      <c r="AQ6617" s="54"/>
      <c r="BA6617" s="54"/>
    </row>
    <row r="6618" spans="43:53" x14ac:dyDescent="0.35">
      <c r="AQ6618" s="54"/>
      <c r="BA6618" s="54"/>
    </row>
    <row r="6619" spans="43:53" x14ac:dyDescent="0.35">
      <c r="AQ6619" s="54"/>
      <c r="BA6619" s="54"/>
    </row>
    <row r="6620" spans="43:53" x14ac:dyDescent="0.35">
      <c r="AQ6620" s="54"/>
      <c r="BA6620" s="54"/>
    </row>
    <row r="6621" spans="43:53" x14ac:dyDescent="0.35">
      <c r="AQ6621" s="54"/>
      <c r="BA6621" s="54"/>
    </row>
    <row r="6622" spans="43:53" x14ac:dyDescent="0.35">
      <c r="AQ6622" s="54"/>
      <c r="BA6622" s="54"/>
    </row>
    <row r="6623" spans="43:53" x14ac:dyDescent="0.35">
      <c r="AQ6623" s="54"/>
      <c r="BA6623" s="54"/>
    </row>
    <row r="6624" spans="43:53" x14ac:dyDescent="0.35">
      <c r="AQ6624" s="54"/>
      <c r="BA6624" s="54"/>
    </row>
    <row r="6625" spans="43:53" x14ac:dyDescent="0.35">
      <c r="AQ6625" s="54"/>
      <c r="BA6625" s="54"/>
    </row>
    <row r="6626" spans="43:53" x14ac:dyDescent="0.35">
      <c r="AQ6626" s="54"/>
      <c r="BA6626" s="54"/>
    </row>
    <row r="6627" spans="43:53" x14ac:dyDescent="0.35">
      <c r="AQ6627" s="54"/>
      <c r="BA6627" s="54"/>
    </row>
    <row r="6628" spans="43:53" x14ac:dyDescent="0.35">
      <c r="AQ6628" s="54"/>
      <c r="BA6628" s="54"/>
    </row>
    <row r="6629" spans="43:53" x14ac:dyDescent="0.35">
      <c r="AQ6629" s="54"/>
      <c r="BA6629" s="54"/>
    </row>
    <row r="6630" spans="43:53" x14ac:dyDescent="0.35">
      <c r="AQ6630" s="54"/>
      <c r="BA6630" s="54"/>
    </row>
    <row r="6631" spans="43:53" x14ac:dyDescent="0.35">
      <c r="AQ6631" s="54"/>
      <c r="BA6631" s="54"/>
    </row>
    <row r="6632" spans="43:53" x14ac:dyDescent="0.35">
      <c r="AQ6632" s="54"/>
      <c r="BA6632" s="54"/>
    </row>
    <row r="6633" spans="43:53" x14ac:dyDescent="0.35">
      <c r="AQ6633" s="54"/>
      <c r="BA6633" s="54"/>
    </row>
    <row r="6634" spans="43:53" x14ac:dyDescent="0.35">
      <c r="AQ6634" s="54"/>
      <c r="BA6634" s="54"/>
    </row>
    <row r="6635" spans="43:53" x14ac:dyDescent="0.35">
      <c r="AQ6635" s="54"/>
      <c r="BA6635" s="54"/>
    </row>
    <row r="6636" spans="43:53" x14ac:dyDescent="0.35">
      <c r="AQ6636" s="54"/>
      <c r="BA6636" s="54"/>
    </row>
    <row r="6637" spans="43:53" x14ac:dyDescent="0.35">
      <c r="AQ6637" s="54"/>
      <c r="BA6637" s="54"/>
    </row>
    <row r="6638" spans="43:53" x14ac:dyDescent="0.35">
      <c r="AQ6638" s="54"/>
      <c r="BA6638" s="54"/>
    </row>
    <row r="6639" spans="43:53" x14ac:dyDescent="0.35">
      <c r="AQ6639" s="54"/>
      <c r="BA6639" s="54"/>
    </row>
    <row r="6640" spans="43:53" x14ac:dyDescent="0.35">
      <c r="AQ6640" s="54"/>
      <c r="BA6640" s="54"/>
    </row>
    <row r="6641" spans="43:53" x14ac:dyDescent="0.35">
      <c r="AQ6641" s="54"/>
      <c r="BA6641" s="54"/>
    </row>
    <row r="6642" spans="43:53" x14ac:dyDescent="0.35">
      <c r="AQ6642" s="54"/>
      <c r="BA6642" s="54"/>
    </row>
    <row r="6643" spans="43:53" x14ac:dyDescent="0.35">
      <c r="AQ6643" s="54"/>
      <c r="BA6643" s="54"/>
    </row>
    <row r="6644" spans="43:53" x14ac:dyDescent="0.35">
      <c r="AQ6644" s="54"/>
      <c r="BA6644" s="54"/>
    </row>
    <row r="6645" spans="43:53" x14ac:dyDescent="0.35">
      <c r="AQ6645" s="54"/>
      <c r="BA6645" s="54"/>
    </row>
    <row r="6646" spans="43:53" x14ac:dyDescent="0.35">
      <c r="AQ6646" s="54"/>
      <c r="BA6646" s="54"/>
    </row>
    <row r="6647" spans="43:53" x14ac:dyDescent="0.35">
      <c r="AQ6647" s="54"/>
      <c r="BA6647" s="54"/>
    </row>
    <row r="6648" spans="43:53" x14ac:dyDescent="0.35">
      <c r="AQ6648" s="54"/>
      <c r="BA6648" s="54"/>
    </row>
    <row r="6649" spans="43:53" x14ac:dyDescent="0.35">
      <c r="AQ6649" s="54"/>
      <c r="BA6649" s="54"/>
    </row>
    <row r="6650" spans="43:53" x14ac:dyDescent="0.35">
      <c r="AQ6650" s="54"/>
      <c r="BA6650" s="54"/>
    </row>
    <row r="6651" spans="43:53" x14ac:dyDescent="0.35">
      <c r="AQ6651" s="54"/>
      <c r="BA6651" s="54"/>
    </row>
    <row r="6652" spans="43:53" x14ac:dyDescent="0.35">
      <c r="AQ6652" s="54"/>
      <c r="BA6652" s="54"/>
    </row>
    <row r="6653" spans="43:53" x14ac:dyDescent="0.35">
      <c r="AQ6653" s="54"/>
      <c r="BA6653" s="54"/>
    </row>
    <row r="6654" spans="43:53" x14ac:dyDescent="0.35">
      <c r="AQ6654" s="54"/>
      <c r="BA6654" s="54"/>
    </row>
    <row r="6655" spans="43:53" x14ac:dyDescent="0.35">
      <c r="AQ6655" s="54"/>
      <c r="BA6655" s="54"/>
    </row>
    <row r="6656" spans="43:53" x14ac:dyDescent="0.35">
      <c r="AQ6656" s="54"/>
      <c r="BA6656" s="54"/>
    </row>
    <row r="6657" spans="43:53" x14ac:dyDescent="0.35">
      <c r="AQ6657" s="54"/>
      <c r="BA6657" s="54"/>
    </row>
    <row r="6658" spans="43:53" x14ac:dyDescent="0.35">
      <c r="AQ6658" s="54"/>
      <c r="BA6658" s="54"/>
    </row>
    <row r="6659" spans="43:53" x14ac:dyDescent="0.35">
      <c r="AQ6659" s="54"/>
      <c r="BA6659" s="54"/>
    </row>
    <row r="6660" spans="43:53" x14ac:dyDescent="0.35">
      <c r="AQ6660" s="54"/>
      <c r="BA6660" s="54"/>
    </row>
    <row r="6661" spans="43:53" x14ac:dyDescent="0.35">
      <c r="AQ6661" s="54"/>
      <c r="BA6661" s="54"/>
    </row>
    <row r="6662" spans="43:53" x14ac:dyDescent="0.35">
      <c r="AQ6662" s="54"/>
      <c r="BA6662" s="54"/>
    </row>
    <row r="6663" spans="43:53" x14ac:dyDescent="0.35">
      <c r="AQ6663" s="54"/>
      <c r="BA6663" s="54"/>
    </row>
    <row r="6664" spans="43:53" x14ac:dyDescent="0.35">
      <c r="AQ6664" s="54"/>
      <c r="BA6664" s="54"/>
    </row>
    <row r="6665" spans="43:53" x14ac:dyDescent="0.35">
      <c r="AQ6665" s="54"/>
      <c r="BA6665" s="54"/>
    </row>
    <row r="6666" spans="43:53" x14ac:dyDescent="0.35">
      <c r="AQ6666" s="54"/>
      <c r="BA6666" s="54"/>
    </row>
    <row r="6667" spans="43:53" x14ac:dyDescent="0.35">
      <c r="AQ6667" s="54"/>
      <c r="BA6667" s="54"/>
    </row>
    <row r="6668" spans="43:53" x14ac:dyDescent="0.35">
      <c r="AQ6668" s="54"/>
      <c r="BA6668" s="54"/>
    </row>
    <row r="6669" spans="43:53" x14ac:dyDescent="0.35">
      <c r="AQ6669" s="54"/>
      <c r="BA6669" s="54"/>
    </row>
    <row r="6670" spans="43:53" x14ac:dyDescent="0.35">
      <c r="AQ6670" s="54"/>
      <c r="BA6670" s="54"/>
    </row>
    <row r="6671" spans="43:53" x14ac:dyDescent="0.35">
      <c r="AQ6671" s="54"/>
      <c r="BA6671" s="54"/>
    </row>
    <row r="6672" spans="43:53" x14ac:dyDescent="0.35">
      <c r="AQ6672" s="54"/>
      <c r="BA6672" s="54"/>
    </row>
    <row r="6673" spans="43:53" x14ac:dyDescent="0.35">
      <c r="AQ6673" s="54"/>
      <c r="BA6673" s="54"/>
    </row>
    <row r="6674" spans="43:53" x14ac:dyDescent="0.35">
      <c r="AQ6674" s="54"/>
      <c r="BA6674" s="54"/>
    </row>
    <row r="6675" spans="43:53" x14ac:dyDescent="0.35">
      <c r="AQ6675" s="54"/>
      <c r="BA6675" s="54"/>
    </row>
    <row r="6676" spans="43:53" x14ac:dyDescent="0.35">
      <c r="AQ6676" s="54"/>
      <c r="BA6676" s="54"/>
    </row>
    <row r="6677" spans="43:53" x14ac:dyDescent="0.35">
      <c r="AQ6677" s="54"/>
      <c r="BA6677" s="54"/>
    </row>
    <row r="6678" spans="43:53" x14ac:dyDescent="0.35">
      <c r="AQ6678" s="54"/>
      <c r="BA6678" s="54"/>
    </row>
    <row r="6679" spans="43:53" x14ac:dyDescent="0.35">
      <c r="AQ6679" s="54"/>
      <c r="BA6679" s="54"/>
    </row>
    <row r="6680" spans="43:53" x14ac:dyDescent="0.35">
      <c r="AQ6680" s="54"/>
      <c r="BA6680" s="54"/>
    </row>
    <row r="6681" spans="43:53" x14ac:dyDescent="0.35">
      <c r="AQ6681" s="54"/>
      <c r="BA6681" s="54"/>
    </row>
    <row r="6682" spans="43:53" x14ac:dyDescent="0.35">
      <c r="AQ6682" s="54"/>
      <c r="BA6682" s="54"/>
    </row>
    <row r="6683" spans="43:53" x14ac:dyDescent="0.35">
      <c r="AQ6683" s="54"/>
      <c r="BA6683" s="54"/>
    </row>
    <row r="6684" spans="43:53" x14ac:dyDescent="0.35">
      <c r="AQ6684" s="54"/>
      <c r="BA6684" s="54"/>
    </row>
    <row r="6685" spans="43:53" x14ac:dyDescent="0.35">
      <c r="AQ6685" s="54"/>
      <c r="BA6685" s="54"/>
    </row>
    <row r="6686" spans="43:53" x14ac:dyDescent="0.35">
      <c r="AQ6686" s="54"/>
      <c r="BA6686" s="54"/>
    </row>
    <row r="6687" spans="43:53" x14ac:dyDescent="0.35">
      <c r="AQ6687" s="54"/>
      <c r="BA6687" s="54"/>
    </row>
    <row r="6688" spans="43:53" x14ac:dyDescent="0.35">
      <c r="AQ6688" s="54"/>
      <c r="BA6688" s="54"/>
    </row>
    <row r="6689" spans="43:53" x14ac:dyDescent="0.35">
      <c r="AQ6689" s="54"/>
      <c r="BA6689" s="54"/>
    </row>
    <row r="6690" spans="43:53" x14ac:dyDescent="0.35">
      <c r="AQ6690" s="54"/>
      <c r="BA6690" s="54"/>
    </row>
    <row r="6691" spans="43:53" x14ac:dyDescent="0.35">
      <c r="AQ6691" s="54"/>
      <c r="BA6691" s="54"/>
    </row>
    <row r="6692" spans="43:53" x14ac:dyDescent="0.35">
      <c r="AQ6692" s="54"/>
      <c r="BA6692" s="54"/>
    </row>
    <row r="6693" spans="43:53" x14ac:dyDescent="0.35">
      <c r="AQ6693" s="54"/>
      <c r="BA6693" s="54"/>
    </row>
    <row r="6694" spans="43:53" x14ac:dyDescent="0.35">
      <c r="AQ6694" s="54"/>
      <c r="BA6694" s="54"/>
    </row>
    <row r="6695" spans="43:53" x14ac:dyDescent="0.35">
      <c r="AQ6695" s="54"/>
      <c r="BA6695" s="54"/>
    </row>
    <row r="6696" spans="43:53" x14ac:dyDescent="0.35">
      <c r="AQ6696" s="54"/>
      <c r="BA6696" s="54"/>
    </row>
    <row r="6697" spans="43:53" x14ac:dyDescent="0.35">
      <c r="AQ6697" s="54"/>
      <c r="BA6697" s="54"/>
    </row>
    <row r="6698" spans="43:53" x14ac:dyDescent="0.35">
      <c r="AQ6698" s="54"/>
      <c r="BA6698" s="54"/>
    </row>
    <row r="6699" spans="43:53" x14ac:dyDescent="0.35">
      <c r="AQ6699" s="54"/>
      <c r="BA6699" s="54"/>
    </row>
    <row r="6700" spans="43:53" x14ac:dyDescent="0.35">
      <c r="AQ6700" s="54"/>
      <c r="BA6700" s="54"/>
    </row>
    <row r="6701" spans="43:53" x14ac:dyDescent="0.35">
      <c r="AQ6701" s="54"/>
      <c r="BA6701" s="54"/>
    </row>
    <row r="6702" spans="43:53" x14ac:dyDescent="0.35">
      <c r="AQ6702" s="54"/>
      <c r="BA6702" s="54"/>
    </row>
    <row r="6703" spans="43:53" x14ac:dyDescent="0.35">
      <c r="AQ6703" s="54"/>
      <c r="BA6703" s="54"/>
    </row>
    <row r="6704" spans="43:53" x14ac:dyDescent="0.35">
      <c r="AQ6704" s="54"/>
      <c r="BA6704" s="54"/>
    </row>
    <row r="6705" spans="43:53" x14ac:dyDescent="0.35">
      <c r="AQ6705" s="54"/>
      <c r="BA6705" s="54"/>
    </row>
    <row r="6706" spans="43:53" x14ac:dyDescent="0.35">
      <c r="AQ6706" s="54"/>
      <c r="BA6706" s="54"/>
    </row>
    <row r="6707" spans="43:53" x14ac:dyDescent="0.35">
      <c r="AQ6707" s="54"/>
      <c r="BA6707" s="54"/>
    </row>
    <row r="6708" spans="43:53" x14ac:dyDescent="0.35">
      <c r="AQ6708" s="54"/>
      <c r="BA6708" s="54"/>
    </row>
    <row r="6709" spans="43:53" x14ac:dyDescent="0.35">
      <c r="AQ6709" s="54"/>
      <c r="BA6709" s="54"/>
    </row>
    <row r="6710" spans="43:53" x14ac:dyDescent="0.35">
      <c r="AQ6710" s="54"/>
      <c r="BA6710" s="54"/>
    </row>
    <row r="6711" spans="43:53" x14ac:dyDescent="0.35">
      <c r="AQ6711" s="54"/>
      <c r="BA6711" s="54"/>
    </row>
    <row r="6712" spans="43:53" x14ac:dyDescent="0.35">
      <c r="AQ6712" s="54"/>
      <c r="BA6712" s="54"/>
    </row>
    <row r="6713" spans="43:53" x14ac:dyDescent="0.35">
      <c r="AQ6713" s="54"/>
      <c r="BA6713" s="54"/>
    </row>
    <row r="6714" spans="43:53" x14ac:dyDescent="0.35">
      <c r="AQ6714" s="54"/>
      <c r="BA6714" s="54"/>
    </row>
    <row r="6715" spans="43:53" x14ac:dyDescent="0.35">
      <c r="AQ6715" s="54"/>
      <c r="BA6715" s="54"/>
    </row>
    <row r="6716" spans="43:53" x14ac:dyDescent="0.35">
      <c r="AQ6716" s="54"/>
      <c r="BA6716" s="54"/>
    </row>
    <row r="6717" spans="43:53" x14ac:dyDescent="0.35">
      <c r="AQ6717" s="54"/>
      <c r="BA6717" s="54"/>
    </row>
    <row r="6718" spans="43:53" x14ac:dyDescent="0.35">
      <c r="AQ6718" s="54"/>
      <c r="BA6718" s="54"/>
    </row>
    <row r="6719" spans="43:53" x14ac:dyDescent="0.35">
      <c r="AQ6719" s="54"/>
      <c r="BA6719" s="54"/>
    </row>
    <row r="6720" spans="43:53" x14ac:dyDescent="0.35">
      <c r="AQ6720" s="54"/>
      <c r="BA6720" s="54"/>
    </row>
    <row r="6721" spans="43:53" x14ac:dyDescent="0.35">
      <c r="AQ6721" s="54"/>
      <c r="BA6721" s="54"/>
    </row>
    <row r="6722" spans="43:53" x14ac:dyDescent="0.35">
      <c r="AQ6722" s="54"/>
      <c r="BA6722" s="54"/>
    </row>
    <row r="6723" spans="43:53" x14ac:dyDescent="0.35">
      <c r="AQ6723" s="54"/>
      <c r="BA6723" s="54"/>
    </row>
    <row r="6724" spans="43:53" x14ac:dyDescent="0.35">
      <c r="AQ6724" s="54"/>
      <c r="BA6724" s="54"/>
    </row>
    <row r="6725" spans="43:53" x14ac:dyDescent="0.35">
      <c r="AQ6725" s="54"/>
      <c r="BA6725" s="54"/>
    </row>
    <row r="6726" spans="43:53" x14ac:dyDescent="0.35">
      <c r="AQ6726" s="54"/>
      <c r="BA6726" s="54"/>
    </row>
    <row r="6727" spans="43:53" x14ac:dyDescent="0.35">
      <c r="AQ6727" s="54"/>
      <c r="BA6727" s="54"/>
    </row>
    <row r="6728" spans="43:53" x14ac:dyDescent="0.35">
      <c r="AQ6728" s="54"/>
      <c r="BA6728" s="54"/>
    </row>
    <row r="6729" spans="43:53" x14ac:dyDescent="0.35">
      <c r="AQ6729" s="54"/>
      <c r="BA6729" s="54"/>
    </row>
    <row r="6730" spans="43:53" x14ac:dyDescent="0.35">
      <c r="AQ6730" s="54"/>
      <c r="BA6730" s="54"/>
    </row>
    <row r="6731" spans="43:53" x14ac:dyDescent="0.35">
      <c r="AQ6731" s="54"/>
      <c r="BA6731" s="54"/>
    </row>
    <row r="6732" spans="43:53" x14ac:dyDescent="0.35">
      <c r="AQ6732" s="54"/>
      <c r="BA6732" s="54"/>
    </row>
    <row r="6733" spans="43:53" x14ac:dyDescent="0.35">
      <c r="AQ6733" s="54"/>
      <c r="BA6733" s="54"/>
    </row>
    <row r="6734" spans="43:53" x14ac:dyDescent="0.35">
      <c r="AQ6734" s="54"/>
      <c r="BA6734" s="54"/>
    </row>
    <row r="6735" spans="43:53" x14ac:dyDescent="0.35">
      <c r="AQ6735" s="54"/>
      <c r="BA6735" s="54"/>
    </row>
    <row r="6736" spans="43:53" x14ac:dyDescent="0.35">
      <c r="AQ6736" s="54"/>
      <c r="BA6736" s="54"/>
    </row>
    <row r="6737" spans="43:53" x14ac:dyDescent="0.35">
      <c r="AQ6737" s="54"/>
      <c r="BA6737" s="54"/>
    </row>
    <row r="6738" spans="43:53" x14ac:dyDescent="0.35">
      <c r="AQ6738" s="54"/>
      <c r="BA6738" s="54"/>
    </row>
    <row r="6739" spans="43:53" x14ac:dyDescent="0.35">
      <c r="AQ6739" s="54"/>
      <c r="BA6739" s="54"/>
    </row>
    <row r="6740" spans="43:53" x14ac:dyDescent="0.35">
      <c r="AQ6740" s="54"/>
      <c r="BA6740" s="54"/>
    </row>
    <row r="6741" spans="43:53" x14ac:dyDescent="0.35">
      <c r="AQ6741" s="54"/>
      <c r="BA6741" s="54"/>
    </row>
    <row r="6742" spans="43:53" x14ac:dyDescent="0.35">
      <c r="AQ6742" s="54"/>
      <c r="BA6742" s="54"/>
    </row>
    <row r="6743" spans="43:53" x14ac:dyDescent="0.35">
      <c r="AQ6743" s="54"/>
      <c r="BA6743" s="54"/>
    </row>
    <row r="6744" spans="43:53" x14ac:dyDescent="0.35">
      <c r="AQ6744" s="54"/>
      <c r="BA6744" s="54"/>
    </row>
    <row r="6745" spans="43:53" x14ac:dyDescent="0.35">
      <c r="AQ6745" s="54"/>
      <c r="BA6745" s="54"/>
    </row>
    <row r="6746" spans="43:53" x14ac:dyDescent="0.35">
      <c r="AQ6746" s="54"/>
      <c r="BA6746" s="54"/>
    </row>
    <row r="6747" spans="43:53" x14ac:dyDescent="0.35">
      <c r="AQ6747" s="54"/>
      <c r="BA6747" s="54"/>
    </row>
    <row r="6748" spans="43:53" x14ac:dyDescent="0.35">
      <c r="AQ6748" s="54"/>
      <c r="BA6748" s="54"/>
    </row>
    <row r="6749" spans="43:53" x14ac:dyDescent="0.35">
      <c r="AQ6749" s="54"/>
      <c r="BA6749" s="54"/>
    </row>
    <row r="6750" spans="43:53" x14ac:dyDescent="0.35">
      <c r="AQ6750" s="54"/>
      <c r="BA6750" s="54"/>
    </row>
    <row r="6751" spans="43:53" x14ac:dyDescent="0.35">
      <c r="AQ6751" s="54"/>
      <c r="BA6751" s="54"/>
    </row>
    <row r="6752" spans="43:53" x14ac:dyDescent="0.35">
      <c r="AQ6752" s="54"/>
      <c r="BA6752" s="54"/>
    </row>
    <row r="6753" spans="43:53" x14ac:dyDescent="0.35">
      <c r="AQ6753" s="54"/>
      <c r="BA6753" s="54"/>
    </row>
    <row r="6754" spans="43:53" x14ac:dyDescent="0.35">
      <c r="AQ6754" s="54"/>
      <c r="BA6754" s="54"/>
    </row>
    <row r="6755" spans="43:53" x14ac:dyDescent="0.35">
      <c r="AQ6755" s="54"/>
      <c r="BA6755" s="54"/>
    </row>
    <row r="6756" spans="43:53" x14ac:dyDescent="0.35">
      <c r="AQ6756" s="54"/>
      <c r="BA6756" s="54"/>
    </row>
    <row r="6757" spans="43:53" x14ac:dyDescent="0.35">
      <c r="AQ6757" s="54"/>
      <c r="BA6757" s="54"/>
    </row>
    <row r="6758" spans="43:53" x14ac:dyDescent="0.35">
      <c r="AQ6758" s="54"/>
      <c r="BA6758" s="54"/>
    </row>
    <row r="6759" spans="43:53" x14ac:dyDescent="0.35">
      <c r="AQ6759" s="54"/>
      <c r="BA6759" s="54"/>
    </row>
    <row r="6760" spans="43:53" x14ac:dyDescent="0.35">
      <c r="AQ6760" s="54"/>
      <c r="BA6760" s="54"/>
    </row>
    <row r="6761" spans="43:53" x14ac:dyDescent="0.35">
      <c r="AQ6761" s="54"/>
      <c r="BA6761" s="54"/>
    </row>
    <row r="6762" spans="43:53" x14ac:dyDescent="0.35">
      <c r="AQ6762" s="54"/>
      <c r="BA6762" s="54"/>
    </row>
    <row r="6763" spans="43:53" x14ac:dyDescent="0.35">
      <c r="AQ6763" s="54"/>
      <c r="BA6763" s="54"/>
    </row>
    <row r="6764" spans="43:53" x14ac:dyDescent="0.35">
      <c r="AQ6764" s="54"/>
      <c r="BA6764" s="54"/>
    </row>
    <row r="6765" spans="43:53" x14ac:dyDescent="0.35">
      <c r="AQ6765" s="54"/>
      <c r="BA6765" s="54"/>
    </row>
    <row r="6766" spans="43:53" x14ac:dyDescent="0.35">
      <c r="AQ6766" s="54"/>
      <c r="BA6766" s="54"/>
    </row>
    <row r="6767" spans="43:53" x14ac:dyDescent="0.35">
      <c r="AQ6767" s="54"/>
      <c r="BA6767" s="54"/>
    </row>
    <row r="6768" spans="43:53" x14ac:dyDescent="0.35">
      <c r="AQ6768" s="54"/>
      <c r="BA6768" s="54"/>
    </row>
    <row r="6769" spans="43:53" x14ac:dyDescent="0.35">
      <c r="AQ6769" s="54"/>
      <c r="BA6769" s="54"/>
    </row>
    <row r="6770" spans="43:53" x14ac:dyDescent="0.35">
      <c r="AQ6770" s="54"/>
      <c r="BA6770" s="54"/>
    </row>
    <row r="6771" spans="43:53" x14ac:dyDescent="0.35">
      <c r="AQ6771" s="54"/>
      <c r="BA6771" s="54"/>
    </row>
    <row r="6772" spans="43:53" x14ac:dyDescent="0.35">
      <c r="AQ6772" s="54"/>
      <c r="BA6772" s="54"/>
    </row>
    <row r="6773" spans="43:53" x14ac:dyDescent="0.35">
      <c r="AQ6773" s="54"/>
      <c r="BA6773" s="54"/>
    </row>
    <row r="6774" spans="43:53" x14ac:dyDescent="0.35">
      <c r="AQ6774" s="54"/>
      <c r="BA6774" s="54"/>
    </row>
    <row r="6775" spans="43:53" x14ac:dyDescent="0.35">
      <c r="AQ6775" s="54"/>
      <c r="BA6775" s="54"/>
    </row>
    <row r="6776" spans="43:53" x14ac:dyDescent="0.35">
      <c r="AQ6776" s="54"/>
      <c r="BA6776" s="54"/>
    </row>
    <row r="6777" spans="43:53" x14ac:dyDescent="0.35">
      <c r="AQ6777" s="54"/>
      <c r="BA6777" s="54"/>
    </row>
    <row r="6778" spans="43:53" x14ac:dyDescent="0.35">
      <c r="AQ6778" s="54"/>
      <c r="BA6778" s="54"/>
    </row>
    <row r="6779" spans="43:53" x14ac:dyDescent="0.35">
      <c r="AQ6779" s="54"/>
      <c r="BA6779" s="54"/>
    </row>
    <row r="6780" spans="43:53" x14ac:dyDescent="0.35">
      <c r="AQ6780" s="54"/>
      <c r="BA6780" s="54"/>
    </row>
    <row r="6781" spans="43:53" x14ac:dyDescent="0.35">
      <c r="AQ6781" s="54"/>
      <c r="BA6781" s="54"/>
    </row>
    <row r="6782" spans="43:53" x14ac:dyDescent="0.35">
      <c r="AQ6782" s="54"/>
      <c r="BA6782" s="54"/>
    </row>
    <row r="6783" spans="43:53" x14ac:dyDescent="0.35">
      <c r="AQ6783" s="54"/>
      <c r="BA6783" s="54"/>
    </row>
    <row r="6784" spans="43:53" x14ac:dyDescent="0.35">
      <c r="AQ6784" s="54"/>
      <c r="BA6784" s="54"/>
    </row>
    <row r="6785" spans="43:53" x14ac:dyDescent="0.35">
      <c r="AQ6785" s="54"/>
      <c r="BA6785" s="54"/>
    </row>
    <row r="6786" spans="43:53" x14ac:dyDescent="0.35">
      <c r="AQ6786" s="54"/>
      <c r="BA6786" s="54"/>
    </row>
    <row r="6787" spans="43:53" x14ac:dyDescent="0.35">
      <c r="AQ6787" s="54"/>
      <c r="BA6787" s="54"/>
    </row>
    <row r="6788" spans="43:53" x14ac:dyDescent="0.35">
      <c r="AQ6788" s="54"/>
      <c r="BA6788" s="54"/>
    </row>
    <row r="6789" spans="43:53" x14ac:dyDescent="0.35">
      <c r="AQ6789" s="54"/>
      <c r="BA6789" s="54"/>
    </row>
    <row r="6790" spans="43:53" x14ac:dyDescent="0.35">
      <c r="AQ6790" s="54"/>
      <c r="BA6790" s="54"/>
    </row>
    <row r="6791" spans="43:53" x14ac:dyDescent="0.35">
      <c r="AQ6791" s="54"/>
      <c r="BA6791" s="54"/>
    </row>
    <row r="6792" spans="43:53" x14ac:dyDescent="0.35">
      <c r="AQ6792" s="54"/>
      <c r="BA6792" s="54"/>
    </row>
    <row r="6793" spans="43:53" x14ac:dyDescent="0.35">
      <c r="AQ6793" s="54"/>
      <c r="BA6793" s="54"/>
    </row>
    <row r="6794" spans="43:53" x14ac:dyDescent="0.35">
      <c r="AQ6794" s="54"/>
      <c r="BA6794" s="54"/>
    </row>
    <row r="6795" spans="43:53" x14ac:dyDescent="0.35">
      <c r="AQ6795" s="54"/>
      <c r="BA6795" s="54"/>
    </row>
    <row r="6796" spans="43:53" x14ac:dyDescent="0.35">
      <c r="AQ6796" s="54"/>
      <c r="BA6796" s="54"/>
    </row>
    <row r="6797" spans="43:53" x14ac:dyDescent="0.35">
      <c r="AQ6797" s="54"/>
      <c r="BA6797" s="54"/>
    </row>
    <row r="6798" spans="43:53" x14ac:dyDescent="0.35">
      <c r="AQ6798" s="54"/>
      <c r="BA6798" s="54"/>
    </row>
    <row r="6799" spans="43:53" x14ac:dyDescent="0.35">
      <c r="AQ6799" s="54"/>
      <c r="BA6799" s="54"/>
    </row>
    <row r="6800" spans="43:53" x14ac:dyDescent="0.35">
      <c r="AQ6800" s="54"/>
      <c r="BA6800" s="54"/>
    </row>
    <row r="6801" spans="43:53" x14ac:dyDescent="0.35">
      <c r="AQ6801" s="54"/>
      <c r="BA6801" s="54"/>
    </row>
    <row r="6802" spans="43:53" x14ac:dyDescent="0.35">
      <c r="AQ6802" s="54"/>
      <c r="BA6802" s="54"/>
    </row>
    <row r="6803" spans="43:53" x14ac:dyDescent="0.35">
      <c r="AQ6803" s="54"/>
      <c r="BA6803" s="54"/>
    </row>
    <row r="6804" spans="43:53" x14ac:dyDescent="0.35">
      <c r="AQ6804" s="54"/>
      <c r="BA6804" s="54"/>
    </row>
    <row r="6805" spans="43:53" x14ac:dyDescent="0.35">
      <c r="AQ6805" s="54"/>
      <c r="BA6805" s="54"/>
    </row>
    <row r="6806" spans="43:53" x14ac:dyDescent="0.35">
      <c r="AQ6806" s="54"/>
      <c r="BA6806" s="54"/>
    </row>
    <row r="6807" spans="43:53" x14ac:dyDescent="0.35">
      <c r="AQ6807" s="54"/>
      <c r="BA6807" s="54"/>
    </row>
    <row r="6808" spans="43:53" x14ac:dyDescent="0.35">
      <c r="AQ6808" s="54"/>
      <c r="BA6808" s="54"/>
    </row>
    <row r="6809" spans="43:53" x14ac:dyDescent="0.35">
      <c r="AQ6809" s="54"/>
      <c r="BA6809" s="54"/>
    </row>
    <row r="6810" spans="43:53" x14ac:dyDescent="0.35">
      <c r="AQ6810" s="54"/>
      <c r="BA6810" s="54"/>
    </row>
    <row r="6811" spans="43:53" x14ac:dyDescent="0.35">
      <c r="AQ6811" s="54"/>
      <c r="BA6811" s="54"/>
    </row>
    <row r="6812" spans="43:53" x14ac:dyDescent="0.35">
      <c r="AQ6812" s="54"/>
      <c r="BA6812" s="54"/>
    </row>
    <row r="6813" spans="43:53" x14ac:dyDescent="0.35">
      <c r="AQ6813" s="54"/>
      <c r="BA6813" s="54"/>
    </row>
    <row r="6814" spans="43:53" x14ac:dyDescent="0.35">
      <c r="AQ6814" s="54"/>
      <c r="BA6814" s="54"/>
    </row>
    <row r="6815" spans="43:53" x14ac:dyDescent="0.35">
      <c r="AQ6815" s="54"/>
      <c r="BA6815" s="54"/>
    </row>
    <row r="6816" spans="43:53" x14ac:dyDescent="0.35">
      <c r="AQ6816" s="54"/>
      <c r="BA6816" s="54"/>
    </row>
    <row r="6817" spans="43:53" x14ac:dyDescent="0.35">
      <c r="AQ6817" s="54"/>
      <c r="BA6817" s="54"/>
    </row>
    <row r="6818" spans="43:53" x14ac:dyDescent="0.35">
      <c r="AQ6818" s="54"/>
      <c r="BA6818" s="54"/>
    </row>
    <row r="6819" spans="43:53" x14ac:dyDescent="0.35">
      <c r="AQ6819" s="54"/>
      <c r="BA6819" s="54"/>
    </row>
    <row r="6820" spans="43:53" x14ac:dyDescent="0.35">
      <c r="AQ6820" s="54"/>
      <c r="BA6820" s="54"/>
    </row>
    <row r="6821" spans="43:53" x14ac:dyDescent="0.35">
      <c r="AQ6821" s="54"/>
      <c r="BA6821" s="54"/>
    </row>
    <row r="6822" spans="43:53" x14ac:dyDescent="0.35">
      <c r="AQ6822" s="54"/>
      <c r="BA6822" s="54"/>
    </row>
    <row r="6823" spans="43:53" x14ac:dyDescent="0.35">
      <c r="AQ6823" s="54"/>
      <c r="BA6823" s="54"/>
    </row>
    <row r="6824" spans="43:53" x14ac:dyDescent="0.35">
      <c r="AQ6824" s="54"/>
      <c r="BA6824" s="54"/>
    </row>
    <row r="6825" spans="43:53" x14ac:dyDescent="0.35">
      <c r="AQ6825" s="54"/>
      <c r="BA6825" s="54"/>
    </row>
    <row r="6826" spans="43:53" x14ac:dyDescent="0.35">
      <c r="AQ6826" s="54"/>
      <c r="BA6826" s="54"/>
    </row>
    <row r="6827" spans="43:53" x14ac:dyDescent="0.35">
      <c r="AQ6827" s="54"/>
      <c r="BA6827" s="54"/>
    </row>
    <row r="6828" spans="43:53" x14ac:dyDescent="0.35">
      <c r="AQ6828" s="54"/>
      <c r="BA6828" s="54"/>
    </row>
    <row r="6829" spans="43:53" x14ac:dyDescent="0.35">
      <c r="AQ6829" s="54"/>
      <c r="BA6829" s="54"/>
    </row>
    <row r="6830" spans="43:53" x14ac:dyDescent="0.35">
      <c r="AQ6830" s="54"/>
      <c r="BA6830" s="54"/>
    </row>
    <row r="6831" spans="43:53" x14ac:dyDescent="0.35">
      <c r="AQ6831" s="54"/>
      <c r="BA6831" s="54"/>
    </row>
    <row r="6832" spans="43:53" x14ac:dyDescent="0.35">
      <c r="AQ6832" s="54"/>
      <c r="BA6832" s="54"/>
    </row>
    <row r="6833" spans="43:53" x14ac:dyDescent="0.35">
      <c r="AQ6833" s="54"/>
      <c r="BA6833" s="54"/>
    </row>
    <row r="6834" spans="43:53" x14ac:dyDescent="0.35">
      <c r="AQ6834" s="54"/>
      <c r="BA6834" s="54"/>
    </row>
    <row r="6835" spans="43:53" x14ac:dyDescent="0.35">
      <c r="AQ6835" s="54"/>
      <c r="BA6835" s="54"/>
    </row>
    <row r="6836" spans="43:53" x14ac:dyDescent="0.35">
      <c r="AQ6836" s="54"/>
      <c r="BA6836" s="54"/>
    </row>
    <row r="6837" spans="43:53" x14ac:dyDescent="0.35">
      <c r="AQ6837" s="54"/>
      <c r="BA6837" s="54"/>
    </row>
    <row r="6838" spans="43:53" x14ac:dyDescent="0.35">
      <c r="AQ6838" s="54"/>
      <c r="BA6838" s="54"/>
    </row>
    <row r="6839" spans="43:53" x14ac:dyDescent="0.35">
      <c r="AQ6839" s="54"/>
      <c r="BA6839" s="54"/>
    </row>
    <row r="6840" spans="43:53" x14ac:dyDescent="0.35">
      <c r="AQ6840" s="54"/>
      <c r="BA6840" s="54"/>
    </row>
    <row r="6841" spans="43:53" x14ac:dyDescent="0.35">
      <c r="AQ6841" s="54"/>
      <c r="BA6841" s="54"/>
    </row>
    <row r="6842" spans="43:53" x14ac:dyDescent="0.35">
      <c r="AQ6842" s="54"/>
      <c r="BA6842" s="54"/>
    </row>
    <row r="6843" spans="43:53" x14ac:dyDescent="0.35">
      <c r="AQ6843" s="54"/>
      <c r="BA6843" s="54"/>
    </row>
    <row r="6844" spans="43:53" x14ac:dyDescent="0.35">
      <c r="AQ6844" s="54"/>
      <c r="BA6844" s="54"/>
    </row>
    <row r="6845" spans="43:53" x14ac:dyDescent="0.35">
      <c r="AQ6845" s="54"/>
      <c r="BA6845" s="54"/>
    </row>
    <row r="6846" spans="43:53" x14ac:dyDescent="0.35">
      <c r="AQ6846" s="54"/>
      <c r="BA6846" s="54"/>
    </row>
    <row r="6847" spans="43:53" x14ac:dyDescent="0.35">
      <c r="AQ6847" s="54"/>
      <c r="BA6847" s="54"/>
    </row>
    <row r="6848" spans="43:53" x14ac:dyDescent="0.35">
      <c r="AQ6848" s="54"/>
      <c r="BA6848" s="54"/>
    </row>
    <row r="6849" spans="43:53" x14ac:dyDescent="0.35">
      <c r="AQ6849" s="54"/>
      <c r="BA6849" s="54"/>
    </row>
    <row r="6850" spans="43:53" x14ac:dyDescent="0.35">
      <c r="AQ6850" s="54"/>
      <c r="BA6850" s="54"/>
    </row>
    <row r="6851" spans="43:53" x14ac:dyDescent="0.35">
      <c r="AQ6851" s="54"/>
      <c r="BA6851" s="54"/>
    </row>
    <row r="6852" spans="43:53" x14ac:dyDescent="0.35">
      <c r="AQ6852" s="54"/>
      <c r="BA6852" s="54"/>
    </row>
    <row r="6853" spans="43:53" x14ac:dyDescent="0.35">
      <c r="AQ6853" s="54"/>
      <c r="BA6853" s="54"/>
    </row>
    <row r="6854" spans="43:53" x14ac:dyDescent="0.35">
      <c r="AQ6854" s="54"/>
      <c r="BA6854" s="54"/>
    </row>
    <row r="6855" spans="43:53" x14ac:dyDescent="0.35">
      <c r="AQ6855" s="54"/>
      <c r="BA6855" s="54"/>
    </row>
    <row r="6856" spans="43:53" x14ac:dyDescent="0.35">
      <c r="AQ6856" s="54"/>
      <c r="BA6856" s="54"/>
    </row>
    <row r="6857" spans="43:53" x14ac:dyDescent="0.35">
      <c r="AQ6857" s="54"/>
      <c r="BA6857" s="54"/>
    </row>
    <row r="6858" spans="43:53" x14ac:dyDescent="0.35">
      <c r="AQ6858" s="54"/>
      <c r="BA6858" s="54"/>
    </row>
    <row r="6859" spans="43:53" x14ac:dyDescent="0.35">
      <c r="AQ6859" s="54"/>
      <c r="BA6859" s="54"/>
    </row>
    <row r="6860" spans="43:53" x14ac:dyDescent="0.35">
      <c r="AQ6860" s="54"/>
      <c r="BA6860" s="54"/>
    </row>
    <row r="6861" spans="43:53" x14ac:dyDescent="0.35">
      <c r="AQ6861" s="54"/>
      <c r="BA6861" s="54"/>
    </row>
    <row r="6862" spans="43:53" x14ac:dyDescent="0.35">
      <c r="AQ6862" s="54"/>
      <c r="BA6862" s="54"/>
    </row>
    <row r="6863" spans="43:53" x14ac:dyDescent="0.35">
      <c r="AQ6863" s="54"/>
      <c r="BA6863" s="54"/>
    </row>
    <row r="6864" spans="43:53" x14ac:dyDescent="0.35">
      <c r="AQ6864" s="54"/>
      <c r="BA6864" s="54"/>
    </row>
    <row r="6865" spans="43:53" x14ac:dyDescent="0.35">
      <c r="AQ6865" s="54"/>
      <c r="BA6865" s="54"/>
    </row>
    <row r="6866" spans="43:53" x14ac:dyDescent="0.35">
      <c r="AQ6866" s="54"/>
      <c r="BA6866" s="54"/>
    </row>
    <row r="6867" spans="43:53" x14ac:dyDescent="0.35">
      <c r="AQ6867" s="54"/>
      <c r="BA6867" s="54"/>
    </row>
    <row r="6868" spans="43:53" x14ac:dyDescent="0.35">
      <c r="AQ6868" s="54"/>
      <c r="BA6868" s="54"/>
    </row>
    <row r="6869" spans="43:53" x14ac:dyDescent="0.35">
      <c r="AQ6869" s="54"/>
      <c r="BA6869" s="54"/>
    </row>
    <row r="6870" spans="43:53" x14ac:dyDescent="0.35">
      <c r="AQ6870" s="54"/>
      <c r="BA6870" s="54"/>
    </row>
    <row r="6871" spans="43:53" x14ac:dyDescent="0.35">
      <c r="AQ6871" s="54"/>
      <c r="BA6871" s="54"/>
    </row>
    <row r="6872" spans="43:53" x14ac:dyDescent="0.35">
      <c r="AQ6872" s="54"/>
      <c r="BA6872" s="54"/>
    </row>
    <row r="6873" spans="43:53" x14ac:dyDescent="0.35">
      <c r="AQ6873" s="54"/>
      <c r="BA6873" s="54"/>
    </row>
    <row r="6874" spans="43:53" x14ac:dyDescent="0.35">
      <c r="AQ6874" s="54"/>
      <c r="BA6874" s="54"/>
    </row>
    <row r="6875" spans="43:53" x14ac:dyDescent="0.35">
      <c r="AQ6875" s="54"/>
      <c r="BA6875" s="54"/>
    </row>
    <row r="6876" spans="43:53" x14ac:dyDescent="0.35">
      <c r="AQ6876" s="54"/>
      <c r="BA6876" s="54"/>
    </row>
    <row r="6877" spans="43:53" x14ac:dyDescent="0.35">
      <c r="AQ6877" s="54"/>
      <c r="BA6877" s="54"/>
    </row>
    <row r="6878" spans="43:53" x14ac:dyDescent="0.35">
      <c r="AQ6878" s="54"/>
      <c r="BA6878" s="54"/>
    </row>
    <row r="6879" spans="43:53" x14ac:dyDescent="0.35">
      <c r="AQ6879" s="54"/>
      <c r="BA6879" s="54"/>
    </row>
    <row r="6880" spans="43:53" x14ac:dyDescent="0.35">
      <c r="AQ6880" s="54"/>
      <c r="BA6880" s="54"/>
    </row>
    <row r="6881" spans="43:53" x14ac:dyDescent="0.35">
      <c r="AQ6881" s="54"/>
      <c r="BA6881" s="54"/>
    </row>
    <row r="6882" spans="43:53" x14ac:dyDescent="0.35">
      <c r="AQ6882" s="54"/>
      <c r="BA6882" s="54"/>
    </row>
    <row r="6883" spans="43:53" x14ac:dyDescent="0.35">
      <c r="AQ6883" s="54"/>
      <c r="BA6883" s="54"/>
    </row>
    <row r="6884" spans="43:53" x14ac:dyDescent="0.35">
      <c r="AQ6884" s="54"/>
      <c r="BA6884" s="54"/>
    </row>
    <row r="6885" spans="43:53" x14ac:dyDescent="0.35">
      <c r="AQ6885" s="54"/>
      <c r="BA6885" s="54"/>
    </row>
    <row r="6886" spans="43:53" x14ac:dyDescent="0.35">
      <c r="AQ6886" s="54"/>
      <c r="BA6886" s="54"/>
    </row>
    <row r="6887" spans="43:53" x14ac:dyDescent="0.35">
      <c r="AQ6887" s="54"/>
      <c r="BA6887" s="54"/>
    </row>
    <row r="6888" spans="43:53" x14ac:dyDescent="0.35">
      <c r="AQ6888" s="54"/>
      <c r="BA6888" s="54"/>
    </row>
    <row r="6889" spans="43:53" x14ac:dyDescent="0.35">
      <c r="AQ6889" s="54"/>
      <c r="BA6889" s="54"/>
    </row>
    <row r="6890" spans="43:53" x14ac:dyDescent="0.35">
      <c r="AQ6890" s="54"/>
      <c r="BA6890" s="54"/>
    </row>
    <row r="6891" spans="43:53" x14ac:dyDescent="0.35">
      <c r="AQ6891" s="54"/>
      <c r="BA6891" s="54"/>
    </row>
    <row r="6892" spans="43:53" x14ac:dyDescent="0.35">
      <c r="AQ6892" s="54"/>
      <c r="BA6892" s="54"/>
    </row>
    <row r="6893" spans="43:53" x14ac:dyDescent="0.35">
      <c r="AQ6893" s="54"/>
      <c r="BA6893" s="54"/>
    </row>
    <row r="6894" spans="43:53" x14ac:dyDescent="0.35">
      <c r="AQ6894" s="54"/>
      <c r="BA6894" s="54"/>
    </row>
    <row r="6895" spans="43:53" x14ac:dyDescent="0.35">
      <c r="AQ6895" s="54"/>
      <c r="BA6895" s="54"/>
    </row>
    <row r="6896" spans="43:53" x14ac:dyDescent="0.35">
      <c r="AQ6896" s="54"/>
      <c r="BA6896" s="54"/>
    </row>
    <row r="6897" spans="43:53" x14ac:dyDescent="0.35">
      <c r="AQ6897" s="54"/>
      <c r="BA6897" s="54"/>
    </row>
    <row r="6898" spans="43:53" x14ac:dyDescent="0.35">
      <c r="AQ6898" s="54"/>
      <c r="BA6898" s="54"/>
    </row>
    <row r="6899" spans="43:53" x14ac:dyDescent="0.35">
      <c r="AQ6899" s="54"/>
      <c r="BA6899" s="54"/>
    </row>
    <row r="6900" spans="43:53" x14ac:dyDescent="0.35">
      <c r="AQ6900" s="54"/>
      <c r="BA6900" s="54"/>
    </row>
    <row r="6901" spans="43:53" x14ac:dyDescent="0.35">
      <c r="AQ6901" s="54"/>
      <c r="BA6901" s="54"/>
    </row>
    <row r="6902" spans="43:53" x14ac:dyDescent="0.35">
      <c r="AQ6902" s="54"/>
      <c r="BA6902" s="54"/>
    </row>
    <row r="6903" spans="43:53" x14ac:dyDescent="0.35">
      <c r="AQ6903" s="54"/>
      <c r="BA6903" s="54"/>
    </row>
    <row r="6904" spans="43:53" x14ac:dyDescent="0.35">
      <c r="AQ6904" s="54"/>
      <c r="BA6904" s="54"/>
    </row>
    <row r="6905" spans="43:53" x14ac:dyDescent="0.35">
      <c r="AQ6905" s="54"/>
      <c r="BA6905" s="54"/>
    </row>
    <row r="6906" spans="43:53" x14ac:dyDescent="0.35">
      <c r="AQ6906" s="54"/>
      <c r="BA6906" s="54"/>
    </row>
    <row r="6907" spans="43:53" x14ac:dyDescent="0.35">
      <c r="AQ6907" s="54"/>
      <c r="BA6907" s="54"/>
    </row>
    <row r="6908" spans="43:53" x14ac:dyDescent="0.35">
      <c r="AQ6908" s="54"/>
      <c r="BA6908" s="54"/>
    </row>
    <row r="6909" spans="43:53" x14ac:dyDescent="0.35">
      <c r="AQ6909" s="54"/>
      <c r="BA6909" s="54"/>
    </row>
    <row r="6910" spans="43:53" x14ac:dyDescent="0.35">
      <c r="AQ6910" s="54"/>
      <c r="BA6910" s="54"/>
    </row>
    <row r="6911" spans="43:53" x14ac:dyDescent="0.35">
      <c r="AQ6911" s="54"/>
      <c r="BA6911" s="54"/>
    </row>
    <row r="6912" spans="43:53" x14ac:dyDescent="0.35">
      <c r="AQ6912" s="54"/>
      <c r="BA6912" s="54"/>
    </row>
    <row r="6913" spans="43:53" x14ac:dyDescent="0.35">
      <c r="AQ6913" s="54"/>
      <c r="BA6913" s="54"/>
    </row>
    <row r="6914" spans="43:53" x14ac:dyDescent="0.35">
      <c r="AQ6914" s="54"/>
      <c r="BA6914" s="54"/>
    </row>
    <row r="6915" spans="43:53" x14ac:dyDescent="0.35">
      <c r="AQ6915" s="54"/>
      <c r="BA6915" s="54"/>
    </row>
    <row r="6916" spans="43:53" x14ac:dyDescent="0.35">
      <c r="AQ6916" s="54"/>
      <c r="BA6916" s="54"/>
    </row>
    <row r="6917" spans="43:53" x14ac:dyDescent="0.35">
      <c r="AQ6917" s="54"/>
      <c r="BA6917" s="54"/>
    </row>
    <row r="6918" spans="43:53" x14ac:dyDescent="0.35">
      <c r="AQ6918" s="54"/>
      <c r="BA6918" s="54"/>
    </row>
    <row r="6919" spans="43:53" x14ac:dyDescent="0.35">
      <c r="AQ6919" s="54"/>
      <c r="BA6919" s="54"/>
    </row>
    <row r="6920" spans="43:53" x14ac:dyDescent="0.35">
      <c r="AQ6920" s="54"/>
      <c r="BA6920" s="54"/>
    </row>
    <row r="6921" spans="43:53" x14ac:dyDescent="0.35">
      <c r="AQ6921" s="54"/>
      <c r="BA6921" s="54"/>
    </row>
    <row r="6922" spans="43:53" x14ac:dyDescent="0.35">
      <c r="AQ6922" s="54"/>
      <c r="BA6922" s="54"/>
    </row>
    <row r="6923" spans="43:53" x14ac:dyDescent="0.35">
      <c r="AQ6923" s="54"/>
      <c r="BA6923" s="54"/>
    </row>
    <row r="6924" spans="43:53" x14ac:dyDescent="0.35">
      <c r="AQ6924" s="54"/>
      <c r="BA6924" s="54"/>
    </row>
    <row r="6925" spans="43:53" x14ac:dyDescent="0.35">
      <c r="AQ6925" s="54"/>
      <c r="BA6925" s="54"/>
    </row>
    <row r="6926" spans="43:53" x14ac:dyDescent="0.35">
      <c r="AQ6926" s="54"/>
      <c r="BA6926" s="54"/>
    </row>
    <row r="6927" spans="43:53" x14ac:dyDescent="0.35">
      <c r="AQ6927" s="54"/>
      <c r="BA6927" s="54"/>
    </row>
    <row r="6928" spans="43:53" x14ac:dyDescent="0.35">
      <c r="AQ6928" s="54"/>
      <c r="BA6928" s="54"/>
    </row>
    <row r="6929" spans="43:53" x14ac:dyDescent="0.35">
      <c r="AQ6929" s="54"/>
      <c r="BA6929" s="54"/>
    </row>
    <row r="6930" spans="43:53" x14ac:dyDescent="0.35">
      <c r="AQ6930" s="54"/>
      <c r="BA6930" s="54"/>
    </row>
    <row r="6931" spans="43:53" x14ac:dyDescent="0.35">
      <c r="AQ6931" s="54"/>
      <c r="BA6931" s="54"/>
    </row>
    <row r="6932" spans="43:53" x14ac:dyDescent="0.35">
      <c r="AQ6932" s="54"/>
      <c r="BA6932" s="54"/>
    </row>
    <row r="6933" spans="43:53" x14ac:dyDescent="0.35">
      <c r="AQ6933" s="54"/>
      <c r="BA6933" s="54"/>
    </row>
    <row r="6934" spans="43:53" x14ac:dyDescent="0.35">
      <c r="AQ6934" s="54"/>
      <c r="BA6934" s="54"/>
    </row>
    <row r="6935" spans="43:53" x14ac:dyDescent="0.35">
      <c r="AQ6935" s="54"/>
      <c r="BA6935" s="54"/>
    </row>
    <row r="6936" spans="43:53" x14ac:dyDescent="0.35">
      <c r="AQ6936" s="54"/>
      <c r="BA6936" s="54"/>
    </row>
    <row r="6937" spans="43:53" x14ac:dyDescent="0.35">
      <c r="AQ6937" s="54"/>
      <c r="BA6937" s="54"/>
    </row>
    <row r="6938" spans="43:53" x14ac:dyDescent="0.35">
      <c r="AQ6938" s="54"/>
      <c r="BA6938" s="54"/>
    </row>
    <row r="6939" spans="43:53" x14ac:dyDescent="0.35">
      <c r="AQ6939" s="54"/>
      <c r="BA6939" s="54"/>
    </row>
    <row r="6940" spans="43:53" x14ac:dyDescent="0.35">
      <c r="AQ6940" s="54"/>
      <c r="BA6940" s="54"/>
    </row>
    <row r="6941" spans="43:53" x14ac:dyDescent="0.35">
      <c r="AQ6941" s="54"/>
      <c r="BA6941" s="54"/>
    </row>
    <row r="6942" spans="43:53" x14ac:dyDescent="0.35">
      <c r="AQ6942" s="54"/>
      <c r="BA6942" s="54"/>
    </row>
    <row r="6943" spans="43:53" x14ac:dyDescent="0.35">
      <c r="AQ6943" s="54"/>
      <c r="BA6943" s="54"/>
    </row>
    <row r="6944" spans="43:53" x14ac:dyDescent="0.35">
      <c r="AQ6944" s="54"/>
      <c r="BA6944" s="54"/>
    </row>
    <row r="6945" spans="43:53" x14ac:dyDescent="0.35">
      <c r="AQ6945" s="54"/>
      <c r="BA6945" s="54"/>
    </row>
    <row r="6946" spans="43:53" x14ac:dyDescent="0.35">
      <c r="AQ6946" s="54"/>
      <c r="BA6946" s="54"/>
    </row>
    <row r="6947" spans="43:53" x14ac:dyDescent="0.35">
      <c r="AQ6947" s="54"/>
      <c r="BA6947" s="54"/>
    </row>
    <row r="6948" spans="43:53" x14ac:dyDescent="0.35">
      <c r="AQ6948" s="54"/>
      <c r="BA6948" s="54"/>
    </row>
    <row r="6949" spans="43:53" x14ac:dyDescent="0.35">
      <c r="AQ6949" s="54"/>
      <c r="BA6949" s="54"/>
    </row>
    <row r="6950" spans="43:53" x14ac:dyDescent="0.35">
      <c r="AQ6950" s="54"/>
      <c r="BA6950" s="54"/>
    </row>
    <row r="6951" spans="43:53" x14ac:dyDescent="0.35">
      <c r="AQ6951" s="54"/>
      <c r="BA6951" s="54"/>
    </row>
    <row r="6952" spans="43:53" x14ac:dyDescent="0.35">
      <c r="AQ6952" s="54"/>
      <c r="BA6952" s="54"/>
    </row>
    <row r="6953" spans="43:53" x14ac:dyDescent="0.35">
      <c r="AQ6953" s="54"/>
      <c r="BA6953" s="54"/>
    </row>
    <row r="6954" spans="43:53" x14ac:dyDescent="0.35">
      <c r="AQ6954" s="54"/>
      <c r="BA6954" s="54"/>
    </row>
    <row r="6955" spans="43:53" x14ac:dyDescent="0.35">
      <c r="AQ6955" s="54"/>
      <c r="BA6955" s="54"/>
    </row>
    <row r="6956" spans="43:53" x14ac:dyDescent="0.35">
      <c r="AQ6956" s="54"/>
      <c r="BA6956" s="54"/>
    </row>
    <row r="6957" spans="43:53" x14ac:dyDescent="0.35">
      <c r="AQ6957" s="54"/>
      <c r="BA6957" s="54"/>
    </row>
    <row r="6958" spans="43:53" x14ac:dyDescent="0.35">
      <c r="AQ6958" s="54"/>
      <c r="BA6958" s="54"/>
    </row>
    <row r="6959" spans="43:53" x14ac:dyDescent="0.35">
      <c r="AQ6959" s="54"/>
      <c r="BA6959" s="54"/>
    </row>
    <row r="6960" spans="43:53" x14ac:dyDescent="0.35">
      <c r="AQ6960" s="54"/>
      <c r="BA6960" s="54"/>
    </row>
    <row r="6961" spans="43:53" x14ac:dyDescent="0.35">
      <c r="AQ6961" s="54"/>
      <c r="BA6961" s="54"/>
    </row>
    <row r="6962" spans="43:53" x14ac:dyDescent="0.35">
      <c r="AQ6962" s="54"/>
      <c r="BA6962" s="54"/>
    </row>
    <row r="6963" spans="43:53" x14ac:dyDescent="0.35">
      <c r="AQ6963" s="54"/>
      <c r="BA6963" s="54"/>
    </row>
    <row r="6964" spans="43:53" x14ac:dyDescent="0.35">
      <c r="AQ6964" s="54"/>
      <c r="BA6964" s="54"/>
    </row>
    <row r="6965" spans="43:53" x14ac:dyDescent="0.35">
      <c r="AQ6965" s="54"/>
      <c r="BA6965" s="54"/>
    </row>
    <row r="6966" spans="43:53" x14ac:dyDescent="0.35">
      <c r="AQ6966" s="54"/>
      <c r="BA6966" s="54"/>
    </row>
    <row r="6967" spans="43:53" x14ac:dyDescent="0.35">
      <c r="AQ6967" s="54"/>
      <c r="BA6967" s="54"/>
    </row>
    <row r="6968" spans="43:53" x14ac:dyDescent="0.35">
      <c r="AQ6968" s="54"/>
      <c r="BA6968" s="54"/>
    </row>
    <row r="6969" spans="43:53" x14ac:dyDescent="0.35">
      <c r="AQ6969" s="54"/>
      <c r="BA6969" s="54"/>
    </row>
    <row r="6970" spans="43:53" x14ac:dyDescent="0.35">
      <c r="AQ6970" s="54"/>
      <c r="BA6970" s="54"/>
    </row>
    <row r="6971" spans="43:53" x14ac:dyDescent="0.35">
      <c r="AQ6971" s="54"/>
      <c r="BA6971" s="54"/>
    </row>
    <row r="6972" spans="43:53" x14ac:dyDescent="0.35">
      <c r="AQ6972" s="54"/>
      <c r="BA6972" s="54"/>
    </row>
    <row r="6973" spans="43:53" x14ac:dyDescent="0.35">
      <c r="AQ6973" s="54"/>
      <c r="BA6973" s="54"/>
    </row>
    <row r="6974" spans="43:53" x14ac:dyDescent="0.35">
      <c r="AQ6974" s="54"/>
      <c r="BA6974" s="54"/>
    </row>
    <row r="6975" spans="43:53" x14ac:dyDescent="0.35">
      <c r="AQ6975" s="54"/>
      <c r="BA6975" s="54"/>
    </row>
    <row r="6976" spans="43:53" x14ac:dyDescent="0.35">
      <c r="AQ6976" s="54"/>
      <c r="BA6976" s="54"/>
    </row>
    <row r="6977" spans="43:53" x14ac:dyDescent="0.35">
      <c r="AQ6977" s="54"/>
      <c r="BA6977" s="54"/>
    </row>
    <row r="6978" spans="43:53" x14ac:dyDescent="0.35">
      <c r="AQ6978" s="54"/>
      <c r="BA6978" s="54"/>
    </row>
    <row r="6979" spans="43:53" x14ac:dyDescent="0.35">
      <c r="AQ6979" s="54"/>
      <c r="BA6979" s="54"/>
    </row>
    <row r="6980" spans="43:53" x14ac:dyDescent="0.35">
      <c r="AQ6980" s="54"/>
      <c r="BA6980" s="54"/>
    </row>
    <row r="6981" spans="43:53" x14ac:dyDescent="0.35">
      <c r="AQ6981" s="54"/>
      <c r="BA6981" s="54"/>
    </row>
    <row r="6982" spans="43:53" x14ac:dyDescent="0.35">
      <c r="AQ6982" s="54"/>
      <c r="BA6982" s="54"/>
    </row>
    <row r="6983" spans="43:53" x14ac:dyDescent="0.35">
      <c r="AQ6983" s="54"/>
      <c r="BA6983" s="54"/>
    </row>
    <row r="6984" spans="43:53" x14ac:dyDescent="0.35">
      <c r="AQ6984" s="54"/>
      <c r="BA6984" s="54"/>
    </row>
    <row r="6985" spans="43:53" x14ac:dyDescent="0.35">
      <c r="AQ6985" s="54"/>
      <c r="BA6985" s="54"/>
    </row>
    <row r="6986" spans="43:53" x14ac:dyDescent="0.35">
      <c r="AQ6986" s="54"/>
      <c r="BA6986" s="54"/>
    </row>
    <row r="6987" spans="43:53" x14ac:dyDescent="0.35">
      <c r="AQ6987" s="54"/>
      <c r="BA6987" s="54"/>
    </row>
    <row r="6988" spans="43:53" x14ac:dyDescent="0.35">
      <c r="AQ6988" s="54"/>
      <c r="BA6988" s="54"/>
    </row>
    <row r="6989" spans="43:53" x14ac:dyDescent="0.35">
      <c r="AQ6989" s="54"/>
      <c r="BA6989" s="54"/>
    </row>
    <row r="6990" spans="43:53" x14ac:dyDescent="0.35">
      <c r="AQ6990" s="54"/>
      <c r="BA6990" s="54"/>
    </row>
    <row r="6991" spans="43:53" x14ac:dyDescent="0.35">
      <c r="AQ6991" s="54"/>
      <c r="BA6991" s="54"/>
    </row>
    <row r="6992" spans="43:53" x14ac:dyDescent="0.35">
      <c r="AQ6992" s="54"/>
      <c r="BA6992" s="54"/>
    </row>
    <row r="6993" spans="43:53" x14ac:dyDescent="0.35">
      <c r="AQ6993" s="54"/>
      <c r="BA6993" s="54"/>
    </row>
    <row r="6994" spans="43:53" x14ac:dyDescent="0.35">
      <c r="AQ6994" s="54"/>
      <c r="BA6994" s="54"/>
    </row>
    <row r="6995" spans="43:53" x14ac:dyDescent="0.35">
      <c r="AQ6995" s="54"/>
      <c r="BA6995" s="54"/>
    </row>
    <row r="6996" spans="43:53" x14ac:dyDescent="0.35">
      <c r="AQ6996" s="54"/>
      <c r="BA6996" s="54"/>
    </row>
    <row r="6997" spans="43:53" x14ac:dyDescent="0.35">
      <c r="AQ6997" s="54"/>
      <c r="BA6997" s="54"/>
    </row>
    <row r="6998" spans="43:53" x14ac:dyDescent="0.35">
      <c r="AQ6998" s="54"/>
      <c r="BA6998" s="54"/>
    </row>
    <row r="6999" spans="43:53" x14ac:dyDescent="0.35">
      <c r="AQ6999" s="54"/>
      <c r="BA6999" s="54"/>
    </row>
    <row r="7000" spans="43:53" x14ac:dyDescent="0.35">
      <c r="AQ7000" s="54"/>
      <c r="BA7000" s="54"/>
    </row>
    <row r="7001" spans="43:53" x14ac:dyDescent="0.35">
      <c r="AQ7001" s="54"/>
      <c r="BA7001" s="54"/>
    </row>
    <row r="7002" spans="43:53" x14ac:dyDescent="0.35">
      <c r="AQ7002" s="54"/>
      <c r="BA7002" s="54"/>
    </row>
    <row r="7003" spans="43:53" x14ac:dyDescent="0.35">
      <c r="AQ7003" s="54"/>
      <c r="BA7003" s="54"/>
    </row>
    <row r="7004" spans="43:53" x14ac:dyDescent="0.35">
      <c r="AQ7004" s="54"/>
      <c r="BA7004" s="54"/>
    </row>
    <row r="7005" spans="43:53" x14ac:dyDescent="0.35">
      <c r="AQ7005" s="54"/>
      <c r="BA7005" s="54"/>
    </row>
    <row r="7006" spans="43:53" x14ac:dyDescent="0.35">
      <c r="AQ7006" s="54"/>
      <c r="BA7006" s="54"/>
    </row>
    <row r="7007" spans="43:53" x14ac:dyDescent="0.35">
      <c r="AQ7007" s="54"/>
      <c r="BA7007" s="54"/>
    </row>
    <row r="7008" spans="43:53" x14ac:dyDescent="0.35">
      <c r="AQ7008" s="54"/>
      <c r="BA7008" s="54"/>
    </row>
    <row r="7009" spans="43:53" x14ac:dyDescent="0.35">
      <c r="AQ7009" s="54"/>
      <c r="BA7009" s="54"/>
    </row>
    <row r="7010" spans="43:53" x14ac:dyDescent="0.35">
      <c r="AQ7010" s="54"/>
      <c r="BA7010" s="54"/>
    </row>
    <row r="7011" spans="43:53" x14ac:dyDescent="0.35">
      <c r="AQ7011" s="54"/>
      <c r="BA7011" s="54"/>
    </row>
    <row r="7012" spans="43:53" x14ac:dyDescent="0.35">
      <c r="AQ7012" s="54"/>
      <c r="BA7012" s="54"/>
    </row>
    <row r="7013" spans="43:53" x14ac:dyDescent="0.35">
      <c r="AQ7013" s="54"/>
      <c r="BA7013" s="54"/>
    </row>
    <row r="7014" spans="43:53" x14ac:dyDescent="0.35">
      <c r="AQ7014" s="54"/>
      <c r="BA7014" s="54"/>
    </row>
    <row r="7015" spans="43:53" x14ac:dyDescent="0.35">
      <c r="AQ7015" s="54"/>
      <c r="BA7015" s="54"/>
    </row>
    <row r="7016" spans="43:53" x14ac:dyDescent="0.35">
      <c r="AQ7016" s="54"/>
      <c r="BA7016" s="54"/>
    </row>
    <row r="7017" spans="43:53" x14ac:dyDescent="0.35">
      <c r="AQ7017" s="54"/>
      <c r="BA7017" s="54"/>
    </row>
    <row r="7018" spans="43:53" x14ac:dyDescent="0.35">
      <c r="AQ7018" s="54"/>
      <c r="BA7018" s="54"/>
    </row>
    <row r="7019" spans="43:53" x14ac:dyDescent="0.35">
      <c r="AQ7019" s="54"/>
      <c r="BA7019" s="54"/>
    </row>
    <row r="7020" spans="43:53" x14ac:dyDescent="0.35">
      <c r="AQ7020" s="54"/>
      <c r="BA7020" s="54"/>
    </row>
    <row r="7021" spans="43:53" x14ac:dyDescent="0.35">
      <c r="AQ7021" s="54"/>
      <c r="BA7021" s="54"/>
    </row>
    <row r="7022" spans="43:53" x14ac:dyDescent="0.35">
      <c r="AQ7022" s="54"/>
      <c r="BA7022" s="54"/>
    </row>
    <row r="7023" spans="43:53" x14ac:dyDescent="0.35">
      <c r="AQ7023" s="54"/>
      <c r="BA7023" s="54"/>
    </row>
    <row r="7024" spans="43:53" x14ac:dyDescent="0.35">
      <c r="AQ7024" s="54"/>
      <c r="BA7024" s="54"/>
    </row>
    <row r="7025" spans="43:53" x14ac:dyDescent="0.35">
      <c r="AQ7025" s="54"/>
      <c r="BA7025" s="54"/>
    </row>
    <row r="7026" spans="43:53" x14ac:dyDescent="0.35">
      <c r="AQ7026" s="54"/>
      <c r="BA7026" s="54"/>
    </row>
    <row r="7027" spans="43:53" x14ac:dyDescent="0.35">
      <c r="AQ7027" s="54"/>
      <c r="BA7027" s="54"/>
    </row>
    <row r="7028" spans="43:53" x14ac:dyDescent="0.35">
      <c r="AQ7028" s="54"/>
      <c r="BA7028" s="54"/>
    </row>
    <row r="7029" spans="43:53" x14ac:dyDescent="0.35">
      <c r="AQ7029" s="54"/>
      <c r="BA7029" s="54"/>
    </row>
    <row r="7030" spans="43:53" x14ac:dyDescent="0.35">
      <c r="AQ7030" s="54"/>
      <c r="BA7030" s="54"/>
    </row>
    <row r="7031" spans="43:53" x14ac:dyDescent="0.35">
      <c r="AQ7031" s="54"/>
      <c r="BA7031" s="54"/>
    </row>
    <row r="7032" spans="43:53" x14ac:dyDescent="0.35">
      <c r="AQ7032" s="54"/>
      <c r="BA7032" s="54"/>
    </row>
    <row r="7033" spans="43:53" x14ac:dyDescent="0.35">
      <c r="AQ7033" s="54"/>
      <c r="BA7033" s="54"/>
    </row>
    <row r="7034" spans="43:53" x14ac:dyDescent="0.35">
      <c r="AQ7034" s="54"/>
      <c r="BA7034" s="54"/>
    </row>
    <row r="7035" spans="43:53" x14ac:dyDescent="0.35">
      <c r="AQ7035" s="54"/>
      <c r="BA7035" s="54"/>
    </row>
    <row r="7036" spans="43:53" x14ac:dyDescent="0.35">
      <c r="AQ7036" s="54"/>
      <c r="BA7036" s="54"/>
    </row>
    <row r="7037" spans="43:53" x14ac:dyDescent="0.35">
      <c r="AQ7037" s="54"/>
      <c r="BA7037" s="54"/>
    </row>
    <row r="7038" spans="43:53" x14ac:dyDescent="0.35">
      <c r="AQ7038" s="54"/>
      <c r="BA7038" s="54"/>
    </row>
    <row r="7039" spans="43:53" x14ac:dyDescent="0.35">
      <c r="AQ7039" s="54"/>
      <c r="BA7039" s="54"/>
    </row>
    <row r="7040" spans="43:53" x14ac:dyDescent="0.35">
      <c r="AQ7040" s="54"/>
      <c r="BA7040" s="54"/>
    </row>
    <row r="7041" spans="43:53" x14ac:dyDescent="0.35">
      <c r="AQ7041" s="54"/>
      <c r="BA7041" s="54"/>
    </row>
    <row r="7042" spans="43:53" x14ac:dyDescent="0.35">
      <c r="AQ7042" s="54"/>
      <c r="BA7042" s="54"/>
    </row>
    <row r="7043" spans="43:53" x14ac:dyDescent="0.35">
      <c r="AQ7043" s="54"/>
      <c r="BA7043" s="54"/>
    </row>
    <row r="7044" spans="43:53" x14ac:dyDescent="0.35">
      <c r="AQ7044" s="54"/>
      <c r="BA7044" s="54"/>
    </row>
    <row r="7045" spans="43:53" x14ac:dyDescent="0.35">
      <c r="AQ7045" s="54"/>
      <c r="BA7045" s="54"/>
    </row>
    <row r="7046" spans="43:53" x14ac:dyDescent="0.35">
      <c r="AQ7046" s="54"/>
      <c r="BA7046" s="54"/>
    </row>
    <row r="7047" spans="43:53" x14ac:dyDescent="0.35">
      <c r="AQ7047" s="54"/>
      <c r="BA7047" s="54"/>
    </row>
    <row r="7048" spans="43:53" x14ac:dyDescent="0.35">
      <c r="AQ7048" s="54"/>
      <c r="BA7048" s="54"/>
    </row>
    <row r="7049" spans="43:53" x14ac:dyDescent="0.35">
      <c r="AQ7049" s="54"/>
      <c r="BA7049" s="54"/>
    </row>
    <row r="7050" spans="43:53" x14ac:dyDescent="0.35">
      <c r="AQ7050" s="54"/>
      <c r="BA7050" s="54"/>
    </row>
    <row r="7051" spans="43:53" x14ac:dyDescent="0.35">
      <c r="AQ7051" s="54"/>
      <c r="BA7051" s="54"/>
    </row>
    <row r="7052" spans="43:53" x14ac:dyDescent="0.35">
      <c r="AQ7052" s="54"/>
      <c r="BA7052" s="54"/>
    </row>
    <row r="7053" spans="43:53" x14ac:dyDescent="0.35">
      <c r="AQ7053" s="54"/>
      <c r="BA7053" s="54"/>
    </row>
    <row r="7054" spans="43:53" x14ac:dyDescent="0.35">
      <c r="AQ7054" s="54"/>
      <c r="BA7054" s="54"/>
    </row>
    <row r="7055" spans="43:53" x14ac:dyDescent="0.35">
      <c r="AQ7055" s="54"/>
      <c r="BA7055" s="54"/>
    </row>
    <row r="7056" spans="43:53" x14ac:dyDescent="0.35">
      <c r="AQ7056" s="54"/>
      <c r="BA7056" s="54"/>
    </row>
    <row r="7057" spans="43:53" x14ac:dyDescent="0.35">
      <c r="AQ7057" s="54"/>
      <c r="BA7057" s="54"/>
    </row>
    <row r="7058" spans="43:53" x14ac:dyDescent="0.35">
      <c r="AQ7058" s="54"/>
      <c r="BA7058" s="54"/>
    </row>
    <row r="7059" spans="43:53" x14ac:dyDescent="0.35">
      <c r="AQ7059" s="54"/>
      <c r="BA7059" s="54"/>
    </row>
    <row r="7060" spans="43:53" x14ac:dyDescent="0.35">
      <c r="AQ7060" s="54"/>
      <c r="BA7060" s="54"/>
    </row>
    <row r="7061" spans="43:53" x14ac:dyDescent="0.35">
      <c r="AQ7061" s="54"/>
      <c r="BA7061" s="54"/>
    </row>
    <row r="7062" spans="43:53" x14ac:dyDescent="0.35">
      <c r="AQ7062" s="54"/>
      <c r="BA7062" s="54"/>
    </row>
    <row r="7063" spans="43:53" x14ac:dyDescent="0.35">
      <c r="AQ7063" s="54"/>
      <c r="BA7063" s="54"/>
    </row>
    <row r="7064" spans="43:53" x14ac:dyDescent="0.35">
      <c r="AQ7064" s="54"/>
      <c r="BA7064" s="54"/>
    </row>
    <row r="7065" spans="43:53" x14ac:dyDescent="0.35">
      <c r="AQ7065" s="54"/>
      <c r="BA7065" s="54"/>
    </row>
    <row r="7066" spans="43:53" x14ac:dyDescent="0.35">
      <c r="AQ7066" s="54"/>
      <c r="BA7066" s="54"/>
    </row>
    <row r="7067" spans="43:53" x14ac:dyDescent="0.35">
      <c r="AQ7067" s="54"/>
      <c r="BA7067" s="54"/>
    </row>
    <row r="7068" spans="43:53" x14ac:dyDescent="0.35">
      <c r="AQ7068" s="54"/>
      <c r="BA7068" s="54"/>
    </row>
    <row r="7069" spans="43:53" x14ac:dyDescent="0.35">
      <c r="AQ7069" s="54"/>
      <c r="BA7069" s="54"/>
    </row>
    <row r="7070" spans="43:53" x14ac:dyDescent="0.35">
      <c r="AQ7070" s="54"/>
      <c r="BA7070" s="54"/>
    </row>
    <row r="7071" spans="43:53" x14ac:dyDescent="0.35">
      <c r="AQ7071" s="54"/>
      <c r="BA7071" s="54"/>
    </row>
    <row r="7072" spans="43:53" x14ac:dyDescent="0.35">
      <c r="AQ7072" s="54"/>
      <c r="BA7072" s="54"/>
    </row>
    <row r="7073" spans="43:53" x14ac:dyDescent="0.35">
      <c r="AQ7073" s="54"/>
      <c r="BA7073" s="54"/>
    </row>
    <row r="7074" spans="43:53" x14ac:dyDescent="0.35">
      <c r="AQ7074" s="54"/>
      <c r="BA7074" s="54"/>
    </row>
    <row r="7075" spans="43:53" x14ac:dyDescent="0.35">
      <c r="AQ7075" s="54"/>
      <c r="BA7075" s="54"/>
    </row>
    <row r="7076" spans="43:53" x14ac:dyDescent="0.35">
      <c r="AQ7076" s="54"/>
      <c r="BA7076" s="54"/>
    </row>
    <row r="7077" spans="43:53" x14ac:dyDescent="0.35">
      <c r="AQ7077" s="54"/>
      <c r="BA7077" s="54"/>
    </row>
    <row r="7078" spans="43:53" x14ac:dyDescent="0.35">
      <c r="AQ7078" s="54"/>
      <c r="BA7078" s="54"/>
    </row>
    <row r="7079" spans="43:53" x14ac:dyDescent="0.35">
      <c r="AQ7079" s="54"/>
      <c r="BA7079" s="54"/>
    </row>
    <row r="7080" spans="43:53" x14ac:dyDescent="0.35">
      <c r="AQ7080" s="54"/>
      <c r="BA7080" s="54"/>
    </row>
    <row r="7081" spans="43:53" x14ac:dyDescent="0.35">
      <c r="AQ7081" s="54"/>
      <c r="BA7081" s="54"/>
    </row>
    <row r="7082" spans="43:53" x14ac:dyDescent="0.35">
      <c r="AQ7082" s="54"/>
      <c r="BA7082" s="54"/>
    </row>
    <row r="7083" spans="43:53" x14ac:dyDescent="0.35">
      <c r="AQ7083" s="54"/>
      <c r="BA7083" s="54"/>
    </row>
    <row r="7084" spans="43:53" x14ac:dyDescent="0.35">
      <c r="AQ7084" s="54"/>
      <c r="BA7084" s="54"/>
    </row>
    <row r="7085" spans="43:53" x14ac:dyDescent="0.35">
      <c r="AQ7085" s="54"/>
      <c r="BA7085" s="54"/>
    </row>
    <row r="7086" spans="43:53" x14ac:dyDescent="0.35">
      <c r="AQ7086" s="54"/>
      <c r="BA7086" s="54"/>
    </row>
    <row r="7087" spans="43:53" x14ac:dyDescent="0.35">
      <c r="AQ7087" s="54"/>
      <c r="BA7087" s="54"/>
    </row>
    <row r="7088" spans="43:53" x14ac:dyDescent="0.35">
      <c r="AQ7088" s="54"/>
      <c r="BA7088" s="54"/>
    </row>
    <row r="7089" spans="43:53" x14ac:dyDescent="0.35">
      <c r="AQ7089" s="54"/>
      <c r="BA7089" s="54"/>
    </row>
    <row r="7090" spans="43:53" x14ac:dyDescent="0.35">
      <c r="AQ7090" s="54"/>
      <c r="BA7090" s="54"/>
    </row>
    <row r="7091" spans="43:53" x14ac:dyDescent="0.35">
      <c r="AQ7091" s="54"/>
      <c r="BA7091" s="54"/>
    </row>
    <row r="7092" spans="43:53" x14ac:dyDescent="0.35">
      <c r="AQ7092" s="54"/>
      <c r="BA7092" s="54"/>
    </row>
    <row r="7093" spans="43:53" x14ac:dyDescent="0.35">
      <c r="AQ7093" s="54"/>
      <c r="BA7093" s="54"/>
    </row>
    <row r="7094" spans="43:53" x14ac:dyDescent="0.35">
      <c r="AQ7094" s="54"/>
      <c r="BA7094" s="54"/>
    </row>
    <row r="7095" spans="43:53" x14ac:dyDescent="0.35">
      <c r="AQ7095" s="54"/>
      <c r="BA7095" s="54"/>
    </row>
    <row r="7096" spans="43:53" x14ac:dyDescent="0.35">
      <c r="AQ7096" s="54"/>
      <c r="BA7096" s="54"/>
    </row>
    <row r="7097" spans="43:53" x14ac:dyDescent="0.35">
      <c r="AQ7097" s="54"/>
      <c r="BA7097" s="54"/>
    </row>
    <row r="7098" spans="43:53" x14ac:dyDescent="0.35">
      <c r="AQ7098" s="54"/>
      <c r="BA7098" s="54"/>
    </row>
    <row r="7099" spans="43:53" x14ac:dyDescent="0.35">
      <c r="AQ7099" s="54"/>
      <c r="BA7099" s="54"/>
    </row>
    <row r="7100" spans="43:53" x14ac:dyDescent="0.35">
      <c r="AQ7100" s="54"/>
      <c r="BA7100" s="54"/>
    </row>
    <row r="7101" spans="43:53" x14ac:dyDescent="0.35">
      <c r="AQ7101" s="54"/>
      <c r="BA7101" s="54"/>
    </row>
    <row r="7102" spans="43:53" x14ac:dyDescent="0.35">
      <c r="AQ7102" s="54"/>
      <c r="BA7102" s="54"/>
    </row>
    <row r="7103" spans="43:53" x14ac:dyDescent="0.35">
      <c r="AQ7103" s="54"/>
      <c r="BA7103" s="54"/>
    </row>
    <row r="7104" spans="43:53" x14ac:dyDescent="0.35">
      <c r="AQ7104" s="54"/>
      <c r="BA7104" s="54"/>
    </row>
    <row r="7105" spans="43:53" x14ac:dyDescent="0.35">
      <c r="AQ7105" s="54"/>
      <c r="BA7105" s="54"/>
    </row>
    <row r="7106" spans="43:53" x14ac:dyDescent="0.35">
      <c r="AQ7106" s="54"/>
      <c r="BA7106" s="54"/>
    </row>
    <row r="7107" spans="43:53" x14ac:dyDescent="0.35">
      <c r="AQ7107" s="54"/>
      <c r="BA7107" s="54"/>
    </row>
    <row r="7108" spans="43:53" x14ac:dyDescent="0.35">
      <c r="AQ7108" s="54"/>
      <c r="BA7108" s="54"/>
    </row>
    <row r="7109" spans="43:53" x14ac:dyDescent="0.35">
      <c r="AQ7109" s="54"/>
      <c r="BA7109" s="54"/>
    </row>
    <row r="7110" spans="43:53" x14ac:dyDescent="0.35">
      <c r="AQ7110" s="54"/>
      <c r="BA7110" s="54"/>
    </row>
    <row r="7111" spans="43:53" x14ac:dyDescent="0.35">
      <c r="AQ7111" s="54"/>
      <c r="BA7111" s="54"/>
    </row>
    <row r="7112" spans="43:53" x14ac:dyDescent="0.35">
      <c r="AQ7112" s="54"/>
      <c r="BA7112" s="54"/>
    </row>
    <row r="7113" spans="43:53" x14ac:dyDescent="0.35">
      <c r="AQ7113" s="54"/>
      <c r="BA7113" s="54"/>
    </row>
    <row r="7114" spans="43:53" x14ac:dyDescent="0.35">
      <c r="AQ7114" s="54"/>
      <c r="BA7114" s="54"/>
    </row>
    <row r="7115" spans="43:53" x14ac:dyDescent="0.35">
      <c r="AQ7115" s="54"/>
      <c r="BA7115" s="54"/>
    </row>
    <row r="7116" spans="43:53" x14ac:dyDescent="0.35">
      <c r="AQ7116" s="54"/>
      <c r="BA7116" s="54"/>
    </row>
    <row r="7117" spans="43:53" x14ac:dyDescent="0.35">
      <c r="AQ7117" s="54"/>
      <c r="BA7117" s="54"/>
    </row>
    <row r="7118" spans="43:53" x14ac:dyDescent="0.35">
      <c r="AQ7118" s="54"/>
      <c r="BA7118" s="54"/>
    </row>
    <row r="7119" spans="43:53" x14ac:dyDescent="0.35">
      <c r="AQ7119" s="54"/>
      <c r="BA7119" s="54"/>
    </row>
    <row r="7120" spans="43:53" x14ac:dyDescent="0.35">
      <c r="AQ7120" s="54"/>
      <c r="BA7120" s="54"/>
    </row>
    <row r="7121" spans="43:53" x14ac:dyDescent="0.35">
      <c r="AQ7121" s="54"/>
      <c r="BA7121" s="54"/>
    </row>
    <row r="7122" spans="43:53" x14ac:dyDescent="0.35">
      <c r="AQ7122" s="54"/>
      <c r="BA7122" s="54"/>
    </row>
    <row r="7123" spans="43:53" x14ac:dyDescent="0.35">
      <c r="AQ7123" s="54"/>
      <c r="BA7123" s="54"/>
    </row>
    <row r="7124" spans="43:53" x14ac:dyDescent="0.35">
      <c r="AQ7124" s="54"/>
      <c r="BA7124" s="54"/>
    </row>
    <row r="7125" spans="43:53" x14ac:dyDescent="0.35">
      <c r="AQ7125" s="54"/>
      <c r="BA7125" s="54"/>
    </row>
    <row r="7126" spans="43:53" x14ac:dyDescent="0.35">
      <c r="AQ7126" s="54"/>
      <c r="BA7126" s="54"/>
    </row>
    <row r="7127" spans="43:53" x14ac:dyDescent="0.35">
      <c r="AQ7127" s="54"/>
      <c r="BA7127" s="54"/>
    </row>
    <row r="7128" spans="43:53" x14ac:dyDescent="0.35">
      <c r="AQ7128" s="54"/>
      <c r="BA7128" s="54"/>
    </row>
    <row r="7129" spans="43:53" x14ac:dyDescent="0.35">
      <c r="AQ7129" s="54"/>
      <c r="BA7129" s="54"/>
    </row>
    <row r="7130" spans="43:53" x14ac:dyDescent="0.35">
      <c r="AQ7130" s="54"/>
      <c r="BA7130" s="54"/>
    </row>
    <row r="7131" spans="43:53" x14ac:dyDescent="0.35">
      <c r="AQ7131" s="54"/>
      <c r="BA7131" s="54"/>
    </row>
    <row r="7132" spans="43:53" x14ac:dyDescent="0.35">
      <c r="AQ7132" s="54"/>
      <c r="BA7132" s="54"/>
    </row>
    <row r="7133" spans="43:53" x14ac:dyDescent="0.35">
      <c r="AQ7133" s="54"/>
      <c r="BA7133" s="54"/>
    </row>
    <row r="7134" spans="43:53" x14ac:dyDescent="0.35">
      <c r="AQ7134" s="54"/>
      <c r="BA7134" s="54"/>
    </row>
    <row r="7135" spans="43:53" x14ac:dyDescent="0.35">
      <c r="AQ7135" s="54"/>
      <c r="BA7135" s="54"/>
    </row>
    <row r="7136" spans="43:53" x14ac:dyDescent="0.35">
      <c r="AQ7136" s="54"/>
      <c r="BA7136" s="54"/>
    </row>
    <row r="7137" spans="43:53" x14ac:dyDescent="0.35">
      <c r="AQ7137" s="54"/>
      <c r="BA7137" s="54"/>
    </row>
    <row r="7138" spans="43:53" x14ac:dyDescent="0.35">
      <c r="AQ7138" s="54"/>
      <c r="BA7138" s="54"/>
    </row>
    <row r="7139" spans="43:53" x14ac:dyDescent="0.35">
      <c r="AQ7139" s="54"/>
      <c r="BA7139" s="54"/>
    </row>
    <row r="7140" spans="43:53" x14ac:dyDescent="0.35">
      <c r="AQ7140" s="54"/>
      <c r="BA7140" s="54"/>
    </row>
    <row r="7141" spans="43:53" x14ac:dyDescent="0.35">
      <c r="AQ7141" s="54"/>
      <c r="BA7141" s="54"/>
    </row>
    <row r="7142" spans="43:53" x14ac:dyDescent="0.35">
      <c r="AQ7142" s="54"/>
      <c r="BA7142" s="54"/>
    </row>
    <row r="7143" spans="43:53" x14ac:dyDescent="0.35">
      <c r="AQ7143" s="54"/>
      <c r="BA7143" s="54"/>
    </row>
    <row r="7144" spans="43:53" x14ac:dyDescent="0.35">
      <c r="AQ7144" s="54"/>
      <c r="BA7144" s="54"/>
    </row>
    <row r="7145" spans="43:53" x14ac:dyDescent="0.35">
      <c r="AQ7145" s="54"/>
      <c r="BA7145" s="54"/>
    </row>
    <row r="7146" spans="43:53" x14ac:dyDescent="0.35">
      <c r="AQ7146" s="54"/>
      <c r="BA7146" s="54"/>
    </row>
    <row r="7147" spans="43:53" x14ac:dyDescent="0.35">
      <c r="AQ7147" s="54"/>
      <c r="BA7147" s="54"/>
    </row>
    <row r="7148" spans="43:53" x14ac:dyDescent="0.35">
      <c r="AQ7148" s="54"/>
      <c r="BA7148" s="54"/>
    </row>
    <row r="7149" spans="43:53" x14ac:dyDescent="0.35">
      <c r="AQ7149" s="54"/>
      <c r="BA7149" s="54"/>
    </row>
    <row r="7150" spans="43:53" x14ac:dyDescent="0.35">
      <c r="AQ7150" s="54"/>
      <c r="BA7150" s="54"/>
    </row>
    <row r="7151" spans="43:53" x14ac:dyDescent="0.35">
      <c r="AQ7151" s="54"/>
      <c r="BA7151" s="54"/>
    </row>
    <row r="7152" spans="43:53" x14ac:dyDescent="0.35">
      <c r="AQ7152" s="54"/>
      <c r="BA7152" s="54"/>
    </row>
    <row r="7153" spans="43:53" x14ac:dyDescent="0.35">
      <c r="AQ7153" s="54"/>
      <c r="BA7153" s="54"/>
    </row>
    <row r="7154" spans="43:53" x14ac:dyDescent="0.35">
      <c r="AQ7154" s="54"/>
      <c r="BA7154" s="54"/>
    </row>
    <row r="7155" spans="43:53" x14ac:dyDescent="0.35">
      <c r="AQ7155" s="54"/>
      <c r="BA7155" s="54"/>
    </row>
    <row r="7156" spans="43:53" x14ac:dyDescent="0.35">
      <c r="AQ7156" s="54"/>
      <c r="BA7156" s="54"/>
    </row>
    <row r="7157" spans="43:53" x14ac:dyDescent="0.35">
      <c r="AQ7157" s="54"/>
      <c r="BA7157" s="54"/>
    </row>
    <row r="7158" spans="43:53" x14ac:dyDescent="0.35">
      <c r="AQ7158" s="54"/>
      <c r="BA7158" s="54"/>
    </row>
    <row r="7159" spans="43:53" x14ac:dyDescent="0.35">
      <c r="AQ7159" s="54"/>
      <c r="BA7159" s="54"/>
    </row>
    <row r="7160" spans="43:53" x14ac:dyDescent="0.35">
      <c r="AQ7160" s="54"/>
      <c r="BA7160" s="54"/>
    </row>
    <row r="7161" spans="43:53" x14ac:dyDescent="0.35">
      <c r="AQ7161" s="54"/>
      <c r="BA7161" s="54"/>
    </row>
    <row r="7162" spans="43:53" x14ac:dyDescent="0.35">
      <c r="AQ7162" s="54"/>
      <c r="BA7162" s="54"/>
    </row>
    <row r="7163" spans="43:53" x14ac:dyDescent="0.35">
      <c r="AQ7163" s="54"/>
      <c r="BA7163" s="54"/>
    </row>
    <row r="7164" spans="43:53" x14ac:dyDescent="0.35">
      <c r="AQ7164" s="54"/>
      <c r="BA7164" s="54"/>
    </row>
    <row r="7165" spans="43:53" x14ac:dyDescent="0.35">
      <c r="AQ7165" s="54"/>
      <c r="BA7165" s="54"/>
    </row>
    <row r="7166" spans="43:53" x14ac:dyDescent="0.35">
      <c r="AQ7166" s="54"/>
      <c r="BA7166" s="54"/>
    </row>
    <row r="7167" spans="43:53" x14ac:dyDescent="0.35">
      <c r="AQ7167" s="54"/>
      <c r="BA7167" s="54"/>
    </row>
    <row r="7168" spans="43:53" x14ac:dyDescent="0.35">
      <c r="AQ7168" s="54"/>
      <c r="BA7168" s="54"/>
    </row>
    <row r="7169" spans="43:53" x14ac:dyDescent="0.35">
      <c r="AQ7169" s="54"/>
      <c r="BA7169" s="54"/>
    </row>
    <row r="7170" spans="43:53" x14ac:dyDescent="0.35">
      <c r="AQ7170" s="54"/>
      <c r="BA7170" s="54"/>
    </row>
    <row r="7171" spans="43:53" x14ac:dyDescent="0.35">
      <c r="AQ7171" s="54"/>
      <c r="BA7171" s="54"/>
    </row>
    <row r="7172" spans="43:53" x14ac:dyDescent="0.35">
      <c r="AQ7172" s="54"/>
      <c r="BA7172" s="54"/>
    </row>
    <row r="7173" spans="43:53" x14ac:dyDescent="0.35">
      <c r="AQ7173" s="54"/>
      <c r="BA7173" s="54"/>
    </row>
    <row r="7174" spans="43:53" x14ac:dyDescent="0.35">
      <c r="AQ7174" s="54"/>
      <c r="BA7174" s="54"/>
    </row>
    <row r="7175" spans="43:53" x14ac:dyDescent="0.35">
      <c r="AQ7175" s="54"/>
      <c r="BA7175" s="54"/>
    </row>
    <row r="7176" spans="43:53" x14ac:dyDescent="0.35">
      <c r="AQ7176" s="54"/>
      <c r="BA7176" s="54"/>
    </row>
    <row r="7177" spans="43:53" x14ac:dyDescent="0.35">
      <c r="AQ7177" s="54"/>
      <c r="BA7177" s="54"/>
    </row>
    <row r="7178" spans="43:53" x14ac:dyDescent="0.35">
      <c r="AQ7178" s="54"/>
      <c r="BA7178" s="54"/>
    </row>
    <row r="7179" spans="43:53" x14ac:dyDescent="0.35">
      <c r="AQ7179" s="54"/>
      <c r="BA7179" s="54"/>
    </row>
    <row r="7180" spans="43:53" x14ac:dyDescent="0.35">
      <c r="AQ7180" s="54"/>
      <c r="BA7180" s="54"/>
    </row>
    <row r="7181" spans="43:53" x14ac:dyDescent="0.35">
      <c r="AQ7181" s="54"/>
      <c r="BA7181" s="54"/>
    </row>
    <row r="7182" spans="43:53" x14ac:dyDescent="0.35">
      <c r="AQ7182" s="54"/>
      <c r="BA7182" s="54"/>
    </row>
    <row r="7183" spans="43:53" x14ac:dyDescent="0.35">
      <c r="AQ7183" s="54"/>
      <c r="BA7183" s="54"/>
    </row>
    <row r="7184" spans="43:53" x14ac:dyDescent="0.35">
      <c r="AQ7184" s="54"/>
      <c r="BA7184" s="54"/>
    </row>
    <row r="7185" spans="43:53" x14ac:dyDescent="0.35">
      <c r="AQ7185" s="54"/>
      <c r="BA7185" s="54"/>
    </row>
    <row r="7186" spans="43:53" x14ac:dyDescent="0.35">
      <c r="AQ7186" s="54"/>
      <c r="BA7186" s="54"/>
    </row>
    <row r="7187" spans="43:53" x14ac:dyDescent="0.35">
      <c r="AQ7187" s="54"/>
      <c r="BA7187" s="54"/>
    </row>
    <row r="7188" spans="43:53" x14ac:dyDescent="0.35">
      <c r="AQ7188" s="54"/>
      <c r="BA7188" s="54"/>
    </row>
    <row r="7189" spans="43:53" x14ac:dyDescent="0.35">
      <c r="AQ7189" s="54"/>
      <c r="BA7189" s="54"/>
    </row>
    <row r="7190" spans="43:53" x14ac:dyDescent="0.35">
      <c r="AQ7190" s="54"/>
      <c r="BA7190" s="54"/>
    </row>
    <row r="7191" spans="43:53" x14ac:dyDescent="0.35">
      <c r="AQ7191" s="54"/>
      <c r="BA7191" s="54"/>
    </row>
    <row r="7192" spans="43:53" x14ac:dyDescent="0.35">
      <c r="AQ7192" s="54"/>
      <c r="BA7192" s="54"/>
    </row>
    <row r="7193" spans="43:53" x14ac:dyDescent="0.35">
      <c r="AQ7193" s="54"/>
      <c r="BA7193" s="54"/>
    </row>
    <row r="7194" spans="43:53" x14ac:dyDescent="0.35">
      <c r="AQ7194" s="54"/>
      <c r="BA7194" s="54"/>
    </row>
    <row r="7195" spans="43:53" x14ac:dyDescent="0.35">
      <c r="AQ7195" s="54"/>
      <c r="BA7195" s="54"/>
    </row>
    <row r="7196" spans="43:53" x14ac:dyDescent="0.35">
      <c r="AQ7196" s="54"/>
      <c r="BA7196" s="54"/>
    </row>
    <row r="7197" spans="43:53" x14ac:dyDescent="0.35">
      <c r="AQ7197" s="54"/>
      <c r="BA7197" s="54"/>
    </row>
    <row r="7198" spans="43:53" x14ac:dyDescent="0.35">
      <c r="AQ7198" s="54"/>
      <c r="BA7198" s="54"/>
    </row>
    <row r="7199" spans="43:53" x14ac:dyDescent="0.35">
      <c r="AQ7199" s="54"/>
      <c r="BA7199" s="54"/>
    </row>
    <row r="7200" spans="43:53" x14ac:dyDescent="0.35">
      <c r="AQ7200" s="54"/>
      <c r="BA7200" s="54"/>
    </row>
    <row r="7201" spans="43:53" x14ac:dyDescent="0.35">
      <c r="AQ7201" s="54"/>
      <c r="BA7201" s="54"/>
    </row>
    <row r="7202" spans="43:53" x14ac:dyDescent="0.35">
      <c r="AQ7202" s="54"/>
      <c r="BA7202" s="54"/>
    </row>
    <row r="7203" spans="43:53" x14ac:dyDescent="0.35">
      <c r="AQ7203" s="54"/>
      <c r="BA7203" s="54"/>
    </row>
    <row r="7204" spans="43:53" x14ac:dyDescent="0.35">
      <c r="AQ7204" s="54"/>
      <c r="BA7204" s="54"/>
    </row>
    <row r="7205" spans="43:53" x14ac:dyDescent="0.35">
      <c r="AQ7205" s="54"/>
      <c r="BA7205" s="54"/>
    </row>
    <row r="7206" spans="43:53" x14ac:dyDescent="0.35">
      <c r="AQ7206" s="54"/>
      <c r="BA7206" s="54"/>
    </row>
    <row r="7207" spans="43:53" x14ac:dyDescent="0.35">
      <c r="AQ7207" s="54"/>
      <c r="BA7207" s="54"/>
    </row>
    <row r="7208" spans="43:53" x14ac:dyDescent="0.35">
      <c r="AQ7208" s="54"/>
      <c r="BA7208" s="54"/>
    </row>
    <row r="7209" spans="43:53" x14ac:dyDescent="0.35">
      <c r="AQ7209" s="54"/>
      <c r="BA7209" s="54"/>
    </row>
    <row r="7210" spans="43:53" x14ac:dyDescent="0.35">
      <c r="AQ7210" s="54"/>
      <c r="BA7210" s="54"/>
    </row>
    <row r="7211" spans="43:53" x14ac:dyDescent="0.35">
      <c r="AQ7211" s="54"/>
      <c r="BA7211" s="54"/>
    </row>
    <row r="7212" spans="43:53" x14ac:dyDescent="0.35">
      <c r="AQ7212" s="54"/>
      <c r="BA7212" s="54"/>
    </row>
    <row r="7213" spans="43:53" x14ac:dyDescent="0.35">
      <c r="AQ7213" s="54"/>
      <c r="BA7213" s="54"/>
    </row>
    <row r="7214" spans="43:53" x14ac:dyDescent="0.35">
      <c r="AQ7214" s="54"/>
      <c r="BA7214" s="54"/>
    </row>
    <row r="7215" spans="43:53" x14ac:dyDescent="0.35">
      <c r="AQ7215" s="54"/>
      <c r="BA7215" s="54"/>
    </row>
    <row r="7216" spans="43:53" x14ac:dyDescent="0.35">
      <c r="AQ7216" s="54"/>
      <c r="BA7216" s="54"/>
    </row>
    <row r="7217" spans="43:53" x14ac:dyDescent="0.35">
      <c r="AQ7217" s="54"/>
      <c r="BA7217" s="54"/>
    </row>
    <row r="7218" spans="43:53" x14ac:dyDescent="0.35">
      <c r="AQ7218" s="54"/>
      <c r="BA7218" s="54"/>
    </row>
    <row r="7219" spans="43:53" x14ac:dyDescent="0.35">
      <c r="AQ7219" s="54"/>
      <c r="BA7219" s="54"/>
    </row>
    <row r="7220" spans="43:53" x14ac:dyDescent="0.35">
      <c r="AQ7220" s="54"/>
      <c r="BA7220" s="54"/>
    </row>
    <row r="7221" spans="43:53" x14ac:dyDescent="0.35">
      <c r="AQ7221" s="54"/>
      <c r="BA7221" s="54"/>
    </row>
    <row r="7222" spans="43:53" x14ac:dyDescent="0.35">
      <c r="AQ7222" s="54"/>
      <c r="BA7222" s="54"/>
    </row>
    <row r="7223" spans="43:53" x14ac:dyDescent="0.35">
      <c r="AQ7223" s="54"/>
      <c r="BA7223" s="54"/>
    </row>
    <row r="7224" spans="43:53" x14ac:dyDescent="0.35">
      <c r="AQ7224" s="54"/>
      <c r="BA7224" s="54"/>
    </row>
    <row r="7225" spans="43:53" x14ac:dyDescent="0.35">
      <c r="AQ7225" s="54"/>
      <c r="BA7225" s="54"/>
    </row>
    <row r="7226" spans="43:53" x14ac:dyDescent="0.35">
      <c r="AQ7226" s="54"/>
      <c r="BA7226" s="54"/>
    </row>
    <row r="7227" spans="43:53" x14ac:dyDescent="0.35">
      <c r="AQ7227" s="54"/>
      <c r="BA7227" s="54"/>
    </row>
    <row r="7228" spans="43:53" x14ac:dyDescent="0.35">
      <c r="AQ7228" s="54"/>
      <c r="BA7228" s="54"/>
    </row>
    <row r="7229" spans="43:53" x14ac:dyDescent="0.35">
      <c r="AQ7229" s="54"/>
      <c r="BA7229" s="54"/>
    </row>
    <row r="7230" spans="43:53" x14ac:dyDescent="0.35">
      <c r="AQ7230" s="54"/>
      <c r="BA7230" s="54"/>
    </row>
    <row r="7231" spans="43:53" x14ac:dyDescent="0.35">
      <c r="AQ7231" s="54"/>
      <c r="BA7231" s="54"/>
    </row>
    <row r="7232" spans="43:53" x14ac:dyDescent="0.35">
      <c r="AQ7232" s="54"/>
      <c r="BA7232" s="54"/>
    </row>
    <row r="7233" spans="43:53" x14ac:dyDescent="0.35">
      <c r="AQ7233" s="54"/>
      <c r="BA7233" s="54"/>
    </row>
    <row r="7234" spans="43:53" x14ac:dyDescent="0.35">
      <c r="AQ7234" s="54"/>
      <c r="BA7234" s="54"/>
    </row>
    <row r="7235" spans="43:53" x14ac:dyDescent="0.35">
      <c r="AQ7235" s="54"/>
      <c r="BA7235" s="54"/>
    </row>
    <row r="7236" spans="43:53" x14ac:dyDescent="0.35">
      <c r="AQ7236" s="54"/>
      <c r="BA7236" s="54"/>
    </row>
    <row r="7237" spans="43:53" x14ac:dyDescent="0.35">
      <c r="AQ7237" s="54"/>
      <c r="BA7237" s="54"/>
    </row>
    <row r="7238" spans="43:53" x14ac:dyDescent="0.35">
      <c r="AQ7238" s="54"/>
      <c r="BA7238" s="54"/>
    </row>
    <row r="7239" spans="43:53" x14ac:dyDescent="0.35">
      <c r="AQ7239" s="54"/>
      <c r="BA7239" s="54"/>
    </row>
    <row r="7240" spans="43:53" x14ac:dyDescent="0.35">
      <c r="AQ7240" s="54"/>
      <c r="BA7240" s="54"/>
    </row>
    <row r="7241" spans="43:53" x14ac:dyDescent="0.35">
      <c r="AQ7241" s="54"/>
      <c r="BA7241" s="54"/>
    </row>
    <row r="7242" spans="43:53" x14ac:dyDescent="0.35">
      <c r="AQ7242" s="54"/>
      <c r="BA7242" s="54"/>
    </row>
    <row r="7243" spans="43:53" x14ac:dyDescent="0.35">
      <c r="AQ7243" s="54"/>
      <c r="BA7243" s="54"/>
    </row>
    <row r="7244" spans="43:53" x14ac:dyDescent="0.35">
      <c r="AQ7244" s="54"/>
      <c r="BA7244" s="54"/>
    </row>
    <row r="7245" spans="43:53" x14ac:dyDescent="0.35">
      <c r="AQ7245" s="54"/>
      <c r="BA7245" s="54"/>
    </row>
    <row r="7246" spans="43:53" x14ac:dyDescent="0.35">
      <c r="AQ7246" s="54"/>
      <c r="BA7246" s="54"/>
    </row>
    <row r="7247" spans="43:53" x14ac:dyDescent="0.35">
      <c r="AQ7247" s="54"/>
      <c r="BA7247" s="54"/>
    </row>
    <row r="7248" spans="43:53" x14ac:dyDescent="0.35">
      <c r="AQ7248" s="54"/>
      <c r="BA7248" s="54"/>
    </row>
    <row r="7249" spans="43:53" x14ac:dyDescent="0.35">
      <c r="AQ7249" s="54"/>
      <c r="BA7249" s="54"/>
    </row>
    <row r="7250" spans="43:53" x14ac:dyDescent="0.35">
      <c r="AQ7250" s="54"/>
      <c r="BA7250" s="54"/>
    </row>
    <row r="7251" spans="43:53" x14ac:dyDescent="0.35">
      <c r="AQ7251" s="54"/>
      <c r="BA7251" s="54"/>
    </row>
    <row r="7252" spans="43:53" x14ac:dyDescent="0.35">
      <c r="AQ7252" s="54"/>
      <c r="BA7252" s="54"/>
    </row>
    <row r="7253" spans="43:53" x14ac:dyDescent="0.35">
      <c r="AQ7253" s="54"/>
      <c r="BA7253" s="54"/>
    </row>
    <row r="7254" spans="43:53" x14ac:dyDescent="0.35">
      <c r="AQ7254" s="54"/>
      <c r="BA7254" s="54"/>
    </row>
    <row r="7255" spans="43:53" x14ac:dyDescent="0.35">
      <c r="AQ7255" s="54"/>
      <c r="BA7255" s="54"/>
    </row>
    <row r="7256" spans="43:53" x14ac:dyDescent="0.35">
      <c r="AQ7256" s="54"/>
      <c r="BA7256" s="54"/>
    </row>
    <row r="7257" spans="43:53" x14ac:dyDescent="0.35">
      <c r="AQ7257" s="54"/>
      <c r="BA7257" s="54"/>
    </row>
    <row r="7258" spans="43:53" x14ac:dyDescent="0.35">
      <c r="AQ7258" s="54"/>
      <c r="BA7258" s="54"/>
    </row>
    <row r="7259" spans="43:53" x14ac:dyDescent="0.35">
      <c r="AQ7259" s="54"/>
      <c r="BA7259" s="54"/>
    </row>
    <row r="7260" spans="43:53" x14ac:dyDescent="0.35">
      <c r="AQ7260" s="54"/>
      <c r="BA7260" s="54"/>
    </row>
    <row r="7261" spans="43:53" x14ac:dyDescent="0.35">
      <c r="AQ7261" s="54"/>
      <c r="BA7261" s="54"/>
    </row>
    <row r="7262" spans="43:53" x14ac:dyDescent="0.35">
      <c r="AQ7262" s="54"/>
      <c r="BA7262" s="54"/>
    </row>
    <row r="7263" spans="43:53" x14ac:dyDescent="0.35">
      <c r="AQ7263" s="54"/>
      <c r="BA7263" s="54"/>
    </row>
    <row r="7264" spans="43:53" x14ac:dyDescent="0.35">
      <c r="AQ7264" s="54"/>
      <c r="BA7264" s="54"/>
    </row>
    <row r="7265" spans="43:53" x14ac:dyDescent="0.35">
      <c r="AQ7265" s="54"/>
      <c r="BA7265" s="54"/>
    </row>
    <row r="7266" spans="43:53" x14ac:dyDescent="0.35">
      <c r="AQ7266" s="54"/>
      <c r="BA7266" s="54"/>
    </row>
    <row r="7267" spans="43:53" x14ac:dyDescent="0.35">
      <c r="AQ7267" s="54"/>
      <c r="BA7267" s="54"/>
    </row>
    <row r="7268" spans="43:53" x14ac:dyDescent="0.35">
      <c r="AQ7268" s="54"/>
      <c r="BA7268" s="54"/>
    </row>
    <row r="7269" spans="43:53" x14ac:dyDescent="0.35">
      <c r="AQ7269" s="54"/>
      <c r="BA7269" s="54"/>
    </row>
    <row r="7270" spans="43:53" x14ac:dyDescent="0.35">
      <c r="AQ7270" s="54"/>
      <c r="BA7270" s="54"/>
    </row>
    <row r="7271" spans="43:53" x14ac:dyDescent="0.35">
      <c r="AQ7271" s="54"/>
      <c r="BA7271" s="54"/>
    </row>
    <row r="7272" spans="43:53" x14ac:dyDescent="0.35">
      <c r="AQ7272" s="54"/>
      <c r="BA7272" s="54"/>
    </row>
    <row r="7273" spans="43:53" x14ac:dyDescent="0.35">
      <c r="AQ7273" s="54"/>
      <c r="BA7273" s="54"/>
    </row>
    <row r="7274" spans="43:53" x14ac:dyDescent="0.35">
      <c r="AQ7274" s="54"/>
      <c r="BA7274" s="54"/>
    </row>
    <row r="7275" spans="43:53" x14ac:dyDescent="0.35">
      <c r="AQ7275" s="54"/>
      <c r="BA7275" s="54"/>
    </row>
    <row r="7276" spans="43:53" x14ac:dyDescent="0.35">
      <c r="AQ7276" s="54"/>
      <c r="BA7276" s="54"/>
    </row>
    <row r="7277" spans="43:53" x14ac:dyDescent="0.35">
      <c r="AQ7277" s="54"/>
      <c r="BA7277" s="54"/>
    </row>
    <row r="7278" spans="43:53" x14ac:dyDescent="0.35">
      <c r="AQ7278" s="54"/>
      <c r="BA7278" s="54"/>
    </row>
    <row r="7279" spans="43:53" x14ac:dyDescent="0.35">
      <c r="AQ7279" s="54"/>
      <c r="BA7279" s="54"/>
    </row>
    <row r="7280" spans="43:53" x14ac:dyDescent="0.35">
      <c r="AQ7280" s="54"/>
      <c r="BA7280" s="54"/>
    </row>
    <row r="7281" spans="43:53" x14ac:dyDescent="0.35">
      <c r="AQ7281" s="54"/>
      <c r="BA7281" s="54"/>
    </row>
    <row r="7282" spans="43:53" x14ac:dyDescent="0.35">
      <c r="AQ7282" s="54"/>
      <c r="BA7282" s="54"/>
    </row>
    <row r="7283" spans="43:53" x14ac:dyDescent="0.35">
      <c r="AQ7283" s="54"/>
      <c r="BA7283" s="54"/>
    </row>
    <row r="7284" spans="43:53" x14ac:dyDescent="0.35">
      <c r="AQ7284" s="54"/>
      <c r="BA7284" s="54"/>
    </row>
    <row r="7285" spans="43:53" x14ac:dyDescent="0.35">
      <c r="AQ7285" s="54"/>
      <c r="BA7285" s="54"/>
    </row>
    <row r="7286" spans="43:53" x14ac:dyDescent="0.35">
      <c r="AQ7286" s="54"/>
      <c r="BA7286" s="54"/>
    </row>
    <row r="7287" spans="43:53" x14ac:dyDescent="0.35">
      <c r="AQ7287" s="54"/>
      <c r="BA7287" s="54"/>
    </row>
    <row r="7288" spans="43:53" x14ac:dyDescent="0.35">
      <c r="AQ7288" s="54"/>
      <c r="BA7288" s="54"/>
    </row>
    <row r="7289" spans="43:53" x14ac:dyDescent="0.35">
      <c r="AQ7289" s="54"/>
      <c r="BA7289" s="54"/>
    </row>
    <row r="7290" spans="43:53" x14ac:dyDescent="0.35">
      <c r="AQ7290" s="54"/>
      <c r="BA7290" s="54"/>
    </row>
    <row r="7291" spans="43:53" x14ac:dyDescent="0.35">
      <c r="AQ7291" s="54"/>
      <c r="BA7291" s="54"/>
    </row>
    <row r="7292" spans="43:53" x14ac:dyDescent="0.35">
      <c r="AQ7292" s="54"/>
      <c r="BA7292" s="54"/>
    </row>
    <row r="7293" spans="43:53" x14ac:dyDescent="0.35">
      <c r="AQ7293" s="54"/>
      <c r="BA7293" s="54"/>
    </row>
    <row r="7294" spans="43:53" x14ac:dyDescent="0.35">
      <c r="AQ7294" s="54"/>
      <c r="BA7294" s="54"/>
    </row>
    <row r="7295" spans="43:53" x14ac:dyDescent="0.35">
      <c r="AQ7295" s="54"/>
      <c r="BA7295" s="54"/>
    </row>
    <row r="7296" spans="43:53" x14ac:dyDescent="0.35">
      <c r="AQ7296" s="54"/>
      <c r="BA7296" s="54"/>
    </row>
    <row r="7297" spans="43:53" x14ac:dyDescent="0.35">
      <c r="AQ7297" s="54"/>
      <c r="BA7297" s="54"/>
    </row>
    <row r="7298" spans="43:53" x14ac:dyDescent="0.35">
      <c r="AQ7298" s="54"/>
      <c r="BA7298" s="54"/>
    </row>
    <row r="7299" spans="43:53" x14ac:dyDescent="0.35">
      <c r="AQ7299" s="54"/>
      <c r="BA7299" s="54"/>
    </row>
    <row r="7300" spans="43:53" x14ac:dyDescent="0.35">
      <c r="AQ7300" s="54"/>
      <c r="BA7300" s="54"/>
    </row>
    <row r="7301" spans="43:53" x14ac:dyDescent="0.35">
      <c r="AQ7301" s="54"/>
      <c r="BA7301" s="54"/>
    </row>
    <row r="7302" spans="43:53" x14ac:dyDescent="0.35">
      <c r="AQ7302" s="54"/>
      <c r="BA7302" s="54"/>
    </row>
    <row r="7303" spans="43:53" x14ac:dyDescent="0.35">
      <c r="AQ7303" s="54"/>
      <c r="BA7303" s="54"/>
    </row>
    <row r="7304" spans="43:53" x14ac:dyDescent="0.35">
      <c r="AQ7304" s="54"/>
      <c r="BA7304" s="54"/>
    </row>
    <row r="7305" spans="43:53" x14ac:dyDescent="0.35">
      <c r="AQ7305" s="54"/>
      <c r="BA7305" s="54"/>
    </row>
    <row r="7306" spans="43:53" x14ac:dyDescent="0.35">
      <c r="AQ7306" s="54"/>
      <c r="BA7306" s="54"/>
    </row>
    <row r="7307" spans="43:53" x14ac:dyDescent="0.35">
      <c r="AQ7307" s="54"/>
      <c r="BA7307" s="54"/>
    </row>
    <row r="7308" spans="43:53" x14ac:dyDescent="0.35">
      <c r="AQ7308" s="54"/>
      <c r="BA7308" s="54"/>
    </row>
    <row r="7309" spans="43:53" x14ac:dyDescent="0.35">
      <c r="AQ7309" s="54"/>
      <c r="BA7309" s="54"/>
    </row>
    <row r="7310" spans="43:53" x14ac:dyDescent="0.35">
      <c r="AQ7310" s="54"/>
      <c r="BA7310" s="54"/>
    </row>
    <row r="7311" spans="43:53" x14ac:dyDescent="0.35">
      <c r="AQ7311" s="54"/>
      <c r="BA7311" s="54"/>
    </row>
    <row r="7312" spans="43:53" x14ac:dyDescent="0.35">
      <c r="AQ7312" s="54"/>
      <c r="BA7312" s="54"/>
    </row>
    <row r="7313" spans="43:53" x14ac:dyDescent="0.35">
      <c r="AQ7313" s="54"/>
      <c r="BA7313" s="54"/>
    </row>
    <row r="7314" spans="43:53" x14ac:dyDescent="0.35">
      <c r="AQ7314" s="54"/>
      <c r="BA7314" s="54"/>
    </row>
    <row r="7315" spans="43:53" x14ac:dyDescent="0.35">
      <c r="AQ7315" s="54"/>
      <c r="BA7315" s="54"/>
    </row>
    <row r="7316" spans="43:53" x14ac:dyDescent="0.35">
      <c r="AQ7316" s="54"/>
      <c r="BA7316" s="54"/>
    </row>
    <row r="7317" spans="43:53" x14ac:dyDescent="0.35">
      <c r="AQ7317" s="54"/>
      <c r="BA7317" s="54"/>
    </row>
    <row r="7318" spans="43:53" x14ac:dyDescent="0.35">
      <c r="AQ7318" s="54"/>
      <c r="BA7318" s="54"/>
    </row>
    <row r="7319" spans="43:53" x14ac:dyDescent="0.35">
      <c r="AQ7319" s="54"/>
      <c r="BA7319" s="54"/>
    </row>
    <row r="7320" spans="43:53" x14ac:dyDescent="0.35">
      <c r="AQ7320" s="54"/>
      <c r="BA7320" s="54"/>
    </row>
    <row r="7321" spans="43:53" x14ac:dyDescent="0.35">
      <c r="AQ7321" s="54"/>
      <c r="BA7321" s="54"/>
    </row>
    <row r="7322" spans="43:53" x14ac:dyDescent="0.35">
      <c r="AQ7322" s="54"/>
      <c r="BA7322" s="54"/>
    </row>
    <row r="7323" spans="43:53" x14ac:dyDescent="0.35">
      <c r="AQ7323" s="54"/>
      <c r="BA7323" s="54"/>
    </row>
    <row r="7324" spans="43:53" x14ac:dyDescent="0.35">
      <c r="AQ7324" s="54"/>
      <c r="BA7324" s="54"/>
    </row>
    <row r="7325" spans="43:53" x14ac:dyDescent="0.35">
      <c r="AQ7325" s="54"/>
      <c r="BA7325" s="54"/>
    </row>
    <row r="7326" spans="43:53" x14ac:dyDescent="0.35">
      <c r="AQ7326" s="54"/>
      <c r="BA7326" s="54"/>
    </row>
    <row r="7327" spans="43:53" x14ac:dyDescent="0.35">
      <c r="AQ7327" s="54"/>
      <c r="BA7327" s="54"/>
    </row>
    <row r="7328" spans="43:53" x14ac:dyDescent="0.35">
      <c r="AQ7328" s="54"/>
      <c r="BA7328" s="54"/>
    </row>
    <row r="7329" spans="43:53" x14ac:dyDescent="0.35">
      <c r="AQ7329" s="54"/>
      <c r="BA7329" s="54"/>
    </row>
    <row r="7330" spans="43:53" x14ac:dyDescent="0.35">
      <c r="AQ7330" s="54"/>
      <c r="BA7330" s="54"/>
    </row>
    <row r="7331" spans="43:53" x14ac:dyDescent="0.35">
      <c r="AQ7331" s="54"/>
      <c r="BA7331" s="54"/>
    </row>
    <row r="7332" spans="43:53" x14ac:dyDescent="0.35">
      <c r="AQ7332" s="54"/>
      <c r="BA7332" s="54"/>
    </row>
    <row r="7333" spans="43:53" x14ac:dyDescent="0.35">
      <c r="AQ7333" s="54"/>
      <c r="BA7333" s="54"/>
    </row>
    <row r="7334" spans="43:53" x14ac:dyDescent="0.35">
      <c r="AQ7334" s="54"/>
      <c r="BA7334" s="54"/>
    </row>
    <row r="7335" spans="43:53" x14ac:dyDescent="0.35">
      <c r="AQ7335" s="54"/>
      <c r="BA7335" s="54"/>
    </row>
    <row r="7336" spans="43:53" x14ac:dyDescent="0.35">
      <c r="AQ7336" s="54"/>
      <c r="BA7336" s="54"/>
    </row>
    <row r="7337" spans="43:53" x14ac:dyDescent="0.35">
      <c r="AQ7337" s="54"/>
      <c r="BA7337" s="54"/>
    </row>
    <row r="7338" spans="43:53" x14ac:dyDescent="0.35">
      <c r="AQ7338" s="54"/>
      <c r="BA7338" s="54"/>
    </row>
    <row r="7339" spans="43:53" x14ac:dyDescent="0.35">
      <c r="AQ7339" s="54"/>
      <c r="BA7339" s="54"/>
    </row>
    <row r="7340" spans="43:53" x14ac:dyDescent="0.35">
      <c r="AQ7340" s="54"/>
      <c r="BA7340" s="54"/>
    </row>
    <row r="7341" spans="43:53" x14ac:dyDescent="0.35">
      <c r="AQ7341" s="54"/>
      <c r="BA7341" s="54"/>
    </row>
    <row r="7342" spans="43:53" x14ac:dyDescent="0.35">
      <c r="AQ7342" s="54"/>
      <c r="BA7342" s="54"/>
    </row>
    <row r="7343" spans="43:53" x14ac:dyDescent="0.35">
      <c r="AQ7343" s="54"/>
      <c r="BA7343" s="54"/>
    </row>
    <row r="7344" spans="43:53" x14ac:dyDescent="0.35">
      <c r="AQ7344" s="54"/>
      <c r="BA7344" s="54"/>
    </row>
    <row r="7345" spans="43:53" x14ac:dyDescent="0.35">
      <c r="AQ7345" s="54"/>
      <c r="BA7345" s="54"/>
    </row>
    <row r="7346" spans="43:53" x14ac:dyDescent="0.35">
      <c r="AQ7346" s="54"/>
      <c r="BA7346" s="54"/>
    </row>
    <row r="7347" spans="43:53" x14ac:dyDescent="0.35">
      <c r="AQ7347" s="54"/>
      <c r="BA7347" s="54"/>
    </row>
    <row r="7348" spans="43:53" x14ac:dyDescent="0.35">
      <c r="AQ7348" s="54"/>
      <c r="BA7348" s="54"/>
    </row>
    <row r="7349" spans="43:53" x14ac:dyDescent="0.35">
      <c r="AQ7349" s="54"/>
      <c r="BA7349" s="54"/>
    </row>
    <row r="7350" spans="43:53" x14ac:dyDescent="0.35">
      <c r="AQ7350" s="54"/>
      <c r="BA7350" s="54"/>
    </row>
    <row r="7351" spans="43:53" x14ac:dyDescent="0.35">
      <c r="AQ7351" s="54"/>
      <c r="BA7351" s="54"/>
    </row>
    <row r="7352" spans="43:53" x14ac:dyDescent="0.35">
      <c r="AQ7352" s="54"/>
      <c r="BA7352" s="54"/>
    </row>
    <row r="7353" spans="43:53" x14ac:dyDescent="0.35">
      <c r="AQ7353" s="54"/>
      <c r="BA7353" s="54"/>
    </row>
    <row r="7354" spans="43:53" x14ac:dyDescent="0.35">
      <c r="AQ7354" s="54"/>
      <c r="BA7354" s="54"/>
    </row>
    <row r="7355" spans="43:53" x14ac:dyDescent="0.35">
      <c r="AQ7355" s="54"/>
      <c r="BA7355" s="54"/>
    </row>
    <row r="7356" spans="43:53" x14ac:dyDescent="0.35">
      <c r="AQ7356" s="54"/>
      <c r="BA7356" s="54"/>
    </row>
    <row r="7357" spans="43:53" x14ac:dyDescent="0.35">
      <c r="AQ7357" s="54"/>
      <c r="BA7357" s="54"/>
    </row>
    <row r="7358" spans="43:53" x14ac:dyDescent="0.35">
      <c r="AQ7358" s="54"/>
      <c r="BA7358" s="54"/>
    </row>
    <row r="7359" spans="43:53" x14ac:dyDescent="0.35">
      <c r="AQ7359" s="54"/>
      <c r="BA7359" s="54"/>
    </row>
    <row r="7360" spans="43:53" x14ac:dyDescent="0.35">
      <c r="AQ7360" s="54"/>
      <c r="BA7360" s="54"/>
    </row>
    <row r="7361" spans="43:53" x14ac:dyDescent="0.35">
      <c r="AQ7361" s="54"/>
      <c r="BA7361" s="54"/>
    </row>
    <row r="7362" spans="43:53" x14ac:dyDescent="0.35">
      <c r="AQ7362" s="54"/>
      <c r="BA7362" s="54"/>
    </row>
    <row r="7363" spans="43:53" x14ac:dyDescent="0.35">
      <c r="AQ7363" s="54"/>
      <c r="BA7363" s="54"/>
    </row>
    <row r="7364" spans="43:53" x14ac:dyDescent="0.35">
      <c r="AQ7364" s="54"/>
      <c r="BA7364" s="54"/>
    </row>
    <row r="7365" spans="43:53" x14ac:dyDescent="0.35">
      <c r="AQ7365" s="54"/>
      <c r="BA7365" s="54"/>
    </row>
    <row r="7366" spans="43:53" x14ac:dyDescent="0.35">
      <c r="AQ7366" s="54"/>
      <c r="BA7366" s="54"/>
    </row>
    <row r="7367" spans="43:53" x14ac:dyDescent="0.35">
      <c r="AQ7367" s="54"/>
      <c r="BA7367" s="54"/>
    </row>
    <row r="7368" spans="43:53" x14ac:dyDescent="0.35">
      <c r="AQ7368" s="54"/>
      <c r="BA7368" s="54"/>
    </row>
    <row r="7369" spans="43:53" x14ac:dyDescent="0.35">
      <c r="AQ7369" s="54"/>
      <c r="BA7369" s="54"/>
    </row>
    <row r="7370" spans="43:53" x14ac:dyDescent="0.35">
      <c r="AQ7370" s="54"/>
      <c r="BA7370" s="54"/>
    </row>
    <row r="7371" spans="43:53" x14ac:dyDescent="0.35">
      <c r="AQ7371" s="54"/>
      <c r="BA7371" s="54"/>
    </row>
    <row r="7372" spans="43:53" x14ac:dyDescent="0.35">
      <c r="AQ7372" s="54"/>
      <c r="BA7372" s="54"/>
    </row>
    <row r="7373" spans="43:53" x14ac:dyDescent="0.35">
      <c r="AQ7373" s="54"/>
      <c r="BA7373" s="54"/>
    </row>
    <row r="7374" spans="43:53" x14ac:dyDescent="0.35">
      <c r="AQ7374" s="54"/>
      <c r="BA7374" s="54"/>
    </row>
    <row r="7375" spans="43:53" x14ac:dyDescent="0.35">
      <c r="AQ7375" s="54"/>
      <c r="BA7375" s="54"/>
    </row>
    <row r="7376" spans="43:53" x14ac:dyDescent="0.35">
      <c r="AQ7376" s="54"/>
      <c r="BA7376" s="54"/>
    </row>
    <row r="7377" spans="43:53" x14ac:dyDescent="0.35">
      <c r="AQ7377" s="54"/>
      <c r="BA7377" s="54"/>
    </row>
    <row r="7378" spans="43:53" x14ac:dyDescent="0.35">
      <c r="AQ7378" s="54"/>
      <c r="BA7378" s="54"/>
    </row>
    <row r="7379" spans="43:53" x14ac:dyDescent="0.35">
      <c r="AQ7379" s="54"/>
      <c r="BA7379" s="54"/>
    </row>
    <row r="7380" spans="43:53" x14ac:dyDescent="0.35">
      <c r="AQ7380" s="54"/>
      <c r="BA7380" s="54"/>
    </row>
    <row r="7381" spans="43:53" x14ac:dyDescent="0.35">
      <c r="AQ7381" s="54"/>
      <c r="BA7381" s="54"/>
    </row>
    <row r="7382" spans="43:53" x14ac:dyDescent="0.35">
      <c r="AQ7382" s="54"/>
      <c r="BA7382" s="54"/>
    </row>
    <row r="7383" spans="43:53" x14ac:dyDescent="0.35">
      <c r="AQ7383" s="54"/>
      <c r="BA7383" s="54"/>
    </row>
    <row r="7384" spans="43:53" x14ac:dyDescent="0.35">
      <c r="AQ7384" s="54"/>
      <c r="BA7384" s="54"/>
    </row>
    <row r="7385" spans="43:53" x14ac:dyDescent="0.35">
      <c r="AQ7385" s="54"/>
      <c r="BA7385" s="54"/>
    </row>
    <row r="7386" spans="43:53" x14ac:dyDescent="0.35">
      <c r="AQ7386" s="54"/>
      <c r="BA7386" s="54"/>
    </row>
    <row r="7387" spans="43:53" x14ac:dyDescent="0.35">
      <c r="AQ7387" s="54"/>
      <c r="BA7387" s="54"/>
    </row>
    <row r="7388" spans="43:53" x14ac:dyDescent="0.35">
      <c r="AQ7388" s="54"/>
      <c r="BA7388" s="54"/>
    </row>
    <row r="7389" spans="43:53" x14ac:dyDescent="0.35">
      <c r="AQ7389" s="54"/>
      <c r="BA7389" s="54"/>
    </row>
    <row r="7390" spans="43:53" x14ac:dyDescent="0.35">
      <c r="AQ7390" s="54"/>
      <c r="BA7390" s="54"/>
    </row>
    <row r="7391" spans="43:53" x14ac:dyDescent="0.35">
      <c r="AQ7391" s="54"/>
      <c r="BA7391" s="54"/>
    </row>
    <row r="7392" spans="43:53" x14ac:dyDescent="0.35">
      <c r="AQ7392" s="54"/>
      <c r="BA7392" s="54"/>
    </row>
    <row r="7393" spans="43:53" x14ac:dyDescent="0.35">
      <c r="AQ7393" s="54"/>
      <c r="BA7393" s="54"/>
    </row>
    <row r="7394" spans="43:53" x14ac:dyDescent="0.35">
      <c r="AQ7394" s="54"/>
      <c r="BA7394" s="54"/>
    </row>
    <row r="7395" spans="43:53" x14ac:dyDescent="0.35">
      <c r="AQ7395" s="54"/>
      <c r="BA7395" s="54"/>
    </row>
    <row r="7396" spans="43:53" x14ac:dyDescent="0.35">
      <c r="AQ7396" s="54"/>
      <c r="BA7396" s="54"/>
    </row>
    <row r="7397" spans="43:53" x14ac:dyDescent="0.35">
      <c r="AQ7397" s="54"/>
      <c r="BA7397" s="54"/>
    </row>
    <row r="7398" spans="43:53" x14ac:dyDescent="0.35">
      <c r="AQ7398" s="54"/>
      <c r="BA7398" s="54"/>
    </row>
    <row r="7399" spans="43:53" x14ac:dyDescent="0.35">
      <c r="AQ7399" s="54"/>
      <c r="BA7399" s="54"/>
    </row>
    <row r="7400" spans="43:53" x14ac:dyDescent="0.35">
      <c r="AQ7400" s="54"/>
      <c r="BA7400" s="54"/>
    </row>
    <row r="7401" spans="43:53" x14ac:dyDescent="0.35">
      <c r="AQ7401" s="54"/>
      <c r="BA7401" s="54"/>
    </row>
    <row r="7402" spans="43:53" x14ac:dyDescent="0.35">
      <c r="AQ7402" s="54"/>
      <c r="BA7402" s="54"/>
    </row>
    <row r="7403" spans="43:53" x14ac:dyDescent="0.35">
      <c r="AQ7403" s="54"/>
      <c r="BA7403" s="54"/>
    </row>
    <row r="7404" spans="43:53" x14ac:dyDescent="0.35">
      <c r="AQ7404" s="54"/>
      <c r="BA7404" s="54"/>
    </row>
    <row r="7405" spans="43:53" x14ac:dyDescent="0.35">
      <c r="AQ7405" s="54"/>
      <c r="BA7405" s="54"/>
    </row>
    <row r="7406" spans="43:53" x14ac:dyDescent="0.35">
      <c r="AQ7406" s="54"/>
      <c r="BA7406" s="54"/>
    </row>
    <row r="7407" spans="43:53" x14ac:dyDescent="0.35">
      <c r="AQ7407" s="54"/>
      <c r="BA7407" s="54"/>
    </row>
    <row r="7408" spans="43:53" x14ac:dyDescent="0.35">
      <c r="AQ7408" s="54"/>
      <c r="BA7408" s="54"/>
    </row>
    <row r="7409" spans="43:53" x14ac:dyDescent="0.35">
      <c r="AQ7409" s="54"/>
      <c r="BA7409" s="54"/>
    </row>
    <row r="7410" spans="43:53" x14ac:dyDescent="0.35">
      <c r="AQ7410" s="54"/>
      <c r="BA7410" s="54"/>
    </row>
    <row r="7411" spans="43:53" x14ac:dyDescent="0.35">
      <c r="AQ7411" s="54"/>
      <c r="BA7411" s="54"/>
    </row>
    <row r="7412" spans="43:53" x14ac:dyDescent="0.35">
      <c r="AQ7412" s="54"/>
      <c r="BA7412" s="54"/>
    </row>
    <row r="7413" spans="43:53" x14ac:dyDescent="0.35">
      <c r="AQ7413" s="54"/>
      <c r="BA7413" s="54"/>
    </row>
    <row r="7414" spans="43:53" x14ac:dyDescent="0.35">
      <c r="AQ7414" s="54"/>
      <c r="BA7414" s="54"/>
    </row>
    <row r="7415" spans="43:53" x14ac:dyDescent="0.35">
      <c r="AQ7415" s="54"/>
      <c r="BA7415" s="54"/>
    </row>
    <row r="7416" spans="43:53" x14ac:dyDescent="0.35">
      <c r="AQ7416" s="54"/>
      <c r="BA7416" s="54"/>
    </row>
    <row r="7417" spans="43:53" x14ac:dyDescent="0.35">
      <c r="AQ7417" s="54"/>
      <c r="BA7417" s="54"/>
    </row>
    <row r="7418" spans="43:53" x14ac:dyDescent="0.35">
      <c r="AQ7418" s="54"/>
      <c r="BA7418" s="54"/>
    </row>
    <row r="7419" spans="43:53" x14ac:dyDescent="0.35">
      <c r="AQ7419" s="54"/>
      <c r="BA7419" s="54"/>
    </row>
    <row r="7420" spans="43:53" x14ac:dyDescent="0.35">
      <c r="AQ7420" s="54"/>
      <c r="BA7420" s="54"/>
    </row>
    <row r="7421" spans="43:53" x14ac:dyDescent="0.35">
      <c r="AQ7421" s="54"/>
      <c r="BA7421" s="54"/>
    </row>
    <row r="7422" spans="43:53" x14ac:dyDescent="0.35">
      <c r="AQ7422" s="54"/>
      <c r="BA7422" s="54"/>
    </row>
    <row r="7423" spans="43:53" x14ac:dyDescent="0.35">
      <c r="AQ7423" s="54"/>
      <c r="BA7423" s="54"/>
    </row>
    <row r="7424" spans="43:53" x14ac:dyDescent="0.35">
      <c r="AQ7424" s="54"/>
      <c r="BA7424" s="54"/>
    </row>
    <row r="7425" spans="43:53" x14ac:dyDescent="0.35">
      <c r="AQ7425" s="54"/>
      <c r="BA7425" s="54"/>
    </row>
    <row r="7426" spans="43:53" x14ac:dyDescent="0.35">
      <c r="AQ7426" s="54"/>
      <c r="BA7426" s="54"/>
    </row>
    <row r="7427" spans="43:53" x14ac:dyDescent="0.35">
      <c r="AQ7427" s="54"/>
      <c r="BA7427" s="54"/>
    </row>
    <row r="7428" spans="43:53" x14ac:dyDescent="0.35">
      <c r="AQ7428" s="54"/>
      <c r="BA7428" s="54"/>
    </row>
    <row r="7429" spans="43:53" x14ac:dyDescent="0.35">
      <c r="AQ7429" s="54"/>
      <c r="BA7429" s="54"/>
    </row>
    <row r="7430" spans="43:53" x14ac:dyDescent="0.35">
      <c r="AQ7430" s="54"/>
      <c r="BA7430" s="54"/>
    </row>
    <row r="7431" spans="43:53" x14ac:dyDescent="0.35">
      <c r="AQ7431" s="54"/>
      <c r="BA7431" s="54"/>
    </row>
    <row r="7432" spans="43:53" x14ac:dyDescent="0.35">
      <c r="AQ7432" s="54"/>
      <c r="BA7432" s="54"/>
    </row>
    <row r="7433" spans="43:53" x14ac:dyDescent="0.35">
      <c r="AQ7433" s="54"/>
      <c r="BA7433" s="54"/>
    </row>
    <row r="7434" spans="43:53" x14ac:dyDescent="0.35">
      <c r="AQ7434" s="54"/>
      <c r="BA7434" s="54"/>
    </row>
    <row r="7435" spans="43:53" x14ac:dyDescent="0.35">
      <c r="AQ7435" s="54"/>
      <c r="BA7435" s="54"/>
    </row>
    <row r="7436" spans="43:53" x14ac:dyDescent="0.35">
      <c r="AQ7436" s="54"/>
      <c r="BA7436" s="54"/>
    </row>
    <row r="7437" spans="43:53" x14ac:dyDescent="0.35">
      <c r="AQ7437" s="54"/>
      <c r="BA7437" s="54"/>
    </row>
    <row r="7438" spans="43:53" x14ac:dyDescent="0.35">
      <c r="AQ7438" s="54"/>
      <c r="BA7438" s="54"/>
    </row>
    <row r="7439" spans="43:53" x14ac:dyDescent="0.35">
      <c r="AQ7439" s="54"/>
      <c r="BA7439" s="54"/>
    </row>
    <row r="7440" spans="43:53" x14ac:dyDescent="0.35">
      <c r="AQ7440" s="54"/>
      <c r="BA7440" s="54"/>
    </row>
    <row r="7441" spans="43:53" x14ac:dyDescent="0.35">
      <c r="AQ7441" s="54"/>
      <c r="BA7441" s="54"/>
    </row>
    <row r="7442" spans="43:53" x14ac:dyDescent="0.35">
      <c r="AQ7442" s="54"/>
      <c r="BA7442" s="54"/>
    </row>
    <row r="7443" spans="43:53" x14ac:dyDescent="0.35">
      <c r="AQ7443" s="54"/>
      <c r="BA7443" s="54"/>
    </row>
    <row r="7444" spans="43:53" x14ac:dyDescent="0.35">
      <c r="AQ7444" s="54"/>
      <c r="BA7444" s="54"/>
    </row>
    <row r="7445" spans="43:53" x14ac:dyDescent="0.35">
      <c r="AQ7445" s="54"/>
      <c r="BA7445" s="54"/>
    </row>
    <row r="7446" spans="43:53" x14ac:dyDescent="0.35">
      <c r="AQ7446" s="54"/>
      <c r="BA7446" s="54"/>
    </row>
    <row r="7447" spans="43:53" x14ac:dyDescent="0.35">
      <c r="AQ7447" s="54"/>
      <c r="BA7447" s="54"/>
    </row>
    <row r="7448" spans="43:53" x14ac:dyDescent="0.35">
      <c r="AQ7448" s="54"/>
      <c r="BA7448" s="54"/>
    </row>
    <row r="7449" spans="43:53" x14ac:dyDescent="0.35">
      <c r="AQ7449" s="54"/>
      <c r="BA7449" s="54"/>
    </row>
    <row r="7450" spans="43:53" x14ac:dyDescent="0.35">
      <c r="AQ7450" s="54"/>
      <c r="BA7450" s="54"/>
    </row>
    <row r="7451" spans="43:53" x14ac:dyDescent="0.35">
      <c r="AQ7451" s="54"/>
      <c r="BA7451" s="54"/>
    </row>
    <row r="7452" spans="43:53" x14ac:dyDescent="0.35">
      <c r="AQ7452" s="54"/>
      <c r="BA7452" s="54"/>
    </row>
    <row r="7453" spans="43:53" x14ac:dyDescent="0.35">
      <c r="AQ7453" s="54"/>
      <c r="BA7453" s="54"/>
    </row>
    <row r="7454" spans="43:53" x14ac:dyDescent="0.35">
      <c r="AQ7454" s="54"/>
      <c r="BA7454" s="54"/>
    </row>
    <row r="7455" spans="43:53" x14ac:dyDescent="0.35">
      <c r="AQ7455" s="54"/>
      <c r="BA7455" s="54"/>
    </row>
    <row r="7456" spans="43:53" x14ac:dyDescent="0.35">
      <c r="AQ7456" s="54"/>
      <c r="BA7456" s="54"/>
    </row>
    <row r="7457" spans="43:53" x14ac:dyDescent="0.35">
      <c r="AQ7457" s="54"/>
      <c r="BA7457" s="54"/>
    </row>
    <row r="7458" spans="43:53" x14ac:dyDescent="0.35">
      <c r="AQ7458" s="54"/>
      <c r="BA7458" s="54"/>
    </row>
    <row r="7459" spans="43:53" x14ac:dyDescent="0.35">
      <c r="AQ7459" s="54"/>
      <c r="BA7459" s="54"/>
    </row>
    <row r="7460" spans="43:53" x14ac:dyDescent="0.35">
      <c r="AQ7460" s="54"/>
      <c r="BA7460" s="54"/>
    </row>
    <row r="7461" spans="43:53" x14ac:dyDescent="0.35">
      <c r="AQ7461" s="54"/>
      <c r="BA7461" s="54"/>
    </row>
    <row r="7462" spans="43:53" x14ac:dyDescent="0.35">
      <c r="AQ7462" s="54"/>
      <c r="BA7462" s="54"/>
    </row>
    <row r="7463" spans="43:53" x14ac:dyDescent="0.35">
      <c r="AQ7463" s="54"/>
      <c r="BA7463" s="54"/>
    </row>
    <row r="7464" spans="43:53" x14ac:dyDescent="0.35">
      <c r="AQ7464" s="54"/>
      <c r="BA7464" s="54"/>
    </row>
    <row r="7465" spans="43:53" x14ac:dyDescent="0.35">
      <c r="AQ7465" s="54"/>
      <c r="BA7465" s="54"/>
    </row>
    <row r="7466" spans="43:53" x14ac:dyDescent="0.35">
      <c r="AQ7466" s="54"/>
      <c r="BA7466" s="54"/>
    </row>
    <row r="7467" spans="43:53" x14ac:dyDescent="0.35">
      <c r="AQ7467" s="54"/>
      <c r="BA7467" s="54"/>
    </row>
    <row r="7468" spans="43:53" x14ac:dyDescent="0.35">
      <c r="AQ7468" s="54"/>
      <c r="BA7468" s="54"/>
    </row>
    <row r="7469" spans="43:53" x14ac:dyDescent="0.35">
      <c r="AQ7469" s="54"/>
      <c r="BA7469" s="54"/>
    </row>
    <row r="7470" spans="43:53" x14ac:dyDescent="0.35">
      <c r="AQ7470" s="54"/>
      <c r="BA7470" s="54"/>
    </row>
    <row r="7471" spans="43:53" x14ac:dyDescent="0.35">
      <c r="AQ7471" s="54"/>
      <c r="BA7471" s="54"/>
    </row>
    <row r="7472" spans="43:53" x14ac:dyDescent="0.35">
      <c r="AQ7472" s="54"/>
      <c r="BA7472" s="54"/>
    </row>
    <row r="7473" spans="43:53" x14ac:dyDescent="0.35">
      <c r="AQ7473" s="54"/>
      <c r="BA7473" s="54"/>
    </row>
    <row r="7474" spans="43:53" x14ac:dyDescent="0.35">
      <c r="AQ7474" s="54"/>
      <c r="BA7474" s="54"/>
    </row>
    <row r="7475" spans="43:53" x14ac:dyDescent="0.35">
      <c r="AQ7475" s="54"/>
      <c r="BA7475" s="54"/>
    </row>
    <row r="7476" spans="43:53" x14ac:dyDescent="0.35">
      <c r="AQ7476" s="54"/>
      <c r="BA7476" s="54"/>
    </row>
    <row r="7477" spans="43:53" x14ac:dyDescent="0.35">
      <c r="AQ7477" s="54"/>
      <c r="BA7477" s="54"/>
    </row>
    <row r="7478" spans="43:53" x14ac:dyDescent="0.35">
      <c r="AQ7478" s="54"/>
      <c r="BA7478" s="54"/>
    </row>
    <row r="7479" spans="43:53" x14ac:dyDescent="0.35">
      <c r="AQ7479" s="54"/>
      <c r="BA7479" s="54"/>
    </row>
    <row r="7480" spans="43:53" x14ac:dyDescent="0.35">
      <c r="AQ7480" s="54"/>
      <c r="BA7480" s="54"/>
    </row>
    <row r="7481" spans="43:53" x14ac:dyDescent="0.35">
      <c r="AQ7481" s="54"/>
      <c r="BA7481" s="54"/>
    </row>
    <row r="7482" spans="43:53" x14ac:dyDescent="0.35">
      <c r="AQ7482" s="54"/>
      <c r="BA7482" s="54"/>
    </row>
    <row r="7483" spans="43:53" x14ac:dyDescent="0.35">
      <c r="AQ7483" s="54"/>
      <c r="BA7483" s="54"/>
    </row>
    <row r="7484" spans="43:53" x14ac:dyDescent="0.35">
      <c r="AQ7484" s="54"/>
      <c r="BA7484" s="54"/>
    </row>
    <row r="7485" spans="43:53" x14ac:dyDescent="0.35">
      <c r="AQ7485" s="54"/>
      <c r="BA7485" s="54"/>
    </row>
    <row r="7486" spans="43:53" x14ac:dyDescent="0.35">
      <c r="AQ7486" s="54"/>
      <c r="BA7486" s="54"/>
    </row>
    <row r="7487" spans="43:53" x14ac:dyDescent="0.35">
      <c r="AQ7487" s="54"/>
      <c r="BA7487" s="54"/>
    </row>
    <row r="7488" spans="43:53" x14ac:dyDescent="0.35">
      <c r="AQ7488" s="54"/>
      <c r="BA7488" s="54"/>
    </row>
    <row r="7489" spans="43:53" x14ac:dyDescent="0.35">
      <c r="AQ7489" s="54"/>
      <c r="BA7489" s="54"/>
    </row>
    <row r="7490" spans="43:53" x14ac:dyDescent="0.35">
      <c r="AQ7490" s="54"/>
      <c r="BA7490" s="54"/>
    </row>
    <row r="7491" spans="43:53" x14ac:dyDescent="0.35">
      <c r="AQ7491" s="54"/>
      <c r="BA7491" s="54"/>
    </row>
    <row r="7492" spans="43:53" x14ac:dyDescent="0.35">
      <c r="AQ7492" s="54"/>
      <c r="BA7492" s="54"/>
    </row>
    <row r="7493" spans="43:53" x14ac:dyDescent="0.35">
      <c r="AQ7493" s="54"/>
      <c r="BA7493" s="54"/>
    </row>
    <row r="7494" spans="43:53" x14ac:dyDescent="0.35">
      <c r="AQ7494" s="54"/>
      <c r="BA7494" s="54"/>
    </row>
    <row r="7495" spans="43:53" x14ac:dyDescent="0.35">
      <c r="AQ7495" s="54"/>
      <c r="BA7495" s="54"/>
    </row>
    <row r="7496" spans="43:53" x14ac:dyDescent="0.35">
      <c r="AQ7496" s="54"/>
      <c r="BA7496" s="54"/>
    </row>
    <row r="7497" spans="43:53" x14ac:dyDescent="0.35">
      <c r="AQ7497" s="54"/>
      <c r="BA7497" s="54"/>
    </row>
    <row r="7498" spans="43:53" x14ac:dyDescent="0.35">
      <c r="AQ7498" s="54"/>
      <c r="BA7498" s="54"/>
    </row>
    <row r="7499" spans="43:53" x14ac:dyDescent="0.35">
      <c r="AQ7499" s="54"/>
      <c r="BA7499" s="54"/>
    </row>
    <row r="7500" spans="43:53" x14ac:dyDescent="0.35">
      <c r="AQ7500" s="54"/>
      <c r="BA7500" s="54"/>
    </row>
    <row r="7501" spans="43:53" x14ac:dyDescent="0.35">
      <c r="AQ7501" s="54"/>
      <c r="BA7501" s="54"/>
    </row>
    <row r="7502" spans="43:53" x14ac:dyDescent="0.35">
      <c r="AQ7502" s="54"/>
      <c r="BA7502" s="54"/>
    </row>
    <row r="7503" spans="43:53" x14ac:dyDescent="0.35">
      <c r="AQ7503" s="54"/>
      <c r="BA7503" s="54"/>
    </row>
    <row r="7504" spans="43:53" x14ac:dyDescent="0.35">
      <c r="AQ7504" s="54"/>
      <c r="BA7504" s="54"/>
    </row>
    <row r="7505" spans="43:53" x14ac:dyDescent="0.35">
      <c r="AQ7505" s="54"/>
      <c r="BA7505" s="54"/>
    </row>
    <row r="7506" spans="43:53" x14ac:dyDescent="0.35">
      <c r="AQ7506" s="54"/>
      <c r="BA7506" s="54"/>
    </row>
    <row r="7507" spans="43:53" x14ac:dyDescent="0.35">
      <c r="AQ7507" s="54"/>
      <c r="BA7507" s="54"/>
    </row>
    <row r="7508" spans="43:53" x14ac:dyDescent="0.35">
      <c r="AQ7508" s="54"/>
      <c r="BA7508" s="54"/>
    </row>
    <row r="7509" spans="43:53" x14ac:dyDescent="0.35">
      <c r="AQ7509" s="54"/>
      <c r="BA7509" s="54"/>
    </row>
    <row r="7510" spans="43:53" x14ac:dyDescent="0.35">
      <c r="AQ7510" s="54"/>
      <c r="BA7510" s="54"/>
    </row>
    <row r="7511" spans="43:53" x14ac:dyDescent="0.35">
      <c r="AQ7511" s="54"/>
      <c r="BA7511" s="54"/>
    </row>
    <row r="7512" spans="43:53" x14ac:dyDescent="0.35">
      <c r="AQ7512" s="54"/>
      <c r="BA7512" s="54"/>
    </row>
    <row r="7513" spans="43:53" x14ac:dyDescent="0.35">
      <c r="AQ7513" s="54"/>
      <c r="BA7513" s="54"/>
    </row>
    <row r="7514" spans="43:53" x14ac:dyDescent="0.35">
      <c r="AQ7514" s="54"/>
      <c r="BA7514" s="54"/>
    </row>
    <row r="7515" spans="43:53" x14ac:dyDescent="0.35">
      <c r="AQ7515" s="54"/>
      <c r="BA7515" s="54"/>
    </row>
    <row r="7516" spans="43:53" x14ac:dyDescent="0.35">
      <c r="AQ7516" s="54"/>
      <c r="BA7516" s="54"/>
    </row>
    <row r="7517" spans="43:53" x14ac:dyDescent="0.35">
      <c r="AQ7517" s="54"/>
      <c r="BA7517" s="54"/>
    </row>
    <row r="7518" spans="43:53" x14ac:dyDescent="0.35">
      <c r="AQ7518" s="54"/>
      <c r="BA7518" s="54"/>
    </row>
    <row r="7519" spans="43:53" x14ac:dyDescent="0.35">
      <c r="AQ7519" s="54"/>
      <c r="BA7519" s="54"/>
    </row>
    <row r="7520" spans="43:53" x14ac:dyDescent="0.35">
      <c r="AQ7520" s="54"/>
      <c r="BA7520" s="54"/>
    </row>
    <row r="7521" spans="43:53" x14ac:dyDescent="0.35">
      <c r="AQ7521" s="54"/>
      <c r="BA7521" s="54"/>
    </row>
    <row r="7522" spans="43:53" x14ac:dyDescent="0.35">
      <c r="AQ7522" s="54"/>
      <c r="BA7522" s="54"/>
    </row>
    <row r="7523" spans="43:53" x14ac:dyDescent="0.35">
      <c r="AQ7523" s="54"/>
      <c r="BA7523" s="54"/>
    </row>
    <row r="7524" spans="43:53" x14ac:dyDescent="0.35">
      <c r="AQ7524" s="54"/>
      <c r="BA7524" s="54"/>
    </row>
    <row r="7525" spans="43:53" x14ac:dyDescent="0.35">
      <c r="AQ7525" s="54"/>
      <c r="BA7525" s="54"/>
    </row>
    <row r="7526" spans="43:53" x14ac:dyDescent="0.35">
      <c r="AQ7526" s="54"/>
      <c r="BA7526" s="54"/>
    </row>
    <row r="7527" spans="43:53" x14ac:dyDescent="0.35">
      <c r="AQ7527" s="54"/>
      <c r="BA7527" s="54"/>
    </row>
    <row r="7528" spans="43:53" x14ac:dyDescent="0.35">
      <c r="AQ7528" s="54"/>
      <c r="BA7528" s="54"/>
    </row>
    <row r="7529" spans="43:53" x14ac:dyDescent="0.35">
      <c r="AQ7529" s="54"/>
      <c r="BA7529" s="54"/>
    </row>
    <row r="7530" spans="43:53" x14ac:dyDescent="0.35">
      <c r="AQ7530" s="54"/>
      <c r="BA7530" s="54"/>
    </row>
    <row r="7531" spans="43:53" x14ac:dyDescent="0.35">
      <c r="AQ7531" s="54"/>
      <c r="BA7531" s="54"/>
    </row>
    <row r="7532" spans="43:53" x14ac:dyDescent="0.35">
      <c r="AQ7532" s="54"/>
      <c r="BA7532" s="54"/>
    </row>
    <row r="7533" spans="43:53" x14ac:dyDescent="0.35">
      <c r="AQ7533" s="54"/>
      <c r="BA7533" s="54"/>
    </row>
    <row r="7534" spans="43:53" x14ac:dyDescent="0.35">
      <c r="AQ7534" s="54"/>
      <c r="BA7534" s="54"/>
    </row>
    <row r="7535" spans="43:53" x14ac:dyDescent="0.35">
      <c r="AQ7535" s="54"/>
      <c r="BA7535" s="54"/>
    </row>
    <row r="7536" spans="43:53" x14ac:dyDescent="0.35">
      <c r="AQ7536" s="54"/>
      <c r="BA7536" s="54"/>
    </row>
    <row r="7537" spans="43:53" x14ac:dyDescent="0.35">
      <c r="AQ7537" s="54"/>
      <c r="BA7537" s="54"/>
    </row>
    <row r="7538" spans="43:53" x14ac:dyDescent="0.35">
      <c r="AQ7538" s="54"/>
      <c r="BA7538" s="54"/>
    </row>
    <row r="7539" spans="43:53" x14ac:dyDescent="0.35">
      <c r="AQ7539" s="54"/>
      <c r="BA7539" s="54"/>
    </row>
    <row r="7540" spans="43:53" x14ac:dyDescent="0.35">
      <c r="AQ7540" s="54"/>
      <c r="BA7540" s="54"/>
    </row>
    <row r="7541" spans="43:53" x14ac:dyDescent="0.35">
      <c r="AQ7541" s="54"/>
      <c r="BA7541" s="54"/>
    </row>
    <row r="7542" spans="43:53" x14ac:dyDescent="0.35">
      <c r="AQ7542" s="54"/>
      <c r="BA7542" s="54"/>
    </row>
    <row r="7543" spans="43:53" x14ac:dyDescent="0.35">
      <c r="AQ7543" s="54"/>
      <c r="BA7543" s="54"/>
    </row>
    <row r="7544" spans="43:53" x14ac:dyDescent="0.35">
      <c r="AQ7544" s="54"/>
      <c r="BA7544" s="54"/>
    </row>
    <row r="7545" spans="43:53" x14ac:dyDescent="0.35">
      <c r="AQ7545" s="54"/>
      <c r="BA7545" s="54"/>
    </row>
    <row r="7546" spans="43:53" x14ac:dyDescent="0.35">
      <c r="AQ7546" s="54"/>
      <c r="BA7546" s="54"/>
    </row>
    <row r="7547" spans="43:53" x14ac:dyDescent="0.35">
      <c r="AQ7547" s="54"/>
      <c r="BA7547" s="54"/>
    </row>
    <row r="7548" spans="43:53" x14ac:dyDescent="0.35">
      <c r="AQ7548" s="54"/>
      <c r="BA7548" s="54"/>
    </row>
    <row r="7549" spans="43:53" x14ac:dyDescent="0.35">
      <c r="AQ7549" s="54"/>
      <c r="BA7549" s="54"/>
    </row>
    <row r="7550" spans="43:53" x14ac:dyDescent="0.35">
      <c r="AQ7550" s="54"/>
      <c r="BA7550" s="54"/>
    </row>
    <row r="7551" spans="43:53" x14ac:dyDescent="0.35">
      <c r="AQ7551" s="54"/>
      <c r="BA7551" s="54"/>
    </row>
    <row r="7552" spans="43:53" x14ac:dyDescent="0.35">
      <c r="AQ7552" s="54"/>
      <c r="BA7552" s="54"/>
    </row>
    <row r="7553" spans="43:53" x14ac:dyDescent="0.35">
      <c r="AQ7553" s="54"/>
      <c r="BA7553" s="54"/>
    </row>
    <row r="7554" spans="43:53" x14ac:dyDescent="0.35">
      <c r="AQ7554" s="54"/>
      <c r="BA7554" s="54"/>
    </row>
    <row r="7555" spans="43:53" x14ac:dyDescent="0.35">
      <c r="AQ7555" s="54"/>
      <c r="BA7555" s="54"/>
    </row>
    <row r="7556" spans="43:53" x14ac:dyDescent="0.35">
      <c r="AQ7556" s="54"/>
      <c r="BA7556" s="54"/>
    </row>
    <row r="7557" spans="43:53" x14ac:dyDescent="0.35">
      <c r="AQ7557" s="54"/>
      <c r="BA7557" s="54"/>
    </row>
    <row r="7558" spans="43:53" x14ac:dyDescent="0.35">
      <c r="AQ7558" s="54"/>
      <c r="BA7558" s="54"/>
    </row>
    <row r="7559" spans="43:53" x14ac:dyDescent="0.35">
      <c r="AQ7559" s="54"/>
      <c r="BA7559" s="54"/>
    </row>
    <row r="7560" spans="43:53" x14ac:dyDescent="0.35">
      <c r="AQ7560" s="54"/>
      <c r="BA7560" s="54"/>
    </row>
    <row r="7561" spans="43:53" x14ac:dyDescent="0.35">
      <c r="AQ7561" s="54"/>
      <c r="BA7561" s="54"/>
    </row>
    <row r="7562" spans="43:53" x14ac:dyDescent="0.35">
      <c r="AQ7562" s="54"/>
      <c r="BA7562" s="54"/>
    </row>
    <row r="7563" spans="43:53" x14ac:dyDescent="0.35">
      <c r="AQ7563" s="54"/>
      <c r="BA7563" s="54"/>
    </row>
    <row r="7564" spans="43:53" x14ac:dyDescent="0.35">
      <c r="AQ7564" s="54"/>
      <c r="BA7564" s="54"/>
    </row>
    <row r="7565" spans="43:53" x14ac:dyDescent="0.35">
      <c r="AQ7565" s="54"/>
      <c r="BA7565" s="54"/>
    </row>
    <row r="7566" spans="43:53" x14ac:dyDescent="0.35">
      <c r="AQ7566" s="54"/>
      <c r="BA7566" s="54"/>
    </row>
    <row r="7567" spans="43:53" x14ac:dyDescent="0.35">
      <c r="AQ7567" s="54"/>
      <c r="BA7567" s="54"/>
    </row>
    <row r="7568" spans="43:53" x14ac:dyDescent="0.35">
      <c r="AQ7568" s="54"/>
      <c r="BA7568" s="54"/>
    </row>
    <row r="7569" spans="43:53" x14ac:dyDescent="0.35">
      <c r="AQ7569" s="54"/>
      <c r="BA7569" s="54"/>
    </row>
    <row r="7570" spans="43:53" x14ac:dyDescent="0.35">
      <c r="AQ7570" s="54"/>
      <c r="BA7570" s="54"/>
    </row>
    <row r="7571" spans="43:53" x14ac:dyDescent="0.35">
      <c r="AQ7571" s="54"/>
      <c r="BA7571" s="54"/>
    </row>
    <row r="7572" spans="43:53" x14ac:dyDescent="0.35">
      <c r="AQ7572" s="54"/>
      <c r="BA7572" s="54"/>
    </row>
    <row r="7573" spans="43:53" x14ac:dyDescent="0.35">
      <c r="AQ7573" s="54"/>
      <c r="BA7573" s="54"/>
    </row>
    <row r="7574" spans="43:53" x14ac:dyDescent="0.35">
      <c r="AQ7574" s="54"/>
      <c r="BA7574" s="54"/>
    </row>
    <row r="7575" spans="43:53" x14ac:dyDescent="0.35">
      <c r="AQ7575" s="54"/>
      <c r="BA7575" s="54"/>
    </row>
    <row r="7576" spans="43:53" x14ac:dyDescent="0.35">
      <c r="AQ7576" s="54"/>
      <c r="BA7576" s="54"/>
    </row>
    <row r="7577" spans="43:53" x14ac:dyDescent="0.35">
      <c r="AQ7577" s="54"/>
      <c r="BA7577" s="54"/>
    </row>
    <row r="7578" spans="43:53" x14ac:dyDescent="0.35">
      <c r="AQ7578" s="54"/>
      <c r="BA7578" s="54"/>
    </row>
    <row r="7579" spans="43:53" x14ac:dyDescent="0.35">
      <c r="AQ7579" s="54"/>
      <c r="BA7579" s="54"/>
    </row>
    <row r="7580" spans="43:53" x14ac:dyDescent="0.35">
      <c r="AQ7580" s="54"/>
      <c r="BA7580" s="54"/>
    </row>
    <row r="7581" spans="43:53" x14ac:dyDescent="0.35">
      <c r="AQ7581" s="54"/>
      <c r="BA7581" s="54"/>
    </row>
    <row r="7582" spans="43:53" x14ac:dyDescent="0.35">
      <c r="AQ7582" s="54"/>
      <c r="BA7582" s="54"/>
    </row>
    <row r="7583" spans="43:53" x14ac:dyDescent="0.35">
      <c r="AQ7583" s="54"/>
      <c r="BA7583" s="54"/>
    </row>
    <row r="7584" spans="43:53" x14ac:dyDescent="0.35">
      <c r="AQ7584" s="54"/>
      <c r="BA7584" s="54"/>
    </row>
    <row r="7585" spans="43:53" x14ac:dyDescent="0.35">
      <c r="AQ7585" s="54"/>
      <c r="BA7585" s="54"/>
    </row>
    <row r="7586" spans="43:53" x14ac:dyDescent="0.35">
      <c r="AQ7586" s="54"/>
      <c r="BA7586" s="54"/>
    </row>
    <row r="7587" spans="43:53" x14ac:dyDescent="0.35">
      <c r="AQ7587" s="54"/>
      <c r="BA7587" s="54"/>
    </row>
    <row r="7588" spans="43:53" x14ac:dyDescent="0.35">
      <c r="AQ7588" s="54"/>
      <c r="BA7588" s="54"/>
    </row>
    <row r="7589" spans="43:53" x14ac:dyDescent="0.35">
      <c r="AQ7589" s="54"/>
      <c r="BA7589" s="54"/>
    </row>
    <row r="7590" spans="43:53" x14ac:dyDescent="0.35">
      <c r="AQ7590" s="54"/>
      <c r="BA7590" s="54"/>
    </row>
    <row r="7591" spans="43:53" x14ac:dyDescent="0.35">
      <c r="AQ7591" s="54"/>
      <c r="BA7591" s="54"/>
    </row>
    <row r="7592" spans="43:53" x14ac:dyDescent="0.35">
      <c r="AQ7592" s="54"/>
      <c r="BA7592" s="54"/>
    </row>
    <row r="7593" spans="43:53" x14ac:dyDescent="0.35">
      <c r="AQ7593" s="54"/>
      <c r="BA7593" s="54"/>
    </row>
    <row r="7594" spans="43:53" x14ac:dyDescent="0.35">
      <c r="AQ7594" s="54"/>
      <c r="BA7594" s="54"/>
    </row>
    <row r="7595" spans="43:53" x14ac:dyDescent="0.35">
      <c r="AQ7595" s="54"/>
      <c r="BA7595" s="54"/>
    </row>
    <row r="7596" spans="43:53" x14ac:dyDescent="0.35">
      <c r="AQ7596" s="54"/>
      <c r="BA7596" s="54"/>
    </row>
    <row r="7597" spans="43:53" x14ac:dyDescent="0.35">
      <c r="AQ7597" s="54"/>
      <c r="BA7597" s="54"/>
    </row>
    <row r="7598" spans="43:53" x14ac:dyDescent="0.35">
      <c r="AQ7598" s="54"/>
      <c r="BA7598" s="54"/>
    </row>
    <row r="7599" spans="43:53" x14ac:dyDescent="0.35">
      <c r="AQ7599" s="54"/>
      <c r="BA7599" s="54"/>
    </row>
    <row r="7600" spans="43:53" x14ac:dyDescent="0.35">
      <c r="AQ7600" s="54"/>
      <c r="BA7600" s="54"/>
    </row>
    <row r="7601" spans="43:53" x14ac:dyDescent="0.35">
      <c r="AQ7601" s="54"/>
      <c r="BA7601" s="54"/>
    </row>
    <row r="7602" spans="43:53" x14ac:dyDescent="0.35">
      <c r="AQ7602" s="54"/>
      <c r="BA7602" s="54"/>
    </row>
    <row r="7603" spans="43:53" x14ac:dyDescent="0.35">
      <c r="AQ7603" s="54"/>
      <c r="BA7603" s="54"/>
    </row>
    <row r="7604" spans="43:53" x14ac:dyDescent="0.35">
      <c r="AQ7604" s="54"/>
      <c r="BA7604" s="54"/>
    </row>
    <row r="7605" spans="43:53" x14ac:dyDescent="0.35">
      <c r="AQ7605" s="54"/>
      <c r="BA7605" s="54"/>
    </row>
    <row r="7606" spans="43:53" x14ac:dyDescent="0.35">
      <c r="AQ7606" s="54"/>
      <c r="BA7606" s="54"/>
    </row>
    <row r="7607" spans="43:53" x14ac:dyDescent="0.35">
      <c r="AQ7607" s="54"/>
      <c r="BA7607" s="54"/>
    </row>
    <row r="7608" spans="43:53" x14ac:dyDescent="0.35">
      <c r="AQ7608" s="54"/>
      <c r="BA7608" s="54"/>
    </row>
    <row r="7609" spans="43:53" x14ac:dyDescent="0.35">
      <c r="AQ7609" s="54"/>
      <c r="BA7609" s="54"/>
    </row>
    <row r="7610" spans="43:53" x14ac:dyDescent="0.35">
      <c r="AQ7610" s="54"/>
      <c r="BA7610" s="54"/>
    </row>
    <row r="7611" spans="43:53" x14ac:dyDescent="0.35">
      <c r="AQ7611" s="54"/>
      <c r="BA7611" s="54"/>
    </row>
    <row r="7612" spans="43:53" x14ac:dyDescent="0.35">
      <c r="AQ7612" s="54"/>
      <c r="BA7612" s="54"/>
    </row>
    <row r="7613" spans="43:53" x14ac:dyDescent="0.35">
      <c r="AQ7613" s="54"/>
      <c r="BA7613" s="54"/>
    </row>
    <row r="7614" spans="43:53" x14ac:dyDescent="0.35">
      <c r="AQ7614" s="54"/>
      <c r="BA7614" s="54"/>
    </row>
    <row r="7615" spans="43:53" x14ac:dyDescent="0.35">
      <c r="AQ7615" s="54"/>
      <c r="BA7615" s="54"/>
    </row>
    <row r="7616" spans="43:53" x14ac:dyDescent="0.35">
      <c r="AQ7616" s="54"/>
      <c r="BA7616" s="54"/>
    </row>
    <row r="7617" spans="43:53" x14ac:dyDescent="0.35">
      <c r="AQ7617" s="54"/>
      <c r="BA7617" s="54"/>
    </row>
    <row r="7618" spans="43:53" x14ac:dyDescent="0.35">
      <c r="AQ7618" s="54"/>
      <c r="BA7618" s="54"/>
    </row>
    <row r="7619" spans="43:53" x14ac:dyDescent="0.35">
      <c r="AQ7619" s="54"/>
      <c r="BA7619" s="54"/>
    </row>
    <row r="7620" spans="43:53" x14ac:dyDescent="0.35">
      <c r="AQ7620" s="54"/>
      <c r="BA7620" s="54"/>
    </row>
    <row r="7621" spans="43:53" x14ac:dyDescent="0.35">
      <c r="AQ7621" s="54"/>
      <c r="BA7621" s="54"/>
    </row>
    <row r="7622" spans="43:53" x14ac:dyDescent="0.35">
      <c r="AQ7622" s="54"/>
      <c r="BA7622" s="54"/>
    </row>
    <row r="7623" spans="43:53" x14ac:dyDescent="0.35">
      <c r="AQ7623" s="54"/>
      <c r="BA7623" s="54"/>
    </row>
    <row r="7624" spans="43:53" x14ac:dyDescent="0.35">
      <c r="AQ7624" s="54"/>
      <c r="BA7624" s="54"/>
    </row>
    <row r="7625" spans="43:53" x14ac:dyDescent="0.35">
      <c r="AQ7625" s="54"/>
      <c r="BA7625" s="54"/>
    </row>
    <row r="7626" spans="43:53" x14ac:dyDescent="0.35">
      <c r="AQ7626" s="54"/>
      <c r="BA7626" s="54"/>
    </row>
    <row r="7627" spans="43:53" x14ac:dyDescent="0.35">
      <c r="AQ7627" s="54"/>
      <c r="BA7627" s="54"/>
    </row>
    <row r="7628" spans="43:53" x14ac:dyDescent="0.35">
      <c r="AQ7628" s="54"/>
      <c r="BA7628" s="54"/>
    </row>
    <row r="7629" spans="43:53" x14ac:dyDescent="0.35">
      <c r="AQ7629" s="54"/>
      <c r="BA7629" s="54"/>
    </row>
    <row r="7630" spans="43:53" x14ac:dyDescent="0.35">
      <c r="AQ7630" s="54"/>
      <c r="BA7630" s="54"/>
    </row>
    <row r="7631" spans="43:53" x14ac:dyDescent="0.35">
      <c r="AQ7631" s="54"/>
      <c r="BA7631" s="54"/>
    </row>
    <row r="7632" spans="43:53" x14ac:dyDescent="0.35">
      <c r="AQ7632" s="54"/>
      <c r="BA7632" s="54"/>
    </row>
    <row r="7633" spans="43:53" x14ac:dyDescent="0.35">
      <c r="AQ7633" s="54"/>
      <c r="BA7633" s="54"/>
    </row>
    <row r="7634" spans="43:53" x14ac:dyDescent="0.35">
      <c r="AQ7634" s="54"/>
      <c r="BA7634" s="54"/>
    </row>
    <row r="7635" spans="43:53" x14ac:dyDescent="0.35">
      <c r="AQ7635" s="54"/>
      <c r="BA7635" s="54"/>
    </row>
    <row r="7636" spans="43:53" x14ac:dyDescent="0.35">
      <c r="AQ7636" s="54"/>
      <c r="BA7636" s="54"/>
    </row>
    <row r="7637" spans="43:53" x14ac:dyDescent="0.35">
      <c r="AQ7637" s="54"/>
      <c r="BA7637" s="54"/>
    </row>
    <row r="7638" spans="43:53" x14ac:dyDescent="0.35">
      <c r="AQ7638" s="54"/>
      <c r="BA7638" s="54"/>
    </row>
    <row r="7639" spans="43:53" x14ac:dyDescent="0.35">
      <c r="AQ7639" s="54"/>
      <c r="BA7639" s="54"/>
    </row>
    <row r="7640" spans="43:53" x14ac:dyDescent="0.35">
      <c r="AQ7640" s="54"/>
      <c r="BA7640" s="54"/>
    </row>
    <row r="7641" spans="43:53" x14ac:dyDescent="0.35">
      <c r="AQ7641" s="54"/>
      <c r="BA7641" s="54"/>
    </row>
    <row r="7642" spans="43:53" x14ac:dyDescent="0.35">
      <c r="AQ7642" s="54"/>
      <c r="BA7642" s="54"/>
    </row>
    <row r="7643" spans="43:53" x14ac:dyDescent="0.35">
      <c r="AQ7643" s="54"/>
      <c r="BA7643" s="54"/>
    </row>
    <row r="7644" spans="43:53" x14ac:dyDescent="0.35">
      <c r="AQ7644" s="54"/>
      <c r="BA7644" s="54"/>
    </row>
    <row r="7645" spans="43:53" x14ac:dyDescent="0.35">
      <c r="AQ7645" s="54"/>
      <c r="BA7645" s="54"/>
    </row>
    <row r="7646" spans="43:53" x14ac:dyDescent="0.35">
      <c r="AQ7646" s="54"/>
      <c r="BA7646" s="54"/>
    </row>
    <row r="7647" spans="43:53" x14ac:dyDescent="0.35">
      <c r="AQ7647" s="54"/>
      <c r="BA7647" s="54"/>
    </row>
    <row r="7648" spans="43:53" x14ac:dyDescent="0.35">
      <c r="AQ7648" s="54"/>
      <c r="BA7648" s="54"/>
    </row>
    <row r="7649" spans="43:53" x14ac:dyDescent="0.35">
      <c r="AQ7649" s="54"/>
      <c r="BA7649" s="54"/>
    </row>
    <row r="7650" spans="43:53" x14ac:dyDescent="0.35">
      <c r="AQ7650" s="54"/>
      <c r="BA7650" s="54"/>
    </row>
    <row r="7651" spans="43:53" x14ac:dyDescent="0.35">
      <c r="AQ7651" s="54"/>
      <c r="BA7651" s="54"/>
    </row>
    <row r="7652" spans="43:53" x14ac:dyDescent="0.35">
      <c r="AQ7652" s="54"/>
      <c r="BA7652" s="54"/>
    </row>
    <row r="7653" spans="43:53" x14ac:dyDescent="0.35">
      <c r="AQ7653" s="54"/>
      <c r="BA7653" s="54"/>
    </row>
    <row r="7654" spans="43:53" x14ac:dyDescent="0.35">
      <c r="AQ7654" s="54"/>
      <c r="BA7654" s="54"/>
    </row>
    <row r="7655" spans="43:53" x14ac:dyDescent="0.35">
      <c r="AQ7655" s="54"/>
      <c r="BA7655" s="54"/>
    </row>
    <row r="7656" spans="43:53" x14ac:dyDescent="0.35">
      <c r="AQ7656" s="54"/>
      <c r="BA7656" s="54"/>
    </row>
    <row r="7657" spans="43:53" x14ac:dyDescent="0.35">
      <c r="AQ7657" s="54"/>
      <c r="BA7657" s="54"/>
    </row>
    <row r="7658" spans="43:53" x14ac:dyDescent="0.35">
      <c r="AQ7658" s="54"/>
      <c r="BA7658" s="54"/>
    </row>
    <row r="7659" spans="43:53" x14ac:dyDescent="0.35">
      <c r="AQ7659" s="54"/>
      <c r="BA7659" s="54"/>
    </row>
    <row r="7660" spans="43:53" x14ac:dyDescent="0.35">
      <c r="AQ7660" s="54"/>
      <c r="BA7660" s="54"/>
    </row>
    <row r="7661" spans="43:53" x14ac:dyDescent="0.35">
      <c r="AQ7661" s="54"/>
      <c r="BA7661" s="54"/>
    </row>
    <row r="7662" spans="43:53" x14ac:dyDescent="0.35">
      <c r="AQ7662" s="54"/>
      <c r="BA7662" s="54"/>
    </row>
    <row r="7663" spans="43:53" x14ac:dyDescent="0.35">
      <c r="AQ7663" s="54"/>
      <c r="BA7663" s="54"/>
    </row>
    <row r="7664" spans="43:53" x14ac:dyDescent="0.35">
      <c r="AQ7664" s="54"/>
      <c r="BA7664" s="54"/>
    </row>
    <row r="7665" spans="43:53" x14ac:dyDescent="0.35">
      <c r="AQ7665" s="54"/>
      <c r="BA7665" s="54"/>
    </row>
    <row r="7666" spans="43:53" x14ac:dyDescent="0.35">
      <c r="AQ7666" s="54"/>
      <c r="BA7666" s="54"/>
    </row>
    <row r="7667" spans="43:53" x14ac:dyDescent="0.35">
      <c r="AQ7667" s="54"/>
      <c r="BA7667" s="54"/>
    </row>
    <row r="7668" spans="43:53" x14ac:dyDescent="0.35">
      <c r="AQ7668" s="54"/>
      <c r="BA7668" s="54"/>
    </row>
    <row r="7669" spans="43:53" x14ac:dyDescent="0.35">
      <c r="AQ7669" s="54"/>
      <c r="BA7669" s="54"/>
    </row>
    <row r="7670" spans="43:53" x14ac:dyDescent="0.35">
      <c r="AQ7670" s="54"/>
      <c r="BA7670" s="54"/>
    </row>
    <row r="7671" spans="43:53" x14ac:dyDescent="0.35">
      <c r="AQ7671" s="54"/>
      <c r="BA7671" s="54"/>
    </row>
    <row r="7672" spans="43:53" x14ac:dyDescent="0.35">
      <c r="AQ7672" s="54"/>
      <c r="BA7672" s="54"/>
    </row>
    <row r="7673" spans="43:53" x14ac:dyDescent="0.35">
      <c r="AQ7673" s="54"/>
      <c r="BA7673" s="54"/>
    </row>
    <row r="7674" spans="43:53" x14ac:dyDescent="0.35">
      <c r="AQ7674" s="54"/>
      <c r="BA7674" s="54"/>
    </row>
    <row r="7675" spans="43:53" x14ac:dyDescent="0.35">
      <c r="AQ7675" s="54"/>
      <c r="BA7675" s="54"/>
    </row>
    <row r="7676" spans="43:53" x14ac:dyDescent="0.35">
      <c r="AQ7676" s="54"/>
      <c r="BA7676" s="54"/>
    </row>
    <row r="7677" spans="43:53" x14ac:dyDescent="0.35">
      <c r="AQ7677" s="54"/>
      <c r="BA7677" s="54"/>
    </row>
    <row r="7678" spans="43:53" x14ac:dyDescent="0.35">
      <c r="AQ7678" s="54"/>
      <c r="BA7678" s="54"/>
    </row>
    <row r="7679" spans="43:53" x14ac:dyDescent="0.35">
      <c r="AQ7679" s="54"/>
      <c r="BA7679" s="54"/>
    </row>
    <row r="7680" spans="43:53" x14ac:dyDescent="0.35">
      <c r="AQ7680" s="54"/>
      <c r="BA7680" s="54"/>
    </row>
    <row r="7681" spans="43:53" x14ac:dyDescent="0.35">
      <c r="AQ7681" s="54"/>
      <c r="BA7681" s="54"/>
    </row>
    <row r="7682" spans="43:53" x14ac:dyDescent="0.35">
      <c r="AQ7682" s="54"/>
      <c r="BA7682" s="54"/>
    </row>
    <row r="7683" spans="43:53" x14ac:dyDescent="0.35">
      <c r="AQ7683" s="54"/>
      <c r="BA7683" s="54"/>
    </row>
    <row r="7684" spans="43:53" x14ac:dyDescent="0.35">
      <c r="AQ7684" s="54"/>
      <c r="BA7684" s="54"/>
    </row>
    <row r="7685" spans="43:53" x14ac:dyDescent="0.35">
      <c r="AQ7685" s="54"/>
      <c r="BA7685" s="54"/>
    </row>
    <row r="7686" spans="43:53" x14ac:dyDescent="0.35">
      <c r="AQ7686" s="54"/>
      <c r="BA7686" s="54"/>
    </row>
    <row r="7687" spans="43:53" x14ac:dyDescent="0.35">
      <c r="AQ7687" s="54"/>
      <c r="BA7687" s="54"/>
    </row>
    <row r="7688" spans="43:53" x14ac:dyDescent="0.35">
      <c r="AQ7688" s="54"/>
      <c r="BA7688" s="54"/>
    </row>
    <row r="7689" spans="43:53" x14ac:dyDescent="0.35">
      <c r="AQ7689" s="54"/>
      <c r="BA7689" s="54"/>
    </row>
    <row r="7690" spans="43:53" x14ac:dyDescent="0.35">
      <c r="AQ7690" s="54"/>
      <c r="BA7690" s="54"/>
    </row>
    <row r="7691" spans="43:53" x14ac:dyDescent="0.35">
      <c r="AQ7691" s="54"/>
      <c r="BA7691" s="54"/>
    </row>
    <row r="7692" spans="43:53" x14ac:dyDescent="0.35">
      <c r="AQ7692" s="54"/>
      <c r="BA7692" s="54"/>
    </row>
    <row r="7693" spans="43:53" x14ac:dyDescent="0.35">
      <c r="AQ7693" s="54"/>
      <c r="BA7693" s="54"/>
    </row>
    <row r="7694" spans="43:53" x14ac:dyDescent="0.35">
      <c r="AQ7694" s="54"/>
      <c r="BA7694" s="54"/>
    </row>
    <row r="7695" spans="43:53" x14ac:dyDescent="0.35">
      <c r="AQ7695" s="54"/>
      <c r="BA7695" s="54"/>
    </row>
    <row r="7696" spans="43:53" x14ac:dyDescent="0.35">
      <c r="AQ7696" s="54"/>
      <c r="BA7696" s="54"/>
    </row>
    <row r="7697" spans="43:53" x14ac:dyDescent="0.35">
      <c r="AQ7697" s="54"/>
      <c r="BA7697" s="54"/>
    </row>
    <row r="7698" spans="43:53" x14ac:dyDescent="0.35">
      <c r="AQ7698" s="54"/>
      <c r="BA7698" s="54"/>
    </row>
    <row r="7699" spans="43:53" x14ac:dyDescent="0.35">
      <c r="AQ7699" s="54"/>
      <c r="BA7699" s="54"/>
    </row>
    <row r="7700" spans="43:53" x14ac:dyDescent="0.35">
      <c r="AQ7700" s="54"/>
      <c r="BA7700" s="54"/>
    </row>
    <row r="7701" spans="43:53" x14ac:dyDescent="0.35">
      <c r="AQ7701" s="54"/>
      <c r="BA7701" s="54"/>
    </row>
    <row r="7702" spans="43:53" x14ac:dyDescent="0.35">
      <c r="AQ7702" s="54"/>
      <c r="BA7702" s="54"/>
    </row>
    <row r="7703" spans="43:53" x14ac:dyDescent="0.35">
      <c r="AQ7703" s="54"/>
      <c r="BA7703" s="54"/>
    </row>
    <row r="7704" spans="43:53" x14ac:dyDescent="0.35">
      <c r="AQ7704" s="54"/>
      <c r="BA7704" s="54"/>
    </row>
    <row r="7705" spans="43:53" x14ac:dyDescent="0.35">
      <c r="AQ7705" s="54"/>
      <c r="BA7705" s="54"/>
    </row>
    <row r="7706" spans="43:53" x14ac:dyDescent="0.35">
      <c r="AQ7706" s="54"/>
      <c r="BA7706" s="54"/>
    </row>
    <row r="7707" spans="43:53" x14ac:dyDescent="0.35">
      <c r="AQ7707" s="54"/>
      <c r="BA7707" s="54"/>
    </row>
    <row r="7708" spans="43:53" x14ac:dyDescent="0.35">
      <c r="AQ7708" s="54"/>
      <c r="BA7708" s="54"/>
    </row>
    <row r="7709" spans="43:53" x14ac:dyDescent="0.35">
      <c r="AQ7709" s="54"/>
      <c r="BA7709" s="54"/>
    </row>
    <row r="7710" spans="43:53" x14ac:dyDescent="0.35">
      <c r="AQ7710" s="54"/>
      <c r="BA7710" s="54"/>
    </row>
    <row r="7711" spans="43:53" x14ac:dyDescent="0.35">
      <c r="AQ7711" s="54"/>
      <c r="BA7711" s="54"/>
    </row>
    <row r="7712" spans="43:53" x14ac:dyDescent="0.35">
      <c r="AQ7712" s="54"/>
      <c r="BA7712" s="54"/>
    </row>
    <row r="7713" spans="43:53" x14ac:dyDescent="0.35">
      <c r="AQ7713" s="54"/>
      <c r="BA7713" s="54"/>
    </row>
    <row r="7714" spans="43:53" x14ac:dyDescent="0.35">
      <c r="AQ7714" s="54"/>
      <c r="BA7714" s="54"/>
    </row>
    <row r="7715" spans="43:53" x14ac:dyDescent="0.35">
      <c r="AQ7715" s="54"/>
      <c r="BA7715" s="54"/>
    </row>
    <row r="7716" spans="43:53" x14ac:dyDescent="0.35">
      <c r="AQ7716" s="54"/>
      <c r="BA7716" s="54"/>
    </row>
    <row r="7717" spans="43:53" x14ac:dyDescent="0.35">
      <c r="AQ7717" s="54"/>
      <c r="BA7717" s="54"/>
    </row>
    <row r="7718" spans="43:53" x14ac:dyDescent="0.35">
      <c r="AQ7718" s="54"/>
      <c r="BA7718" s="54"/>
    </row>
    <row r="7719" spans="43:53" x14ac:dyDescent="0.35">
      <c r="AQ7719" s="54"/>
      <c r="BA7719" s="54"/>
    </row>
    <row r="7720" spans="43:53" x14ac:dyDescent="0.35">
      <c r="AQ7720" s="54"/>
      <c r="BA7720" s="54"/>
    </row>
    <row r="7721" spans="43:53" x14ac:dyDescent="0.35">
      <c r="AQ7721" s="54"/>
      <c r="BA7721" s="54"/>
    </row>
    <row r="7722" spans="43:53" x14ac:dyDescent="0.35">
      <c r="AQ7722" s="54"/>
      <c r="BA7722" s="54"/>
    </row>
    <row r="7723" spans="43:53" x14ac:dyDescent="0.35">
      <c r="AQ7723" s="54"/>
      <c r="BA7723" s="54"/>
    </row>
    <row r="7724" spans="43:53" x14ac:dyDescent="0.35">
      <c r="AQ7724" s="54"/>
      <c r="BA7724" s="54"/>
    </row>
    <row r="7725" spans="43:53" x14ac:dyDescent="0.35">
      <c r="AQ7725" s="54"/>
      <c r="BA7725" s="54"/>
    </row>
    <row r="7726" spans="43:53" x14ac:dyDescent="0.35">
      <c r="AQ7726" s="54"/>
      <c r="BA7726" s="54"/>
    </row>
    <row r="7727" spans="43:53" x14ac:dyDescent="0.35">
      <c r="AQ7727" s="54"/>
      <c r="BA7727" s="54"/>
    </row>
    <row r="7728" spans="43:53" x14ac:dyDescent="0.35">
      <c r="AQ7728" s="54"/>
      <c r="BA7728" s="54"/>
    </row>
    <row r="7729" spans="43:53" x14ac:dyDescent="0.35">
      <c r="AQ7729" s="54"/>
      <c r="BA7729" s="54"/>
    </row>
    <row r="7730" spans="43:53" x14ac:dyDescent="0.35">
      <c r="AQ7730" s="54"/>
      <c r="BA7730" s="54"/>
    </row>
    <row r="7731" spans="43:53" x14ac:dyDescent="0.35">
      <c r="AQ7731" s="54"/>
      <c r="BA7731" s="54"/>
    </row>
    <row r="7732" spans="43:53" x14ac:dyDescent="0.35">
      <c r="AQ7732" s="54"/>
      <c r="BA7732" s="54"/>
    </row>
    <row r="7733" spans="43:53" x14ac:dyDescent="0.35">
      <c r="AQ7733" s="54"/>
      <c r="BA7733" s="54"/>
    </row>
    <row r="7734" spans="43:53" x14ac:dyDescent="0.35">
      <c r="AQ7734" s="54"/>
      <c r="BA7734" s="54"/>
    </row>
    <row r="7735" spans="43:53" x14ac:dyDescent="0.35">
      <c r="AQ7735" s="54"/>
      <c r="BA7735" s="54"/>
    </row>
    <row r="7736" spans="43:53" x14ac:dyDescent="0.35">
      <c r="AQ7736" s="54"/>
      <c r="BA7736" s="54"/>
    </row>
    <row r="7737" spans="43:53" x14ac:dyDescent="0.35">
      <c r="AQ7737" s="54"/>
      <c r="BA7737" s="54"/>
    </row>
    <row r="7738" spans="43:53" x14ac:dyDescent="0.35">
      <c r="AQ7738" s="54"/>
      <c r="BA7738" s="54"/>
    </row>
    <row r="7739" spans="43:53" x14ac:dyDescent="0.35">
      <c r="AQ7739" s="54"/>
      <c r="BA7739" s="54"/>
    </row>
    <row r="7740" spans="43:53" x14ac:dyDescent="0.35">
      <c r="AQ7740" s="54"/>
      <c r="BA7740" s="54"/>
    </row>
    <row r="7741" spans="43:53" x14ac:dyDescent="0.35">
      <c r="AQ7741" s="54"/>
      <c r="BA7741" s="54"/>
    </row>
    <row r="7742" spans="43:53" x14ac:dyDescent="0.35">
      <c r="AQ7742" s="54"/>
      <c r="BA7742" s="54"/>
    </row>
    <row r="7743" spans="43:53" x14ac:dyDescent="0.35">
      <c r="AQ7743" s="54"/>
      <c r="BA7743" s="54"/>
    </row>
    <row r="7744" spans="43:53" x14ac:dyDescent="0.35">
      <c r="AQ7744" s="54"/>
      <c r="BA7744" s="54"/>
    </row>
    <row r="7745" spans="43:53" x14ac:dyDescent="0.35">
      <c r="AQ7745" s="54"/>
      <c r="BA7745" s="54"/>
    </row>
    <row r="7746" spans="43:53" x14ac:dyDescent="0.35">
      <c r="AQ7746" s="54"/>
      <c r="BA7746" s="54"/>
    </row>
    <row r="7747" spans="43:53" x14ac:dyDescent="0.35">
      <c r="AQ7747" s="54"/>
      <c r="BA7747" s="54"/>
    </row>
    <row r="7748" spans="43:53" x14ac:dyDescent="0.35">
      <c r="AQ7748" s="54"/>
      <c r="BA7748" s="54"/>
    </row>
    <row r="7749" spans="43:53" x14ac:dyDescent="0.35">
      <c r="AQ7749" s="54"/>
      <c r="BA7749" s="54"/>
    </row>
    <row r="7750" spans="43:53" x14ac:dyDescent="0.35">
      <c r="AQ7750" s="54"/>
      <c r="BA7750" s="54"/>
    </row>
    <row r="7751" spans="43:53" x14ac:dyDescent="0.35">
      <c r="AQ7751" s="54"/>
      <c r="BA7751" s="54"/>
    </row>
    <row r="7752" spans="43:53" x14ac:dyDescent="0.35">
      <c r="AQ7752" s="54"/>
      <c r="BA7752" s="54"/>
    </row>
    <row r="7753" spans="43:53" x14ac:dyDescent="0.35">
      <c r="AQ7753" s="54"/>
      <c r="BA7753" s="54"/>
    </row>
    <row r="7754" spans="43:53" x14ac:dyDescent="0.35">
      <c r="AQ7754" s="54"/>
      <c r="BA7754" s="54"/>
    </row>
    <row r="7755" spans="43:53" x14ac:dyDescent="0.35">
      <c r="AQ7755" s="54"/>
      <c r="BA7755" s="54"/>
    </row>
    <row r="7756" spans="43:53" x14ac:dyDescent="0.35">
      <c r="AQ7756" s="54"/>
      <c r="BA7756" s="54"/>
    </row>
    <row r="7757" spans="43:53" x14ac:dyDescent="0.35">
      <c r="AQ7757" s="54"/>
      <c r="BA7757" s="54"/>
    </row>
    <row r="7758" spans="43:53" x14ac:dyDescent="0.35">
      <c r="AQ7758" s="54"/>
      <c r="BA7758" s="54"/>
    </row>
    <row r="7759" spans="43:53" x14ac:dyDescent="0.35">
      <c r="AQ7759" s="54"/>
      <c r="BA7759" s="54"/>
    </row>
    <row r="7760" spans="43:53" x14ac:dyDescent="0.35">
      <c r="AQ7760" s="54"/>
      <c r="BA7760" s="54"/>
    </row>
    <row r="7761" spans="43:53" x14ac:dyDescent="0.35">
      <c r="AQ7761" s="54"/>
      <c r="BA7761" s="54"/>
    </row>
    <row r="7762" spans="43:53" x14ac:dyDescent="0.35">
      <c r="AQ7762" s="54"/>
      <c r="BA7762" s="54"/>
    </row>
    <row r="7763" spans="43:53" x14ac:dyDescent="0.35">
      <c r="AQ7763" s="54"/>
      <c r="BA7763" s="54"/>
    </row>
    <row r="7764" spans="43:53" x14ac:dyDescent="0.35">
      <c r="AQ7764" s="54"/>
      <c r="BA7764" s="54"/>
    </row>
    <row r="7765" spans="43:53" x14ac:dyDescent="0.35">
      <c r="AQ7765" s="54"/>
      <c r="BA7765" s="54"/>
    </row>
    <row r="7766" spans="43:53" x14ac:dyDescent="0.35">
      <c r="AQ7766" s="54"/>
      <c r="BA7766" s="54"/>
    </row>
    <row r="7767" spans="43:53" x14ac:dyDescent="0.35">
      <c r="AQ7767" s="54"/>
      <c r="BA7767" s="54"/>
    </row>
    <row r="7768" spans="43:53" x14ac:dyDescent="0.35">
      <c r="AQ7768" s="54"/>
      <c r="BA7768" s="54"/>
    </row>
    <row r="7769" spans="43:53" x14ac:dyDescent="0.35">
      <c r="AQ7769" s="54"/>
      <c r="BA7769" s="54"/>
    </row>
    <row r="7770" spans="43:53" x14ac:dyDescent="0.35">
      <c r="AQ7770" s="54"/>
      <c r="BA7770" s="54"/>
    </row>
    <row r="7771" spans="43:53" x14ac:dyDescent="0.35">
      <c r="AQ7771" s="54"/>
      <c r="BA7771" s="54"/>
    </row>
    <row r="7772" spans="43:53" x14ac:dyDescent="0.35">
      <c r="AQ7772" s="54"/>
      <c r="BA7772" s="54"/>
    </row>
    <row r="7773" spans="43:53" x14ac:dyDescent="0.35">
      <c r="AQ7773" s="54"/>
      <c r="BA7773" s="54"/>
    </row>
    <row r="7774" spans="43:53" x14ac:dyDescent="0.35">
      <c r="AQ7774" s="54"/>
      <c r="BA7774" s="54"/>
    </row>
    <row r="7775" spans="43:53" x14ac:dyDescent="0.35">
      <c r="AQ7775" s="54"/>
      <c r="BA7775" s="54"/>
    </row>
    <row r="7776" spans="43:53" x14ac:dyDescent="0.35">
      <c r="AQ7776" s="54"/>
      <c r="BA7776" s="54"/>
    </row>
    <row r="7777" spans="43:53" x14ac:dyDescent="0.35">
      <c r="AQ7777" s="54"/>
      <c r="BA7777" s="54"/>
    </row>
    <row r="7778" spans="43:53" x14ac:dyDescent="0.35">
      <c r="AQ7778" s="54"/>
      <c r="BA7778" s="54"/>
    </row>
    <row r="7779" spans="43:53" x14ac:dyDescent="0.35">
      <c r="AQ7779" s="54"/>
      <c r="BA7779" s="54"/>
    </row>
    <row r="7780" spans="43:53" x14ac:dyDescent="0.35">
      <c r="AQ7780" s="54"/>
      <c r="BA7780" s="54"/>
    </row>
    <row r="7781" spans="43:53" x14ac:dyDescent="0.35">
      <c r="AQ7781" s="54"/>
      <c r="BA7781" s="54"/>
    </row>
    <row r="7782" spans="43:53" x14ac:dyDescent="0.35">
      <c r="AQ7782" s="54"/>
      <c r="BA7782" s="54"/>
    </row>
    <row r="7783" spans="43:53" x14ac:dyDescent="0.35">
      <c r="AQ7783" s="54"/>
      <c r="BA7783" s="54"/>
    </row>
    <row r="7784" spans="43:53" x14ac:dyDescent="0.35">
      <c r="AQ7784" s="54"/>
      <c r="BA7784" s="54"/>
    </row>
    <row r="7785" spans="43:53" x14ac:dyDescent="0.35">
      <c r="AQ7785" s="54"/>
      <c r="BA7785" s="54"/>
    </row>
    <row r="7786" spans="43:53" x14ac:dyDescent="0.35">
      <c r="AQ7786" s="54"/>
      <c r="BA7786" s="54"/>
    </row>
    <row r="7787" spans="43:53" x14ac:dyDescent="0.35">
      <c r="AQ7787" s="54"/>
      <c r="BA7787" s="54"/>
    </row>
    <row r="7788" spans="43:53" x14ac:dyDescent="0.35">
      <c r="AQ7788" s="54"/>
      <c r="BA7788" s="54"/>
    </row>
    <row r="7789" spans="43:53" x14ac:dyDescent="0.35">
      <c r="AQ7789" s="54"/>
      <c r="BA7789" s="54"/>
    </row>
    <row r="7790" spans="43:53" x14ac:dyDescent="0.35">
      <c r="AQ7790" s="54"/>
      <c r="BA7790" s="54"/>
    </row>
    <row r="7791" spans="43:53" x14ac:dyDescent="0.35">
      <c r="AQ7791" s="54"/>
      <c r="BA7791" s="54"/>
    </row>
    <row r="7792" spans="43:53" x14ac:dyDescent="0.35">
      <c r="AQ7792" s="54"/>
      <c r="BA7792" s="54"/>
    </row>
    <row r="7793" spans="43:53" x14ac:dyDescent="0.35">
      <c r="AQ7793" s="54"/>
      <c r="BA7793" s="54"/>
    </row>
    <row r="7794" spans="43:53" x14ac:dyDescent="0.35">
      <c r="AQ7794" s="54"/>
      <c r="BA7794" s="54"/>
    </row>
    <row r="7795" spans="43:53" x14ac:dyDescent="0.35">
      <c r="AQ7795" s="54"/>
      <c r="BA7795" s="54"/>
    </row>
    <row r="7796" spans="43:53" x14ac:dyDescent="0.35">
      <c r="AQ7796" s="54"/>
      <c r="BA7796" s="54"/>
    </row>
    <row r="7797" spans="43:53" x14ac:dyDescent="0.35">
      <c r="AQ7797" s="54"/>
      <c r="BA7797" s="54"/>
    </row>
    <row r="7798" spans="43:53" x14ac:dyDescent="0.35">
      <c r="AQ7798" s="54"/>
      <c r="BA7798" s="54"/>
    </row>
    <row r="7799" spans="43:53" x14ac:dyDescent="0.35">
      <c r="AQ7799" s="54"/>
      <c r="BA7799" s="54"/>
    </row>
    <row r="7800" spans="43:53" x14ac:dyDescent="0.35">
      <c r="AQ7800" s="54"/>
      <c r="BA7800" s="54"/>
    </row>
    <row r="7801" spans="43:53" x14ac:dyDescent="0.35">
      <c r="AQ7801" s="54"/>
      <c r="BA7801" s="54"/>
    </row>
    <row r="7802" spans="43:53" x14ac:dyDescent="0.35">
      <c r="AQ7802" s="54"/>
      <c r="BA7802" s="54"/>
    </row>
    <row r="7803" spans="43:53" x14ac:dyDescent="0.35">
      <c r="AQ7803" s="54"/>
      <c r="BA7803" s="54"/>
    </row>
    <row r="7804" spans="43:53" x14ac:dyDescent="0.35">
      <c r="AQ7804" s="54"/>
      <c r="BA7804" s="54"/>
    </row>
    <row r="7805" spans="43:53" x14ac:dyDescent="0.35">
      <c r="AQ7805" s="54"/>
      <c r="BA7805" s="54"/>
    </row>
    <row r="7806" spans="43:53" x14ac:dyDescent="0.35">
      <c r="AQ7806" s="54"/>
      <c r="BA7806" s="54"/>
    </row>
    <row r="7807" spans="43:53" x14ac:dyDescent="0.35">
      <c r="AQ7807" s="54"/>
      <c r="BA7807" s="54"/>
    </row>
    <row r="7808" spans="43:53" x14ac:dyDescent="0.35">
      <c r="AQ7808" s="54"/>
      <c r="BA7808" s="54"/>
    </row>
    <row r="7809" spans="43:53" x14ac:dyDescent="0.35">
      <c r="AQ7809" s="54"/>
      <c r="BA7809" s="54"/>
    </row>
    <row r="7810" spans="43:53" x14ac:dyDescent="0.35">
      <c r="AQ7810" s="54"/>
      <c r="BA7810" s="54"/>
    </row>
    <row r="7811" spans="43:53" x14ac:dyDescent="0.35">
      <c r="AQ7811" s="54"/>
      <c r="BA7811" s="54"/>
    </row>
    <row r="7812" spans="43:53" x14ac:dyDescent="0.35">
      <c r="AQ7812" s="54"/>
      <c r="BA7812" s="54"/>
    </row>
    <row r="7813" spans="43:53" x14ac:dyDescent="0.35">
      <c r="AQ7813" s="54"/>
      <c r="BA7813" s="54"/>
    </row>
    <row r="7814" spans="43:53" x14ac:dyDescent="0.35">
      <c r="AQ7814" s="54"/>
      <c r="BA7814" s="54"/>
    </row>
    <row r="7815" spans="43:53" x14ac:dyDescent="0.35">
      <c r="AQ7815" s="54"/>
      <c r="BA7815" s="54"/>
    </row>
    <row r="7816" spans="43:53" x14ac:dyDescent="0.35">
      <c r="AQ7816" s="54"/>
      <c r="BA7816" s="54"/>
    </row>
    <row r="7817" spans="43:53" x14ac:dyDescent="0.35">
      <c r="AQ7817" s="54"/>
      <c r="BA7817" s="54"/>
    </row>
    <row r="7818" spans="43:53" x14ac:dyDescent="0.35">
      <c r="AQ7818" s="54"/>
      <c r="BA7818" s="54"/>
    </row>
    <row r="7819" spans="43:53" x14ac:dyDescent="0.35">
      <c r="AQ7819" s="54"/>
      <c r="BA7819" s="54"/>
    </row>
    <row r="7820" spans="43:53" x14ac:dyDescent="0.35">
      <c r="AQ7820" s="54"/>
      <c r="BA7820" s="54"/>
    </row>
    <row r="7821" spans="43:53" x14ac:dyDescent="0.35">
      <c r="AQ7821" s="54"/>
      <c r="BA7821" s="54"/>
    </row>
    <row r="7822" spans="43:53" x14ac:dyDescent="0.35">
      <c r="AQ7822" s="54"/>
      <c r="BA7822" s="54"/>
    </row>
    <row r="7823" spans="43:53" x14ac:dyDescent="0.35">
      <c r="AQ7823" s="54"/>
      <c r="BA7823" s="54"/>
    </row>
    <row r="7824" spans="43:53" x14ac:dyDescent="0.35">
      <c r="AQ7824" s="54"/>
      <c r="BA7824" s="54"/>
    </row>
    <row r="7825" spans="43:53" x14ac:dyDescent="0.35">
      <c r="AQ7825" s="54"/>
      <c r="BA7825" s="54"/>
    </row>
    <row r="7826" spans="43:53" x14ac:dyDescent="0.35">
      <c r="AQ7826" s="54"/>
      <c r="BA7826" s="54"/>
    </row>
    <row r="7827" spans="43:53" x14ac:dyDescent="0.35">
      <c r="AQ7827" s="54"/>
      <c r="BA7827" s="54"/>
    </row>
    <row r="7828" spans="43:53" x14ac:dyDescent="0.35">
      <c r="AQ7828" s="54"/>
      <c r="BA7828" s="54"/>
    </row>
    <row r="7829" spans="43:53" x14ac:dyDescent="0.35">
      <c r="AQ7829" s="54"/>
      <c r="BA7829" s="54"/>
    </row>
    <row r="7830" spans="43:53" x14ac:dyDescent="0.35">
      <c r="AQ7830" s="54"/>
      <c r="BA7830" s="54"/>
    </row>
    <row r="7831" spans="43:53" x14ac:dyDescent="0.35">
      <c r="AQ7831" s="54"/>
      <c r="BA7831" s="54"/>
    </row>
    <row r="7832" spans="43:53" x14ac:dyDescent="0.35">
      <c r="AQ7832" s="54"/>
      <c r="BA7832" s="54"/>
    </row>
    <row r="7833" spans="43:53" x14ac:dyDescent="0.35">
      <c r="AQ7833" s="54"/>
      <c r="BA7833" s="54"/>
    </row>
    <row r="7834" spans="43:53" x14ac:dyDescent="0.35">
      <c r="AQ7834" s="54"/>
      <c r="BA7834" s="54"/>
    </row>
    <row r="7835" spans="43:53" x14ac:dyDescent="0.35">
      <c r="AQ7835" s="54"/>
      <c r="BA7835" s="54"/>
    </row>
    <row r="7836" spans="43:53" x14ac:dyDescent="0.35">
      <c r="AQ7836" s="54"/>
      <c r="BA7836" s="54"/>
    </row>
    <row r="7837" spans="43:53" x14ac:dyDescent="0.35">
      <c r="AQ7837" s="54"/>
      <c r="BA7837" s="54"/>
    </row>
    <row r="7838" spans="43:53" x14ac:dyDescent="0.35">
      <c r="AQ7838" s="54"/>
      <c r="BA7838" s="54"/>
    </row>
    <row r="7839" spans="43:53" x14ac:dyDescent="0.35">
      <c r="AQ7839" s="54"/>
      <c r="BA7839" s="54"/>
    </row>
    <row r="7840" spans="43:53" x14ac:dyDescent="0.35">
      <c r="AQ7840" s="54"/>
      <c r="BA7840" s="54"/>
    </row>
    <row r="7841" spans="43:53" x14ac:dyDescent="0.35">
      <c r="AQ7841" s="54"/>
      <c r="BA7841" s="54"/>
    </row>
    <row r="7842" spans="43:53" x14ac:dyDescent="0.35">
      <c r="AQ7842" s="54"/>
      <c r="BA7842" s="54"/>
    </row>
    <row r="7843" spans="43:53" x14ac:dyDescent="0.35">
      <c r="AQ7843" s="54"/>
      <c r="BA7843" s="54"/>
    </row>
    <row r="7844" spans="43:53" x14ac:dyDescent="0.35">
      <c r="AQ7844" s="54"/>
      <c r="BA7844" s="54"/>
    </row>
    <row r="7845" spans="43:53" x14ac:dyDescent="0.35">
      <c r="AQ7845" s="54"/>
      <c r="BA7845" s="54"/>
    </row>
    <row r="7846" spans="43:53" x14ac:dyDescent="0.35">
      <c r="AQ7846" s="54"/>
      <c r="BA7846" s="54"/>
    </row>
    <row r="7847" spans="43:53" x14ac:dyDescent="0.35">
      <c r="AQ7847" s="54"/>
      <c r="BA7847" s="54"/>
    </row>
    <row r="7848" spans="43:53" x14ac:dyDescent="0.35">
      <c r="AQ7848" s="54"/>
      <c r="BA7848" s="54"/>
    </row>
    <row r="7849" spans="43:53" x14ac:dyDescent="0.35">
      <c r="AQ7849" s="54"/>
      <c r="BA7849" s="54"/>
    </row>
    <row r="7850" spans="43:53" x14ac:dyDescent="0.35">
      <c r="AQ7850" s="54"/>
      <c r="BA7850" s="54"/>
    </row>
    <row r="7851" spans="43:53" x14ac:dyDescent="0.35">
      <c r="AQ7851" s="54"/>
      <c r="BA7851" s="54"/>
    </row>
    <row r="7852" spans="43:53" x14ac:dyDescent="0.35">
      <c r="AQ7852" s="54"/>
      <c r="BA7852" s="54"/>
    </row>
    <row r="7853" spans="43:53" x14ac:dyDescent="0.35">
      <c r="AQ7853" s="54"/>
      <c r="BA7853" s="54"/>
    </row>
    <row r="7854" spans="43:53" x14ac:dyDescent="0.35">
      <c r="AQ7854" s="54"/>
      <c r="BA7854" s="54"/>
    </row>
    <row r="7855" spans="43:53" x14ac:dyDescent="0.35">
      <c r="AQ7855" s="54"/>
      <c r="BA7855" s="54"/>
    </row>
    <row r="7856" spans="43:53" x14ac:dyDescent="0.35">
      <c r="AQ7856" s="54"/>
      <c r="BA7856" s="54"/>
    </row>
    <row r="7857" spans="43:53" x14ac:dyDescent="0.35">
      <c r="AQ7857" s="54"/>
      <c r="BA7857" s="54"/>
    </row>
    <row r="7858" spans="43:53" x14ac:dyDescent="0.35">
      <c r="AQ7858" s="54"/>
      <c r="BA7858" s="54"/>
    </row>
    <row r="7859" spans="43:53" x14ac:dyDescent="0.35">
      <c r="AQ7859" s="54"/>
      <c r="BA7859" s="54"/>
    </row>
    <row r="7860" spans="43:53" x14ac:dyDescent="0.35">
      <c r="AQ7860" s="54"/>
      <c r="BA7860" s="54"/>
    </row>
    <row r="7861" spans="43:53" x14ac:dyDescent="0.35">
      <c r="AQ7861" s="54"/>
      <c r="BA7861" s="54"/>
    </row>
    <row r="7862" spans="43:53" x14ac:dyDescent="0.35">
      <c r="AQ7862" s="54"/>
      <c r="BA7862" s="54"/>
    </row>
    <row r="7863" spans="43:53" x14ac:dyDescent="0.35">
      <c r="AQ7863" s="54"/>
      <c r="BA7863" s="54"/>
    </row>
    <row r="7864" spans="43:53" x14ac:dyDescent="0.35">
      <c r="AQ7864" s="54"/>
      <c r="BA7864" s="54"/>
    </row>
    <row r="7865" spans="43:53" x14ac:dyDescent="0.35">
      <c r="AQ7865" s="54"/>
      <c r="BA7865" s="54"/>
    </row>
    <row r="7866" spans="43:53" x14ac:dyDescent="0.35">
      <c r="AQ7866" s="54"/>
      <c r="BA7866" s="54"/>
    </row>
    <row r="7867" spans="43:53" x14ac:dyDescent="0.35">
      <c r="AQ7867" s="54"/>
      <c r="BA7867" s="54"/>
    </row>
    <row r="7868" spans="43:53" x14ac:dyDescent="0.35">
      <c r="AQ7868" s="54"/>
      <c r="BA7868" s="54"/>
    </row>
    <row r="7869" spans="43:53" x14ac:dyDescent="0.35">
      <c r="AQ7869" s="54"/>
      <c r="BA7869" s="54"/>
    </row>
    <row r="7870" spans="43:53" x14ac:dyDescent="0.35">
      <c r="AQ7870" s="54"/>
      <c r="BA7870" s="54"/>
    </row>
    <row r="7871" spans="43:53" x14ac:dyDescent="0.35">
      <c r="AQ7871" s="54"/>
      <c r="BA7871" s="54"/>
    </row>
    <row r="7872" spans="43:53" x14ac:dyDescent="0.35">
      <c r="AQ7872" s="54"/>
      <c r="BA7872" s="54"/>
    </row>
    <row r="7873" spans="43:53" x14ac:dyDescent="0.35">
      <c r="AQ7873" s="54"/>
      <c r="BA7873" s="54"/>
    </row>
    <row r="7874" spans="43:53" x14ac:dyDescent="0.35">
      <c r="AQ7874" s="54"/>
      <c r="BA7874" s="54"/>
    </row>
    <row r="7875" spans="43:53" x14ac:dyDescent="0.35">
      <c r="AQ7875" s="54"/>
      <c r="BA7875" s="54"/>
    </row>
    <row r="7876" spans="43:53" x14ac:dyDescent="0.35">
      <c r="AQ7876" s="54"/>
      <c r="BA7876" s="54"/>
    </row>
    <row r="7877" spans="43:53" x14ac:dyDescent="0.35">
      <c r="AQ7877" s="54"/>
      <c r="BA7877" s="54"/>
    </row>
    <row r="7878" spans="43:53" x14ac:dyDescent="0.35">
      <c r="AQ7878" s="54"/>
      <c r="BA7878" s="54"/>
    </row>
    <row r="7879" spans="43:53" x14ac:dyDescent="0.35">
      <c r="AQ7879" s="54"/>
      <c r="BA7879" s="54"/>
    </row>
    <row r="7880" spans="43:53" x14ac:dyDescent="0.35">
      <c r="AQ7880" s="54"/>
      <c r="BA7880" s="54"/>
    </row>
    <row r="7881" spans="43:53" x14ac:dyDescent="0.35">
      <c r="AQ7881" s="54"/>
      <c r="BA7881" s="54"/>
    </row>
    <row r="7882" spans="43:53" x14ac:dyDescent="0.35">
      <c r="AQ7882" s="54"/>
      <c r="BA7882" s="54"/>
    </row>
    <row r="7883" spans="43:53" x14ac:dyDescent="0.35">
      <c r="AQ7883" s="54"/>
      <c r="BA7883" s="54"/>
    </row>
    <row r="7884" spans="43:53" x14ac:dyDescent="0.35">
      <c r="AQ7884" s="54"/>
      <c r="BA7884" s="54"/>
    </row>
    <row r="7885" spans="43:53" x14ac:dyDescent="0.35">
      <c r="AQ7885" s="54"/>
      <c r="BA7885" s="54"/>
    </row>
    <row r="7886" spans="43:53" x14ac:dyDescent="0.35">
      <c r="AQ7886" s="54"/>
      <c r="BA7886" s="54"/>
    </row>
    <row r="7887" spans="43:53" x14ac:dyDescent="0.35">
      <c r="AQ7887" s="54"/>
      <c r="BA7887" s="54"/>
    </row>
    <row r="7888" spans="43:53" x14ac:dyDescent="0.35">
      <c r="AQ7888" s="54"/>
      <c r="BA7888" s="54"/>
    </row>
    <row r="7889" spans="43:53" x14ac:dyDescent="0.35">
      <c r="AQ7889" s="54"/>
      <c r="BA7889" s="54"/>
    </row>
    <row r="7890" spans="43:53" x14ac:dyDescent="0.35">
      <c r="AQ7890" s="54"/>
      <c r="BA7890" s="54"/>
    </row>
    <row r="7891" spans="43:53" x14ac:dyDescent="0.35">
      <c r="AQ7891" s="54"/>
      <c r="BA7891" s="54"/>
    </row>
    <row r="7892" spans="43:53" x14ac:dyDescent="0.35">
      <c r="AQ7892" s="54"/>
      <c r="BA7892" s="54"/>
    </row>
    <row r="7893" spans="43:53" x14ac:dyDescent="0.35">
      <c r="AQ7893" s="54"/>
      <c r="BA7893" s="54"/>
    </row>
    <row r="7894" spans="43:53" x14ac:dyDescent="0.35">
      <c r="AQ7894" s="54"/>
      <c r="BA7894" s="54"/>
    </row>
    <row r="7895" spans="43:53" x14ac:dyDescent="0.35">
      <c r="AQ7895" s="54"/>
      <c r="BA7895" s="54"/>
    </row>
    <row r="7896" spans="43:53" x14ac:dyDescent="0.35">
      <c r="AQ7896" s="54"/>
      <c r="BA7896" s="54"/>
    </row>
    <row r="7897" spans="43:53" x14ac:dyDescent="0.35">
      <c r="AQ7897" s="54"/>
      <c r="BA7897" s="54"/>
    </row>
    <row r="7898" spans="43:53" x14ac:dyDescent="0.35">
      <c r="AQ7898" s="54"/>
      <c r="BA7898" s="54"/>
    </row>
    <row r="7899" spans="43:53" x14ac:dyDescent="0.35">
      <c r="AQ7899" s="54"/>
      <c r="BA7899" s="54"/>
    </row>
    <row r="7900" spans="43:53" x14ac:dyDescent="0.35">
      <c r="AQ7900" s="54"/>
      <c r="BA7900" s="54"/>
    </row>
    <row r="7901" spans="43:53" x14ac:dyDescent="0.35">
      <c r="AQ7901" s="54"/>
      <c r="BA7901" s="54"/>
    </row>
    <row r="7902" spans="43:53" x14ac:dyDescent="0.35">
      <c r="AQ7902" s="54"/>
      <c r="BA7902" s="54"/>
    </row>
    <row r="7903" spans="43:53" x14ac:dyDescent="0.35">
      <c r="AQ7903" s="54"/>
      <c r="BA7903" s="54"/>
    </row>
    <row r="7904" spans="43:53" x14ac:dyDescent="0.35">
      <c r="AQ7904" s="54"/>
      <c r="BA7904" s="54"/>
    </row>
    <row r="7905" spans="43:53" x14ac:dyDescent="0.35">
      <c r="AQ7905" s="54"/>
      <c r="BA7905" s="54"/>
    </row>
    <row r="7906" spans="43:53" x14ac:dyDescent="0.35">
      <c r="AQ7906" s="54"/>
      <c r="BA7906" s="54"/>
    </row>
    <row r="7907" spans="43:53" x14ac:dyDescent="0.35">
      <c r="AQ7907" s="54"/>
      <c r="BA7907" s="54"/>
    </row>
    <row r="7908" spans="43:53" x14ac:dyDescent="0.35">
      <c r="AQ7908" s="54"/>
      <c r="BA7908" s="54"/>
    </row>
    <row r="7909" spans="43:53" x14ac:dyDescent="0.35">
      <c r="AQ7909" s="54"/>
      <c r="BA7909" s="54"/>
    </row>
    <row r="7910" spans="43:53" x14ac:dyDescent="0.35">
      <c r="AQ7910" s="54"/>
      <c r="BA7910" s="54"/>
    </row>
    <row r="7911" spans="43:53" x14ac:dyDescent="0.35">
      <c r="AQ7911" s="54"/>
      <c r="BA7911" s="54"/>
    </row>
    <row r="7912" spans="43:53" x14ac:dyDescent="0.35">
      <c r="AQ7912" s="54"/>
      <c r="BA7912" s="54"/>
    </row>
    <row r="7913" spans="43:53" x14ac:dyDescent="0.35">
      <c r="AQ7913" s="54"/>
      <c r="BA7913" s="54"/>
    </row>
    <row r="7914" spans="43:53" x14ac:dyDescent="0.35">
      <c r="AQ7914" s="54"/>
      <c r="BA7914" s="54"/>
    </row>
    <row r="7915" spans="43:53" x14ac:dyDescent="0.35">
      <c r="AQ7915" s="54"/>
      <c r="BA7915" s="54"/>
    </row>
    <row r="7916" spans="43:53" x14ac:dyDescent="0.35">
      <c r="AQ7916" s="54"/>
      <c r="BA7916" s="54"/>
    </row>
    <row r="7917" spans="43:53" x14ac:dyDescent="0.35">
      <c r="AQ7917" s="54"/>
      <c r="BA7917" s="54"/>
    </row>
    <row r="7918" spans="43:53" x14ac:dyDescent="0.35">
      <c r="AQ7918" s="54"/>
      <c r="BA7918" s="54"/>
    </row>
    <row r="7919" spans="43:53" x14ac:dyDescent="0.35">
      <c r="AQ7919" s="54"/>
      <c r="BA7919" s="54"/>
    </row>
    <row r="7920" spans="43:53" x14ac:dyDescent="0.35">
      <c r="AQ7920" s="54"/>
      <c r="BA7920" s="54"/>
    </row>
    <row r="7921" spans="43:53" x14ac:dyDescent="0.35">
      <c r="AQ7921" s="54"/>
      <c r="BA7921" s="54"/>
    </row>
    <row r="7922" spans="43:53" x14ac:dyDescent="0.35">
      <c r="AQ7922" s="54"/>
      <c r="BA7922" s="54"/>
    </row>
    <row r="7923" spans="43:53" x14ac:dyDescent="0.35">
      <c r="AQ7923" s="54"/>
      <c r="BA7923" s="54"/>
    </row>
    <row r="7924" spans="43:53" x14ac:dyDescent="0.35">
      <c r="AQ7924" s="54"/>
      <c r="BA7924" s="54"/>
    </row>
    <row r="7925" spans="43:53" x14ac:dyDescent="0.35">
      <c r="AQ7925" s="54"/>
      <c r="BA7925" s="54"/>
    </row>
    <row r="7926" spans="43:53" x14ac:dyDescent="0.35">
      <c r="AQ7926" s="54"/>
      <c r="BA7926" s="54"/>
    </row>
    <row r="7927" spans="43:53" x14ac:dyDescent="0.35">
      <c r="AQ7927" s="54"/>
      <c r="BA7927" s="54"/>
    </row>
    <row r="7928" spans="43:53" x14ac:dyDescent="0.35">
      <c r="AQ7928" s="54"/>
      <c r="BA7928" s="54"/>
    </row>
    <row r="7929" spans="43:53" x14ac:dyDescent="0.35">
      <c r="AQ7929" s="54"/>
      <c r="BA7929" s="54"/>
    </row>
    <row r="7930" spans="43:53" x14ac:dyDescent="0.35">
      <c r="AQ7930" s="54"/>
      <c r="BA7930" s="54"/>
    </row>
    <row r="7931" spans="43:53" x14ac:dyDescent="0.35">
      <c r="AQ7931" s="54"/>
      <c r="BA7931" s="54"/>
    </row>
    <row r="7932" spans="43:53" x14ac:dyDescent="0.35">
      <c r="AQ7932" s="54"/>
      <c r="BA7932" s="54"/>
    </row>
    <row r="7933" spans="43:53" x14ac:dyDescent="0.35">
      <c r="AQ7933" s="54"/>
      <c r="BA7933" s="54"/>
    </row>
    <row r="7934" spans="43:53" x14ac:dyDescent="0.35">
      <c r="AQ7934" s="54"/>
      <c r="BA7934" s="54"/>
    </row>
    <row r="7935" spans="43:53" x14ac:dyDescent="0.35">
      <c r="AQ7935" s="54"/>
      <c r="BA7935" s="54"/>
    </row>
    <row r="7936" spans="43:53" x14ac:dyDescent="0.35">
      <c r="AQ7936" s="54"/>
      <c r="BA7936" s="54"/>
    </row>
    <row r="7937" spans="43:53" x14ac:dyDescent="0.35">
      <c r="AQ7937" s="54"/>
      <c r="BA7937" s="54"/>
    </row>
    <row r="7938" spans="43:53" x14ac:dyDescent="0.35">
      <c r="AQ7938" s="54"/>
      <c r="BA7938" s="54"/>
    </row>
    <row r="7939" spans="43:53" x14ac:dyDescent="0.35">
      <c r="AQ7939" s="54"/>
      <c r="BA7939" s="54"/>
    </row>
    <row r="7940" spans="43:53" x14ac:dyDescent="0.35">
      <c r="AQ7940" s="54"/>
      <c r="BA7940" s="54"/>
    </row>
    <row r="7941" spans="43:53" x14ac:dyDescent="0.35">
      <c r="AQ7941" s="54"/>
      <c r="BA7941" s="54"/>
    </row>
    <row r="7942" spans="43:53" x14ac:dyDescent="0.35">
      <c r="AQ7942" s="54"/>
      <c r="BA7942" s="54"/>
    </row>
    <row r="7943" spans="43:53" x14ac:dyDescent="0.35">
      <c r="AQ7943" s="54"/>
      <c r="BA7943" s="54"/>
    </row>
    <row r="7944" spans="43:53" x14ac:dyDescent="0.35">
      <c r="AQ7944" s="54"/>
      <c r="BA7944" s="54"/>
    </row>
    <row r="7945" spans="43:53" x14ac:dyDescent="0.35">
      <c r="AQ7945" s="54"/>
      <c r="BA7945" s="54"/>
    </row>
    <row r="7946" spans="43:53" x14ac:dyDescent="0.35">
      <c r="AQ7946" s="54"/>
      <c r="BA7946" s="54"/>
    </row>
    <row r="7947" spans="43:53" x14ac:dyDescent="0.35">
      <c r="AQ7947" s="54"/>
      <c r="BA7947" s="54"/>
    </row>
    <row r="7948" spans="43:53" x14ac:dyDescent="0.35">
      <c r="AQ7948" s="54"/>
      <c r="BA7948" s="54"/>
    </row>
    <row r="7949" spans="43:53" x14ac:dyDescent="0.35">
      <c r="AQ7949" s="54"/>
      <c r="BA7949" s="54"/>
    </row>
    <row r="7950" spans="43:53" x14ac:dyDescent="0.35">
      <c r="AQ7950" s="54"/>
      <c r="BA7950" s="54"/>
    </row>
    <row r="7951" spans="43:53" x14ac:dyDescent="0.35">
      <c r="AQ7951" s="54"/>
      <c r="BA7951" s="54"/>
    </row>
    <row r="7952" spans="43:53" x14ac:dyDescent="0.35">
      <c r="AQ7952" s="54"/>
      <c r="BA7952" s="54"/>
    </row>
    <row r="7953" spans="43:53" x14ac:dyDescent="0.35">
      <c r="AQ7953" s="54"/>
      <c r="BA7953" s="54"/>
    </row>
    <row r="7954" spans="43:53" x14ac:dyDescent="0.35">
      <c r="AQ7954" s="54"/>
      <c r="BA7954" s="54"/>
    </row>
    <row r="7955" spans="43:53" x14ac:dyDescent="0.35">
      <c r="AQ7955" s="54"/>
      <c r="BA7955" s="54"/>
    </row>
    <row r="7956" spans="43:53" x14ac:dyDescent="0.35">
      <c r="AQ7956" s="54"/>
      <c r="BA7956" s="54"/>
    </row>
    <row r="7957" spans="43:53" x14ac:dyDescent="0.35">
      <c r="AQ7957" s="54"/>
      <c r="BA7957" s="54"/>
    </row>
    <row r="7958" spans="43:53" x14ac:dyDescent="0.35">
      <c r="AQ7958" s="54"/>
      <c r="BA7958" s="54"/>
    </row>
    <row r="7959" spans="43:53" x14ac:dyDescent="0.35">
      <c r="AQ7959" s="54"/>
      <c r="BA7959" s="54"/>
    </row>
    <row r="7960" spans="43:53" x14ac:dyDescent="0.35">
      <c r="AQ7960" s="54"/>
      <c r="BA7960" s="54"/>
    </row>
    <row r="7961" spans="43:53" x14ac:dyDescent="0.35">
      <c r="AQ7961" s="54"/>
      <c r="BA7961" s="54"/>
    </row>
    <row r="7962" spans="43:53" x14ac:dyDescent="0.35">
      <c r="AQ7962" s="54"/>
      <c r="BA7962" s="54"/>
    </row>
    <row r="7963" spans="43:53" x14ac:dyDescent="0.35">
      <c r="AQ7963" s="54"/>
      <c r="BA7963" s="54"/>
    </row>
    <row r="7964" spans="43:53" x14ac:dyDescent="0.35">
      <c r="AQ7964" s="54"/>
      <c r="BA7964" s="54"/>
    </row>
    <row r="7965" spans="43:53" x14ac:dyDescent="0.35">
      <c r="AQ7965" s="54"/>
      <c r="BA7965" s="54"/>
    </row>
    <row r="7966" spans="43:53" x14ac:dyDescent="0.35">
      <c r="AQ7966" s="54"/>
      <c r="BA7966" s="54"/>
    </row>
    <row r="7967" spans="43:53" x14ac:dyDescent="0.35">
      <c r="AQ7967" s="54"/>
      <c r="BA7967" s="54"/>
    </row>
    <row r="7968" spans="43:53" x14ac:dyDescent="0.35">
      <c r="AQ7968" s="54"/>
      <c r="BA7968" s="54"/>
    </row>
    <row r="7969" spans="43:53" x14ac:dyDescent="0.35">
      <c r="AQ7969" s="54"/>
      <c r="BA7969" s="54"/>
    </row>
    <row r="7970" spans="43:53" x14ac:dyDescent="0.35">
      <c r="AQ7970" s="54"/>
      <c r="BA7970" s="54"/>
    </row>
    <row r="7971" spans="43:53" x14ac:dyDescent="0.35">
      <c r="AQ7971" s="54"/>
      <c r="BA7971" s="54"/>
    </row>
    <row r="7972" spans="43:53" x14ac:dyDescent="0.35">
      <c r="AQ7972" s="54"/>
      <c r="BA7972" s="54"/>
    </row>
    <row r="7973" spans="43:53" x14ac:dyDescent="0.35">
      <c r="AQ7973" s="54"/>
      <c r="BA7973" s="54"/>
    </row>
    <row r="7974" spans="43:53" x14ac:dyDescent="0.35">
      <c r="AQ7974" s="54"/>
      <c r="BA7974" s="54"/>
    </row>
    <row r="7975" spans="43:53" x14ac:dyDescent="0.35">
      <c r="AQ7975" s="54"/>
      <c r="BA7975" s="54"/>
    </row>
    <row r="7976" spans="43:53" x14ac:dyDescent="0.35">
      <c r="AQ7976" s="54"/>
      <c r="BA7976" s="54"/>
    </row>
    <row r="7977" spans="43:53" x14ac:dyDescent="0.35">
      <c r="AQ7977" s="54"/>
      <c r="BA7977" s="54"/>
    </row>
    <row r="7978" spans="43:53" x14ac:dyDescent="0.35">
      <c r="AQ7978" s="54"/>
      <c r="BA7978" s="54"/>
    </row>
    <row r="7979" spans="43:53" x14ac:dyDescent="0.35">
      <c r="AQ7979" s="54"/>
      <c r="BA7979" s="54"/>
    </row>
    <row r="7980" spans="43:53" x14ac:dyDescent="0.35">
      <c r="AQ7980" s="54"/>
      <c r="BA7980" s="54"/>
    </row>
    <row r="7981" spans="43:53" x14ac:dyDescent="0.35">
      <c r="AQ7981" s="54"/>
      <c r="BA7981" s="54"/>
    </row>
    <row r="7982" spans="43:53" x14ac:dyDescent="0.35">
      <c r="AQ7982" s="54"/>
      <c r="BA7982" s="54"/>
    </row>
    <row r="7983" spans="43:53" x14ac:dyDescent="0.35">
      <c r="AQ7983" s="54"/>
      <c r="BA7983" s="54"/>
    </row>
    <row r="7984" spans="43:53" x14ac:dyDescent="0.35">
      <c r="AQ7984" s="54"/>
      <c r="BA7984" s="54"/>
    </row>
    <row r="7985" spans="43:53" x14ac:dyDescent="0.35">
      <c r="AQ7985" s="54"/>
      <c r="BA7985" s="54"/>
    </row>
    <row r="7986" spans="43:53" x14ac:dyDescent="0.35">
      <c r="AQ7986" s="54"/>
      <c r="BA7986" s="54"/>
    </row>
    <row r="7987" spans="43:53" x14ac:dyDescent="0.35">
      <c r="AQ7987" s="54"/>
      <c r="BA7987" s="54"/>
    </row>
    <row r="7988" spans="43:53" x14ac:dyDescent="0.35">
      <c r="AQ7988" s="54"/>
      <c r="BA7988" s="54"/>
    </row>
    <row r="7989" spans="43:53" x14ac:dyDescent="0.35">
      <c r="AQ7989" s="54"/>
      <c r="BA7989" s="54"/>
    </row>
    <row r="7990" spans="43:53" x14ac:dyDescent="0.35">
      <c r="AQ7990" s="54"/>
      <c r="BA7990" s="54"/>
    </row>
    <row r="7991" spans="43:53" x14ac:dyDescent="0.35">
      <c r="AQ7991" s="54"/>
      <c r="BA7991" s="54"/>
    </row>
    <row r="7992" spans="43:53" x14ac:dyDescent="0.35">
      <c r="AQ7992" s="54"/>
      <c r="BA7992" s="54"/>
    </row>
    <row r="7993" spans="43:53" x14ac:dyDescent="0.35">
      <c r="AQ7993" s="54"/>
      <c r="BA7993" s="54"/>
    </row>
    <row r="7994" spans="43:53" x14ac:dyDescent="0.35">
      <c r="AQ7994" s="54"/>
      <c r="BA7994" s="54"/>
    </row>
    <row r="7995" spans="43:53" x14ac:dyDescent="0.35">
      <c r="AQ7995" s="54"/>
      <c r="BA7995" s="54"/>
    </row>
    <row r="7996" spans="43:53" x14ac:dyDescent="0.35">
      <c r="AQ7996" s="54"/>
      <c r="BA7996" s="54"/>
    </row>
    <row r="7997" spans="43:53" x14ac:dyDescent="0.35">
      <c r="AQ7997" s="54"/>
      <c r="BA7997" s="54"/>
    </row>
    <row r="7998" spans="43:53" x14ac:dyDescent="0.35">
      <c r="AQ7998" s="54"/>
      <c r="BA7998" s="54"/>
    </row>
    <row r="7999" spans="43:53" x14ac:dyDescent="0.35">
      <c r="AQ7999" s="54"/>
      <c r="BA7999" s="54"/>
    </row>
    <row r="8000" spans="43:53" x14ac:dyDescent="0.35">
      <c r="AQ8000" s="54"/>
      <c r="BA8000" s="54"/>
    </row>
    <row r="8001" spans="43:53" x14ac:dyDescent="0.35">
      <c r="AQ8001" s="54"/>
      <c r="BA8001" s="54"/>
    </row>
    <row r="8002" spans="43:53" x14ac:dyDescent="0.35">
      <c r="AQ8002" s="54"/>
      <c r="BA8002" s="54"/>
    </row>
    <row r="8003" spans="43:53" x14ac:dyDescent="0.35">
      <c r="AQ8003" s="54"/>
      <c r="BA8003" s="54"/>
    </row>
    <row r="8004" spans="43:53" x14ac:dyDescent="0.35">
      <c r="AQ8004" s="54"/>
      <c r="BA8004" s="54"/>
    </row>
    <row r="8005" spans="43:53" x14ac:dyDescent="0.35">
      <c r="AQ8005" s="54"/>
      <c r="BA8005" s="54"/>
    </row>
    <row r="8006" spans="43:53" x14ac:dyDescent="0.35">
      <c r="AQ8006" s="54"/>
      <c r="BA8006" s="54"/>
    </row>
    <row r="8007" spans="43:53" x14ac:dyDescent="0.35">
      <c r="AQ8007" s="54"/>
      <c r="BA8007" s="54"/>
    </row>
    <row r="8008" spans="43:53" x14ac:dyDescent="0.35">
      <c r="AQ8008" s="54"/>
      <c r="BA8008" s="54"/>
    </row>
    <row r="8009" spans="43:53" x14ac:dyDescent="0.35">
      <c r="AQ8009" s="54"/>
      <c r="BA8009" s="54"/>
    </row>
    <row r="8010" spans="43:53" x14ac:dyDescent="0.35">
      <c r="AQ8010" s="54"/>
      <c r="BA8010" s="54"/>
    </row>
    <row r="8011" spans="43:53" x14ac:dyDescent="0.35">
      <c r="AQ8011" s="54"/>
      <c r="BA8011" s="54"/>
    </row>
    <row r="8012" spans="43:53" x14ac:dyDescent="0.35">
      <c r="AQ8012" s="54"/>
      <c r="BA8012" s="54"/>
    </row>
    <row r="8013" spans="43:53" x14ac:dyDescent="0.35">
      <c r="AQ8013" s="54"/>
      <c r="BA8013" s="54"/>
    </row>
    <row r="8014" spans="43:53" x14ac:dyDescent="0.35">
      <c r="AQ8014" s="54"/>
      <c r="BA8014" s="54"/>
    </row>
    <row r="8015" spans="43:53" x14ac:dyDescent="0.35">
      <c r="AQ8015" s="54"/>
      <c r="BA8015" s="54"/>
    </row>
    <row r="8016" spans="43:53" x14ac:dyDescent="0.35">
      <c r="AQ8016" s="54"/>
      <c r="BA8016" s="54"/>
    </row>
    <row r="8017" spans="43:53" x14ac:dyDescent="0.35">
      <c r="AQ8017" s="54"/>
      <c r="BA8017" s="54"/>
    </row>
    <row r="8018" spans="43:53" x14ac:dyDescent="0.35">
      <c r="AQ8018" s="54"/>
      <c r="BA8018" s="54"/>
    </row>
    <row r="8019" spans="43:53" x14ac:dyDescent="0.35">
      <c r="AQ8019" s="54"/>
      <c r="BA8019" s="54"/>
    </row>
    <row r="8020" spans="43:53" x14ac:dyDescent="0.35">
      <c r="AQ8020" s="54"/>
      <c r="BA8020" s="54"/>
    </row>
    <row r="8021" spans="43:53" x14ac:dyDescent="0.35">
      <c r="AQ8021" s="54"/>
      <c r="BA8021" s="54"/>
    </row>
    <row r="8022" spans="43:53" x14ac:dyDescent="0.35">
      <c r="AQ8022" s="54"/>
      <c r="BA8022" s="54"/>
    </row>
    <row r="8023" spans="43:53" x14ac:dyDescent="0.35">
      <c r="AQ8023" s="54"/>
      <c r="BA8023" s="54"/>
    </row>
    <row r="8024" spans="43:53" x14ac:dyDescent="0.35">
      <c r="AQ8024" s="54"/>
      <c r="BA8024" s="54"/>
    </row>
    <row r="8025" spans="43:53" x14ac:dyDescent="0.35">
      <c r="AQ8025" s="54"/>
      <c r="BA8025" s="54"/>
    </row>
    <row r="8026" spans="43:53" x14ac:dyDescent="0.35">
      <c r="AQ8026" s="54"/>
      <c r="BA8026" s="54"/>
    </row>
    <row r="8027" spans="43:53" x14ac:dyDescent="0.35">
      <c r="AQ8027" s="54"/>
      <c r="BA8027" s="54"/>
    </row>
    <row r="8028" spans="43:53" x14ac:dyDescent="0.35">
      <c r="AQ8028" s="54"/>
      <c r="BA8028" s="54"/>
    </row>
    <row r="8029" spans="43:53" x14ac:dyDescent="0.35">
      <c r="AQ8029" s="54"/>
      <c r="BA8029" s="54"/>
    </row>
    <row r="8030" spans="43:53" x14ac:dyDescent="0.35">
      <c r="AQ8030" s="54"/>
      <c r="BA8030" s="54"/>
    </row>
    <row r="8031" spans="43:53" x14ac:dyDescent="0.35">
      <c r="AQ8031" s="54"/>
      <c r="BA8031" s="54"/>
    </row>
    <row r="8032" spans="43:53" x14ac:dyDescent="0.35">
      <c r="AQ8032" s="54"/>
      <c r="BA8032" s="54"/>
    </row>
    <row r="8033" spans="43:53" x14ac:dyDescent="0.35">
      <c r="AQ8033" s="54"/>
      <c r="BA8033" s="54"/>
    </row>
    <row r="8034" spans="43:53" x14ac:dyDescent="0.35">
      <c r="AQ8034" s="54"/>
      <c r="BA8034" s="54"/>
    </row>
    <row r="8035" spans="43:53" x14ac:dyDescent="0.35">
      <c r="AQ8035" s="54"/>
      <c r="BA8035" s="54"/>
    </row>
    <row r="8036" spans="43:53" x14ac:dyDescent="0.35">
      <c r="AQ8036" s="54"/>
      <c r="BA8036" s="54"/>
    </row>
    <row r="8037" spans="43:53" x14ac:dyDescent="0.35">
      <c r="AQ8037" s="54"/>
      <c r="BA8037" s="54"/>
    </row>
    <row r="8038" spans="43:53" x14ac:dyDescent="0.35">
      <c r="AQ8038" s="54"/>
      <c r="BA8038" s="54"/>
    </row>
    <row r="8039" spans="43:53" x14ac:dyDescent="0.35">
      <c r="AQ8039" s="54"/>
      <c r="BA8039" s="54"/>
    </row>
    <row r="8040" spans="43:53" x14ac:dyDescent="0.35">
      <c r="AQ8040" s="54"/>
      <c r="BA8040" s="54"/>
    </row>
    <row r="8041" spans="43:53" x14ac:dyDescent="0.35">
      <c r="AQ8041" s="54"/>
      <c r="BA8041" s="54"/>
    </row>
    <row r="8042" spans="43:53" x14ac:dyDescent="0.35">
      <c r="AQ8042" s="54"/>
      <c r="BA8042" s="54"/>
    </row>
    <row r="8043" spans="43:53" x14ac:dyDescent="0.35">
      <c r="AQ8043" s="54"/>
      <c r="BA8043" s="54"/>
    </row>
    <row r="8044" spans="43:53" x14ac:dyDescent="0.35">
      <c r="AQ8044" s="54"/>
      <c r="BA8044" s="54"/>
    </row>
    <row r="8045" spans="43:53" x14ac:dyDescent="0.35">
      <c r="AQ8045" s="54"/>
      <c r="BA8045" s="54"/>
    </row>
    <row r="8046" spans="43:53" x14ac:dyDescent="0.35">
      <c r="AQ8046" s="54"/>
      <c r="BA8046" s="54"/>
    </row>
    <row r="8047" spans="43:53" x14ac:dyDescent="0.35">
      <c r="AQ8047" s="54"/>
      <c r="BA8047" s="54"/>
    </row>
    <row r="8048" spans="43:53" x14ac:dyDescent="0.35">
      <c r="AQ8048" s="54"/>
      <c r="BA8048" s="54"/>
    </row>
    <row r="8049" spans="43:53" x14ac:dyDescent="0.35">
      <c r="AQ8049" s="54"/>
      <c r="BA8049" s="54"/>
    </row>
    <row r="8050" spans="43:53" x14ac:dyDescent="0.35">
      <c r="AQ8050" s="54"/>
      <c r="BA8050" s="54"/>
    </row>
    <row r="8051" spans="43:53" x14ac:dyDescent="0.35">
      <c r="AQ8051" s="54"/>
      <c r="BA8051" s="54"/>
    </row>
    <row r="8052" spans="43:53" x14ac:dyDescent="0.35">
      <c r="AQ8052" s="54"/>
      <c r="BA8052" s="54"/>
    </row>
    <row r="8053" spans="43:53" x14ac:dyDescent="0.35">
      <c r="AQ8053" s="54"/>
      <c r="BA8053" s="54"/>
    </row>
    <row r="8054" spans="43:53" x14ac:dyDescent="0.35">
      <c r="AQ8054" s="54"/>
      <c r="BA8054" s="54"/>
    </row>
    <row r="8055" spans="43:53" x14ac:dyDescent="0.35">
      <c r="AQ8055" s="54"/>
      <c r="BA8055" s="54"/>
    </row>
    <row r="8056" spans="43:53" x14ac:dyDescent="0.35">
      <c r="AQ8056" s="54"/>
      <c r="BA8056" s="54"/>
    </row>
    <row r="8057" spans="43:53" x14ac:dyDescent="0.35">
      <c r="AQ8057" s="54"/>
      <c r="BA8057" s="54"/>
    </row>
    <row r="8058" spans="43:53" x14ac:dyDescent="0.35">
      <c r="AQ8058" s="54"/>
      <c r="BA8058" s="54"/>
    </row>
    <row r="8059" spans="43:53" x14ac:dyDescent="0.35">
      <c r="AQ8059" s="54"/>
      <c r="BA8059" s="54"/>
    </row>
    <row r="8060" spans="43:53" x14ac:dyDescent="0.35">
      <c r="AQ8060" s="54"/>
      <c r="BA8060" s="54"/>
    </row>
    <row r="8061" spans="43:53" x14ac:dyDescent="0.35">
      <c r="AQ8061" s="54"/>
      <c r="BA8061" s="54"/>
    </row>
    <row r="8062" spans="43:53" x14ac:dyDescent="0.35">
      <c r="AQ8062" s="54"/>
      <c r="BA8062" s="54"/>
    </row>
    <row r="8063" spans="43:53" x14ac:dyDescent="0.35">
      <c r="AQ8063" s="54"/>
      <c r="BA8063" s="54"/>
    </row>
    <row r="8064" spans="43:53" x14ac:dyDescent="0.35">
      <c r="AQ8064" s="54"/>
      <c r="BA8064" s="54"/>
    </row>
    <row r="8065" spans="43:53" x14ac:dyDescent="0.35">
      <c r="AQ8065" s="54"/>
      <c r="BA8065" s="54"/>
    </row>
    <row r="8066" spans="43:53" x14ac:dyDescent="0.35">
      <c r="AQ8066" s="54"/>
      <c r="BA8066" s="54"/>
    </row>
    <row r="8067" spans="43:53" x14ac:dyDescent="0.35">
      <c r="AQ8067" s="54"/>
      <c r="BA8067" s="54"/>
    </row>
    <row r="8068" spans="43:53" x14ac:dyDescent="0.35">
      <c r="AQ8068" s="54"/>
      <c r="BA8068" s="54"/>
    </row>
    <row r="8069" spans="43:53" x14ac:dyDescent="0.35">
      <c r="AQ8069" s="54"/>
      <c r="BA8069" s="54"/>
    </row>
    <row r="8070" spans="43:53" x14ac:dyDescent="0.35">
      <c r="AQ8070" s="54"/>
      <c r="BA8070" s="54"/>
    </row>
    <row r="8071" spans="43:53" x14ac:dyDescent="0.35">
      <c r="AQ8071" s="54"/>
      <c r="BA8071" s="54"/>
    </row>
    <row r="8072" spans="43:53" x14ac:dyDescent="0.35">
      <c r="AQ8072" s="54"/>
      <c r="BA8072" s="54"/>
    </row>
    <row r="8073" spans="43:53" x14ac:dyDescent="0.35">
      <c r="AQ8073" s="54"/>
      <c r="BA8073" s="54"/>
    </row>
    <row r="8074" spans="43:53" x14ac:dyDescent="0.35">
      <c r="AQ8074" s="54"/>
      <c r="BA8074" s="54"/>
    </row>
    <row r="8075" spans="43:53" x14ac:dyDescent="0.35">
      <c r="AQ8075" s="54"/>
      <c r="BA8075" s="54"/>
    </row>
    <row r="8076" spans="43:53" x14ac:dyDescent="0.35">
      <c r="AQ8076" s="54"/>
      <c r="BA8076" s="54"/>
    </row>
    <row r="8077" spans="43:53" x14ac:dyDescent="0.35">
      <c r="AQ8077" s="54"/>
      <c r="BA8077" s="54"/>
    </row>
    <row r="8078" spans="43:53" x14ac:dyDescent="0.35">
      <c r="AQ8078" s="54"/>
      <c r="BA8078" s="54"/>
    </row>
    <row r="8079" spans="43:53" x14ac:dyDescent="0.35">
      <c r="AQ8079" s="54"/>
      <c r="BA8079" s="54"/>
    </row>
    <row r="8080" spans="43:53" x14ac:dyDescent="0.35">
      <c r="AQ8080" s="54"/>
      <c r="BA8080" s="54"/>
    </row>
    <row r="8081" spans="43:53" x14ac:dyDescent="0.35">
      <c r="AQ8081" s="54"/>
      <c r="BA8081" s="54"/>
    </row>
    <row r="8082" spans="43:53" x14ac:dyDescent="0.35">
      <c r="AQ8082" s="54"/>
      <c r="BA8082" s="54"/>
    </row>
    <row r="8083" spans="43:53" x14ac:dyDescent="0.35">
      <c r="AQ8083" s="54"/>
      <c r="BA8083" s="54"/>
    </row>
    <row r="8084" spans="43:53" x14ac:dyDescent="0.35">
      <c r="AQ8084" s="54"/>
      <c r="BA8084" s="54"/>
    </row>
    <row r="8085" spans="43:53" x14ac:dyDescent="0.35">
      <c r="AQ8085" s="54"/>
      <c r="BA8085" s="54"/>
    </row>
    <row r="8086" spans="43:53" x14ac:dyDescent="0.35">
      <c r="AQ8086" s="54"/>
      <c r="BA8086" s="54"/>
    </row>
    <row r="8087" spans="43:53" x14ac:dyDescent="0.35">
      <c r="AQ8087" s="54"/>
      <c r="BA8087" s="54"/>
    </row>
    <row r="8088" spans="43:53" x14ac:dyDescent="0.35">
      <c r="AQ8088" s="54"/>
      <c r="BA8088" s="54"/>
    </row>
    <row r="8089" spans="43:53" x14ac:dyDescent="0.35">
      <c r="AQ8089" s="54"/>
      <c r="BA8089" s="54"/>
    </row>
    <row r="8090" spans="43:53" x14ac:dyDescent="0.35">
      <c r="AQ8090" s="54"/>
      <c r="BA8090" s="54"/>
    </row>
    <row r="8091" spans="43:53" x14ac:dyDescent="0.35">
      <c r="AQ8091" s="54"/>
      <c r="BA8091" s="54"/>
    </row>
    <row r="8092" spans="43:53" x14ac:dyDescent="0.35">
      <c r="AQ8092" s="54"/>
      <c r="BA8092" s="54"/>
    </row>
    <row r="8093" spans="43:53" x14ac:dyDescent="0.35">
      <c r="AQ8093" s="54"/>
      <c r="BA8093" s="54"/>
    </row>
    <row r="8094" spans="43:53" x14ac:dyDescent="0.35">
      <c r="AQ8094" s="54"/>
      <c r="BA8094" s="54"/>
    </row>
    <row r="8095" spans="43:53" x14ac:dyDescent="0.35">
      <c r="AQ8095" s="54"/>
      <c r="BA8095" s="54"/>
    </row>
    <row r="8096" spans="43:53" x14ac:dyDescent="0.35">
      <c r="AQ8096" s="54"/>
      <c r="BA8096" s="54"/>
    </row>
    <row r="8097" spans="43:53" x14ac:dyDescent="0.35">
      <c r="AQ8097" s="54"/>
      <c r="BA8097" s="54"/>
    </row>
    <row r="8098" spans="43:53" x14ac:dyDescent="0.35">
      <c r="AQ8098" s="54"/>
      <c r="BA8098" s="54"/>
    </row>
    <row r="8099" spans="43:53" x14ac:dyDescent="0.35">
      <c r="AQ8099" s="54"/>
      <c r="BA8099" s="54"/>
    </row>
    <row r="8100" spans="43:53" x14ac:dyDescent="0.35">
      <c r="AQ8100" s="54"/>
      <c r="BA8100" s="54"/>
    </row>
    <row r="8101" spans="43:53" x14ac:dyDescent="0.35">
      <c r="AQ8101" s="54"/>
      <c r="BA8101" s="54"/>
    </row>
    <row r="8102" spans="43:53" x14ac:dyDescent="0.35">
      <c r="AQ8102" s="54"/>
      <c r="BA8102" s="54"/>
    </row>
    <row r="8103" spans="43:53" x14ac:dyDescent="0.35">
      <c r="AQ8103" s="54"/>
      <c r="BA8103" s="54"/>
    </row>
    <row r="8104" spans="43:53" x14ac:dyDescent="0.35">
      <c r="AQ8104" s="54"/>
      <c r="BA8104" s="54"/>
    </row>
    <row r="8105" spans="43:53" x14ac:dyDescent="0.35">
      <c r="AQ8105" s="54"/>
      <c r="BA8105" s="54"/>
    </row>
    <row r="8106" spans="43:53" x14ac:dyDescent="0.35">
      <c r="AQ8106" s="54"/>
      <c r="BA8106" s="54"/>
    </row>
    <row r="8107" spans="43:53" x14ac:dyDescent="0.35">
      <c r="AQ8107" s="54"/>
      <c r="BA8107" s="54"/>
    </row>
    <row r="8108" spans="43:53" x14ac:dyDescent="0.35">
      <c r="AQ8108" s="54"/>
      <c r="BA8108" s="54"/>
    </row>
    <row r="8109" spans="43:53" x14ac:dyDescent="0.35">
      <c r="AQ8109" s="54"/>
      <c r="BA8109" s="54"/>
    </row>
    <row r="8110" spans="43:53" x14ac:dyDescent="0.35">
      <c r="AQ8110" s="54"/>
      <c r="BA8110" s="54"/>
    </row>
    <row r="8111" spans="43:53" x14ac:dyDescent="0.35">
      <c r="AQ8111" s="54"/>
      <c r="BA8111" s="54"/>
    </row>
    <row r="8112" spans="43:53" x14ac:dyDescent="0.35">
      <c r="AQ8112" s="54"/>
      <c r="BA8112" s="54"/>
    </row>
    <row r="8113" spans="43:53" x14ac:dyDescent="0.35">
      <c r="AQ8113" s="54"/>
      <c r="BA8113" s="54"/>
    </row>
    <row r="8114" spans="43:53" x14ac:dyDescent="0.35">
      <c r="AQ8114" s="54"/>
      <c r="BA8114" s="54"/>
    </row>
    <row r="8115" spans="43:53" x14ac:dyDescent="0.35">
      <c r="AQ8115" s="54"/>
      <c r="BA8115" s="54"/>
    </row>
    <row r="8116" spans="43:53" x14ac:dyDescent="0.35">
      <c r="AQ8116" s="54"/>
      <c r="BA8116" s="54"/>
    </row>
    <row r="8117" spans="43:53" x14ac:dyDescent="0.35">
      <c r="AQ8117" s="54"/>
      <c r="BA8117" s="54"/>
    </row>
    <row r="8118" spans="43:53" x14ac:dyDescent="0.35">
      <c r="AQ8118" s="54"/>
      <c r="BA8118" s="54"/>
    </row>
    <row r="8119" spans="43:53" x14ac:dyDescent="0.35">
      <c r="AQ8119" s="54"/>
      <c r="BA8119" s="54"/>
    </row>
    <row r="8120" spans="43:53" x14ac:dyDescent="0.35">
      <c r="AQ8120" s="54"/>
      <c r="BA8120" s="54"/>
    </row>
    <row r="8121" spans="43:53" x14ac:dyDescent="0.35">
      <c r="AQ8121" s="54"/>
      <c r="BA8121" s="54"/>
    </row>
    <row r="8122" spans="43:53" x14ac:dyDescent="0.35">
      <c r="AQ8122" s="54"/>
      <c r="BA8122" s="54"/>
    </row>
    <row r="8123" spans="43:53" x14ac:dyDescent="0.35">
      <c r="AQ8123" s="54"/>
      <c r="BA8123" s="54"/>
    </row>
    <row r="8124" spans="43:53" x14ac:dyDescent="0.35">
      <c r="AQ8124" s="54"/>
      <c r="BA8124" s="54"/>
    </row>
    <row r="8125" spans="43:53" x14ac:dyDescent="0.35">
      <c r="AQ8125" s="54"/>
      <c r="BA8125" s="54"/>
    </row>
    <row r="8126" spans="43:53" x14ac:dyDescent="0.35">
      <c r="AQ8126" s="54"/>
      <c r="BA8126" s="54"/>
    </row>
    <row r="8127" spans="43:53" x14ac:dyDescent="0.35">
      <c r="AQ8127" s="54"/>
      <c r="BA8127" s="54"/>
    </row>
    <row r="8128" spans="43:53" x14ac:dyDescent="0.35">
      <c r="AQ8128" s="54"/>
      <c r="BA8128" s="54"/>
    </row>
    <row r="8129" spans="43:53" x14ac:dyDescent="0.35">
      <c r="AQ8129" s="54"/>
      <c r="BA8129" s="54"/>
    </row>
    <row r="8130" spans="43:53" x14ac:dyDescent="0.35">
      <c r="AQ8130" s="54"/>
      <c r="BA8130" s="54"/>
    </row>
    <row r="8131" spans="43:53" x14ac:dyDescent="0.35">
      <c r="AQ8131" s="54"/>
      <c r="BA8131" s="54"/>
    </row>
    <row r="8132" spans="43:53" x14ac:dyDescent="0.35">
      <c r="AQ8132" s="54"/>
      <c r="BA8132" s="54"/>
    </row>
    <row r="8133" spans="43:53" x14ac:dyDescent="0.35">
      <c r="AQ8133" s="54"/>
      <c r="BA8133" s="54"/>
    </row>
    <row r="8134" spans="43:53" x14ac:dyDescent="0.35">
      <c r="AQ8134" s="54"/>
      <c r="BA8134" s="54"/>
    </row>
    <row r="8135" spans="43:53" x14ac:dyDescent="0.35">
      <c r="AQ8135" s="54"/>
      <c r="BA8135" s="54"/>
    </row>
    <row r="8136" spans="43:53" x14ac:dyDescent="0.35">
      <c r="AQ8136" s="54"/>
      <c r="BA8136" s="54"/>
    </row>
    <row r="8137" spans="43:53" x14ac:dyDescent="0.35">
      <c r="AQ8137" s="54"/>
      <c r="BA8137" s="54"/>
    </row>
    <row r="8138" spans="43:53" x14ac:dyDescent="0.35">
      <c r="AQ8138" s="54"/>
      <c r="BA8138" s="54"/>
    </row>
    <row r="8139" spans="43:53" x14ac:dyDescent="0.35">
      <c r="AQ8139" s="54"/>
      <c r="BA8139" s="54"/>
    </row>
    <row r="8140" spans="43:53" x14ac:dyDescent="0.35">
      <c r="AQ8140" s="54"/>
      <c r="BA8140" s="54"/>
    </row>
    <row r="8141" spans="43:53" x14ac:dyDescent="0.35">
      <c r="AQ8141" s="54"/>
      <c r="BA8141" s="54"/>
    </row>
    <row r="8142" spans="43:53" x14ac:dyDescent="0.35">
      <c r="AQ8142" s="54"/>
      <c r="BA8142" s="54"/>
    </row>
    <row r="8143" spans="43:53" x14ac:dyDescent="0.35">
      <c r="AQ8143" s="54"/>
      <c r="BA8143" s="54"/>
    </row>
    <row r="8144" spans="43:53" x14ac:dyDescent="0.35">
      <c r="AQ8144" s="54"/>
      <c r="BA8144" s="54"/>
    </row>
    <row r="8145" spans="43:53" x14ac:dyDescent="0.35">
      <c r="AQ8145" s="54"/>
      <c r="BA8145" s="54"/>
    </row>
    <row r="8146" spans="43:53" x14ac:dyDescent="0.35">
      <c r="AQ8146" s="54"/>
      <c r="BA8146" s="54"/>
    </row>
    <row r="8147" spans="43:53" x14ac:dyDescent="0.35">
      <c r="AQ8147" s="54"/>
      <c r="BA8147" s="54"/>
    </row>
    <row r="8148" spans="43:53" x14ac:dyDescent="0.35">
      <c r="AQ8148" s="54"/>
      <c r="BA8148" s="54"/>
    </row>
    <row r="8149" spans="43:53" x14ac:dyDescent="0.35">
      <c r="AQ8149" s="54"/>
      <c r="BA8149" s="54"/>
    </row>
    <row r="8150" spans="43:53" x14ac:dyDescent="0.35">
      <c r="AQ8150" s="54"/>
      <c r="BA8150" s="54"/>
    </row>
    <row r="8151" spans="43:53" x14ac:dyDescent="0.35">
      <c r="AQ8151" s="54"/>
      <c r="BA8151" s="54"/>
    </row>
    <row r="8152" spans="43:53" x14ac:dyDescent="0.35">
      <c r="AQ8152" s="54"/>
      <c r="BA8152" s="54"/>
    </row>
    <row r="8153" spans="43:53" x14ac:dyDescent="0.35">
      <c r="AQ8153" s="54"/>
      <c r="BA8153" s="54"/>
    </row>
    <row r="8154" spans="43:53" x14ac:dyDescent="0.35">
      <c r="AQ8154" s="54"/>
      <c r="BA8154" s="54"/>
    </row>
    <row r="8155" spans="43:53" x14ac:dyDescent="0.35">
      <c r="AQ8155" s="54"/>
      <c r="BA8155" s="54"/>
    </row>
    <row r="8156" spans="43:53" x14ac:dyDescent="0.35">
      <c r="AQ8156" s="54"/>
      <c r="BA8156" s="54"/>
    </row>
    <row r="8157" spans="43:53" x14ac:dyDescent="0.35">
      <c r="AQ8157" s="54"/>
      <c r="BA8157" s="54"/>
    </row>
    <row r="8158" spans="43:53" x14ac:dyDescent="0.35">
      <c r="AQ8158" s="54"/>
      <c r="BA8158" s="54"/>
    </row>
    <row r="8159" spans="43:53" x14ac:dyDescent="0.35">
      <c r="AQ8159" s="54"/>
      <c r="BA8159" s="54"/>
    </row>
    <row r="8160" spans="43:53" x14ac:dyDescent="0.35">
      <c r="AQ8160" s="54"/>
      <c r="BA8160" s="54"/>
    </row>
    <row r="8161" spans="43:53" x14ac:dyDescent="0.35">
      <c r="AQ8161" s="54"/>
      <c r="BA8161" s="54"/>
    </row>
    <row r="8162" spans="43:53" x14ac:dyDescent="0.35">
      <c r="AQ8162" s="54"/>
      <c r="BA8162" s="54"/>
    </row>
    <row r="8163" spans="43:53" x14ac:dyDescent="0.35">
      <c r="AQ8163" s="54"/>
      <c r="BA8163" s="54"/>
    </row>
    <row r="8164" spans="43:53" x14ac:dyDescent="0.35">
      <c r="AQ8164" s="54"/>
      <c r="BA8164" s="54"/>
    </row>
    <row r="8165" spans="43:53" x14ac:dyDescent="0.35">
      <c r="AQ8165" s="54"/>
      <c r="BA8165" s="54"/>
    </row>
    <row r="8166" spans="43:53" x14ac:dyDescent="0.35">
      <c r="AQ8166" s="54"/>
      <c r="BA8166" s="54"/>
    </row>
    <row r="8167" spans="43:53" x14ac:dyDescent="0.35">
      <c r="AQ8167" s="54"/>
      <c r="BA8167" s="54"/>
    </row>
    <row r="8168" spans="43:53" x14ac:dyDescent="0.35">
      <c r="AQ8168" s="54"/>
      <c r="BA8168" s="54"/>
    </row>
    <row r="8169" spans="43:53" x14ac:dyDescent="0.35">
      <c r="AQ8169" s="54"/>
      <c r="BA8169" s="54"/>
    </row>
    <row r="8170" spans="43:53" x14ac:dyDescent="0.35">
      <c r="AQ8170" s="54"/>
      <c r="BA8170" s="54"/>
    </row>
    <row r="8171" spans="43:53" x14ac:dyDescent="0.35">
      <c r="AQ8171" s="54"/>
      <c r="BA8171" s="54"/>
    </row>
    <row r="8172" spans="43:53" x14ac:dyDescent="0.35">
      <c r="AQ8172" s="54"/>
      <c r="BA8172" s="54"/>
    </row>
    <row r="8173" spans="43:53" x14ac:dyDescent="0.35">
      <c r="AQ8173" s="54"/>
      <c r="BA8173" s="54"/>
    </row>
    <row r="8174" spans="43:53" x14ac:dyDescent="0.35">
      <c r="AQ8174" s="54"/>
      <c r="BA8174" s="54"/>
    </row>
    <row r="8175" spans="43:53" x14ac:dyDescent="0.35">
      <c r="AQ8175" s="54"/>
      <c r="BA8175" s="54"/>
    </row>
    <row r="8176" spans="43:53" x14ac:dyDescent="0.35">
      <c r="AQ8176" s="54"/>
      <c r="BA8176" s="54"/>
    </row>
    <row r="8177" spans="43:53" x14ac:dyDescent="0.35">
      <c r="AQ8177" s="54"/>
      <c r="BA8177" s="54"/>
    </row>
    <row r="8178" spans="43:53" x14ac:dyDescent="0.35">
      <c r="AQ8178" s="54"/>
      <c r="BA8178" s="54"/>
    </row>
    <row r="8179" spans="43:53" x14ac:dyDescent="0.35">
      <c r="AQ8179" s="54"/>
      <c r="BA8179" s="54"/>
    </row>
    <row r="8180" spans="43:53" x14ac:dyDescent="0.35">
      <c r="AQ8180" s="54"/>
      <c r="BA8180" s="54"/>
    </row>
    <row r="8181" spans="43:53" x14ac:dyDescent="0.35">
      <c r="AQ8181" s="54"/>
      <c r="BA8181" s="54"/>
    </row>
    <row r="8182" spans="43:53" x14ac:dyDescent="0.35">
      <c r="AQ8182" s="54"/>
      <c r="BA8182" s="54"/>
    </row>
    <row r="8183" spans="43:53" x14ac:dyDescent="0.35">
      <c r="AQ8183" s="54"/>
      <c r="BA8183" s="54"/>
    </row>
    <row r="8184" spans="43:53" x14ac:dyDescent="0.35">
      <c r="AQ8184" s="54"/>
      <c r="BA8184" s="54"/>
    </row>
    <row r="8185" spans="43:53" x14ac:dyDescent="0.35">
      <c r="AQ8185" s="54"/>
      <c r="BA8185" s="54"/>
    </row>
    <row r="8186" spans="43:53" x14ac:dyDescent="0.35">
      <c r="AQ8186" s="54"/>
      <c r="BA8186" s="54"/>
    </row>
    <row r="8187" spans="43:53" x14ac:dyDescent="0.35">
      <c r="AQ8187" s="54"/>
      <c r="BA8187" s="54"/>
    </row>
    <row r="8188" spans="43:53" x14ac:dyDescent="0.35">
      <c r="AQ8188" s="54"/>
      <c r="BA8188" s="54"/>
    </row>
    <row r="8189" spans="43:53" x14ac:dyDescent="0.35">
      <c r="AQ8189" s="54"/>
      <c r="BA8189" s="54"/>
    </row>
    <row r="8190" spans="43:53" x14ac:dyDescent="0.35">
      <c r="AQ8190" s="54"/>
      <c r="BA8190" s="54"/>
    </row>
    <row r="8191" spans="43:53" x14ac:dyDescent="0.35">
      <c r="AQ8191" s="54"/>
      <c r="BA8191" s="54"/>
    </row>
    <row r="8192" spans="43:53" x14ac:dyDescent="0.35">
      <c r="AQ8192" s="54"/>
      <c r="BA8192" s="54"/>
    </row>
    <row r="8193" spans="43:53" x14ac:dyDescent="0.35">
      <c r="AQ8193" s="54"/>
      <c r="BA8193" s="54"/>
    </row>
    <row r="8194" spans="43:53" x14ac:dyDescent="0.35">
      <c r="AQ8194" s="54"/>
      <c r="BA8194" s="54"/>
    </row>
    <row r="8195" spans="43:53" x14ac:dyDescent="0.35">
      <c r="AQ8195" s="54"/>
      <c r="BA8195" s="54"/>
    </row>
    <row r="8196" spans="43:53" x14ac:dyDescent="0.35">
      <c r="AQ8196" s="54"/>
      <c r="BA8196" s="54"/>
    </row>
    <row r="8197" spans="43:53" x14ac:dyDescent="0.35">
      <c r="AQ8197" s="54"/>
      <c r="BA8197" s="54"/>
    </row>
    <row r="8198" spans="43:53" x14ac:dyDescent="0.35">
      <c r="AQ8198" s="54"/>
      <c r="BA8198" s="54"/>
    </row>
    <row r="8199" spans="43:53" x14ac:dyDescent="0.35">
      <c r="AQ8199" s="54"/>
      <c r="BA8199" s="54"/>
    </row>
    <row r="8200" spans="43:53" x14ac:dyDescent="0.35">
      <c r="AQ8200" s="54"/>
      <c r="BA8200" s="54"/>
    </row>
    <row r="8201" spans="43:53" x14ac:dyDescent="0.35">
      <c r="AQ8201" s="54"/>
      <c r="BA8201" s="54"/>
    </row>
    <row r="8202" spans="43:53" x14ac:dyDescent="0.35">
      <c r="AQ8202" s="54"/>
      <c r="BA8202" s="54"/>
    </row>
    <row r="8203" spans="43:53" x14ac:dyDescent="0.35">
      <c r="AQ8203" s="54"/>
      <c r="BA8203" s="54"/>
    </row>
    <row r="8204" spans="43:53" x14ac:dyDescent="0.35">
      <c r="AQ8204" s="54"/>
      <c r="BA8204" s="54"/>
    </row>
    <row r="8205" spans="43:53" x14ac:dyDescent="0.35">
      <c r="AQ8205" s="54"/>
      <c r="BA8205" s="54"/>
    </row>
    <row r="8206" spans="43:53" x14ac:dyDescent="0.35">
      <c r="AQ8206" s="54"/>
      <c r="BA8206" s="54"/>
    </row>
    <row r="8207" spans="43:53" x14ac:dyDescent="0.35">
      <c r="AQ8207" s="54"/>
      <c r="BA8207" s="54"/>
    </row>
    <row r="8208" spans="43:53" x14ac:dyDescent="0.35">
      <c r="AQ8208" s="54"/>
      <c r="BA8208" s="54"/>
    </row>
    <row r="8209" spans="43:53" x14ac:dyDescent="0.35">
      <c r="AQ8209" s="54"/>
      <c r="BA8209" s="54"/>
    </row>
    <row r="8210" spans="43:53" x14ac:dyDescent="0.35">
      <c r="AQ8210" s="54"/>
      <c r="BA8210" s="54"/>
    </row>
    <row r="8211" spans="43:53" x14ac:dyDescent="0.35">
      <c r="AQ8211" s="54"/>
      <c r="BA8211" s="54"/>
    </row>
    <row r="8212" spans="43:53" x14ac:dyDescent="0.35">
      <c r="AQ8212" s="54"/>
      <c r="BA8212" s="54"/>
    </row>
    <row r="8213" spans="43:53" x14ac:dyDescent="0.35">
      <c r="AQ8213" s="54"/>
      <c r="BA8213" s="54"/>
    </row>
    <row r="8214" spans="43:53" x14ac:dyDescent="0.35">
      <c r="AQ8214" s="54"/>
      <c r="BA8214" s="54"/>
    </row>
    <row r="8215" spans="43:53" x14ac:dyDescent="0.35">
      <c r="AQ8215" s="54"/>
      <c r="BA8215" s="54"/>
    </row>
    <row r="8216" spans="43:53" x14ac:dyDescent="0.35">
      <c r="AQ8216" s="54"/>
      <c r="BA8216" s="54"/>
    </row>
    <row r="8217" spans="43:53" x14ac:dyDescent="0.35">
      <c r="AQ8217" s="54"/>
      <c r="BA8217" s="54"/>
    </row>
    <row r="8218" spans="43:53" x14ac:dyDescent="0.35">
      <c r="AQ8218" s="54"/>
      <c r="BA8218" s="54"/>
    </row>
    <row r="8219" spans="43:53" x14ac:dyDescent="0.35">
      <c r="AQ8219" s="54"/>
      <c r="BA8219" s="54"/>
    </row>
    <row r="8220" spans="43:53" x14ac:dyDescent="0.35">
      <c r="AQ8220" s="54"/>
      <c r="BA8220" s="54"/>
    </row>
    <row r="8221" spans="43:53" x14ac:dyDescent="0.35">
      <c r="AQ8221" s="54"/>
      <c r="BA8221" s="54"/>
    </row>
    <row r="8222" spans="43:53" x14ac:dyDescent="0.35">
      <c r="AQ8222" s="54"/>
      <c r="BA8222" s="54"/>
    </row>
    <row r="8223" spans="43:53" x14ac:dyDescent="0.35">
      <c r="AQ8223" s="54"/>
      <c r="BA8223" s="54"/>
    </row>
    <row r="8224" spans="43:53" x14ac:dyDescent="0.35">
      <c r="AQ8224" s="54"/>
      <c r="BA8224" s="54"/>
    </row>
    <row r="8225" spans="43:53" x14ac:dyDescent="0.35">
      <c r="AQ8225" s="54"/>
      <c r="BA8225" s="54"/>
    </row>
    <row r="8226" spans="43:53" x14ac:dyDescent="0.35">
      <c r="AQ8226" s="54"/>
      <c r="BA8226" s="54"/>
    </row>
    <row r="8227" spans="43:53" x14ac:dyDescent="0.35">
      <c r="AQ8227" s="54"/>
      <c r="BA8227" s="54"/>
    </row>
    <row r="8228" spans="43:53" x14ac:dyDescent="0.35">
      <c r="AQ8228" s="54"/>
      <c r="BA8228" s="54"/>
    </row>
    <row r="8229" spans="43:53" x14ac:dyDescent="0.35">
      <c r="AQ8229" s="54"/>
      <c r="BA8229" s="54"/>
    </row>
    <row r="8230" spans="43:53" x14ac:dyDescent="0.35">
      <c r="AQ8230" s="54"/>
      <c r="BA8230" s="54"/>
    </row>
    <row r="8231" spans="43:53" x14ac:dyDescent="0.35">
      <c r="AQ8231" s="54"/>
      <c r="BA8231" s="54"/>
    </row>
    <row r="8232" spans="43:53" x14ac:dyDescent="0.35">
      <c r="AQ8232" s="54"/>
      <c r="BA8232" s="54"/>
    </row>
    <row r="8233" spans="43:53" x14ac:dyDescent="0.35">
      <c r="AQ8233" s="54"/>
      <c r="BA8233" s="54"/>
    </row>
    <row r="8234" spans="43:53" x14ac:dyDescent="0.35">
      <c r="AQ8234" s="54"/>
      <c r="BA8234" s="54"/>
    </row>
    <row r="8235" spans="43:53" x14ac:dyDescent="0.35">
      <c r="AQ8235" s="54"/>
      <c r="BA8235" s="54"/>
    </row>
    <row r="8236" spans="43:53" x14ac:dyDescent="0.35">
      <c r="AQ8236" s="54"/>
      <c r="BA8236" s="54"/>
    </row>
    <row r="8237" spans="43:53" x14ac:dyDescent="0.35">
      <c r="AQ8237" s="54"/>
      <c r="BA8237" s="54"/>
    </row>
    <row r="8238" spans="43:53" x14ac:dyDescent="0.35">
      <c r="AQ8238" s="54"/>
      <c r="BA8238" s="54"/>
    </row>
    <row r="8239" spans="43:53" x14ac:dyDescent="0.35">
      <c r="AQ8239" s="54"/>
      <c r="BA8239" s="54"/>
    </row>
    <row r="8240" spans="43:53" x14ac:dyDescent="0.35">
      <c r="AQ8240" s="54"/>
      <c r="BA8240" s="54"/>
    </row>
    <row r="8241" spans="43:53" x14ac:dyDescent="0.35">
      <c r="AQ8241" s="54"/>
      <c r="BA8241" s="54"/>
    </row>
    <row r="8242" spans="43:53" x14ac:dyDescent="0.35">
      <c r="AQ8242" s="54"/>
      <c r="BA8242" s="54"/>
    </row>
    <row r="8243" spans="43:53" x14ac:dyDescent="0.35">
      <c r="AQ8243" s="54"/>
      <c r="BA8243" s="54"/>
    </row>
    <row r="8244" spans="43:53" x14ac:dyDescent="0.35">
      <c r="AQ8244" s="54"/>
      <c r="BA8244" s="54"/>
    </row>
    <row r="8245" spans="43:53" x14ac:dyDescent="0.35">
      <c r="AQ8245" s="54"/>
      <c r="BA8245" s="54"/>
    </row>
    <row r="8246" spans="43:53" x14ac:dyDescent="0.35">
      <c r="AQ8246" s="54"/>
      <c r="BA8246" s="54"/>
    </row>
    <row r="8247" spans="43:53" x14ac:dyDescent="0.35">
      <c r="AQ8247" s="54"/>
      <c r="BA8247" s="54"/>
    </row>
    <row r="8248" spans="43:53" x14ac:dyDescent="0.35">
      <c r="AQ8248" s="54"/>
      <c r="BA8248" s="54"/>
    </row>
    <row r="8249" spans="43:53" x14ac:dyDescent="0.35">
      <c r="AQ8249" s="54"/>
      <c r="BA8249" s="54"/>
    </row>
    <row r="8250" spans="43:53" x14ac:dyDescent="0.35">
      <c r="AQ8250" s="54"/>
      <c r="BA8250" s="54"/>
    </row>
    <row r="8251" spans="43:53" x14ac:dyDescent="0.35">
      <c r="AQ8251" s="54"/>
      <c r="BA8251" s="54"/>
    </row>
    <row r="8252" spans="43:53" x14ac:dyDescent="0.35">
      <c r="AQ8252" s="54"/>
      <c r="BA8252" s="54"/>
    </row>
    <row r="8253" spans="43:53" x14ac:dyDescent="0.35">
      <c r="AQ8253" s="54"/>
      <c r="BA8253" s="54"/>
    </row>
    <row r="8254" spans="43:53" x14ac:dyDescent="0.35">
      <c r="AQ8254" s="54"/>
      <c r="BA8254" s="54"/>
    </row>
    <row r="8255" spans="43:53" x14ac:dyDescent="0.35">
      <c r="AQ8255" s="54"/>
      <c r="BA8255" s="54"/>
    </row>
    <row r="8256" spans="43:53" x14ac:dyDescent="0.35">
      <c r="AQ8256" s="54"/>
      <c r="BA8256" s="54"/>
    </row>
    <row r="8257" spans="43:53" x14ac:dyDescent="0.35">
      <c r="AQ8257" s="54"/>
      <c r="BA8257" s="54"/>
    </row>
    <row r="8258" spans="43:53" x14ac:dyDescent="0.35">
      <c r="AQ8258" s="54"/>
      <c r="BA8258" s="54"/>
    </row>
    <row r="8259" spans="43:53" x14ac:dyDescent="0.35">
      <c r="AQ8259" s="54"/>
      <c r="BA8259" s="54"/>
    </row>
    <row r="8260" spans="43:53" x14ac:dyDescent="0.35">
      <c r="AQ8260" s="54"/>
      <c r="BA8260" s="54"/>
    </row>
    <row r="8261" spans="43:53" x14ac:dyDescent="0.35">
      <c r="AQ8261" s="54"/>
      <c r="BA8261" s="54"/>
    </row>
    <row r="8262" spans="43:53" x14ac:dyDescent="0.35">
      <c r="AQ8262" s="54"/>
      <c r="BA8262" s="54"/>
    </row>
    <row r="8263" spans="43:53" x14ac:dyDescent="0.35">
      <c r="AQ8263" s="54"/>
      <c r="BA8263" s="54"/>
    </row>
    <row r="8264" spans="43:53" x14ac:dyDescent="0.35">
      <c r="AQ8264" s="54"/>
      <c r="BA8264" s="54"/>
    </row>
    <row r="8265" spans="43:53" x14ac:dyDescent="0.35">
      <c r="AQ8265" s="54"/>
      <c r="BA8265" s="54"/>
    </row>
    <row r="8266" spans="43:53" x14ac:dyDescent="0.35">
      <c r="AQ8266" s="54"/>
      <c r="BA8266" s="54"/>
    </row>
    <row r="8267" spans="43:53" x14ac:dyDescent="0.35">
      <c r="AQ8267" s="54"/>
      <c r="BA8267" s="54"/>
    </row>
    <row r="8268" spans="43:53" x14ac:dyDescent="0.35">
      <c r="AQ8268" s="54"/>
      <c r="BA8268" s="54"/>
    </row>
    <row r="8269" spans="43:53" x14ac:dyDescent="0.35">
      <c r="AQ8269" s="54"/>
      <c r="BA8269" s="54"/>
    </row>
    <row r="8270" spans="43:53" x14ac:dyDescent="0.35">
      <c r="AQ8270" s="54"/>
      <c r="BA8270" s="54"/>
    </row>
    <row r="8271" spans="43:53" x14ac:dyDescent="0.35">
      <c r="AQ8271" s="54"/>
      <c r="BA8271" s="54"/>
    </row>
    <row r="8272" spans="43:53" x14ac:dyDescent="0.35">
      <c r="AQ8272" s="54"/>
      <c r="BA8272" s="54"/>
    </row>
    <row r="8273" spans="43:53" x14ac:dyDescent="0.35">
      <c r="AQ8273" s="54"/>
      <c r="BA8273" s="54"/>
    </row>
    <row r="8274" spans="43:53" x14ac:dyDescent="0.35">
      <c r="AQ8274" s="54"/>
      <c r="BA8274" s="54"/>
    </row>
    <row r="8275" spans="43:53" x14ac:dyDescent="0.35">
      <c r="AQ8275" s="54"/>
      <c r="BA8275" s="54"/>
    </row>
    <row r="8276" spans="43:53" x14ac:dyDescent="0.35">
      <c r="AQ8276" s="54"/>
      <c r="BA8276" s="54"/>
    </row>
    <row r="8277" spans="43:53" x14ac:dyDescent="0.35">
      <c r="AQ8277" s="54"/>
      <c r="BA8277" s="54"/>
    </row>
    <row r="8278" spans="43:53" x14ac:dyDescent="0.35">
      <c r="AQ8278" s="54"/>
      <c r="BA8278" s="54"/>
    </row>
    <row r="8279" spans="43:53" x14ac:dyDescent="0.35">
      <c r="AQ8279" s="54"/>
      <c r="BA8279" s="54"/>
    </row>
    <row r="8280" spans="43:53" x14ac:dyDescent="0.35">
      <c r="AQ8280" s="54"/>
      <c r="BA8280" s="54"/>
    </row>
    <row r="8281" spans="43:53" x14ac:dyDescent="0.35">
      <c r="AQ8281" s="54"/>
      <c r="BA8281" s="54"/>
    </row>
    <row r="8282" spans="43:53" x14ac:dyDescent="0.35">
      <c r="AQ8282" s="54"/>
      <c r="BA8282" s="54"/>
    </row>
    <row r="8283" spans="43:53" x14ac:dyDescent="0.35">
      <c r="AQ8283" s="54"/>
      <c r="BA8283" s="54"/>
    </row>
    <row r="8284" spans="43:53" x14ac:dyDescent="0.35">
      <c r="AQ8284" s="54"/>
      <c r="BA8284" s="54"/>
    </row>
    <row r="8285" spans="43:53" x14ac:dyDescent="0.35">
      <c r="AQ8285" s="54"/>
      <c r="BA8285" s="54"/>
    </row>
    <row r="8286" spans="43:53" x14ac:dyDescent="0.35">
      <c r="AQ8286" s="54"/>
      <c r="BA8286" s="54"/>
    </row>
    <row r="8287" spans="43:53" x14ac:dyDescent="0.35">
      <c r="AQ8287" s="54"/>
      <c r="BA8287" s="54"/>
    </row>
    <row r="8288" spans="43:53" x14ac:dyDescent="0.35">
      <c r="AQ8288" s="54"/>
      <c r="BA8288" s="54"/>
    </row>
    <row r="8289" spans="43:53" x14ac:dyDescent="0.35">
      <c r="AQ8289" s="54"/>
      <c r="BA8289" s="54"/>
    </row>
    <row r="8290" spans="43:53" x14ac:dyDescent="0.35">
      <c r="AQ8290" s="54"/>
      <c r="BA8290" s="54"/>
    </row>
    <row r="8291" spans="43:53" x14ac:dyDescent="0.35">
      <c r="AQ8291" s="54"/>
      <c r="BA8291" s="54"/>
    </row>
    <row r="8292" spans="43:53" x14ac:dyDescent="0.35">
      <c r="AQ8292" s="54"/>
      <c r="BA8292" s="54"/>
    </row>
    <row r="8293" spans="43:53" x14ac:dyDescent="0.35">
      <c r="AQ8293" s="54"/>
      <c r="BA8293" s="54"/>
    </row>
    <row r="8294" spans="43:53" x14ac:dyDescent="0.35">
      <c r="AQ8294" s="54"/>
      <c r="BA8294" s="54"/>
    </row>
    <row r="8295" spans="43:53" x14ac:dyDescent="0.35">
      <c r="AQ8295" s="54"/>
      <c r="BA8295" s="54"/>
    </row>
    <row r="8296" spans="43:53" x14ac:dyDescent="0.35">
      <c r="AQ8296" s="54"/>
      <c r="BA8296" s="54"/>
    </row>
    <row r="8297" spans="43:53" x14ac:dyDescent="0.35">
      <c r="AQ8297" s="54"/>
      <c r="BA8297" s="54"/>
    </row>
    <row r="8298" spans="43:53" x14ac:dyDescent="0.35">
      <c r="AQ8298" s="54"/>
      <c r="BA8298" s="54"/>
    </row>
    <row r="8299" spans="43:53" x14ac:dyDescent="0.35">
      <c r="AQ8299" s="54"/>
      <c r="BA8299" s="54"/>
    </row>
    <row r="8300" spans="43:53" x14ac:dyDescent="0.35">
      <c r="AQ8300" s="54"/>
      <c r="BA8300" s="54"/>
    </row>
    <row r="8301" spans="43:53" x14ac:dyDescent="0.35">
      <c r="AQ8301" s="54"/>
      <c r="BA8301" s="54"/>
    </row>
    <row r="8302" spans="43:53" x14ac:dyDescent="0.35">
      <c r="AQ8302" s="54"/>
      <c r="BA8302" s="54"/>
    </row>
    <row r="8303" spans="43:53" x14ac:dyDescent="0.35">
      <c r="AQ8303" s="54"/>
      <c r="BA8303" s="54"/>
    </row>
    <row r="8304" spans="43:53" x14ac:dyDescent="0.35">
      <c r="AQ8304" s="54"/>
      <c r="BA8304" s="54"/>
    </row>
    <row r="8305" spans="43:53" x14ac:dyDescent="0.35">
      <c r="AQ8305" s="54"/>
      <c r="BA8305" s="54"/>
    </row>
    <row r="8306" spans="43:53" x14ac:dyDescent="0.35">
      <c r="AQ8306" s="54"/>
      <c r="BA8306" s="54"/>
    </row>
    <row r="8307" spans="43:53" x14ac:dyDescent="0.35">
      <c r="AQ8307" s="54"/>
      <c r="BA8307" s="54"/>
    </row>
    <row r="8308" spans="43:53" x14ac:dyDescent="0.35">
      <c r="AQ8308" s="54"/>
      <c r="BA8308" s="54"/>
    </row>
    <row r="8309" spans="43:53" x14ac:dyDescent="0.35">
      <c r="AQ8309" s="54"/>
      <c r="BA8309" s="54"/>
    </row>
    <row r="8310" spans="43:53" x14ac:dyDescent="0.35">
      <c r="AQ8310" s="54"/>
      <c r="BA8310" s="54"/>
    </row>
    <row r="8311" spans="43:53" x14ac:dyDescent="0.35">
      <c r="AQ8311" s="54"/>
      <c r="BA8311" s="54"/>
    </row>
    <row r="8312" spans="43:53" x14ac:dyDescent="0.35">
      <c r="AQ8312" s="54"/>
      <c r="BA8312" s="54"/>
    </row>
    <row r="8313" spans="43:53" x14ac:dyDescent="0.35">
      <c r="AQ8313" s="54"/>
      <c r="BA8313" s="54"/>
    </row>
    <row r="8314" spans="43:53" x14ac:dyDescent="0.35">
      <c r="AQ8314" s="54"/>
      <c r="BA8314" s="54"/>
    </row>
    <row r="8315" spans="43:53" x14ac:dyDescent="0.35">
      <c r="AQ8315" s="54"/>
      <c r="BA8315" s="54"/>
    </row>
    <row r="8316" spans="43:53" x14ac:dyDescent="0.35">
      <c r="AQ8316" s="54"/>
      <c r="BA8316" s="54"/>
    </row>
    <row r="8317" spans="43:53" x14ac:dyDescent="0.35">
      <c r="AQ8317" s="54"/>
      <c r="BA8317" s="54"/>
    </row>
    <row r="8318" spans="43:53" x14ac:dyDescent="0.35">
      <c r="AQ8318" s="54"/>
      <c r="BA8318" s="54"/>
    </row>
    <row r="8319" spans="43:53" x14ac:dyDescent="0.35">
      <c r="AQ8319" s="54"/>
      <c r="BA8319" s="54"/>
    </row>
    <row r="8320" spans="43:53" x14ac:dyDescent="0.35">
      <c r="AQ8320" s="54"/>
      <c r="BA8320" s="54"/>
    </row>
    <row r="8321" spans="43:53" x14ac:dyDescent="0.35">
      <c r="AQ8321" s="54"/>
      <c r="BA8321" s="54"/>
    </row>
    <row r="8322" spans="43:53" x14ac:dyDescent="0.35">
      <c r="AQ8322" s="54"/>
      <c r="BA8322" s="54"/>
    </row>
    <row r="8323" spans="43:53" x14ac:dyDescent="0.35">
      <c r="AQ8323" s="54"/>
      <c r="BA8323" s="54"/>
    </row>
    <row r="8324" spans="43:53" x14ac:dyDescent="0.35">
      <c r="AQ8324" s="54"/>
      <c r="BA8324" s="54"/>
    </row>
    <row r="8325" spans="43:53" x14ac:dyDescent="0.35">
      <c r="AQ8325" s="54"/>
      <c r="BA8325" s="54"/>
    </row>
    <row r="8326" spans="43:53" x14ac:dyDescent="0.35">
      <c r="AQ8326" s="54"/>
      <c r="BA8326" s="54"/>
    </row>
    <row r="8327" spans="43:53" x14ac:dyDescent="0.35">
      <c r="AQ8327" s="54"/>
      <c r="BA8327" s="54"/>
    </row>
    <row r="8328" spans="43:53" x14ac:dyDescent="0.35">
      <c r="AQ8328" s="54"/>
      <c r="BA8328" s="54"/>
    </row>
    <row r="8329" spans="43:53" x14ac:dyDescent="0.35">
      <c r="AQ8329" s="54"/>
      <c r="BA8329" s="54"/>
    </row>
    <row r="8330" spans="43:53" x14ac:dyDescent="0.35">
      <c r="AQ8330" s="54"/>
      <c r="BA8330" s="54"/>
    </row>
    <row r="8331" spans="43:53" x14ac:dyDescent="0.35">
      <c r="AQ8331" s="54"/>
      <c r="BA8331" s="54"/>
    </row>
    <row r="8332" spans="43:53" x14ac:dyDescent="0.35">
      <c r="AQ8332" s="54"/>
      <c r="BA8332" s="54"/>
    </row>
    <row r="8333" spans="43:53" x14ac:dyDescent="0.35">
      <c r="AQ8333" s="54"/>
      <c r="BA8333" s="54"/>
    </row>
    <row r="8334" spans="43:53" x14ac:dyDescent="0.35">
      <c r="AQ8334" s="54"/>
      <c r="BA8334" s="54"/>
    </row>
    <row r="8335" spans="43:53" x14ac:dyDescent="0.35">
      <c r="AQ8335" s="54"/>
      <c r="BA8335" s="54"/>
    </row>
    <row r="8336" spans="43:53" x14ac:dyDescent="0.35">
      <c r="AQ8336" s="54"/>
      <c r="BA8336" s="54"/>
    </row>
    <row r="8337" spans="43:53" x14ac:dyDescent="0.35">
      <c r="AQ8337" s="54"/>
      <c r="BA8337" s="54"/>
    </row>
    <row r="8338" spans="43:53" x14ac:dyDescent="0.35">
      <c r="AQ8338" s="54"/>
      <c r="BA8338" s="54"/>
    </row>
    <row r="8339" spans="43:53" x14ac:dyDescent="0.35">
      <c r="AQ8339" s="54"/>
      <c r="BA8339" s="54"/>
    </row>
    <row r="8340" spans="43:53" x14ac:dyDescent="0.35">
      <c r="AQ8340" s="54"/>
      <c r="BA8340" s="54"/>
    </row>
    <row r="8341" spans="43:53" x14ac:dyDescent="0.35">
      <c r="AQ8341" s="54"/>
      <c r="BA8341" s="54"/>
    </row>
    <row r="8342" spans="43:53" x14ac:dyDescent="0.35">
      <c r="AQ8342" s="54"/>
      <c r="BA8342" s="54"/>
    </row>
    <row r="8343" spans="43:53" x14ac:dyDescent="0.35">
      <c r="AQ8343" s="54"/>
      <c r="BA8343" s="54"/>
    </row>
    <row r="8344" spans="43:53" x14ac:dyDescent="0.35">
      <c r="AQ8344" s="54"/>
      <c r="BA8344" s="54"/>
    </row>
    <row r="8345" spans="43:53" x14ac:dyDescent="0.35">
      <c r="AQ8345" s="54"/>
      <c r="BA8345" s="54"/>
    </row>
    <row r="8346" spans="43:53" x14ac:dyDescent="0.35">
      <c r="AQ8346" s="54"/>
      <c r="BA8346" s="54"/>
    </row>
    <row r="8347" spans="43:53" x14ac:dyDescent="0.35">
      <c r="AQ8347" s="54"/>
      <c r="BA8347" s="54"/>
    </row>
    <row r="8348" spans="43:53" x14ac:dyDescent="0.35">
      <c r="AQ8348" s="54"/>
      <c r="BA8348" s="54"/>
    </row>
    <row r="8349" spans="43:53" x14ac:dyDescent="0.35">
      <c r="AQ8349" s="54"/>
      <c r="BA8349" s="54"/>
    </row>
    <row r="8350" spans="43:53" x14ac:dyDescent="0.35">
      <c r="AQ8350" s="54"/>
      <c r="BA8350" s="54"/>
    </row>
    <row r="8351" spans="43:53" x14ac:dyDescent="0.35">
      <c r="AQ8351" s="54"/>
      <c r="BA8351" s="54"/>
    </row>
    <row r="8352" spans="43:53" x14ac:dyDescent="0.35">
      <c r="AQ8352" s="54"/>
      <c r="BA8352" s="54"/>
    </row>
    <row r="8353" spans="43:53" x14ac:dyDescent="0.35">
      <c r="AQ8353" s="54"/>
      <c r="BA8353" s="54"/>
    </row>
    <row r="8354" spans="43:53" x14ac:dyDescent="0.35">
      <c r="AQ8354" s="54"/>
      <c r="BA8354" s="54"/>
    </row>
    <row r="8355" spans="43:53" x14ac:dyDescent="0.35">
      <c r="AQ8355" s="54"/>
      <c r="BA8355" s="54"/>
    </row>
    <row r="8356" spans="43:53" x14ac:dyDescent="0.35">
      <c r="AQ8356" s="54"/>
      <c r="BA8356" s="54"/>
    </row>
    <row r="8357" spans="43:53" x14ac:dyDescent="0.35">
      <c r="AQ8357" s="54"/>
      <c r="BA8357" s="54"/>
    </row>
    <row r="8358" spans="43:53" x14ac:dyDescent="0.35">
      <c r="AQ8358" s="54"/>
      <c r="BA8358" s="54"/>
    </row>
    <row r="8359" spans="43:53" x14ac:dyDescent="0.35">
      <c r="AQ8359" s="54"/>
      <c r="BA8359" s="54"/>
    </row>
    <row r="8360" spans="43:53" x14ac:dyDescent="0.35">
      <c r="AQ8360" s="54"/>
      <c r="BA8360" s="54"/>
    </row>
    <row r="8361" spans="43:53" x14ac:dyDescent="0.35">
      <c r="AQ8361" s="54"/>
      <c r="BA8361" s="54"/>
    </row>
    <row r="8362" spans="43:53" x14ac:dyDescent="0.35">
      <c r="AQ8362" s="54"/>
      <c r="BA8362" s="54"/>
    </row>
    <row r="8363" spans="43:53" x14ac:dyDescent="0.35">
      <c r="AQ8363" s="54"/>
      <c r="BA8363" s="54"/>
    </row>
    <row r="8364" spans="43:53" x14ac:dyDescent="0.35">
      <c r="AQ8364" s="54"/>
      <c r="BA8364" s="54"/>
    </row>
    <row r="8365" spans="43:53" x14ac:dyDescent="0.35">
      <c r="AQ8365" s="54"/>
      <c r="BA8365" s="54"/>
    </row>
    <row r="8366" spans="43:53" x14ac:dyDescent="0.35">
      <c r="AQ8366" s="54"/>
      <c r="BA8366" s="54"/>
    </row>
    <row r="8367" spans="43:53" x14ac:dyDescent="0.35">
      <c r="AQ8367" s="54"/>
      <c r="BA8367" s="54"/>
    </row>
    <row r="8368" spans="43:53" x14ac:dyDescent="0.35">
      <c r="AQ8368" s="54"/>
      <c r="BA8368" s="54"/>
    </row>
    <row r="8369" spans="43:53" x14ac:dyDescent="0.35">
      <c r="AQ8369" s="54"/>
      <c r="BA8369" s="54"/>
    </row>
    <row r="8370" spans="43:53" x14ac:dyDescent="0.35">
      <c r="AQ8370" s="54"/>
      <c r="BA8370" s="54"/>
    </row>
    <row r="8371" spans="43:53" x14ac:dyDescent="0.35">
      <c r="AQ8371" s="54"/>
      <c r="BA8371" s="54"/>
    </row>
    <row r="8372" spans="43:53" x14ac:dyDescent="0.35">
      <c r="AQ8372" s="54"/>
      <c r="BA8372" s="54"/>
    </row>
    <row r="8373" spans="43:53" x14ac:dyDescent="0.35">
      <c r="AQ8373" s="54"/>
      <c r="BA8373" s="54"/>
    </row>
    <row r="8374" spans="43:53" x14ac:dyDescent="0.35">
      <c r="AQ8374" s="54"/>
      <c r="BA8374" s="54"/>
    </row>
    <row r="8375" spans="43:53" x14ac:dyDescent="0.35">
      <c r="AQ8375" s="54"/>
      <c r="BA8375" s="54"/>
    </row>
    <row r="8376" spans="43:53" x14ac:dyDescent="0.35">
      <c r="AQ8376" s="54"/>
      <c r="BA8376" s="54"/>
    </row>
    <row r="8377" spans="43:53" x14ac:dyDescent="0.35">
      <c r="AQ8377" s="54"/>
      <c r="BA8377" s="54"/>
    </row>
    <row r="8378" spans="43:53" x14ac:dyDescent="0.35">
      <c r="AQ8378" s="54"/>
      <c r="BA8378" s="54"/>
    </row>
    <row r="8379" spans="43:53" x14ac:dyDescent="0.35">
      <c r="AQ8379" s="54"/>
      <c r="BA8379" s="54"/>
    </row>
    <row r="8380" spans="43:53" x14ac:dyDescent="0.35">
      <c r="AQ8380" s="54"/>
      <c r="BA8380" s="54"/>
    </row>
    <row r="8381" spans="43:53" x14ac:dyDescent="0.35">
      <c r="AQ8381" s="54"/>
      <c r="BA8381" s="54"/>
    </row>
    <row r="8382" spans="43:53" x14ac:dyDescent="0.35">
      <c r="AQ8382" s="54"/>
      <c r="BA8382" s="54"/>
    </row>
    <row r="8383" spans="43:53" x14ac:dyDescent="0.35">
      <c r="AQ8383" s="54"/>
      <c r="BA8383" s="54"/>
    </row>
    <row r="8384" spans="43:53" x14ac:dyDescent="0.35">
      <c r="AQ8384" s="54"/>
      <c r="BA8384" s="54"/>
    </row>
    <row r="8385" spans="43:53" x14ac:dyDescent="0.35">
      <c r="AQ8385" s="54"/>
      <c r="BA8385" s="54"/>
    </row>
    <row r="8386" spans="43:53" x14ac:dyDescent="0.35">
      <c r="AQ8386" s="54"/>
      <c r="BA8386" s="54"/>
    </row>
    <row r="8387" spans="43:53" x14ac:dyDescent="0.35">
      <c r="AQ8387" s="54"/>
      <c r="BA8387" s="54"/>
    </row>
    <row r="8388" spans="43:53" x14ac:dyDescent="0.35">
      <c r="AQ8388" s="54"/>
      <c r="BA8388" s="54"/>
    </row>
    <row r="8389" spans="43:53" x14ac:dyDescent="0.35">
      <c r="AQ8389" s="54"/>
      <c r="BA8389" s="54"/>
    </row>
    <row r="8390" spans="43:53" x14ac:dyDescent="0.35">
      <c r="AQ8390" s="54"/>
      <c r="BA8390" s="54"/>
    </row>
    <row r="8391" spans="43:53" x14ac:dyDescent="0.35">
      <c r="AQ8391" s="54"/>
      <c r="BA8391" s="54"/>
    </row>
    <row r="8392" spans="43:53" x14ac:dyDescent="0.35">
      <c r="AQ8392" s="54"/>
      <c r="BA8392" s="54"/>
    </row>
    <row r="8393" spans="43:53" x14ac:dyDescent="0.35">
      <c r="AQ8393" s="54"/>
      <c r="BA8393" s="54"/>
    </row>
    <row r="8394" spans="43:53" x14ac:dyDescent="0.35">
      <c r="AQ8394" s="54"/>
      <c r="BA8394" s="54"/>
    </row>
    <row r="8395" spans="43:53" x14ac:dyDescent="0.35">
      <c r="AQ8395" s="54"/>
      <c r="BA8395" s="54"/>
    </row>
    <row r="8396" spans="43:53" x14ac:dyDescent="0.35">
      <c r="AQ8396" s="54"/>
      <c r="BA8396" s="54"/>
    </row>
    <row r="8397" spans="43:53" x14ac:dyDescent="0.35">
      <c r="AQ8397" s="54"/>
      <c r="BA8397" s="54"/>
    </row>
    <row r="8398" spans="43:53" x14ac:dyDescent="0.35">
      <c r="AQ8398" s="54"/>
      <c r="BA8398" s="54"/>
    </row>
    <row r="8399" spans="43:53" x14ac:dyDescent="0.35">
      <c r="AQ8399" s="54"/>
      <c r="BA8399" s="54"/>
    </row>
    <row r="8400" spans="43:53" x14ac:dyDescent="0.35">
      <c r="AQ8400" s="54"/>
      <c r="BA8400" s="54"/>
    </row>
    <row r="8401" spans="43:53" x14ac:dyDescent="0.35">
      <c r="AQ8401" s="54"/>
      <c r="BA8401" s="54"/>
    </row>
    <row r="8402" spans="43:53" x14ac:dyDescent="0.35">
      <c r="AQ8402" s="54"/>
      <c r="BA8402" s="54"/>
    </row>
    <row r="8403" spans="43:53" x14ac:dyDescent="0.35">
      <c r="AQ8403" s="54"/>
      <c r="BA8403" s="54"/>
    </row>
    <row r="8404" spans="43:53" x14ac:dyDescent="0.35">
      <c r="AQ8404" s="54"/>
      <c r="BA8404" s="54"/>
    </row>
    <row r="8405" spans="43:53" x14ac:dyDescent="0.35">
      <c r="AQ8405" s="54"/>
      <c r="BA8405" s="54"/>
    </row>
    <row r="8406" spans="43:53" x14ac:dyDescent="0.35">
      <c r="AQ8406" s="54"/>
      <c r="BA8406" s="54"/>
    </row>
    <row r="8407" spans="43:53" x14ac:dyDescent="0.35">
      <c r="AQ8407" s="54"/>
      <c r="BA8407" s="54"/>
    </row>
    <row r="8408" spans="43:53" x14ac:dyDescent="0.35">
      <c r="AQ8408" s="54"/>
      <c r="BA8408" s="54"/>
    </row>
    <row r="8409" spans="43:53" x14ac:dyDescent="0.35">
      <c r="AQ8409" s="54"/>
      <c r="BA8409" s="54"/>
    </row>
    <row r="8410" spans="43:53" x14ac:dyDescent="0.35">
      <c r="AQ8410" s="54"/>
      <c r="BA8410" s="54"/>
    </row>
    <row r="8411" spans="43:53" x14ac:dyDescent="0.35">
      <c r="AQ8411" s="54"/>
      <c r="BA8411" s="54"/>
    </row>
    <row r="8412" spans="43:53" x14ac:dyDescent="0.35">
      <c r="AQ8412" s="54"/>
      <c r="BA8412" s="54"/>
    </row>
    <row r="8413" spans="43:53" x14ac:dyDescent="0.35">
      <c r="AQ8413" s="54"/>
      <c r="BA8413" s="54"/>
    </row>
    <row r="8414" spans="43:53" x14ac:dyDescent="0.35">
      <c r="AQ8414" s="54"/>
      <c r="BA8414" s="54"/>
    </row>
    <row r="8415" spans="43:53" x14ac:dyDescent="0.35">
      <c r="AQ8415" s="54"/>
      <c r="BA8415" s="54"/>
    </row>
    <row r="8416" spans="43:53" x14ac:dyDescent="0.35">
      <c r="AQ8416" s="54"/>
      <c r="BA8416" s="54"/>
    </row>
    <row r="8417" spans="43:53" x14ac:dyDescent="0.35">
      <c r="AQ8417" s="54"/>
      <c r="BA8417" s="54"/>
    </row>
    <row r="8418" spans="43:53" x14ac:dyDescent="0.35">
      <c r="AQ8418" s="54"/>
      <c r="BA8418" s="54"/>
    </row>
    <row r="8419" spans="43:53" x14ac:dyDescent="0.35">
      <c r="AQ8419" s="54"/>
      <c r="BA8419" s="54"/>
    </row>
    <row r="8420" spans="43:53" x14ac:dyDescent="0.35">
      <c r="AQ8420" s="54"/>
      <c r="BA8420" s="54"/>
    </row>
    <row r="8421" spans="43:53" x14ac:dyDescent="0.35">
      <c r="AQ8421" s="54"/>
      <c r="BA8421" s="54"/>
    </row>
    <row r="8422" spans="43:53" x14ac:dyDescent="0.35">
      <c r="AQ8422" s="54"/>
      <c r="BA8422" s="54"/>
    </row>
    <row r="8423" spans="43:53" x14ac:dyDescent="0.35">
      <c r="AQ8423" s="54"/>
      <c r="BA8423" s="54"/>
    </row>
    <row r="8424" spans="43:53" x14ac:dyDescent="0.35">
      <c r="AQ8424" s="54"/>
      <c r="BA8424" s="54"/>
    </row>
    <row r="8425" spans="43:53" x14ac:dyDescent="0.35">
      <c r="AQ8425" s="54"/>
      <c r="BA8425" s="54"/>
    </row>
    <row r="8426" spans="43:53" x14ac:dyDescent="0.35">
      <c r="AQ8426" s="54"/>
      <c r="BA8426" s="54"/>
    </row>
    <row r="8427" spans="43:53" x14ac:dyDescent="0.35">
      <c r="AQ8427" s="54"/>
      <c r="BA8427" s="54"/>
    </row>
    <row r="8428" spans="43:53" x14ac:dyDescent="0.35">
      <c r="AQ8428" s="54"/>
      <c r="BA8428" s="54"/>
    </row>
    <row r="8429" spans="43:53" x14ac:dyDescent="0.35">
      <c r="AQ8429" s="54"/>
      <c r="BA8429" s="54"/>
    </row>
    <row r="8430" spans="43:53" x14ac:dyDescent="0.35">
      <c r="AQ8430" s="54"/>
      <c r="BA8430" s="54"/>
    </row>
    <row r="8431" spans="43:53" x14ac:dyDescent="0.35">
      <c r="AQ8431" s="54"/>
      <c r="BA8431" s="54"/>
    </row>
    <row r="8432" spans="43:53" x14ac:dyDescent="0.35">
      <c r="AQ8432" s="54"/>
      <c r="BA8432" s="54"/>
    </row>
    <row r="8433" spans="43:53" x14ac:dyDescent="0.35">
      <c r="AQ8433" s="54"/>
      <c r="BA8433" s="54"/>
    </row>
    <row r="8434" spans="43:53" x14ac:dyDescent="0.35">
      <c r="AQ8434" s="54"/>
      <c r="BA8434" s="54"/>
    </row>
    <row r="8435" spans="43:53" x14ac:dyDescent="0.35">
      <c r="AQ8435" s="54"/>
      <c r="BA8435" s="54"/>
    </row>
    <row r="8436" spans="43:53" x14ac:dyDescent="0.35">
      <c r="AQ8436" s="54"/>
      <c r="BA8436" s="54"/>
    </row>
    <row r="8437" spans="43:53" x14ac:dyDescent="0.35">
      <c r="AQ8437" s="54"/>
      <c r="BA8437" s="54"/>
    </row>
    <row r="8438" spans="43:53" x14ac:dyDescent="0.35">
      <c r="AQ8438" s="54"/>
      <c r="BA8438" s="54"/>
    </row>
    <row r="8439" spans="43:53" x14ac:dyDescent="0.35">
      <c r="AQ8439" s="54"/>
      <c r="BA8439" s="54"/>
    </row>
    <row r="8440" spans="43:53" x14ac:dyDescent="0.35">
      <c r="AQ8440" s="54"/>
      <c r="BA8440" s="54"/>
    </row>
    <row r="8441" spans="43:53" x14ac:dyDescent="0.35">
      <c r="AQ8441" s="54"/>
      <c r="BA8441" s="54"/>
    </row>
    <row r="8442" spans="43:53" x14ac:dyDescent="0.35">
      <c r="AQ8442" s="54"/>
      <c r="BA8442" s="54"/>
    </row>
    <row r="8443" spans="43:53" x14ac:dyDescent="0.35">
      <c r="AQ8443" s="54"/>
      <c r="BA8443" s="54"/>
    </row>
    <row r="8444" spans="43:53" x14ac:dyDescent="0.35">
      <c r="AQ8444" s="54"/>
      <c r="BA8444" s="54"/>
    </row>
    <row r="8445" spans="43:53" x14ac:dyDescent="0.35">
      <c r="AQ8445" s="54"/>
      <c r="BA8445" s="54"/>
    </row>
    <row r="8446" spans="43:53" x14ac:dyDescent="0.35">
      <c r="AQ8446" s="54"/>
      <c r="BA8446" s="54"/>
    </row>
    <row r="8447" spans="43:53" x14ac:dyDescent="0.35">
      <c r="AQ8447" s="54"/>
      <c r="BA8447" s="54"/>
    </row>
    <row r="8448" spans="43:53" x14ac:dyDescent="0.35">
      <c r="AQ8448" s="54"/>
      <c r="BA8448" s="54"/>
    </row>
    <row r="8449" spans="43:53" x14ac:dyDescent="0.35">
      <c r="AQ8449" s="54"/>
      <c r="BA8449" s="54"/>
    </row>
    <row r="8450" spans="43:53" x14ac:dyDescent="0.35">
      <c r="AQ8450" s="54"/>
      <c r="BA8450" s="54"/>
    </row>
    <row r="8451" spans="43:53" x14ac:dyDescent="0.35">
      <c r="AQ8451" s="54"/>
      <c r="BA8451" s="54"/>
    </row>
    <row r="8452" spans="43:53" x14ac:dyDescent="0.35">
      <c r="AQ8452" s="54"/>
      <c r="BA8452" s="54"/>
    </row>
    <row r="8453" spans="43:53" x14ac:dyDescent="0.35">
      <c r="AQ8453" s="54"/>
      <c r="BA8453" s="54"/>
    </row>
    <row r="8454" spans="43:53" x14ac:dyDescent="0.35">
      <c r="AQ8454" s="54"/>
      <c r="BA8454" s="54"/>
    </row>
    <row r="8455" spans="43:53" x14ac:dyDescent="0.35">
      <c r="AQ8455" s="54"/>
      <c r="BA8455" s="54"/>
    </row>
    <row r="8456" spans="43:53" x14ac:dyDescent="0.35">
      <c r="AQ8456" s="54"/>
      <c r="BA8456" s="54"/>
    </row>
    <row r="8457" spans="43:53" x14ac:dyDescent="0.35">
      <c r="AQ8457" s="54"/>
      <c r="BA8457" s="54"/>
    </row>
    <row r="8458" spans="43:53" x14ac:dyDescent="0.35">
      <c r="AQ8458" s="54"/>
      <c r="BA8458" s="54"/>
    </row>
    <row r="8459" spans="43:53" x14ac:dyDescent="0.35">
      <c r="AQ8459" s="54"/>
      <c r="BA8459" s="54"/>
    </row>
    <row r="8460" spans="43:53" x14ac:dyDescent="0.35">
      <c r="AQ8460" s="54"/>
      <c r="BA8460" s="54"/>
    </row>
    <row r="8461" spans="43:53" x14ac:dyDescent="0.35">
      <c r="AQ8461" s="54"/>
      <c r="BA8461" s="54"/>
    </row>
    <row r="8462" spans="43:53" x14ac:dyDescent="0.35">
      <c r="AQ8462" s="54"/>
      <c r="BA8462" s="54"/>
    </row>
    <row r="8463" spans="43:53" x14ac:dyDescent="0.35">
      <c r="AQ8463" s="54"/>
      <c r="BA8463" s="54"/>
    </row>
    <row r="8464" spans="43:53" x14ac:dyDescent="0.35">
      <c r="AQ8464" s="54"/>
      <c r="BA8464" s="54"/>
    </row>
    <row r="8465" spans="43:53" x14ac:dyDescent="0.35">
      <c r="AQ8465" s="54"/>
      <c r="BA8465" s="54"/>
    </row>
    <row r="8466" spans="43:53" x14ac:dyDescent="0.35">
      <c r="AQ8466" s="54"/>
      <c r="BA8466" s="54"/>
    </row>
    <row r="8467" spans="43:53" x14ac:dyDescent="0.35">
      <c r="AQ8467" s="54"/>
      <c r="BA8467" s="54"/>
    </row>
    <row r="8468" spans="43:53" x14ac:dyDescent="0.35">
      <c r="AQ8468" s="54"/>
      <c r="BA8468" s="54"/>
    </row>
    <row r="8469" spans="43:53" x14ac:dyDescent="0.35">
      <c r="AQ8469" s="54"/>
      <c r="BA8469" s="54"/>
    </row>
    <row r="8470" spans="43:53" x14ac:dyDescent="0.35">
      <c r="AQ8470" s="54"/>
      <c r="BA8470" s="54"/>
    </row>
    <row r="8471" spans="43:53" x14ac:dyDescent="0.35">
      <c r="AQ8471" s="54"/>
      <c r="BA8471" s="54"/>
    </row>
    <row r="8472" spans="43:53" x14ac:dyDescent="0.35">
      <c r="AQ8472" s="54"/>
      <c r="BA8472" s="54"/>
    </row>
    <row r="8473" spans="43:53" x14ac:dyDescent="0.35">
      <c r="AQ8473" s="54"/>
      <c r="BA8473" s="54"/>
    </row>
    <row r="8474" spans="43:53" x14ac:dyDescent="0.35">
      <c r="AQ8474" s="54"/>
      <c r="BA8474" s="54"/>
    </row>
    <row r="8475" spans="43:53" x14ac:dyDescent="0.35">
      <c r="AQ8475" s="54"/>
      <c r="BA8475" s="54"/>
    </row>
    <row r="8476" spans="43:53" x14ac:dyDescent="0.35">
      <c r="AQ8476" s="54"/>
      <c r="BA8476" s="54"/>
    </row>
    <row r="8477" spans="43:53" x14ac:dyDescent="0.35">
      <c r="AQ8477" s="54"/>
      <c r="BA8477" s="54"/>
    </row>
    <row r="8478" spans="43:53" x14ac:dyDescent="0.35">
      <c r="AQ8478" s="54"/>
      <c r="BA8478" s="54"/>
    </row>
    <row r="8479" spans="43:53" x14ac:dyDescent="0.35">
      <c r="AQ8479" s="54"/>
      <c r="BA8479" s="54"/>
    </row>
    <row r="8480" spans="43:53" x14ac:dyDescent="0.35">
      <c r="AQ8480" s="54"/>
      <c r="BA8480" s="54"/>
    </row>
    <row r="8481" spans="43:53" x14ac:dyDescent="0.35">
      <c r="AQ8481" s="54"/>
      <c r="BA8481" s="54"/>
    </row>
    <row r="8482" spans="43:53" x14ac:dyDescent="0.35">
      <c r="AQ8482" s="54"/>
      <c r="BA8482" s="54"/>
    </row>
    <row r="8483" spans="43:53" x14ac:dyDescent="0.35">
      <c r="AQ8483" s="54"/>
      <c r="BA8483" s="54"/>
    </row>
    <row r="8484" spans="43:53" x14ac:dyDescent="0.35">
      <c r="AQ8484" s="54"/>
      <c r="BA8484" s="54"/>
    </row>
    <row r="8485" spans="43:53" x14ac:dyDescent="0.35">
      <c r="AQ8485" s="54"/>
      <c r="BA8485" s="54"/>
    </row>
    <row r="8486" spans="43:53" x14ac:dyDescent="0.35">
      <c r="AQ8486" s="54"/>
      <c r="BA8486" s="54"/>
    </row>
    <row r="8487" spans="43:53" x14ac:dyDescent="0.35">
      <c r="AQ8487" s="54"/>
      <c r="BA8487" s="54"/>
    </row>
    <row r="8488" spans="43:53" x14ac:dyDescent="0.35">
      <c r="AQ8488" s="54"/>
      <c r="BA8488" s="54"/>
    </row>
    <row r="8489" spans="43:53" x14ac:dyDescent="0.35">
      <c r="AQ8489" s="54"/>
      <c r="BA8489" s="54"/>
    </row>
    <row r="8490" spans="43:53" x14ac:dyDescent="0.35">
      <c r="AQ8490" s="54"/>
      <c r="BA8490" s="54"/>
    </row>
    <row r="8491" spans="43:53" x14ac:dyDescent="0.35">
      <c r="AQ8491" s="54"/>
      <c r="BA8491" s="54"/>
    </row>
    <row r="8492" spans="43:53" x14ac:dyDescent="0.35">
      <c r="AQ8492" s="54"/>
      <c r="BA8492" s="54"/>
    </row>
    <row r="8493" spans="43:53" x14ac:dyDescent="0.35">
      <c r="AQ8493" s="54"/>
      <c r="BA8493" s="54"/>
    </row>
    <row r="8494" spans="43:53" x14ac:dyDescent="0.35">
      <c r="AQ8494" s="54"/>
      <c r="BA8494" s="54"/>
    </row>
    <row r="8495" spans="43:53" x14ac:dyDescent="0.35">
      <c r="AQ8495" s="54"/>
      <c r="BA8495" s="54"/>
    </row>
    <row r="8496" spans="43:53" x14ac:dyDescent="0.35">
      <c r="AQ8496" s="54"/>
      <c r="BA8496" s="54"/>
    </row>
    <row r="8497" spans="43:53" x14ac:dyDescent="0.35">
      <c r="AQ8497" s="54"/>
      <c r="BA8497" s="54"/>
    </row>
    <row r="8498" spans="43:53" x14ac:dyDescent="0.35">
      <c r="AQ8498" s="54"/>
      <c r="BA8498" s="54"/>
    </row>
    <row r="8499" spans="43:53" x14ac:dyDescent="0.35">
      <c r="AQ8499" s="54"/>
      <c r="BA8499" s="54"/>
    </row>
    <row r="8500" spans="43:53" x14ac:dyDescent="0.35">
      <c r="AQ8500" s="54"/>
      <c r="BA8500" s="54"/>
    </row>
    <row r="8501" spans="43:53" x14ac:dyDescent="0.35">
      <c r="AQ8501" s="54"/>
      <c r="BA8501" s="54"/>
    </row>
    <row r="8502" spans="43:53" x14ac:dyDescent="0.35">
      <c r="AQ8502" s="54"/>
      <c r="BA8502" s="54"/>
    </row>
    <row r="8503" spans="43:53" x14ac:dyDescent="0.35">
      <c r="AQ8503" s="54"/>
      <c r="BA8503" s="54"/>
    </row>
    <row r="8504" spans="43:53" x14ac:dyDescent="0.35">
      <c r="AQ8504" s="54"/>
      <c r="BA8504" s="54"/>
    </row>
    <row r="8505" spans="43:53" x14ac:dyDescent="0.35">
      <c r="AQ8505" s="54"/>
      <c r="BA8505" s="54"/>
    </row>
    <row r="8506" spans="43:53" x14ac:dyDescent="0.35">
      <c r="AQ8506" s="54"/>
      <c r="BA8506" s="54"/>
    </row>
    <row r="8507" spans="43:53" x14ac:dyDescent="0.35">
      <c r="AQ8507" s="54"/>
      <c r="BA8507" s="54"/>
    </row>
    <row r="8508" spans="43:53" x14ac:dyDescent="0.35">
      <c r="AQ8508" s="54"/>
      <c r="BA8508" s="54"/>
    </row>
    <row r="8509" spans="43:53" x14ac:dyDescent="0.35">
      <c r="AQ8509" s="54"/>
      <c r="BA8509" s="54"/>
    </row>
    <row r="8510" spans="43:53" x14ac:dyDescent="0.35">
      <c r="AQ8510" s="54"/>
      <c r="BA8510" s="54"/>
    </row>
    <row r="8511" spans="43:53" x14ac:dyDescent="0.35">
      <c r="AQ8511" s="54"/>
      <c r="BA8511" s="54"/>
    </row>
    <row r="8512" spans="43:53" x14ac:dyDescent="0.35">
      <c r="AQ8512" s="54"/>
      <c r="BA8512" s="54"/>
    </row>
    <row r="8513" spans="43:53" x14ac:dyDescent="0.35">
      <c r="AQ8513" s="54"/>
      <c r="BA8513" s="54"/>
    </row>
    <row r="8514" spans="43:53" x14ac:dyDescent="0.35">
      <c r="AQ8514" s="54"/>
      <c r="BA8514" s="54"/>
    </row>
    <row r="8515" spans="43:53" x14ac:dyDescent="0.35">
      <c r="AQ8515" s="54"/>
      <c r="BA8515" s="54"/>
    </row>
    <row r="8516" spans="43:53" x14ac:dyDescent="0.35">
      <c r="AQ8516" s="54"/>
      <c r="BA8516" s="54"/>
    </row>
    <row r="8517" spans="43:53" x14ac:dyDescent="0.35">
      <c r="AQ8517" s="54"/>
      <c r="BA8517" s="54"/>
    </row>
    <row r="8518" spans="43:53" x14ac:dyDescent="0.35">
      <c r="AQ8518" s="54"/>
      <c r="BA8518" s="54"/>
    </row>
    <row r="8519" spans="43:53" x14ac:dyDescent="0.35">
      <c r="AQ8519" s="54"/>
      <c r="BA8519" s="54"/>
    </row>
    <row r="8520" spans="43:53" x14ac:dyDescent="0.35">
      <c r="AQ8520" s="54"/>
      <c r="BA8520" s="54"/>
    </row>
    <row r="8521" spans="43:53" x14ac:dyDescent="0.35">
      <c r="AQ8521" s="54"/>
      <c r="BA8521" s="54"/>
    </row>
    <row r="8522" spans="43:53" x14ac:dyDescent="0.35">
      <c r="AQ8522" s="54"/>
      <c r="BA8522" s="54"/>
    </row>
    <row r="8523" spans="43:53" x14ac:dyDescent="0.35">
      <c r="AQ8523" s="54"/>
      <c r="BA8523" s="54"/>
    </row>
    <row r="8524" spans="43:53" x14ac:dyDescent="0.35">
      <c r="AQ8524" s="54"/>
      <c r="BA8524" s="54"/>
    </row>
    <row r="8525" spans="43:53" x14ac:dyDescent="0.35">
      <c r="AQ8525" s="54"/>
      <c r="BA8525" s="54"/>
    </row>
    <row r="8526" spans="43:53" x14ac:dyDescent="0.35">
      <c r="AQ8526" s="54"/>
      <c r="BA8526" s="54"/>
    </row>
    <row r="8527" spans="43:53" x14ac:dyDescent="0.35">
      <c r="AQ8527" s="54"/>
      <c r="BA8527" s="54"/>
    </row>
    <row r="8528" spans="43:53" x14ac:dyDescent="0.35">
      <c r="AQ8528" s="54"/>
      <c r="BA8528" s="54"/>
    </row>
    <row r="8529" spans="43:53" x14ac:dyDescent="0.35">
      <c r="AQ8529" s="54"/>
      <c r="BA8529" s="54"/>
    </row>
    <row r="8530" spans="43:53" x14ac:dyDescent="0.35">
      <c r="AQ8530" s="54"/>
      <c r="BA8530" s="54"/>
    </row>
    <row r="8531" spans="43:53" x14ac:dyDescent="0.35">
      <c r="AQ8531" s="54"/>
      <c r="BA8531" s="54"/>
    </row>
    <row r="8532" spans="43:53" x14ac:dyDescent="0.35">
      <c r="AQ8532" s="54"/>
      <c r="BA8532" s="54"/>
    </row>
    <row r="8533" spans="43:53" x14ac:dyDescent="0.35">
      <c r="AQ8533" s="54"/>
      <c r="BA8533" s="54"/>
    </row>
    <row r="8534" spans="43:53" x14ac:dyDescent="0.35">
      <c r="AQ8534" s="54"/>
      <c r="BA8534" s="54"/>
    </row>
    <row r="8535" spans="43:53" x14ac:dyDescent="0.35">
      <c r="AQ8535" s="54"/>
      <c r="BA8535" s="54"/>
    </row>
    <row r="8536" spans="43:53" x14ac:dyDescent="0.35">
      <c r="AQ8536" s="54"/>
      <c r="BA8536" s="54"/>
    </row>
    <row r="8537" spans="43:53" x14ac:dyDescent="0.35">
      <c r="AQ8537" s="54"/>
      <c r="BA8537" s="54"/>
    </row>
    <row r="8538" spans="43:53" x14ac:dyDescent="0.35">
      <c r="AQ8538" s="54"/>
      <c r="BA8538" s="54"/>
    </row>
    <row r="8539" spans="43:53" x14ac:dyDescent="0.35">
      <c r="AQ8539" s="54"/>
      <c r="BA8539" s="54"/>
    </row>
    <row r="8540" spans="43:53" x14ac:dyDescent="0.35">
      <c r="AQ8540" s="54"/>
      <c r="BA8540" s="54"/>
    </row>
    <row r="8541" spans="43:53" x14ac:dyDescent="0.35">
      <c r="AQ8541" s="54"/>
      <c r="BA8541" s="54"/>
    </row>
    <row r="8542" spans="43:53" x14ac:dyDescent="0.35">
      <c r="AQ8542" s="54"/>
      <c r="BA8542" s="54"/>
    </row>
    <row r="8543" spans="43:53" x14ac:dyDescent="0.35">
      <c r="AQ8543" s="54"/>
      <c r="BA8543" s="54"/>
    </row>
    <row r="8544" spans="43:53" x14ac:dyDescent="0.35">
      <c r="AQ8544" s="54"/>
      <c r="BA8544" s="54"/>
    </row>
    <row r="8545" spans="43:53" x14ac:dyDescent="0.35">
      <c r="AQ8545" s="54"/>
      <c r="BA8545" s="54"/>
    </row>
    <row r="8546" spans="43:53" x14ac:dyDescent="0.35">
      <c r="AQ8546" s="54"/>
      <c r="BA8546" s="54"/>
    </row>
    <row r="8547" spans="43:53" x14ac:dyDescent="0.35">
      <c r="AQ8547" s="54"/>
      <c r="BA8547" s="54"/>
    </row>
    <row r="8548" spans="43:53" x14ac:dyDescent="0.35">
      <c r="AQ8548" s="54"/>
      <c r="BA8548" s="54"/>
    </row>
    <row r="8549" spans="43:53" x14ac:dyDescent="0.35">
      <c r="AQ8549" s="54"/>
      <c r="BA8549" s="54"/>
    </row>
    <row r="8550" spans="43:53" x14ac:dyDescent="0.35">
      <c r="AQ8550" s="54"/>
      <c r="BA8550" s="54"/>
    </row>
    <row r="8551" spans="43:53" x14ac:dyDescent="0.35">
      <c r="AQ8551" s="54"/>
      <c r="BA8551" s="54"/>
    </row>
    <row r="8552" spans="43:53" x14ac:dyDescent="0.35">
      <c r="AQ8552" s="54"/>
      <c r="BA8552" s="54"/>
    </row>
    <row r="8553" spans="43:53" x14ac:dyDescent="0.35">
      <c r="AQ8553" s="54"/>
      <c r="BA8553" s="54"/>
    </row>
    <row r="8554" spans="43:53" x14ac:dyDescent="0.35">
      <c r="AQ8554" s="54"/>
      <c r="BA8554" s="54"/>
    </row>
    <row r="8555" spans="43:53" x14ac:dyDescent="0.35">
      <c r="AQ8555" s="54"/>
      <c r="BA8555" s="54"/>
    </row>
    <row r="8556" spans="43:53" x14ac:dyDescent="0.35">
      <c r="AQ8556" s="54"/>
      <c r="BA8556" s="54"/>
    </row>
    <row r="8557" spans="43:53" x14ac:dyDescent="0.35">
      <c r="AQ8557" s="54"/>
      <c r="BA8557" s="54"/>
    </row>
    <row r="8558" spans="43:53" x14ac:dyDescent="0.35">
      <c r="AQ8558" s="54"/>
      <c r="BA8558" s="54"/>
    </row>
    <row r="8559" spans="43:53" x14ac:dyDescent="0.35">
      <c r="AQ8559" s="54"/>
      <c r="BA8559" s="54"/>
    </row>
    <row r="8560" spans="43:53" x14ac:dyDescent="0.35">
      <c r="AQ8560" s="54"/>
      <c r="BA8560" s="54"/>
    </row>
    <row r="8561" spans="43:53" x14ac:dyDescent="0.35">
      <c r="AQ8561" s="54"/>
      <c r="BA8561" s="54"/>
    </row>
    <row r="8562" spans="43:53" x14ac:dyDescent="0.35">
      <c r="AQ8562" s="54"/>
      <c r="BA8562" s="54"/>
    </row>
    <row r="8563" spans="43:53" x14ac:dyDescent="0.35">
      <c r="AQ8563" s="54"/>
      <c r="BA8563" s="54"/>
    </row>
    <row r="8564" spans="43:53" x14ac:dyDescent="0.35">
      <c r="AQ8564" s="54"/>
      <c r="BA8564" s="54"/>
    </row>
    <row r="8565" spans="43:53" x14ac:dyDescent="0.35">
      <c r="AQ8565" s="54"/>
      <c r="BA8565" s="54"/>
    </row>
    <row r="8566" spans="43:53" x14ac:dyDescent="0.35">
      <c r="AQ8566" s="54"/>
      <c r="BA8566" s="54"/>
    </row>
    <row r="8567" spans="43:53" x14ac:dyDescent="0.35">
      <c r="AQ8567" s="54"/>
      <c r="BA8567" s="54"/>
    </row>
    <row r="8568" spans="43:53" x14ac:dyDescent="0.35">
      <c r="AQ8568" s="54"/>
      <c r="BA8568" s="54"/>
    </row>
    <row r="8569" spans="43:53" x14ac:dyDescent="0.35">
      <c r="AQ8569" s="54"/>
      <c r="BA8569" s="54"/>
    </row>
    <row r="8570" spans="43:53" x14ac:dyDescent="0.35">
      <c r="AQ8570" s="54"/>
      <c r="BA8570" s="54"/>
    </row>
    <row r="8571" spans="43:53" x14ac:dyDescent="0.35">
      <c r="AQ8571" s="54"/>
      <c r="BA8571" s="54"/>
    </row>
    <row r="8572" spans="43:53" x14ac:dyDescent="0.35">
      <c r="AQ8572" s="54"/>
      <c r="BA8572" s="54"/>
    </row>
    <row r="8573" spans="43:53" x14ac:dyDescent="0.35">
      <c r="AQ8573" s="54"/>
      <c r="BA8573" s="54"/>
    </row>
    <row r="8574" spans="43:53" x14ac:dyDescent="0.35">
      <c r="AQ8574" s="54"/>
      <c r="BA8574" s="54"/>
    </row>
    <row r="8575" spans="43:53" x14ac:dyDescent="0.35">
      <c r="AQ8575" s="54"/>
      <c r="BA8575" s="54"/>
    </row>
    <row r="8576" spans="43:53" x14ac:dyDescent="0.35">
      <c r="AQ8576" s="54"/>
      <c r="BA8576" s="54"/>
    </row>
    <row r="8577" spans="43:53" x14ac:dyDescent="0.35">
      <c r="AQ8577" s="54"/>
      <c r="BA8577" s="54"/>
    </row>
    <row r="8578" spans="43:53" x14ac:dyDescent="0.35">
      <c r="AQ8578" s="54"/>
      <c r="BA8578" s="54"/>
    </row>
    <row r="8579" spans="43:53" x14ac:dyDescent="0.35">
      <c r="AQ8579" s="54"/>
      <c r="BA8579" s="54"/>
    </row>
    <row r="8580" spans="43:53" x14ac:dyDescent="0.35">
      <c r="AQ8580" s="54"/>
      <c r="BA8580" s="54"/>
    </row>
    <row r="8581" spans="43:53" x14ac:dyDescent="0.35">
      <c r="AQ8581" s="54"/>
      <c r="BA8581" s="54"/>
    </row>
    <row r="8582" spans="43:53" x14ac:dyDescent="0.35">
      <c r="AQ8582" s="54"/>
      <c r="BA8582" s="54"/>
    </row>
    <row r="8583" spans="43:53" x14ac:dyDescent="0.35">
      <c r="AQ8583" s="54"/>
      <c r="BA8583" s="54"/>
    </row>
    <row r="8584" spans="43:53" x14ac:dyDescent="0.35">
      <c r="AQ8584" s="54"/>
      <c r="BA8584" s="54"/>
    </row>
    <row r="8585" spans="43:53" x14ac:dyDescent="0.35">
      <c r="AQ8585" s="54"/>
      <c r="BA8585" s="54"/>
    </row>
    <row r="8586" spans="43:53" x14ac:dyDescent="0.35">
      <c r="AQ8586" s="54"/>
      <c r="BA8586" s="54"/>
    </row>
    <row r="8587" spans="43:53" x14ac:dyDescent="0.35">
      <c r="AQ8587" s="54"/>
      <c r="BA8587" s="54"/>
    </row>
    <row r="8588" spans="43:53" x14ac:dyDescent="0.35">
      <c r="AQ8588" s="54"/>
      <c r="BA8588" s="54"/>
    </row>
    <row r="8589" spans="43:53" x14ac:dyDescent="0.35">
      <c r="AQ8589" s="54"/>
      <c r="BA8589" s="54"/>
    </row>
    <row r="8590" spans="43:53" x14ac:dyDescent="0.35">
      <c r="AQ8590" s="54"/>
      <c r="BA8590" s="54"/>
    </row>
    <row r="8591" spans="43:53" x14ac:dyDescent="0.35">
      <c r="AQ8591" s="54"/>
      <c r="BA8591" s="54"/>
    </row>
    <row r="8592" spans="43:53" x14ac:dyDescent="0.35">
      <c r="AQ8592" s="54"/>
      <c r="BA8592" s="54"/>
    </row>
    <row r="8593" spans="43:53" x14ac:dyDescent="0.35">
      <c r="AQ8593" s="54"/>
      <c r="BA8593" s="54"/>
    </row>
    <row r="8594" spans="43:53" x14ac:dyDescent="0.35">
      <c r="AQ8594" s="54"/>
      <c r="BA8594" s="54"/>
    </row>
    <row r="8595" spans="43:53" x14ac:dyDescent="0.35">
      <c r="AQ8595" s="54"/>
      <c r="BA8595" s="54"/>
    </row>
    <row r="8596" spans="43:53" x14ac:dyDescent="0.35">
      <c r="AQ8596" s="54"/>
      <c r="BA8596" s="54"/>
    </row>
    <row r="8597" spans="43:53" x14ac:dyDescent="0.35">
      <c r="AQ8597" s="54"/>
      <c r="BA8597" s="54"/>
    </row>
    <row r="8598" spans="43:53" x14ac:dyDescent="0.35">
      <c r="AQ8598" s="54"/>
      <c r="BA8598" s="54"/>
    </row>
    <row r="8599" spans="43:53" x14ac:dyDescent="0.35">
      <c r="AQ8599" s="54"/>
      <c r="BA8599" s="54"/>
    </row>
    <row r="8600" spans="43:53" x14ac:dyDescent="0.35">
      <c r="AQ8600" s="54"/>
      <c r="BA8600" s="54"/>
    </row>
    <row r="8601" spans="43:53" x14ac:dyDescent="0.35">
      <c r="AQ8601" s="54"/>
      <c r="BA8601" s="54"/>
    </row>
    <row r="8602" spans="43:53" x14ac:dyDescent="0.35">
      <c r="AQ8602" s="54"/>
      <c r="BA8602" s="54"/>
    </row>
    <row r="8603" spans="43:53" x14ac:dyDescent="0.35">
      <c r="AQ8603" s="54"/>
      <c r="BA8603" s="54"/>
    </row>
    <row r="8604" spans="43:53" x14ac:dyDescent="0.35">
      <c r="AQ8604" s="54"/>
      <c r="BA8604" s="54"/>
    </row>
    <row r="8605" spans="43:53" x14ac:dyDescent="0.35">
      <c r="AQ8605" s="54"/>
      <c r="BA8605" s="54"/>
    </row>
    <row r="8606" spans="43:53" x14ac:dyDescent="0.35">
      <c r="AQ8606" s="54"/>
      <c r="BA8606" s="54"/>
    </row>
    <row r="8607" spans="43:53" x14ac:dyDescent="0.35">
      <c r="AQ8607" s="54"/>
      <c r="BA8607" s="54"/>
    </row>
    <row r="8608" spans="43:53" x14ac:dyDescent="0.35">
      <c r="AQ8608" s="54"/>
      <c r="BA8608" s="54"/>
    </row>
    <row r="8609" spans="43:53" x14ac:dyDescent="0.35">
      <c r="AQ8609" s="54"/>
      <c r="BA8609" s="54"/>
    </row>
    <row r="8610" spans="43:53" x14ac:dyDescent="0.35">
      <c r="AQ8610" s="54"/>
      <c r="BA8610" s="54"/>
    </row>
    <row r="8611" spans="43:53" x14ac:dyDescent="0.35">
      <c r="AQ8611" s="54"/>
      <c r="BA8611" s="54"/>
    </row>
    <row r="8612" spans="43:53" x14ac:dyDescent="0.35">
      <c r="AQ8612" s="54"/>
      <c r="BA8612" s="54"/>
    </row>
    <row r="8613" spans="43:53" x14ac:dyDescent="0.35">
      <c r="AQ8613" s="54"/>
      <c r="BA8613" s="54"/>
    </row>
    <row r="8614" spans="43:53" x14ac:dyDescent="0.35">
      <c r="AQ8614" s="54"/>
      <c r="BA8614" s="54"/>
    </row>
    <row r="8615" spans="43:53" x14ac:dyDescent="0.35">
      <c r="AQ8615" s="54"/>
      <c r="BA8615" s="54"/>
    </row>
    <row r="8616" spans="43:53" x14ac:dyDescent="0.35">
      <c r="AQ8616" s="54"/>
      <c r="BA8616" s="54"/>
    </row>
    <row r="8617" spans="43:53" x14ac:dyDescent="0.35">
      <c r="AQ8617" s="54"/>
      <c r="BA8617" s="54"/>
    </row>
    <row r="8618" spans="43:53" x14ac:dyDescent="0.35">
      <c r="AQ8618" s="54"/>
      <c r="BA8618" s="54"/>
    </row>
    <row r="8619" spans="43:53" x14ac:dyDescent="0.35">
      <c r="AQ8619" s="54"/>
      <c r="BA8619" s="54"/>
    </row>
    <row r="8620" spans="43:53" x14ac:dyDescent="0.35">
      <c r="AQ8620" s="54"/>
      <c r="BA8620" s="54"/>
    </row>
    <row r="8621" spans="43:53" x14ac:dyDescent="0.35">
      <c r="AQ8621" s="54"/>
      <c r="BA8621" s="54"/>
    </row>
    <row r="8622" spans="43:53" x14ac:dyDescent="0.35">
      <c r="AQ8622" s="54"/>
      <c r="BA8622" s="54"/>
    </row>
    <row r="8623" spans="43:53" x14ac:dyDescent="0.35">
      <c r="AQ8623" s="54"/>
      <c r="BA8623" s="54"/>
    </row>
    <row r="8624" spans="43:53" x14ac:dyDescent="0.35">
      <c r="AQ8624" s="54"/>
      <c r="BA8624" s="54"/>
    </row>
    <row r="8625" spans="43:53" x14ac:dyDescent="0.35">
      <c r="AQ8625" s="54"/>
      <c r="BA8625" s="54"/>
    </row>
    <row r="8626" spans="43:53" x14ac:dyDescent="0.35">
      <c r="AQ8626" s="54"/>
      <c r="BA8626" s="54"/>
    </row>
    <row r="8627" spans="43:53" x14ac:dyDescent="0.35">
      <c r="AQ8627" s="54"/>
      <c r="BA8627" s="54"/>
    </row>
    <row r="8628" spans="43:53" x14ac:dyDescent="0.35">
      <c r="AQ8628" s="54"/>
      <c r="BA8628" s="54"/>
    </row>
    <row r="8629" spans="43:53" x14ac:dyDescent="0.35">
      <c r="AQ8629" s="54"/>
      <c r="BA8629" s="54"/>
    </row>
    <row r="8630" spans="43:53" x14ac:dyDescent="0.35">
      <c r="AQ8630" s="54"/>
      <c r="BA8630" s="54"/>
    </row>
    <row r="8631" spans="43:53" x14ac:dyDescent="0.35">
      <c r="AQ8631" s="54"/>
      <c r="BA8631" s="54"/>
    </row>
    <row r="8632" spans="43:53" x14ac:dyDescent="0.35">
      <c r="AQ8632" s="54"/>
      <c r="BA8632" s="54"/>
    </row>
    <row r="8633" spans="43:53" x14ac:dyDescent="0.35">
      <c r="AQ8633" s="54"/>
      <c r="BA8633" s="54"/>
    </row>
    <row r="8634" spans="43:53" x14ac:dyDescent="0.35">
      <c r="AQ8634" s="54"/>
      <c r="BA8634" s="54"/>
    </row>
    <row r="8635" spans="43:53" x14ac:dyDescent="0.35">
      <c r="AQ8635" s="54"/>
      <c r="BA8635" s="54"/>
    </row>
    <row r="8636" spans="43:53" x14ac:dyDescent="0.35">
      <c r="AQ8636" s="54"/>
      <c r="BA8636" s="54"/>
    </row>
    <row r="8637" spans="43:53" x14ac:dyDescent="0.35">
      <c r="AQ8637" s="54"/>
      <c r="BA8637" s="54"/>
    </row>
    <row r="8638" spans="43:53" x14ac:dyDescent="0.35">
      <c r="AQ8638" s="54"/>
      <c r="BA8638" s="54"/>
    </row>
    <row r="8639" spans="43:53" x14ac:dyDescent="0.35">
      <c r="AQ8639" s="54"/>
      <c r="BA8639" s="54"/>
    </row>
    <row r="8640" spans="43:53" x14ac:dyDescent="0.35">
      <c r="AQ8640" s="54"/>
      <c r="BA8640" s="54"/>
    </row>
    <row r="8641" spans="43:53" x14ac:dyDescent="0.35">
      <c r="AQ8641" s="54"/>
      <c r="BA8641" s="54"/>
    </row>
    <row r="8642" spans="43:53" x14ac:dyDescent="0.35">
      <c r="AQ8642" s="54"/>
      <c r="BA8642" s="54"/>
    </row>
    <row r="8643" spans="43:53" x14ac:dyDescent="0.35">
      <c r="AQ8643" s="54"/>
      <c r="BA8643" s="54"/>
    </row>
    <row r="8644" spans="43:53" x14ac:dyDescent="0.35">
      <c r="AQ8644" s="54"/>
      <c r="BA8644" s="54"/>
    </row>
    <row r="8645" spans="43:53" x14ac:dyDescent="0.35">
      <c r="AQ8645" s="54"/>
      <c r="BA8645" s="54"/>
    </row>
    <row r="8646" spans="43:53" x14ac:dyDescent="0.35">
      <c r="AQ8646" s="54"/>
      <c r="BA8646" s="54"/>
    </row>
    <row r="8647" spans="43:53" x14ac:dyDescent="0.35">
      <c r="AQ8647" s="54"/>
      <c r="BA8647" s="54"/>
    </row>
    <row r="8648" spans="43:53" x14ac:dyDescent="0.35">
      <c r="AQ8648" s="54"/>
      <c r="BA8648" s="54"/>
    </row>
    <row r="8649" spans="43:53" x14ac:dyDescent="0.35">
      <c r="AQ8649" s="54"/>
      <c r="BA8649" s="54"/>
    </row>
    <row r="8650" spans="43:53" x14ac:dyDescent="0.35">
      <c r="AQ8650" s="54"/>
      <c r="BA8650" s="54"/>
    </row>
    <row r="8651" spans="43:53" x14ac:dyDescent="0.35">
      <c r="AQ8651" s="54"/>
      <c r="BA8651" s="54"/>
    </row>
    <row r="8652" spans="43:53" x14ac:dyDescent="0.35">
      <c r="AQ8652" s="54"/>
      <c r="BA8652" s="54"/>
    </row>
    <row r="8653" spans="43:53" x14ac:dyDescent="0.35">
      <c r="AQ8653" s="54"/>
      <c r="BA8653" s="54"/>
    </row>
    <row r="8654" spans="43:53" x14ac:dyDescent="0.35">
      <c r="AQ8654" s="54"/>
      <c r="BA8654" s="54"/>
    </row>
    <row r="8655" spans="43:53" x14ac:dyDescent="0.35">
      <c r="AQ8655" s="54"/>
      <c r="BA8655" s="54"/>
    </row>
    <row r="8656" spans="43:53" x14ac:dyDescent="0.35">
      <c r="AQ8656" s="54"/>
      <c r="BA8656" s="54"/>
    </row>
    <row r="8657" spans="43:53" x14ac:dyDescent="0.35">
      <c r="AQ8657" s="54"/>
      <c r="BA8657" s="54"/>
    </row>
    <row r="8658" spans="43:53" x14ac:dyDescent="0.35">
      <c r="AQ8658" s="54"/>
      <c r="BA8658" s="54"/>
    </row>
    <row r="8659" spans="43:53" x14ac:dyDescent="0.35">
      <c r="AQ8659" s="54"/>
      <c r="BA8659" s="54"/>
    </row>
    <row r="8660" spans="43:53" x14ac:dyDescent="0.35">
      <c r="AQ8660" s="54"/>
      <c r="BA8660" s="54"/>
    </row>
    <row r="8661" spans="43:53" x14ac:dyDescent="0.35">
      <c r="AQ8661" s="54"/>
      <c r="BA8661" s="54"/>
    </row>
    <row r="8662" spans="43:53" x14ac:dyDescent="0.35">
      <c r="AQ8662" s="54"/>
      <c r="BA8662" s="54"/>
    </row>
    <row r="8663" spans="43:53" x14ac:dyDescent="0.35">
      <c r="AQ8663" s="54"/>
      <c r="BA8663" s="54"/>
    </row>
    <row r="8664" spans="43:53" x14ac:dyDescent="0.35">
      <c r="AQ8664" s="54"/>
      <c r="BA8664" s="54"/>
    </row>
    <row r="8665" spans="43:53" x14ac:dyDescent="0.35">
      <c r="AQ8665" s="54"/>
      <c r="BA8665" s="54"/>
    </row>
    <row r="8666" spans="43:53" x14ac:dyDescent="0.35">
      <c r="AQ8666" s="54"/>
      <c r="BA8666" s="54"/>
    </row>
    <row r="8667" spans="43:53" x14ac:dyDescent="0.35">
      <c r="AQ8667" s="54"/>
      <c r="BA8667" s="54"/>
    </row>
    <row r="8668" spans="43:53" x14ac:dyDescent="0.35">
      <c r="AQ8668" s="54"/>
      <c r="BA8668" s="54"/>
    </row>
    <row r="8669" spans="43:53" x14ac:dyDescent="0.35">
      <c r="AQ8669" s="54"/>
      <c r="BA8669" s="54"/>
    </row>
    <row r="8670" spans="43:53" x14ac:dyDescent="0.35">
      <c r="AQ8670" s="54"/>
      <c r="BA8670" s="54"/>
    </row>
    <row r="8671" spans="43:53" x14ac:dyDescent="0.35">
      <c r="AQ8671" s="54"/>
      <c r="BA8671" s="54"/>
    </row>
    <row r="8672" spans="43:53" x14ac:dyDescent="0.35">
      <c r="AQ8672" s="54"/>
      <c r="BA8672" s="54"/>
    </row>
    <row r="8673" spans="43:53" x14ac:dyDescent="0.35">
      <c r="AQ8673" s="54"/>
      <c r="BA8673" s="54"/>
    </row>
    <row r="8674" spans="43:53" x14ac:dyDescent="0.35">
      <c r="AQ8674" s="54"/>
      <c r="BA8674" s="54"/>
    </row>
    <row r="8675" spans="43:53" x14ac:dyDescent="0.35">
      <c r="AQ8675" s="54"/>
      <c r="BA8675" s="54"/>
    </row>
    <row r="8676" spans="43:53" x14ac:dyDescent="0.35">
      <c r="AQ8676" s="54"/>
      <c r="BA8676" s="54"/>
    </row>
    <row r="8677" spans="43:53" x14ac:dyDescent="0.35">
      <c r="AQ8677" s="54"/>
      <c r="BA8677" s="54"/>
    </row>
    <row r="8678" spans="43:53" x14ac:dyDescent="0.35">
      <c r="AQ8678" s="54"/>
      <c r="BA8678" s="54"/>
    </row>
    <row r="8679" spans="43:53" x14ac:dyDescent="0.35">
      <c r="AQ8679" s="54"/>
      <c r="BA8679" s="54"/>
    </row>
    <row r="8680" spans="43:53" x14ac:dyDescent="0.35">
      <c r="AQ8680" s="54"/>
      <c r="BA8680" s="54"/>
    </row>
    <row r="8681" spans="43:53" x14ac:dyDescent="0.35">
      <c r="AQ8681" s="54"/>
      <c r="BA8681" s="54"/>
    </row>
    <row r="8682" spans="43:53" x14ac:dyDescent="0.35">
      <c r="AQ8682" s="54"/>
      <c r="BA8682" s="54"/>
    </row>
    <row r="8683" spans="43:53" x14ac:dyDescent="0.35">
      <c r="AQ8683" s="54"/>
      <c r="BA8683" s="54"/>
    </row>
    <row r="8684" spans="43:53" x14ac:dyDescent="0.35">
      <c r="AQ8684" s="54"/>
      <c r="BA8684" s="54"/>
    </row>
    <row r="8685" spans="43:53" x14ac:dyDescent="0.35">
      <c r="AQ8685" s="54"/>
      <c r="BA8685" s="54"/>
    </row>
    <row r="8686" spans="43:53" x14ac:dyDescent="0.35">
      <c r="AQ8686" s="54"/>
      <c r="BA8686" s="54"/>
    </row>
    <row r="8687" spans="43:53" x14ac:dyDescent="0.35">
      <c r="AQ8687" s="54"/>
      <c r="BA8687" s="54"/>
    </row>
    <row r="8688" spans="43:53" x14ac:dyDescent="0.35">
      <c r="AQ8688" s="54"/>
      <c r="BA8688" s="54"/>
    </row>
    <row r="8689" spans="43:53" x14ac:dyDescent="0.35">
      <c r="AQ8689" s="54"/>
      <c r="BA8689" s="54"/>
    </row>
    <row r="8690" spans="43:53" x14ac:dyDescent="0.35">
      <c r="AQ8690" s="54"/>
      <c r="BA8690" s="54"/>
    </row>
    <row r="8691" spans="43:53" x14ac:dyDescent="0.35">
      <c r="AQ8691" s="54"/>
      <c r="BA8691" s="54"/>
    </row>
    <row r="8692" spans="43:53" x14ac:dyDescent="0.35">
      <c r="AQ8692" s="54"/>
      <c r="BA8692" s="54"/>
    </row>
    <row r="8693" spans="43:53" x14ac:dyDescent="0.35">
      <c r="AQ8693" s="54"/>
      <c r="BA8693" s="54"/>
    </row>
    <row r="8694" spans="43:53" x14ac:dyDescent="0.35">
      <c r="AQ8694" s="54"/>
      <c r="BA8694" s="54"/>
    </row>
    <row r="8695" spans="43:53" x14ac:dyDescent="0.35">
      <c r="AQ8695" s="54"/>
      <c r="BA8695" s="54"/>
    </row>
    <row r="8696" spans="43:53" x14ac:dyDescent="0.35">
      <c r="AQ8696" s="54"/>
      <c r="BA8696" s="54"/>
    </row>
    <row r="8697" spans="43:53" x14ac:dyDescent="0.35">
      <c r="AQ8697" s="54"/>
      <c r="BA8697" s="54"/>
    </row>
    <row r="8698" spans="43:53" x14ac:dyDescent="0.35">
      <c r="AQ8698" s="54"/>
      <c r="BA8698" s="54"/>
    </row>
    <row r="8699" spans="43:53" x14ac:dyDescent="0.35">
      <c r="AQ8699" s="54"/>
      <c r="BA8699" s="54"/>
    </row>
    <row r="8700" spans="43:53" x14ac:dyDescent="0.35">
      <c r="AQ8700" s="54"/>
      <c r="BA8700" s="54"/>
    </row>
    <row r="8701" spans="43:53" x14ac:dyDescent="0.35">
      <c r="AQ8701" s="54"/>
      <c r="BA8701" s="54"/>
    </row>
    <row r="8702" spans="43:53" x14ac:dyDescent="0.35">
      <c r="AQ8702" s="54"/>
      <c r="BA8702" s="54"/>
    </row>
    <row r="8703" spans="43:53" x14ac:dyDescent="0.35">
      <c r="AQ8703" s="54"/>
      <c r="BA8703" s="54"/>
    </row>
    <row r="8704" spans="43:53" x14ac:dyDescent="0.35">
      <c r="AQ8704" s="54"/>
      <c r="BA8704" s="54"/>
    </row>
    <row r="8705" spans="43:53" x14ac:dyDescent="0.35">
      <c r="AQ8705" s="54"/>
      <c r="BA8705" s="54"/>
    </row>
    <row r="8706" spans="43:53" x14ac:dyDescent="0.35">
      <c r="AQ8706" s="54"/>
      <c r="BA8706" s="54"/>
    </row>
    <row r="8707" spans="43:53" x14ac:dyDescent="0.35">
      <c r="AQ8707" s="54"/>
      <c r="BA8707" s="54"/>
    </row>
    <row r="8708" spans="43:53" x14ac:dyDescent="0.35">
      <c r="AQ8708" s="54"/>
      <c r="BA8708" s="54"/>
    </row>
    <row r="8709" spans="43:53" x14ac:dyDescent="0.35">
      <c r="AQ8709" s="54"/>
      <c r="BA8709" s="54"/>
    </row>
    <row r="8710" spans="43:53" x14ac:dyDescent="0.35">
      <c r="AQ8710" s="54"/>
      <c r="BA8710" s="54"/>
    </row>
    <row r="8711" spans="43:53" x14ac:dyDescent="0.35">
      <c r="AQ8711" s="54"/>
      <c r="BA8711" s="54"/>
    </row>
    <row r="8712" spans="43:53" x14ac:dyDescent="0.35">
      <c r="AQ8712" s="54"/>
      <c r="BA8712" s="54"/>
    </row>
    <row r="8713" spans="43:53" x14ac:dyDescent="0.35">
      <c r="AQ8713" s="54"/>
      <c r="BA8713" s="54"/>
    </row>
    <row r="8714" spans="43:53" x14ac:dyDescent="0.35">
      <c r="AQ8714" s="54"/>
      <c r="BA8714" s="54"/>
    </row>
    <row r="8715" spans="43:53" x14ac:dyDescent="0.35">
      <c r="AQ8715" s="54"/>
      <c r="BA8715" s="54"/>
    </row>
    <row r="8716" spans="43:53" x14ac:dyDescent="0.35">
      <c r="AQ8716" s="54"/>
      <c r="BA8716" s="54"/>
    </row>
    <row r="8717" spans="43:53" x14ac:dyDescent="0.35">
      <c r="AQ8717" s="54"/>
      <c r="BA8717" s="54"/>
    </row>
    <row r="8718" spans="43:53" x14ac:dyDescent="0.35">
      <c r="AQ8718" s="54"/>
      <c r="BA8718" s="54"/>
    </row>
    <row r="8719" spans="43:53" x14ac:dyDescent="0.35">
      <c r="AQ8719" s="54"/>
      <c r="BA8719" s="54"/>
    </row>
    <row r="8720" spans="43:53" x14ac:dyDescent="0.35">
      <c r="AQ8720" s="54"/>
      <c r="BA8720" s="54"/>
    </row>
    <row r="8721" spans="43:53" x14ac:dyDescent="0.35">
      <c r="AQ8721" s="54"/>
      <c r="BA8721" s="54"/>
    </row>
    <row r="8722" spans="43:53" x14ac:dyDescent="0.35">
      <c r="AQ8722" s="54"/>
      <c r="BA8722" s="54"/>
    </row>
    <row r="8723" spans="43:53" x14ac:dyDescent="0.35">
      <c r="AQ8723" s="54"/>
      <c r="BA8723" s="54"/>
    </row>
    <row r="8724" spans="43:53" x14ac:dyDescent="0.35">
      <c r="AQ8724" s="54"/>
      <c r="BA8724" s="54"/>
    </row>
    <row r="8725" spans="43:53" x14ac:dyDescent="0.35">
      <c r="AQ8725" s="54"/>
      <c r="BA8725" s="54"/>
    </row>
    <row r="8726" spans="43:53" x14ac:dyDescent="0.35">
      <c r="AQ8726" s="54"/>
      <c r="BA8726" s="54"/>
    </row>
    <row r="8727" spans="43:53" x14ac:dyDescent="0.35">
      <c r="AQ8727" s="54"/>
      <c r="BA8727" s="54"/>
    </row>
    <row r="8728" spans="43:53" x14ac:dyDescent="0.35">
      <c r="AQ8728" s="54"/>
      <c r="BA8728" s="54"/>
    </row>
    <row r="8729" spans="43:53" x14ac:dyDescent="0.35">
      <c r="AQ8729" s="54"/>
      <c r="BA8729" s="54"/>
    </row>
    <row r="8730" spans="43:53" x14ac:dyDescent="0.35">
      <c r="AQ8730" s="54"/>
      <c r="BA8730" s="54"/>
    </row>
    <row r="8731" spans="43:53" x14ac:dyDescent="0.35">
      <c r="AQ8731" s="54"/>
      <c r="BA8731" s="54"/>
    </row>
    <row r="8732" spans="43:53" x14ac:dyDescent="0.35">
      <c r="AQ8732" s="54"/>
      <c r="BA8732" s="54"/>
    </row>
    <row r="8733" spans="43:53" x14ac:dyDescent="0.35">
      <c r="AQ8733" s="54"/>
      <c r="BA8733" s="54"/>
    </row>
    <row r="8734" spans="43:53" x14ac:dyDescent="0.35">
      <c r="AQ8734" s="54"/>
      <c r="BA8734" s="54"/>
    </row>
    <row r="8735" spans="43:53" x14ac:dyDescent="0.35">
      <c r="AQ8735" s="54"/>
      <c r="BA8735" s="54"/>
    </row>
    <row r="8736" spans="43:53" x14ac:dyDescent="0.35">
      <c r="AQ8736" s="54"/>
      <c r="BA8736" s="54"/>
    </row>
    <row r="8737" spans="43:53" x14ac:dyDescent="0.35">
      <c r="AQ8737" s="54"/>
      <c r="BA8737" s="54"/>
    </row>
    <row r="8738" spans="43:53" x14ac:dyDescent="0.35">
      <c r="AQ8738" s="54"/>
      <c r="BA8738" s="54"/>
    </row>
    <row r="8739" spans="43:53" x14ac:dyDescent="0.35">
      <c r="AQ8739" s="54"/>
      <c r="BA8739" s="54"/>
    </row>
    <row r="8740" spans="43:53" x14ac:dyDescent="0.35">
      <c r="AQ8740" s="54"/>
      <c r="BA8740" s="54"/>
    </row>
    <row r="8741" spans="43:53" x14ac:dyDescent="0.35">
      <c r="AQ8741" s="54"/>
      <c r="BA8741" s="54"/>
    </row>
    <row r="8742" spans="43:53" x14ac:dyDescent="0.35">
      <c r="AQ8742" s="54"/>
      <c r="BA8742" s="54"/>
    </row>
    <row r="8743" spans="43:53" x14ac:dyDescent="0.35">
      <c r="AQ8743" s="54"/>
      <c r="BA8743" s="54"/>
    </row>
    <row r="8744" spans="43:53" x14ac:dyDescent="0.35">
      <c r="AQ8744" s="54"/>
      <c r="BA8744" s="54"/>
    </row>
    <row r="8745" spans="43:53" x14ac:dyDescent="0.35">
      <c r="AQ8745" s="54"/>
      <c r="BA8745" s="54"/>
    </row>
    <row r="8746" spans="43:53" x14ac:dyDescent="0.35">
      <c r="AQ8746" s="54"/>
      <c r="BA8746" s="54"/>
    </row>
    <row r="8747" spans="43:53" x14ac:dyDescent="0.35">
      <c r="AQ8747" s="54"/>
      <c r="BA8747" s="54"/>
    </row>
    <row r="8748" spans="43:53" x14ac:dyDescent="0.35">
      <c r="AQ8748" s="54"/>
      <c r="BA8748" s="54"/>
    </row>
    <row r="8749" spans="43:53" x14ac:dyDescent="0.35">
      <c r="AQ8749" s="54"/>
      <c r="BA8749" s="54"/>
    </row>
    <row r="8750" spans="43:53" x14ac:dyDescent="0.35">
      <c r="AQ8750" s="54"/>
      <c r="BA8750" s="54"/>
    </row>
    <row r="8751" spans="43:53" x14ac:dyDescent="0.35">
      <c r="AQ8751" s="54"/>
      <c r="BA8751" s="54"/>
    </row>
    <row r="8752" spans="43:53" x14ac:dyDescent="0.35">
      <c r="AQ8752" s="54"/>
      <c r="BA8752" s="54"/>
    </row>
    <row r="8753" spans="43:53" x14ac:dyDescent="0.35">
      <c r="AQ8753" s="54"/>
      <c r="BA8753" s="54"/>
    </row>
    <row r="8754" spans="43:53" x14ac:dyDescent="0.35">
      <c r="AQ8754" s="54"/>
      <c r="BA8754" s="54"/>
    </row>
    <row r="8755" spans="43:53" x14ac:dyDescent="0.35">
      <c r="AQ8755" s="54"/>
      <c r="BA8755" s="54"/>
    </row>
    <row r="8756" spans="43:53" x14ac:dyDescent="0.35">
      <c r="AQ8756" s="54"/>
      <c r="BA8756" s="54"/>
    </row>
    <row r="8757" spans="43:53" x14ac:dyDescent="0.35">
      <c r="AQ8757" s="54"/>
      <c r="BA8757" s="54"/>
    </row>
    <row r="8758" spans="43:53" x14ac:dyDescent="0.35">
      <c r="AQ8758" s="54"/>
      <c r="BA8758" s="54"/>
    </row>
    <row r="8759" spans="43:53" x14ac:dyDescent="0.35">
      <c r="AQ8759" s="54"/>
      <c r="BA8759" s="54"/>
    </row>
    <row r="8760" spans="43:53" x14ac:dyDescent="0.35">
      <c r="AQ8760" s="54"/>
      <c r="BA8760" s="54"/>
    </row>
    <row r="8761" spans="43:53" x14ac:dyDescent="0.35">
      <c r="AQ8761" s="54"/>
      <c r="BA8761" s="54"/>
    </row>
    <row r="8762" spans="43:53" x14ac:dyDescent="0.35">
      <c r="AQ8762" s="54"/>
      <c r="BA8762" s="54"/>
    </row>
    <row r="8763" spans="43:53" x14ac:dyDescent="0.35">
      <c r="AQ8763" s="54"/>
      <c r="BA8763" s="54"/>
    </row>
    <row r="8764" spans="43:53" x14ac:dyDescent="0.35">
      <c r="AQ8764" s="54"/>
      <c r="BA8764" s="54"/>
    </row>
    <row r="8765" spans="43:53" x14ac:dyDescent="0.35">
      <c r="AQ8765" s="54"/>
      <c r="BA8765" s="54"/>
    </row>
  </sheetData>
  <mergeCells count="8">
    <mergeCell ref="C4:G4"/>
    <mergeCell ref="P4:T4"/>
    <mergeCell ref="H4:M4"/>
    <mergeCell ref="AO4:AQ4"/>
    <mergeCell ref="AY4:BA4"/>
    <mergeCell ref="AB4:AD4"/>
    <mergeCell ref="Y4:AA4"/>
    <mergeCell ref="U4:V4"/>
  </mergeCells>
  <pageMargins left="0.7" right="0.7" top="0.75" bottom="0.75" header="0.3" footer="0.3"/>
  <ignoredErrors>
    <ignoredError sqref="Q3 E3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752D-7A95-44FD-BF87-DA65F834E639}">
  <sheetPr>
    <tabColor rgb="FFFFFFCC"/>
  </sheetPr>
  <dimension ref="B1:AB8765"/>
  <sheetViews>
    <sheetView zoomScale="70" zoomScaleNormal="70" workbookViewId="0">
      <selection activeCell="E36" sqref="E36"/>
    </sheetView>
  </sheetViews>
  <sheetFormatPr baseColWidth="10" defaultRowHeight="14.5" x14ac:dyDescent="0.35"/>
  <cols>
    <col min="1" max="4" width="10.90625" style="3"/>
    <col min="5" max="7" width="25.81640625" style="5" customWidth="1"/>
    <col min="8" max="8" width="10.90625" style="13" customWidth="1"/>
    <col min="9" max="9" width="10.90625" style="3"/>
    <col min="10" max="10" width="12" style="3" bestFit="1" customWidth="1"/>
    <col min="11" max="11" width="10.90625" style="3"/>
    <col min="12" max="12" width="33.36328125" style="3" customWidth="1"/>
    <col min="13" max="13" width="40.26953125" style="3" customWidth="1"/>
    <col min="14" max="14" width="25.81640625" style="3" customWidth="1"/>
    <col min="15" max="15" width="10.90625" style="13"/>
    <col min="16" max="18" width="10.90625" style="3"/>
    <col min="19" max="21" width="18.08984375" style="3" customWidth="1"/>
    <col min="22" max="22" width="10.90625" style="13"/>
    <col min="23" max="23" width="10.90625" style="3"/>
    <col min="24" max="24" width="16.36328125" style="3" bestFit="1" customWidth="1"/>
    <col min="25" max="16384" width="10.90625" style="3"/>
  </cols>
  <sheetData>
    <row r="1" spans="2:28" ht="31" x14ac:dyDescent="0.35">
      <c r="B1" s="14" t="s">
        <v>24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S1" s="15"/>
      <c r="T1" s="15"/>
      <c r="U1" s="15"/>
      <c r="V1" s="15"/>
    </row>
    <row r="2" spans="2:28" x14ac:dyDescent="0.35">
      <c r="B2" s="7" t="s">
        <v>0</v>
      </c>
      <c r="C2" s="8" t="s">
        <v>3</v>
      </c>
      <c r="D2" s="6" t="s">
        <v>5</v>
      </c>
      <c r="E2" s="17" t="str">
        <f>'[1]links-p0'!Q1</f>
        <v>ES_FR_interconexion_electricidad</v>
      </c>
      <c r="F2" s="17" t="str">
        <f>'[1]links-p0'!R1</f>
        <v>FR_ES_interconexion_electricidad</v>
      </c>
      <c r="G2" s="4" t="s">
        <v>22</v>
      </c>
      <c r="H2" s="16" t="s">
        <v>5</v>
      </c>
      <c r="I2" s="7" t="s">
        <v>0</v>
      </c>
      <c r="J2" s="8" t="s">
        <v>4</v>
      </c>
      <c r="L2" s="18" t="str">
        <f>'[1]links-p0'!M1</f>
        <v>ES_PT_interconexion_electricidad</v>
      </c>
      <c r="M2" s="19" t="str">
        <f>'[1]links-p0'!O1</f>
        <v>PT_ES_interconexion_electricidad</v>
      </c>
      <c r="N2" s="4" t="s">
        <v>23</v>
      </c>
      <c r="O2" s="16" t="s">
        <v>5</v>
      </c>
      <c r="P2" s="4" t="s">
        <v>0</v>
      </c>
      <c r="Q2" s="4" t="s">
        <v>27</v>
      </c>
      <c r="S2" s="18" t="str">
        <f>'[1]links-p0'!N1</f>
        <v>ES_PT_interconexion_hidrogeno</v>
      </c>
      <c r="T2" s="19" t="str">
        <f>'[1]links-p0'!P1</f>
        <v>PT_ES_interconexion_hidrogeno</v>
      </c>
      <c r="U2" s="4" t="s">
        <v>28</v>
      </c>
      <c r="V2" s="16" t="s">
        <v>5</v>
      </c>
      <c r="W2" s="4" t="s">
        <v>0</v>
      </c>
      <c r="X2" s="4" t="s">
        <v>25</v>
      </c>
      <c r="Y2" s="3" t="s">
        <v>5</v>
      </c>
      <c r="Z2" s="4" t="str">
        <f>'[1]links-p0'!Y1</f>
        <v>MA_ES_interconexion_hidrogeno</v>
      </c>
      <c r="AA2" s="4" t="s">
        <v>26</v>
      </c>
      <c r="AB2" s="3" t="s">
        <v>5</v>
      </c>
    </row>
    <row r="3" spans="2:28" x14ac:dyDescent="0.35">
      <c r="B3" s="10">
        <f>1</f>
        <v>1</v>
      </c>
      <c r="C3" s="7">
        <v>-5000</v>
      </c>
      <c r="D3" s="2"/>
      <c r="E3" s="4">
        <f>'[1]links-p0'!Q2</f>
        <v>0</v>
      </c>
      <c r="F3" s="4">
        <f>'[1]links-p0'!R2</f>
        <v>5000</v>
      </c>
      <c r="G3" s="11">
        <f>IF(E3=0,-F3,E3)</f>
        <v>-5000</v>
      </c>
      <c r="I3" s="12">
        <v>1</v>
      </c>
      <c r="J3" s="7">
        <v>-125.95322385999999</v>
      </c>
      <c r="L3" s="10">
        <f>'[1]links-p0'!M2</f>
        <v>0</v>
      </c>
      <c r="M3" s="7">
        <f>'[1]links-p0'!O2</f>
        <v>2444.6961297099861</v>
      </c>
      <c r="N3" s="11">
        <f>IF(L3=0,-M3,L3)</f>
        <v>-2444.6961297099861</v>
      </c>
      <c r="P3" s="4">
        <v>1</v>
      </c>
      <c r="Q3" s="4">
        <v>193.86524853</v>
      </c>
      <c r="S3" s="10">
        <f>'[1]links-p0'!N2</f>
        <v>667.71211683537592</v>
      </c>
      <c r="T3" s="7">
        <f>'[1]links-p0'!P2</f>
        <v>0</v>
      </c>
      <c r="U3" s="4">
        <f>IF(S3=0,-T3,S3)</f>
        <v>667.71211683537592</v>
      </c>
      <c r="W3" s="4">
        <v>1</v>
      </c>
      <c r="X3" s="4">
        <v>-2618.1493815899998</v>
      </c>
      <c r="Z3" s="4">
        <f>'[1]links-p0'!Y2</f>
        <v>2618.1735915726958</v>
      </c>
      <c r="AA3" s="4">
        <f>-Z3</f>
        <v>-2618.1735915726958</v>
      </c>
    </row>
    <row r="4" spans="2:28" x14ac:dyDescent="0.35">
      <c r="B4" s="10">
        <f>B3+1</f>
        <v>2</v>
      </c>
      <c r="C4" s="7">
        <v>-5000</v>
      </c>
      <c r="D4" s="2"/>
      <c r="E4" s="4">
        <f>'[1]links-p0'!Q3</f>
        <v>0</v>
      </c>
      <c r="F4" s="4">
        <f>'[1]links-p0'!R3</f>
        <v>5000</v>
      </c>
      <c r="G4" s="11">
        <f t="shared" ref="G4:G67" si="0">IF(E4=0,-F4,E4)</f>
        <v>-5000</v>
      </c>
      <c r="I4" s="12">
        <v>2</v>
      </c>
      <c r="J4" s="7">
        <v>-1957.117</v>
      </c>
      <c r="L4" s="10">
        <f>'[1]links-p0'!M3</f>
        <v>0</v>
      </c>
      <c r="M4" s="7">
        <f>'[1]links-p0'!O3</f>
        <v>2143.0083277280419</v>
      </c>
      <c r="N4" s="11">
        <f t="shared" ref="N4:N67" si="1">IF(L4=0,-M4,L4)</f>
        <v>-2143.0083277280419</v>
      </c>
      <c r="P4" s="4">
        <v>2</v>
      </c>
      <c r="Q4" s="4">
        <v>275.11409852999998</v>
      </c>
      <c r="S4" s="10">
        <f>'[1]links-p0'!N3</f>
        <v>721.37420311672702</v>
      </c>
      <c r="T4" s="7">
        <f>'[1]links-p0'!P3</f>
        <v>0</v>
      </c>
      <c r="U4" s="4">
        <f t="shared" ref="U4:U67" si="2">IF(S4=0,-T4,S4)</f>
        <v>721.37420311672702</v>
      </c>
      <c r="W4" s="4">
        <v>2</v>
      </c>
      <c r="X4" s="4">
        <v>-2618.1493815899998</v>
      </c>
      <c r="Z4" s="4">
        <f>'[1]links-p0'!Y3</f>
        <v>2618.1735915726958</v>
      </c>
      <c r="AA4" s="4">
        <f t="shared" ref="AA4:AA67" si="3">-Z4</f>
        <v>-2618.1735915726958</v>
      </c>
    </row>
    <row r="5" spans="2:28" x14ac:dyDescent="0.35">
      <c r="B5" s="10">
        <f t="shared" ref="B5:B68" si="4">B4+1</f>
        <v>3</v>
      </c>
      <c r="C5" s="7">
        <v>-5000</v>
      </c>
      <c r="D5" s="2"/>
      <c r="E5" s="4">
        <f>'[1]links-p0'!Q4</f>
        <v>0</v>
      </c>
      <c r="F5" s="4">
        <f>'[1]links-p0'!R4</f>
        <v>5000</v>
      </c>
      <c r="G5" s="11">
        <f t="shared" si="0"/>
        <v>-5000</v>
      </c>
      <c r="I5" s="12">
        <v>3</v>
      </c>
      <c r="J5" s="7">
        <v>-2261.8411787199998</v>
      </c>
      <c r="L5" s="10">
        <f>'[1]links-p0'!M4</f>
        <v>0</v>
      </c>
      <c r="M5" s="7">
        <f>'[1]links-p0'!O4</f>
        <v>3500</v>
      </c>
      <c r="N5" s="11">
        <f t="shared" si="1"/>
        <v>-3500</v>
      </c>
      <c r="P5" s="4">
        <v>3</v>
      </c>
      <c r="Q5" s="4">
        <v>328.97611853000001</v>
      </c>
      <c r="S5" s="10">
        <f>'[1]links-p0'!N4</f>
        <v>756.9483509365773</v>
      </c>
      <c r="T5" s="7">
        <f>'[1]links-p0'!P4</f>
        <v>0</v>
      </c>
      <c r="U5" s="4">
        <f t="shared" si="2"/>
        <v>756.9483509365773</v>
      </c>
      <c r="W5" s="4">
        <v>3</v>
      </c>
      <c r="X5" s="4">
        <v>-2618.1493815899998</v>
      </c>
      <c r="Z5" s="4">
        <f>'[1]links-p0'!Y4</f>
        <v>2618.1735915726958</v>
      </c>
      <c r="AA5" s="4">
        <f t="shared" si="3"/>
        <v>-2618.1735915726958</v>
      </c>
    </row>
    <row r="6" spans="2:28" x14ac:dyDescent="0.35">
      <c r="B6" s="10">
        <f t="shared" si="4"/>
        <v>4</v>
      </c>
      <c r="C6" s="7">
        <v>-5000</v>
      </c>
      <c r="D6" s="2"/>
      <c r="E6" s="4">
        <f>'[1]links-p0'!Q5</f>
        <v>0</v>
      </c>
      <c r="F6" s="4">
        <f>'[1]links-p0'!R5</f>
        <v>5000</v>
      </c>
      <c r="G6" s="11">
        <f t="shared" si="0"/>
        <v>-5000</v>
      </c>
      <c r="I6" s="12">
        <v>4</v>
      </c>
      <c r="J6" s="7">
        <v>-555.81680649999998</v>
      </c>
      <c r="L6" s="10">
        <f>'[1]links-p0'!M5</f>
        <v>0</v>
      </c>
      <c r="M6" s="7">
        <f>'[1]links-p0'!O5</f>
        <v>3500</v>
      </c>
      <c r="N6" s="11">
        <f t="shared" si="1"/>
        <v>-3500</v>
      </c>
      <c r="P6" s="4">
        <v>4</v>
      </c>
      <c r="Q6" s="4">
        <v>379.42232853000002</v>
      </c>
      <c r="S6" s="10">
        <f>'[1]links-p0'!N5</f>
        <v>790.26619216048653</v>
      </c>
      <c r="T6" s="7">
        <f>'[1]links-p0'!P5</f>
        <v>0</v>
      </c>
      <c r="U6" s="4">
        <f t="shared" si="2"/>
        <v>790.26619216048653</v>
      </c>
      <c r="W6" s="4">
        <v>4</v>
      </c>
      <c r="X6" s="4">
        <v>-2618.1493815899998</v>
      </c>
      <c r="Z6" s="4">
        <f>'[1]links-p0'!Y5</f>
        <v>2618.1735915726958</v>
      </c>
      <c r="AA6" s="4">
        <f t="shared" si="3"/>
        <v>-2618.1735915726958</v>
      </c>
    </row>
    <row r="7" spans="2:28" x14ac:dyDescent="0.35">
      <c r="B7" s="10">
        <f t="shared" si="4"/>
        <v>5</v>
      </c>
      <c r="C7" s="7">
        <v>-5000</v>
      </c>
      <c r="D7" s="2"/>
      <c r="E7" s="4">
        <f>'[1]links-p0'!Q6</f>
        <v>0</v>
      </c>
      <c r="F7" s="4">
        <f>'[1]links-p0'!R6</f>
        <v>5000</v>
      </c>
      <c r="G7" s="11">
        <f t="shared" si="0"/>
        <v>-5000</v>
      </c>
      <c r="I7" s="12">
        <v>5</v>
      </c>
      <c r="J7" s="7">
        <v>-3500</v>
      </c>
      <c r="L7" s="10">
        <f>'[1]links-p0'!M6</f>
        <v>0</v>
      </c>
      <c r="M7" s="7">
        <f>'[1]links-p0'!O6</f>
        <v>3500</v>
      </c>
      <c r="N7" s="11">
        <f t="shared" si="1"/>
        <v>-3500</v>
      </c>
      <c r="P7" s="4">
        <v>5</v>
      </c>
      <c r="Q7" s="4">
        <v>415.43139853000002</v>
      </c>
      <c r="S7" s="10">
        <f>'[1]links-p0'!N6</f>
        <v>814.04882562178477</v>
      </c>
      <c r="T7" s="7">
        <f>'[1]links-p0'!P6</f>
        <v>0</v>
      </c>
      <c r="U7" s="4">
        <f t="shared" si="2"/>
        <v>814.04882562178477</v>
      </c>
      <c r="W7" s="4">
        <v>5</v>
      </c>
      <c r="X7" s="4">
        <v>-2618.1493815899998</v>
      </c>
      <c r="Z7" s="4">
        <f>'[1]links-p0'!Y6</f>
        <v>2618.1735915726958</v>
      </c>
      <c r="AA7" s="4">
        <f t="shared" si="3"/>
        <v>-2618.1735915726958</v>
      </c>
    </row>
    <row r="8" spans="2:28" x14ac:dyDescent="0.35">
      <c r="B8" s="10">
        <f t="shared" si="4"/>
        <v>6</v>
      </c>
      <c r="C8" s="7">
        <v>-5000</v>
      </c>
      <c r="D8" s="2"/>
      <c r="E8" s="4">
        <f>'[1]links-p0'!Q7</f>
        <v>0</v>
      </c>
      <c r="F8" s="4">
        <f>'[1]links-p0'!R7</f>
        <v>5000</v>
      </c>
      <c r="G8" s="11">
        <f t="shared" si="0"/>
        <v>-5000</v>
      </c>
      <c r="I8" s="12">
        <v>6</v>
      </c>
      <c r="J8" s="7">
        <v>-3500</v>
      </c>
      <c r="L8" s="10">
        <f>'[1]links-p0'!M7</f>
        <v>0</v>
      </c>
      <c r="M8" s="7">
        <f>'[1]links-p0'!O7</f>
        <v>190.04872886950031</v>
      </c>
      <c r="N8" s="11">
        <f t="shared" si="1"/>
        <v>-190.04872886950031</v>
      </c>
      <c r="P8" s="4">
        <v>6</v>
      </c>
      <c r="Q8" s="4">
        <v>533.53909500999998</v>
      </c>
      <c r="S8" s="10">
        <f>'[1]links-p0'!N7</f>
        <v>925.31438933628283</v>
      </c>
      <c r="T8" s="7">
        <f>'[1]links-p0'!P7</f>
        <v>0</v>
      </c>
      <c r="U8" s="4">
        <f t="shared" si="2"/>
        <v>925.31438933628283</v>
      </c>
      <c r="W8" s="4">
        <v>6</v>
      </c>
      <c r="X8" s="4">
        <v>-2618.1493815899998</v>
      </c>
      <c r="Z8" s="4">
        <f>'[1]links-p0'!Y7</f>
        <v>2618.1735915726958</v>
      </c>
      <c r="AA8" s="4">
        <f t="shared" si="3"/>
        <v>-2618.1735915726958</v>
      </c>
    </row>
    <row r="9" spans="2:28" x14ac:dyDescent="0.35">
      <c r="B9" s="10">
        <f t="shared" si="4"/>
        <v>7</v>
      </c>
      <c r="C9" s="7">
        <v>-5000</v>
      </c>
      <c r="D9" s="2"/>
      <c r="E9" s="4">
        <f>'[1]links-p0'!Q8</f>
        <v>0</v>
      </c>
      <c r="F9" s="4">
        <f>'[1]links-p0'!R8</f>
        <v>5000</v>
      </c>
      <c r="G9" s="11">
        <f t="shared" si="0"/>
        <v>-5000</v>
      </c>
      <c r="I9" s="12">
        <v>7</v>
      </c>
      <c r="J9" s="7">
        <v>-3285.6525446800001</v>
      </c>
      <c r="L9" s="10">
        <f>'[1]links-p0'!M8</f>
        <v>0</v>
      </c>
      <c r="M9" s="7">
        <f>'[1]links-p0'!O8</f>
        <v>3500</v>
      </c>
      <c r="N9" s="11">
        <f t="shared" si="1"/>
        <v>-3500</v>
      </c>
      <c r="P9" s="4">
        <v>7</v>
      </c>
      <c r="Q9" s="4">
        <v>656.21848149000004</v>
      </c>
      <c r="S9" s="10">
        <f>'[1]links-p0'!N8</f>
        <v>1039.599380252673</v>
      </c>
      <c r="T9" s="7">
        <f>'[1]links-p0'!P8</f>
        <v>0</v>
      </c>
      <c r="U9" s="4">
        <f t="shared" si="2"/>
        <v>1039.599380252673</v>
      </c>
      <c r="W9" s="4">
        <v>7</v>
      </c>
      <c r="X9" s="4">
        <v>-2618.1493815899998</v>
      </c>
      <c r="Z9" s="4">
        <f>'[1]links-p0'!Y8</f>
        <v>2618.1735915726958</v>
      </c>
      <c r="AA9" s="4">
        <f t="shared" si="3"/>
        <v>-2618.1735915726958</v>
      </c>
    </row>
    <row r="10" spans="2:28" x14ac:dyDescent="0.35">
      <c r="B10" s="10">
        <f t="shared" si="4"/>
        <v>8</v>
      </c>
      <c r="C10" s="7">
        <v>-5000</v>
      </c>
      <c r="D10" s="2"/>
      <c r="E10" s="4">
        <f>'[1]links-p0'!Q9</f>
        <v>0</v>
      </c>
      <c r="F10" s="4">
        <f>'[1]links-p0'!R9</f>
        <v>5000</v>
      </c>
      <c r="G10" s="11">
        <f t="shared" si="0"/>
        <v>-5000</v>
      </c>
      <c r="I10" s="12">
        <v>8</v>
      </c>
      <c r="J10" s="7">
        <v>-3500</v>
      </c>
      <c r="L10" s="10">
        <f>'[1]links-p0'!M9</f>
        <v>0</v>
      </c>
      <c r="M10" s="7">
        <f>'[1]links-p0'!O9</f>
        <v>3500</v>
      </c>
      <c r="N10" s="11">
        <f t="shared" si="1"/>
        <v>-3500</v>
      </c>
      <c r="P10" s="4">
        <v>8</v>
      </c>
      <c r="Q10" s="4">
        <v>745.88470394000001</v>
      </c>
      <c r="S10" s="10">
        <f>'[1]links-p0'!N9</f>
        <v>1130.330102459563</v>
      </c>
      <c r="T10" s="7">
        <f>'[1]links-p0'!P9</f>
        <v>0</v>
      </c>
      <c r="U10" s="4">
        <f t="shared" si="2"/>
        <v>1130.330102459563</v>
      </c>
      <c r="W10" s="4">
        <v>8</v>
      </c>
      <c r="X10" s="4">
        <v>-2618.1493815899998</v>
      </c>
      <c r="Z10" s="4">
        <f>'[1]links-p0'!Y9</f>
        <v>2618.1735915726958</v>
      </c>
      <c r="AA10" s="4">
        <f t="shared" si="3"/>
        <v>-2618.1735915726958</v>
      </c>
    </row>
    <row r="11" spans="2:28" x14ac:dyDescent="0.35">
      <c r="B11" s="10">
        <f t="shared" si="4"/>
        <v>9</v>
      </c>
      <c r="C11" s="7">
        <v>-5000</v>
      </c>
      <c r="D11" s="2"/>
      <c r="E11" s="4">
        <f>'[1]links-p0'!Q10</f>
        <v>0</v>
      </c>
      <c r="F11" s="4">
        <f>'[1]links-p0'!R10</f>
        <v>5000</v>
      </c>
      <c r="G11" s="11">
        <f t="shared" si="0"/>
        <v>-5000</v>
      </c>
      <c r="I11" s="12">
        <v>9</v>
      </c>
      <c r="J11" s="7">
        <v>-3286.08996596</v>
      </c>
      <c r="L11" s="10">
        <f>'[1]links-p0'!M10</f>
        <v>0</v>
      </c>
      <c r="M11" s="7">
        <f>'[1]links-p0'!O10</f>
        <v>3500</v>
      </c>
      <c r="N11" s="11">
        <f t="shared" si="1"/>
        <v>-3500</v>
      </c>
      <c r="P11" s="4">
        <v>9</v>
      </c>
      <c r="Q11" s="4">
        <v>844.27428041999997</v>
      </c>
      <c r="S11" s="10">
        <f>'[1]links-p0'!N10</f>
        <v>1228.513711358954</v>
      </c>
      <c r="T11" s="7">
        <f>'[1]links-p0'!P10</f>
        <v>0</v>
      </c>
      <c r="U11" s="4">
        <f t="shared" si="2"/>
        <v>1228.513711358954</v>
      </c>
      <c r="W11" s="4">
        <v>9</v>
      </c>
      <c r="X11" s="4">
        <v>-2618.1493815899998</v>
      </c>
      <c r="Z11" s="4">
        <f>'[1]links-p0'!Y10</f>
        <v>2618.1735915726958</v>
      </c>
      <c r="AA11" s="4">
        <f t="shared" si="3"/>
        <v>-2618.1735915726958</v>
      </c>
    </row>
    <row r="12" spans="2:28" x14ac:dyDescent="0.35">
      <c r="B12" s="10">
        <f t="shared" si="4"/>
        <v>10</v>
      </c>
      <c r="C12" s="7">
        <v>-5000</v>
      </c>
      <c r="D12" s="2"/>
      <c r="E12" s="4">
        <f>'[1]links-p0'!Q11</f>
        <v>0</v>
      </c>
      <c r="F12" s="4">
        <f>'[1]links-p0'!R11</f>
        <v>5000</v>
      </c>
      <c r="G12" s="11">
        <f t="shared" si="0"/>
        <v>-5000</v>
      </c>
      <c r="I12" s="12">
        <v>10</v>
      </c>
      <c r="J12" s="7">
        <v>-3102.8425404300001</v>
      </c>
      <c r="L12" s="10">
        <f>'[1]links-p0'!M11</f>
        <v>0</v>
      </c>
      <c r="M12" s="7">
        <f>'[1]links-p0'!O11</f>
        <v>1300.3325433995999</v>
      </c>
      <c r="N12" s="11">
        <f t="shared" si="1"/>
        <v>-1300.3325433995999</v>
      </c>
      <c r="P12" s="4">
        <v>10</v>
      </c>
      <c r="Q12" s="4">
        <v>409.51428041999998</v>
      </c>
      <c r="S12" s="10">
        <f>'[1]links-p0'!N11</f>
        <v>582.76006835875774</v>
      </c>
      <c r="T12" s="7">
        <f>'[1]links-p0'!P11</f>
        <v>0</v>
      </c>
      <c r="U12" s="4">
        <f t="shared" si="2"/>
        <v>582.76006835875774</v>
      </c>
      <c r="W12" s="4">
        <v>10</v>
      </c>
      <c r="X12" s="4">
        <v>-2618.1493815899998</v>
      </c>
      <c r="Z12" s="4">
        <f>'[1]links-p0'!Y11</f>
        <v>1517.8</v>
      </c>
      <c r="AA12" s="4">
        <f t="shared" si="3"/>
        <v>-1517.8</v>
      </c>
    </row>
    <row r="13" spans="2:28" x14ac:dyDescent="0.35">
      <c r="B13" s="10">
        <f t="shared" si="4"/>
        <v>11</v>
      </c>
      <c r="C13" s="7">
        <v>578.16100895</v>
      </c>
      <c r="D13" s="2"/>
      <c r="E13" s="4">
        <f>'[1]links-p0'!Q12</f>
        <v>578.16100895</v>
      </c>
      <c r="F13" s="4">
        <f>'[1]links-p0'!R12</f>
        <v>0</v>
      </c>
      <c r="G13" s="11">
        <f t="shared" si="0"/>
        <v>578.16100895</v>
      </c>
      <c r="I13" s="12">
        <v>11</v>
      </c>
      <c r="J13" s="7">
        <v>-3447.3844978699999</v>
      </c>
      <c r="L13" s="10">
        <f>'[1]links-p0'!M12</f>
        <v>0</v>
      </c>
      <c r="M13" s="7">
        <f>'[1]links-p0'!O12</f>
        <v>3500</v>
      </c>
      <c r="N13" s="11">
        <f t="shared" si="1"/>
        <v>-3500</v>
      </c>
      <c r="P13" s="4">
        <v>11</v>
      </c>
      <c r="Q13" s="4">
        <v>-25.245719579999999</v>
      </c>
      <c r="S13" s="10">
        <f>'[1]links-p0'!N12</f>
        <v>0</v>
      </c>
      <c r="T13" s="7">
        <f>'[1]links-p0'!P12</f>
        <v>0</v>
      </c>
      <c r="U13" s="4">
        <f t="shared" si="2"/>
        <v>0</v>
      </c>
      <c r="W13" s="4">
        <v>11</v>
      </c>
      <c r="X13" s="4">
        <v>-1517.77579117</v>
      </c>
      <c r="Z13" s="4">
        <f>'[1]links-p0'!Y12</f>
        <v>1517.8</v>
      </c>
      <c r="AA13" s="4">
        <f t="shared" si="3"/>
        <v>-1517.8</v>
      </c>
    </row>
    <row r="14" spans="2:28" x14ac:dyDescent="0.35">
      <c r="B14" s="10">
        <f t="shared" si="4"/>
        <v>12</v>
      </c>
      <c r="C14" s="7">
        <v>5000</v>
      </c>
      <c r="D14" s="2"/>
      <c r="E14" s="4">
        <f>'[1]links-p0'!Q13</f>
        <v>5000</v>
      </c>
      <c r="F14" s="4">
        <f>'[1]links-p0'!R13</f>
        <v>0</v>
      </c>
      <c r="G14" s="11">
        <f t="shared" si="0"/>
        <v>5000</v>
      </c>
      <c r="I14" s="12">
        <v>12</v>
      </c>
      <c r="J14" s="7">
        <v>-3500</v>
      </c>
      <c r="L14" s="10">
        <f>'[1]links-p0'!M13</f>
        <v>0</v>
      </c>
      <c r="M14" s="7">
        <f>'[1]links-p0'!O13</f>
        <v>3500</v>
      </c>
      <c r="N14" s="11">
        <f t="shared" si="1"/>
        <v>-3500</v>
      </c>
      <c r="P14" s="4">
        <v>12</v>
      </c>
      <c r="Q14" s="4">
        <v>-460.00571958</v>
      </c>
      <c r="S14" s="10">
        <f>'[1]links-p0'!N13</f>
        <v>0</v>
      </c>
      <c r="T14" s="7">
        <f>'[1]links-p0'!P13</f>
        <v>0</v>
      </c>
      <c r="U14" s="4">
        <f t="shared" si="2"/>
        <v>0</v>
      </c>
      <c r="W14" s="4">
        <v>12</v>
      </c>
      <c r="X14" s="4">
        <v>-1517.77579117</v>
      </c>
      <c r="Z14" s="4">
        <f>'[1]links-p0'!Y13</f>
        <v>1517.8</v>
      </c>
      <c r="AA14" s="4">
        <f t="shared" si="3"/>
        <v>-1517.8</v>
      </c>
    </row>
    <row r="15" spans="2:28" x14ac:dyDescent="0.35">
      <c r="B15" s="10">
        <f t="shared" si="4"/>
        <v>13</v>
      </c>
      <c r="C15" s="7">
        <v>5000</v>
      </c>
      <c r="D15" s="2"/>
      <c r="E15" s="4">
        <f>'[1]links-p0'!Q14</f>
        <v>5000</v>
      </c>
      <c r="F15" s="4">
        <f>'[1]links-p0'!R14</f>
        <v>0</v>
      </c>
      <c r="G15" s="11">
        <f t="shared" si="0"/>
        <v>5000</v>
      </c>
      <c r="I15" s="12">
        <v>13</v>
      </c>
      <c r="J15" s="7">
        <v>-3500</v>
      </c>
      <c r="L15" s="10">
        <f>'[1]links-p0'!M14</f>
        <v>0</v>
      </c>
      <c r="M15" s="7">
        <f>'[1]links-p0'!O14</f>
        <v>3500</v>
      </c>
      <c r="N15" s="11">
        <f t="shared" si="1"/>
        <v>-3500</v>
      </c>
      <c r="P15" s="4">
        <v>13</v>
      </c>
      <c r="Q15" s="4">
        <v>-894.76571958</v>
      </c>
      <c r="S15" s="10">
        <f>'[1]links-p0'!N14</f>
        <v>0</v>
      </c>
      <c r="T15" s="7">
        <f>'[1]links-p0'!P14</f>
        <v>0</v>
      </c>
      <c r="U15" s="4">
        <f t="shared" si="2"/>
        <v>0</v>
      </c>
      <c r="W15" s="4">
        <v>13</v>
      </c>
      <c r="X15" s="4">
        <v>-1517.77579117</v>
      </c>
      <c r="Z15" s="4">
        <f>'[1]links-p0'!Y14</f>
        <v>1517.8</v>
      </c>
      <c r="AA15" s="4">
        <f t="shared" si="3"/>
        <v>-1517.8</v>
      </c>
    </row>
    <row r="16" spans="2:28" x14ac:dyDescent="0.35">
      <c r="B16" s="10">
        <f t="shared" si="4"/>
        <v>14</v>
      </c>
      <c r="C16" s="7">
        <v>5000</v>
      </c>
      <c r="D16" s="2"/>
      <c r="E16" s="4">
        <f>'[1]links-p0'!Q15</f>
        <v>5000</v>
      </c>
      <c r="F16" s="4">
        <f>'[1]links-p0'!R15</f>
        <v>0</v>
      </c>
      <c r="G16" s="11">
        <f t="shared" si="0"/>
        <v>5000</v>
      </c>
      <c r="I16" s="12">
        <v>14</v>
      </c>
      <c r="J16" s="7">
        <v>-3500</v>
      </c>
      <c r="L16" s="10">
        <f>'[1]links-p0'!M15</f>
        <v>0</v>
      </c>
      <c r="M16" s="7">
        <f>'[1]links-p0'!O15</f>
        <v>3500</v>
      </c>
      <c r="N16" s="11">
        <f t="shared" si="1"/>
        <v>-3500</v>
      </c>
      <c r="P16" s="4">
        <v>14</v>
      </c>
      <c r="Q16" s="4">
        <v>-1329.52571958</v>
      </c>
      <c r="S16" s="10">
        <f>'[1]links-p0'!N15</f>
        <v>0</v>
      </c>
      <c r="T16" s="7">
        <f>'[1]links-p0'!P15</f>
        <v>0</v>
      </c>
      <c r="U16" s="4">
        <f t="shared" si="2"/>
        <v>0</v>
      </c>
      <c r="W16" s="4">
        <v>14</v>
      </c>
      <c r="X16" s="4">
        <v>-1517.77579117</v>
      </c>
      <c r="Z16" s="4">
        <f>'[1]links-p0'!Y15</f>
        <v>1517.8</v>
      </c>
      <c r="AA16" s="4">
        <f t="shared" si="3"/>
        <v>-1517.8</v>
      </c>
    </row>
    <row r="17" spans="2:27" x14ac:dyDescent="0.35">
      <c r="B17" s="10">
        <f t="shared" si="4"/>
        <v>15</v>
      </c>
      <c r="C17" s="7">
        <v>5000</v>
      </c>
      <c r="D17" s="2"/>
      <c r="E17" s="4">
        <f>'[1]links-p0'!Q16</f>
        <v>5000</v>
      </c>
      <c r="F17" s="4">
        <f>'[1]links-p0'!R16</f>
        <v>0</v>
      </c>
      <c r="G17" s="11">
        <f t="shared" si="0"/>
        <v>5000</v>
      </c>
      <c r="I17" s="12">
        <v>15</v>
      </c>
      <c r="J17" s="7">
        <v>-3500</v>
      </c>
      <c r="L17" s="10">
        <f>'[1]links-p0'!M16</f>
        <v>0</v>
      </c>
      <c r="M17" s="7">
        <f>'[1]links-p0'!O16</f>
        <v>3500</v>
      </c>
      <c r="N17" s="11">
        <f t="shared" si="1"/>
        <v>-3500</v>
      </c>
      <c r="P17" s="4">
        <v>15</v>
      </c>
      <c r="Q17" s="4">
        <v>-1149.00535958</v>
      </c>
      <c r="S17" s="10">
        <f>'[1]links-p0'!N16</f>
        <v>0</v>
      </c>
      <c r="T17" s="7">
        <f>'[1]links-p0'!P16</f>
        <v>0</v>
      </c>
      <c r="U17" s="4">
        <f t="shared" si="2"/>
        <v>0</v>
      </c>
      <c r="W17" s="4">
        <v>15</v>
      </c>
      <c r="X17" s="4">
        <v>-1517.77579117</v>
      </c>
      <c r="Z17" s="4">
        <f>'[1]links-p0'!Y16</f>
        <v>1517.8</v>
      </c>
      <c r="AA17" s="4">
        <f t="shared" si="3"/>
        <v>-1517.8</v>
      </c>
    </row>
    <row r="18" spans="2:27" x14ac:dyDescent="0.35">
      <c r="B18" s="10">
        <f t="shared" si="4"/>
        <v>16</v>
      </c>
      <c r="C18" s="7">
        <v>5000</v>
      </c>
      <c r="D18" s="2"/>
      <c r="E18" s="4">
        <f>'[1]links-p0'!Q17</f>
        <v>5000</v>
      </c>
      <c r="F18" s="4">
        <f>'[1]links-p0'!R17</f>
        <v>0</v>
      </c>
      <c r="G18" s="11">
        <f t="shared" si="0"/>
        <v>5000</v>
      </c>
      <c r="I18" s="12">
        <v>16</v>
      </c>
      <c r="J18" s="7">
        <v>-3500</v>
      </c>
      <c r="L18" s="10">
        <f>'[1]links-p0'!M17</f>
        <v>0</v>
      </c>
      <c r="M18" s="7">
        <f>'[1]links-p0'!O17</f>
        <v>3500</v>
      </c>
      <c r="N18" s="11">
        <f t="shared" si="1"/>
        <v>-3500</v>
      </c>
      <c r="P18" s="4">
        <v>16</v>
      </c>
      <c r="Q18" s="4">
        <v>-714.24535958000001</v>
      </c>
      <c r="S18" s="10">
        <f>'[1]links-p0'!N17</f>
        <v>0</v>
      </c>
      <c r="T18" s="7">
        <f>'[1]links-p0'!P17</f>
        <v>0</v>
      </c>
      <c r="U18" s="4">
        <f t="shared" si="2"/>
        <v>0</v>
      </c>
      <c r="W18" s="4">
        <v>16</v>
      </c>
      <c r="X18" s="4">
        <v>-1517.77579117</v>
      </c>
      <c r="Z18" s="4">
        <f>'[1]links-p0'!Y17</f>
        <v>1517.8</v>
      </c>
      <c r="AA18" s="4">
        <f t="shared" si="3"/>
        <v>-1517.8</v>
      </c>
    </row>
    <row r="19" spans="2:27" x14ac:dyDescent="0.35">
      <c r="B19" s="10">
        <f t="shared" si="4"/>
        <v>17</v>
      </c>
      <c r="C19" s="7">
        <v>0</v>
      </c>
      <c r="D19" s="2"/>
      <c r="E19" s="4">
        <f>'[1]links-p0'!Q18</f>
        <v>0</v>
      </c>
      <c r="F19" s="4">
        <f>'[1]links-p0'!R18</f>
        <v>0</v>
      </c>
      <c r="G19" s="11">
        <f t="shared" si="0"/>
        <v>0</v>
      </c>
      <c r="I19" s="12">
        <v>17</v>
      </c>
      <c r="J19" s="7">
        <v>-1527.2423872300001</v>
      </c>
      <c r="L19" s="10">
        <f>'[1]links-p0'!M18</f>
        <v>0</v>
      </c>
      <c r="M19" s="7">
        <f>'[1]links-p0'!O18</f>
        <v>3500</v>
      </c>
      <c r="N19" s="11">
        <f t="shared" si="1"/>
        <v>-3500</v>
      </c>
      <c r="P19" s="4">
        <v>17</v>
      </c>
      <c r="Q19" s="4">
        <v>-279.48535958000002</v>
      </c>
      <c r="S19" s="10">
        <f>'[1]links-p0'!N18</f>
        <v>0</v>
      </c>
      <c r="T19" s="7">
        <f>'[1]links-p0'!P18</f>
        <v>0</v>
      </c>
      <c r="U19" s="4">
        <f t="shared" si="2"/>
        <v>0</v>
      </c>
      <c r="W19" s="4">
        <v>17</v>
      </c>
      <c r="X19" s="4">
        <v>-1517.77579117</v>
      </c>
      <c r="Z19" s="4">
        <f>'[1]links-p0'!Y18</f>
        <v>1517.8</v>
      </c>
      <c r="AA19" s="4">
        <f t="shared" si="3"/>
        <v>-1517.8</v>
      </c>
    </row>
    <row r="20" spans="2:27" x14ac:dyDescent="0.35">
      <c r="B20" s="10">
        <f t="shared" si="4"/>
        <v>18</v>
      </c>
      <c r="C20" s="7">
        <v>-5000</v>
      </c>
      <c r="D20" s="2"/>
      <c r="E20" s="4">
        <f>'[1]links-p0'!Q19</f>
        <v>0</v>
      </c>
      <c r="F20" s="4">
        <f>'[1]links-p0'!R19</f>
        <v>5000</v>
      </c>
      <c r="G20" s="11">
        <f t="shared" si="0"/>
        <v>-5000</v>
      </c>
      <c r="I20" s="12">
        <v>18</v>
      </c>
      <c r="J20" s="7">
        <v>-3500</v>
      </c>
      <c r="L20" s="10">
        <f>'[1]links-p0'!M19</f>
        <v>0</v>
      </c>
      <c r="M20" s="7">
        <f>'[1]links-p0'!O19</f>
        <v>3500</v>
      </c>
      <c r="N20" s="11">
        <f t="shared" si="1"/>
        <v>-3500</v>
      </c>
      <c r="P20" s="4">
        <v>18</v>
      </c>
      <c r="Q20" s="4">
        <v>155.27464042</v>
      </c>
      <c r="S20" s="10">
        <f>'[1]links-p0'!N19</f>
        <v>96.817269199139218</v>
      </c>
      <c r="T20" s="7">
        <f>'[1]links-p0'!P19</f>
        <v>0</v>
      </c>
      <c r="U20" s="4">
        <f t="shared" si="2"/>
        <v>96.817269199139218</v>
      </c>
      <c r="W20" s="4">
        <v>18</v>
      </c>
      <c r="X20" s="4">
        <v>-2618.1493815899998</v>
      </c>
      <c r="Z20" s="4">
        <f>'[1]links-p0'!Y19</f>
        <v>2209.3621904054771</v>
      </c>
      <c r="AA20" s="4">
        <f t="shared" si="3"/>
        <v>-2209.3621904054771</v>
      </c>
    </row>
    <row r="21" spans="2:27" x14ac:dyDescent="0.35">
      <c r="B21" s="10">
        <f t="shared" si="4"/>
        <v>19</v>
      </c>
      <c r="C21" s="7">
        <v>-5000</v>
      </c>
      <c r="D21" s="2"/>
      <c r="E21" s="4">
        <f>'[1]links-p0'!Q20</f>
        <v>0</v>
      </c>
      <c r="F21" s="4">
        <f>'[1]links-p0'!R20</f>
        <v>5000</v>
      </c>
      <c r="G21" s="11">
        <f t="shared" si="0"/>
        <v>-5000</v>
      </c>
      <c r="I21" s="12">
        <v>19</v>
      </c>
      <c r="J21" s="7">
        <v>-3500</v>
      </c>
      <c r="L21" s="10">
        <f>'[1]links-p0'!M20</f>
        <v>0</v>
      </c>
      <c r="M21" s="7">
        <f>'[1]links-p0'!O20</f>
        <v>3500</v>
      </c>
      <c r="N21" s="11">
        <f t="shared" si="1"/>
        <v>-3500</v>
      </c>
      <c r="P21" s="4">
        <v>19</v>
      </c>
      <c r="Q21" s="4">
        <v>590.03464041999996</v>
      </c>
      <c r="S21" s="10">
        <f>'[1]links-p0'!N20</f>
        <v>1054.2675555941</v>
      </c>
      <c r="T21" s="7">
        <f>'[1]links-p0'!P20</f>
        <v>0</v>
      </c>
      <c r="U21" s="4">
        <f t="shared" si="2"/>
        <v>1054.2675555941</v>
      </c>
      <c r="W21" s="4">
        <v>19</v>
      </c>
      <c r="X21" s="4">
        <v>-2618.1493815899998</v>
      </c>
      <c r="Z21" s="4">
        <f>'[1]links-p0'!Y20</f>
        <v>2618.1735915726958</v>
      </c>
      <c r="AA21" s="4">
        <f t="shared" si="3"/>
        <v>-2618.1735915726958</v>
      </c>
    </row>
    <row r="22" spans="2:27" x14ac:dyDescent="0.35">
      <c r="B22" s="10">
        <f t="shared" si="4"/>
        <v>20</v>
      </c>
      <c r="C22" s="7">
        <v>-5000</v>
      </c>
      <c r="D22" s="2"/>
      <c r="E22" s="4">
        <f>'[1]links-p0'!Q21</f>
        <v>0</v>
      </c>
      <c r="F22" s="4">
        <f>'[1]links-p0'!R21</f>
        <v>5000</v>
      </c>
      <c r="G22" s="11">
        <f t="shared" si="0"/>
        <v>-5000</v>
      </c>
      <c r="I22" s="12">
        <v>20</v>
      </c>
      <c r="J22" s="7">
        <v>-3500</v>
      </c>
      <c r="L22" s="10">
        <f>'[1]links-p0'!M21</f>
        <v>0</v>
      </c>
      <c r="M22" s="7">
        <f>'[1]links-p0'!O21</f>
        <v>3500</v>
      </c>
      <c r="N22" s="11">
        <f t="shared" si="1"/>
        <v>-3500</v>
      </c>
      <c r="P22" s="4">
        <v>20</v>
      </c>
      <c r="Q22" s="4">
        <v>386.34811966000001</v>
      </c>
      <c r="S22" s="10">
        <f>'[1]links-p0'!N21</f>
        <v>873.6133942525953</v>
      </c>
      <c r="T22" s="7">
        <f>'[1]links-p0'!P21</f>
        <v>0</v>
      </c>
      <c r="U22" s="4">
        <f t="shared" si="2"/>
        <v>873.6133942525953</v>
      </c>
      <c r="W22" s="4">
        <v>20</v>
      </c>
      <c r="X22" s="4">
        <v>-2618.1493815899998</v>
      </c>
      <c r="Z22" s="4">
        <f>'[1]links-p0'!Y21</f>
        <v>2618.1735915726958</v>
      </c>
      <c r="AA22" s="4">
        <f t="shared" si="3"/>
        <v>-2618.1735915726958</v>
      </c>
    </row>
    <row r="23" spans="2:27" x14ac:dyDescent="0.35">
      <c r="B23" s="10">
        <f t="shared" si="4"/>
        <v>21</v>
      </c>
      <c r="C23" s="7">
        <v>-5000</v>
      </c>
      <c r="D23" s="2"/>
      <c r="E23" s="4">
        <f>'[1]links-p0'!Q22</f>
        <v>0</v>
      </c>
      <c r="F23" s="4">
        <f>'[1]links-p0'!R22</f>
        <v>5000</v>
      </c>
      <c r="G23" s="11">
        <f t="shared" si="0"/>
        <v>-5000</v>
      </c>
      <c r="I23" s="12">
        <v>21</v>
      </c>
      <c r="J23" s="7">
        <v>-1054.0725276600001</v>
      </c>
      <c r="L23" s="10">
        <f>'[1]links-p0'!M22</f>
        <v>0</v>
      </c>
      <c r="M23" s="7">
        <f>'[1]links-p0'!O22</f>
        <v>3500</v>
      </c>
      <c r="N23" s="11">
        <f t="shared" si="1"/>
        <v>-3500</v>
      </c>
      <c r="P23" s="4">
        <v>21</v>
      </c>
      <c r="Q23" s="4">
        <v>252.75928916000001</v>
      </c>
      <c r="S23" s="10">
        <f>'[1]links-p0'!N22</f>
        <v>750.37267056972189</v>
      </c>
      <c r="T23" s="7">
        <f>'[1]links-p0'!P22</f>
        <v>0</v>
      </c>
      <c r="U23" s="4">
        <f t="shared" si="2"/>
        <v>750.37267056972189</v>
      </c>
      <c r="W23" s="4">
        <v>21</v>
      </c>
      <c r="X23" s="4">
        <v>-2618.1493815899998</v>
      </c>
      <c r="Z23" s="4">
        <f>'[1]links-p0'!Y22</f>
        <v>2618.1735915726958</v>
      </c>
      <c r="AA23" s="4">
        <f t="shared" si="3"/>
        <v>-2618.1735915726958</v>
      </c>
    </row>
    <row r="24" spans="2:27" x14ac:dyDescent="0.35">
      <c r="B24" s="10">
        <f t="shared" si="4"/>
        <v>22</v>
      </c>
      <c r="C24" s="7">
        <v>-5000</v>
      </c>
      <c r="D24" s="2"/>
      <c r="E24" s="4">
        <f>'[1]links-p0'!Q23</f>
        <v>0</v>
      </c>
      <c r="F24" s="4">
        <f>'[1]links-p0'!R23</f>
        <v>5000</v>
      </c>
      <c r="G24" s="11">
        <f t="shared" si="0"/>
        <v>-5000</v>
      </c>
      <c r="I24" s="12">
        <v>22</v>
      </c>
      <c r="J24" s="7">
        <v>-3500</v>
      </c>
      <c r="L24" s="10">
        <f>'[1]links-p0'!M23</f>
        <v>0</v>
      </c>
      <c r="M24" s="7">
        <f>'[1]links-p0'!O23</f>
        <v>3500</v>
      </c>
      <c r="N24" s="11">
        <f t="shared" si="1"/>
        <v>-3500</v>
      </c>
      <c r="P24" s="4">
        <v>22</v>
      </c>
      <c r="Q24" s="4">
        <v>156.18280879</v>
      </c>
      <c r="S24" s="10">
        <f>'[1]links-p0'!N23</f>
        <v>660.32961828724342</v>
      </c>
      <c r="T24" s="7">
        <f>'[1]links-p0'!P23</f>
        <v>0</v>
      </c>
      <c r="U24" s="4">
        <f t="shared" si="2"/>
        <v>660.32961828724342</v>
      </c>
      <c r="W24" s="4">
        <v>22</v>
      </c>
      <c r="X24" s="4">
        <v>-2618.1493815899998</v>
      </c>
      <c r="Z24" s="4">
        <f>'[1]links-p0'!Y23</f>
        <v>2618.1735915726958</v>
      </c>
      <c r="AA24" s="4">
        <f t="shared" si="3"/>
        <v>-2618.1735915726958</v>
      </c>
    </row>
    <row r="25" spans="2:27" x14ac:dyDescent="0.35">
      <c r="B25" s="10">
        <f t="shared" si="4"/>
        <v>23</v>
      </c>
      <c r="C25" s="7">
        <v>-5000</v>
      </c>
      <c r="D25" s="2"/>
      <c r="E25" s="4">
        <f>'[1]links-p0'!Q24</f>
        <v>0</v>
      </c>
      <c r="F25" s="4">
        <f>'[1]links-p0'!R24</f>
        <v>5000</v>
      </c>
      <c r="G25" s="11">
        <f t="shared" si="0"/>
        <v>-5000</v>
      </c>
      <c r="I25" s="12">
        <v>23</v>
      </c>
      <c r="J25" s="7">
        <v>-1843.3974944700001</v>
      </c>
      <c r="L25" s="10">
        <f>'[1]links-p0'!M24</f>
        <v>0</v>
      </c>
      <c r="M25" s="7">
        <f>'[1]links-p0'!O24</f>
        <v>3500</v>
      </c>
      <c r="N25" s="11">
        <f t="shared" si="1"/>
        <v>-3500</v>
      </c>
      <c r="P25" s="4">
        <v>23</v>
      </c>
      <c r="Q25" s="4">
        <v>143.54967852999999</v>
      </c>
      <c r="S25" s="10">
        <f>'[1]links-p0'!N24</f>
        <v>634.48046958019836</v>
      </c>
      <c r="T25" s="7">
        <f>'[1]links-p0'!P24</f>
        <v>0</v>
      </c>
      <c r="U25" s="4">
        <f t="shared" si="2"/>
        <v>634.48046958019836</v>
      </c>
      <c r="W25" s="4">
        <v>23</v>
      </c>
      <c r="X25" s="4">
        <v>-2618.1493815899998</v>
      </c>
      <c r="Z25" s="4">
        <f>'[1]links-p0'!Y24</f>
        <v>2618.1735915726958</v>
      </c>
      <c r="AA25" s="4">
        <f t="shared" si="3"/>
        <v>-2618.1735915726958</v>
      </c>
    </row>
    <row r="26" spans="2:27" x14ac:dyDescent="0.35">
      <c r="B26" s="10">
        <f t="shared" si="4"/>
        <v>24</v>
      </c>
      <c r="C26" s="7">
        <v>-5000</v>
      </c>
      <c r="D26" s="2"/>
      <c r="E26" s="4">
        <f>'[1]links-p0'!Q25</f>
        <v>0</v>
      </c>
      <c r="F26" s="4">
        <f>'[1]links-p0'!R25</f>
        <v>5000</v>
      </c>
      <c r="G26" s="11">
        <f t="shared" si="0"/>
        <v>-5000</v>
      </c>
      <c r="I26" s="12">
        <v>24</v>
      </c>
      <c r="J26" s="7">
        <v>-2117.35048633</v>
      </c>
      <c r="L26" s="10">
        <f>'[1]links-p0'!M25</f>
        <v>0</v>
      </c>
      <c r="M26" s="7">
        <f>'[1]links-p0'!O25</f>
        <v>3500</v>
      </c>
      <c r="N26" s="11">
        <f t="shared" si="1"/>
        <v>-3500</v>
      </c>
      <c r="P26" s="4">
        <v>24</v>
      </c>
      <c r="Q26" s="4">
        <v>195.84685852999999</v>
      </c>
      <c r="S26" s="10">
        <f>'[1]links-p0'!N25</f>
        <v>669.02125504385629</v>
      </c>
      <c r="T26" s="7">
        <f>'[1]links-p0'!P25</f>
        <v>0</v>
      </c>
      <c r="U26" s="4">
        <f t="shared" si="2"/>
        <v>669.02125504385629</v>
      </c>
      <c r="W26" s="4">
        <v>24</v>
      </c>
      <c r="X26" s="4">
        <v>-2618.1493815899998</v>
      </c>
      <c r="Z26" s="4">
        <f>'[1]links-p0'!Y25</f>
        <v>2618.1735915726958</v>
      </c>
      <c r="AA26" s="4">
        <f t="shared" si="3"/>
        <v>-2618.1735915726958</v>
      </c>
    </row>
    <row r="27" spans="2:27" x14ac:dyDescent="0.35">
      <c r="B27" s="10">
        <f t="shared" si="4"/>
        <v>25</v>
      </c>
      <c r="C27" s="7">
        <v>-5000</v>
      </c>
      <c r="D27" s="2"/>
      <c r="E27" s="4">
        <f>'[1]links-p0'!Q26</f>
        <v>0</v>
      </c>
      <c r="F27" s="4">
        <f>'[1]links-p0'!R26</f>
        <v>5000</v>
      </c>
      <c r="G27" s="11">
        <f t="shared" si="0"/>
        <v>-5000</v>
      </c>
      <c r="I27" s="12">
        <v>25</v>
      </c>
      <c r="J27" s="7">
        <v>-860.67870935999997</v>
      </c>
      <c r="L27" s="10">
        <f>'[1]links-p0'!M26</f>
        <v>0</v>
      </c>
      <c r="M27" s="7">
        <f>'[1]links-p0'!O26</f>
        <v>3500</v>
      </c>
      <c r="N27" s="11">
        <f t="shared" si="1"/>
        <v>-3500</v>
      </c>
      <c r="P27" s="4">
        <v>25</v>
      </c>
      <c r="Q27" s="4">
        <v>247.99888973</v>
      </c>
      <c r="S27" s="10">
        <f>'[1]links-p0'!N26</f>
        <v>674.58755651502406</v>
      </c>
      <c r="T27" s="7">
        <f>'[1]links-p0'!P26</f>
        <v>0</v>
      </c>
      <c r="U27" s="4">
        <f t="shared" si="2"/>
        <v>674.58755651502406</v>
      </c>
      <c r="W27" s="4">
        <v>25</v>
      </c>
      <c r="X27" s="4">
        <v>-2710.9560965000001</v>
      </c>
      <c r="Z27" s="4">
        <f>'[1]links-p0'!Y26</f>
        <v>2710.9803065799151</v>
      </c>
      <c r="AA27" s="4">
        <f t="shared" si="3"/>
        <v>-2710.9803065799151</v>
      </c>
    </row>
    <row r="28" spans="2:27" x14ac:dyDescent="0.35">
      <c r="B28" s="10">
        <f t="shared" si="4"/>
        <v>26</v>
      </c>
      <c r="C28" s="7">
        <v>-5000</v>
      </c>
      <c r="D28" s="2"/>
      <c r="E28" s="4">
        <f>'[1]links-p0'!Q27</f>
        <v>0</v>
      </c>
      <c r="F28" s="4">
        <f>'[1]links-p0'!R27</f>
        <v>5000</v>
      </c>
      <c r="G28" s="11">
        <f t="shared" si="0"/>
        <v>-5000</v>
      </c>
      <c r="I28" s="12">
        <v>26</v>
      </c>
      <c r="J28" s="7">
        <v>-972.71159252999996</v>
      </c>
      <c r="L28" s="10">
        <f>'[1]links-p0'!M27</f>
        <v>0</v>
      </c>
      <c r="M28" s="7">
        <f>'[1]links-p0'!O27</f>
        <v>3500</v>
      </c>
      <c r="N28" s="11">
        <f t="shared" si="1"/>
        <v>-3500</v>
      </c>
      <c r="P28" s="4">
        <v>26</v>
      </c>
      <c r="Q28" s="4">
        <v>304.26993972999998</v>
      </c>
      <c r="S28" s="10">
        <f>'[1]links-p0'!N27</f>
        <v>711.75253960239093</v>
      </c>
      <c r="T28" s="7">
        <f>'[1]links-p0'!P27</f>
        <v>0</v>
      </c>
      <c r="U28" s="4">
        <f t="shared" si="2"/>
        <v>711.75253960239093</v>
      </c>
      <c r="W28" s="4">
        <v>26</v>
      </c>
      <c r="X28" s="4">
        <v>-2710.9560965000001</v>
      </c>
      <c r="Z28" s="4">
        <f>'[1]links-p0'!Y27</f>
        <v>2710.9803065799151</v>
      </c>
      <c r="AA28" s="4">
        <f t="shared" si="3"/>
        <v>-2710.9803065799151</v>
      </c>
    </row>
    <row r="29" spans="2:27" x14ac:dyDescent="0.35">
      <c r="B29" s="10">
        <f t="shared" si="4"/>
        <v>27</v>
      </c>
      <c r="C29" s="7">
        <v>-5000</v>
      </c>
      <c r="D29" s="2"/>
      <c r="E29" s="4">
        <f>'[1]links-p0'!Q28</f>
        <v>0</v>
      </c>
      <c r="F29" s="4">
        <f>'[1]links-p0'!R28</f>
        <v>5000</v>
      </c>
      <c r="G29" s="11">
        <f t="shared" si="0"/>
        <v>-5000</v>
      </c>
      <c r="I29" s="12">
        <v>27</v>
      </c>
      <c r="J29" s="7">
        <v>-2126.45227802</v>
      </c>
      <c r="L29" s="10">
        <f>'[1]links-p0'!M28</f>
        <v>0</v>
      </c>
      <c r="M29" s="7">
        <f>'[1]links-p0'!O28</f>
        <v>3500</v>
      </c>
      <c r="N29" s="11">
        <f t="shared" si="1"/>
        <v>-3500</v>
      </c>
      <c r="P29" s="4">
        <v>27</v>
      </c>
      <c r="Q29" s="4">
        <v>369.11494972999998</v>
      </c>
      <c r="S29" s="10">
        <f>'[1]links-p0'!N28</f>
        <v>754.58062959829988</v>
      </c>
      <c r="T29" s="7">
        <f>'[1]links-p0'!P28</f>
        <v>0</v>
      </c>
      <c r="U29" s="4">
        <f t="shared" si="2"/>
        <v>754.58062959829988</v>
      </c>
      <c r="W29" s="4">
        <v>27</v>
      </c>
      <c r="X29" s="4">
        <v>-2710.9560965000001</v>
      </c>
      <c r="Z29" s="4">
        <f>'[1]links-p0'!Y28</f>
        <v>2710.9803065799151</v>
      </c>
      <c r="AA29" s="4">
        <f t="shared" si="3"/>
        <v>-2710.9803065799151</v>
      </c>
    </row>
    <row r="30" spans="2:27" x14ac:dyDescent="0.35">
      <c r="B30" s="10">
        <f t="shared" si="4"/>
        <v>28</v>
      </c>
      <c r="C30" s="7">
        <v>-5000</v>
      </c>
      <c r="D30" s="2"/>
      <c r="E30" s="4">
        <f>'[1]links-p0'!Q29</f>
        <v>0</v>
      </c>
      <c r="F30" s="4">
        <f>'[1]links-p0'!R29</f>
        <v>5000</v>
      </c>
      <c r="G30" s="11">
        <f t="shared" si="0"/>
        <v>-5000</v>
      </c>
      <c r="I30" s="12">
        <v>28</v>
      </c>
      <c r="J30" s="7">
        <v>-2666.8125878599999</v>
      </c>
      <c r="L30" s="10">
        <f>'[1]links-p0'!M29</f>
        <v>0</v>
      </c>
      <c r="M30" s="7">
        <f>'[1]links-p0'!O29</f>
        <v>3500</v>
      </c>
      <c r="N30" s="11">
        <f t="shared" si="1"/>
        <v>-3500</v>
      </c>
      <c r="P30" s="4">
        <v>28</v>
      </c>
      <c r="Q30" s="4">
        <v>426.39135972999998</v>
      </c>
      <c r="S30" s="10">
        <f>'[1]links-p0'!N29</f>
        <v>792.40970930638764</v>
      </c>
      <c r="T30" s="7">
        <f>'[1]links-p0'!P29</f>
        <v>0</v>
      </c>
      <c r="U30" s="4">
        <f t="shared" si="2"/>
        <v>792.40970930638764</v>
      </c>
      <c r="W30" s="4">
        <v>28</v>
      </c>
      <c r="X30" s="4">
        <v>-2710.9560965000001</v>
      </c>
      <c r="Z30" s="4">
        <f>'[1]links-p0'!Y29</f>
        <v>2710.9803065799151</v>
      </c>
      <c r="AA30" s="4">
        <f t="shared" si="3"/>
        <v>-2710.9803065799151</v>
      </c>
    </row>
    <row r="31" spans="2:27" x14ac:dyDescent="0.35">
      <c r="B31" s="10">
        <f t="shared" si="4"/>
        <v>29</v>
      </c>
      <c r="C31" s="7">
        <v>-5000</v>
      </c>
      <c r="D31" s="2"/>
      <c r="E31" s="4">
        <f>'[1]links-p0'!Q30</f>
        <v>0</v>
      </c>
      <c r="F31" s="4">
        <f>'[1]links-p0'!R30</f>
        <v>5000</v>
      </c>
      <c r="G31" s="11">
        <f t="shared" si="0"/>
        <v>-5000</v>
      </c>
      <c r="I31" s="12">
        <v>29</v>
      </c>
      <c r="J31" s="7">
        <v>-3496.0209702100001</v>
      </c>
      <c r="L31" s="10">
        <f>'[1]links-p0'!M30</f>
        <v>0</v>
      </c>
      <c r="M31" s="7">
        <f>'[1]links-p0'!O30</f>
        <v>3500</v>
      </c>
      <c r="N31" s="11">
        <f t="shared" si="1"/>
        <v>-3500</v>
      </c>
      <c r="P31" s="4">
        <v>29</v>
      </c>
      <c r="Q31" s="4">
        <v>474.44841973000001</v>
      </c>
      <c r="S31" s="10">
        <f>'[1]links-p0'!N30</f>
        <v>824.14945757986607</v>
      </c>
      <c r="T31" s="7">
        <f>'[1]links-p0'!P30</f>
        <v>0</v>
      </c>
      <c r="U31" s="4">
        <f t="shared" si="2"/>
        <v>824.14945757986607</v>
      </c>
      <c r="W31" s="4">
        <v>29</v>
      </c>
      <c r="X31" s="4">
        <v>-2710.9560965000001</v>
      </c>
      <c r="Z31" s="4">
        <f>'[1]links-p0'!Y30</f>
        <v>2710.9803065799151</v>
      </c>
      <c r="AA31" s="4">
        <f t="shared" si="3"/>
        <v>-2710.9803065799151</v>
      </c>
    </row>
    <row r="32" spans="2:27" x14ac:dyDescent="0.35">
      <c r="B32" s="10">
        <f t="shared" si="4"/>
        <v>30</v>
      </c>
      <c r="C32" s="7">
        <v>-5000</v>
      </c>
      <c r="D32" s="2"/>
      <c r="E32" s="4">
        <f>'[1]links-p0'!Q31</f>
        <v>0</v>
      </c>
      <c r="F32" s="4">
        <f>'[1]links-p0'!R31</f>
        <v>5000</v>
      </c>
      <c r="G32" s="11">
        <f t="shared" si="0"/>
        <v>-5000</v>
      </c>
      <c r="I32" s="12">
        <v>30</v>
      </c>
      <c r="J32" s="7">
        <v>-3452.89829319</v>
      </c>
      <c r="L32" s="10">
        <f>'[1]links-p0'!M31</f>
        <v>0</v>
      </c>
      <c r="M32" s="7">
        <f>'[1]links-p0'!O31</f>
        <v>3500</v>
      </c>
      <c r="N32" s="11">
        <f t="shared" si="1"/>
        <v>-3500</v>
      </c>
      <c r="P32" s="4">
        <v>30</v>
      </c>
      <c r="Q32" s="4">
        <v>627.05501620999996</v>
      </c>
      <c r="S32" s="10">
        <f>'[1]links-p0'!N31</f>
        <v>958.20058041595519</v>
      </c>
      <c r="T32" s="7">
        <f>'[1]links-p0'!P31</f>
        <v>0</v>
      </c>
      <c r="U32" s="4">
        <f t="shared" si="2"/>
        <v>958.20058041595519</v>
      </c>
      <c r="W32" s="4">
        <v>30</v>
      </c>
      <c r="X32" s="4">
        <v>-2710.9560965000001</v>
      </c>
      <c r="Z32" s="4">
        <f>'[1]links-p0'!Y31</f>
        <v>2710.9803065799151</v>
      </c>
      <c r="AA32" s="4">
        <f t="shared" si="3"/>
        <v>-2710.9803065799151</v>
      </c>
    </row>
    <row r="33" spans="2:27" x14ac:dyDescent="0.35">
      <c r="B33" s="10">
        <f t="shared" si="4"/>
        <v>31</v>
      </c>
      <c r="C33" s="7">
        <v>-5000</v>
      </c>
      <c r="D33" s="2"/>
      <c r="E33" s="4">
        <f>'[1]links-p0'!Q32</f>
        <v>0</v>
      </c>
      <c r="F33" s="4">
        <f>'[1]links-p0'!R32</f>
        <v>5000</v>
      </c>
      <c r="G33" s="11">
        <f t="shared" si="0"/>
        <v>-5000</v>
      </c>
      <c r="I33" s="12">
        <v>31</v>
      </c>
      <c r="J33" s="7">
        <v>-3500</v>
      </c>
      <c r="L33" s="10">
        <f>'[1]links-p0'!M32</f>
        <v>0</v>
      </c>
      <c r="M33" s="7">
        <f>'[1]links-p0'!O32</f>
        <v>3500</v>
      </c>
      <c r="N33" s="11">
        <f t="shared" si="1"/>
        <v>-3500</v>
      </c>
      <c r="P33" s="4">
        <v>31</v>
      </c>
      <c r="Q33" s="4">
        <v>747.96224268000003</v>
      </c>
      <c r="S33" s="10">
        <f>'[1]links-p0'!N32</f>
        <v>1071.3151122388899</v>
      </c>
      <c r="T33" s="7">
        <f>'[1]links-p0'!P32</f>
        <v>0</v>
      </c>
      <c r="U33" s="4">
        <f t="shared" si="2"/>
        <v>1071.3151122388899</v>
      </c>
      <c r="W33" s="4">
        <v>31</v>
      </c>
      <c r="X33" s="4">
        <v>-2710.9560965000001</v>
      </c>
      <c r="Z33" s="4">
        <f>'[1]links-p0'!Y32</f>
        <v>2710.9803065799151</v>
      </c>
      <c r="AA33" s="4">
        <f t="shared" si="3"/>
        <v>-2710.9803065799151</v>
      </c>
    </row>
    <row r="34" spans="2:27" x14ac:dyDescent="0.35">
      <c r="B34" s="10">
        <f t="shared" si="4"/>
        <v>32</v>
      </c>
      <c r="C34" s="7">
        <v>-5000</v>
      </c>
      <c r="D34" s="2"/>
      <c r="E34" s="4">
        <f>'[1]links-p0'!Q33</f>
        <v>0</v>
      </c>
      <c r="F34" s="4">
        <f>'[1]links-p0'!R33</f>
        <v>5000</v>
      </c>
      <c r="G34" s="11">
        <f t="shared" si="0"/>
        <v>-5000</v>
      </c>
      <c r="I34" s="12">
        <v>32</v>
      </c>
      <c r="J34" s="7">
        <v>-3500</v>
      </c>
      <c r="L34" s="10">
        <f>'[1]links-p0'!M33</f>
        <v>0</v>
      </c>
      <c r="M34" s="7">
        <f>'[1]links-p0'!O33</f>
        <v>3500</v>
      </c>
      <c r="N34" s="11">
        <f t="shared" si="1"/>
        <v>-3500</v>
      </c>
      <c r="P34" s="4">
        <v>32</v>
      </c>
      <c r="Q34" s="4">
        <v>822.45505513000001</v>
      </c>
      <c r="S34" s="10">
        <f>'[1]links-p0'!N33</f>
        <v>1152.0243094777879</v>
      </c>
      <c r="T34" s="7">
        <f>'[1]links-p0'!P33</f>
        <v>0</v>
      </c>
      <c r="U34" s="4">
        <f t="shared" si="2"/>
        <v>1152.0243094777879</v>
      </c>
      <c r="W34" s="4">
        <v>32</v>
      </c>
      <c r="X34" s="4">
        <v>-2710.9560965000001</v>
      </c>
      <c r="Z34" s="4">
        <f>'[1]links-p0'!Y33</f>
        <v>2710.9803065799151</v>
      </c>
      <c r="AA34" s="4">
        <f t="shared" si="3"/>
        <v>-2710.9803065799151</v>
      </c>
    </row>
    <row r="35" spans="2:27" x14ac:dyDescent="0.35">
      <c r="B35" s="10">
        <f t="shared" si="4"/>
        <v>33</v>
      </c>
      <c r="C35" s="7">
        <v>-5000</v>
      </c>
      <c r="D35" s="2"/>
      <c r="E35" s="4">
        <f>'[1]links-p0'!Q34</f>
        <v>0</v>
      </c>
      <c r="F35" s="4">
        <f>'[1]links-p0'!R34</f>
        <v>5000</v>
      </c>
      <c r="G35" s="11">
        <f t="shared" si="0"/>
        <v>-5000</v>
      </c>
      <c r="I35" s="12">
        <v>33</v>
      </c>
      <c r="J35" s="7">
        <v>-2539.9379867600001</v>
      </c>
      <c r="L35" s="10">
        <f>'[1]links-p0'!M34</f>
        <v>0</v>
      </c>
      <c r="M35" s="7">
        <f>'[1]links-p0'!O34</f>
        <v>3500</v>
      </c>
      <c r="N35" s="11">
        <f t="shared" si="1"/>
        <v>-3500</v>
      </c>
      <c r="P35" s="4">
        <v>33</v>
      </c>
      <c r="Q35" s="4">
        <v>893.04671160999999</v>
      </c>
      <c r="S35" s="10">
        <f>'[1]links-p0'!N34</f>
        <v>1231.863563242305</v>
      </c>
      <c r="T35" s="7">
        <f>'[1]links-p0'!P34</f>
        <v>0</v>
      </c>
      <c r="U35" s="4">
        <f t="shared" si="2"/>
        <v>1231.863563242305</v>
      </c>
      <c r="W35" s="4">
        <v>33</v>
      </c>
      <c r="X35" s="4">
        <v>-2710.9560965000001</v>
      </c>
      <c r="Z35" s="4">
        <f>'[1]links-p0'!Y34</f>
        <v>2710.9803065799151</v>
      </c>
      <c r="AA35" s="4">
        <f t="shared" si="3"/>
        <v>-2710.9803065799151</v>
      </c>
    </row>
    <row r="36" spans="2:27" x14ac:dyDescent="0.35">
      <c r="B36" s="10">
        <f t="shared" si="4"/>
        <v>34</v>
      </c>
      <c r="C36" s="7">
        <v>-5000</v>
      </c>
      <c r="D36" s="2"/>
      <c r="E36" s="4">
        <f>'[1]links-p0'!Q35</f>
        <v>0</v>
      </c>
      <c r="F36" s="4">
        <f>'[1]links-p0'!R35</f>
        <v>5000</v>
      </c>
      <c r="G36" s="11">
        <f t="shared" si="0"/>
        <v>-5000</v>
      </c>
      <c r="I36" s="12">
        <v>34</v>
      </c>
      <c r="J36" s="7">
        <v>-3500</v>
      </c>
      <c r="L36" s="10">
        <f>'[1]links-p0'!M35</f>
        <v>0</v>
      </c>
      <c r="M36" s="7">
        <f>'[1]links-p0'!O35</f>
        <v>3500</v>
      </c>
      <c r="N36" s="11">
        <f t="shared" si="1"/>
        <v>-3500</v>
      </c>
      <c r="P36" s="4">
        <v>34</v>
      </c>
      <c r="Q36" s="4">
        <v>458.28671161</v>
      </c>
      <c r="S36" s="10">
        <f>'[1]links-p0'!N35</f>
        <v>612.91791140973532</v>
      </c>
      <c r="T36" s="7">
        <f>'[1]links-p0'!P35</f>
        <v>0</v>
      </c>
      <c r="U36" s="4">
        <f t="shared" si="2"/>
        <v>612.91791140973532</v>
      </c>
      <c r="W36" s="4">
        <v>34</v>
      </c>
      <c r="X36" s="4">
        <v>-2710.9560965000001</v>
      </c>
      <c r="Z36" s="4">
        <f>'[1]links-p0'!Y35</f>
        <v>1517.8</v>
      </c>
      <c r="AA36" s="4">
        <f t="shared" si="3"/>
        <v>-1517.8</v>
      </c>
    </row>
    <row r="37" spans="2:27" x14ac:dyDescent="0.35">
      <c r="B37" s="10">
        <f t="shared" si="4"/>
        <v>35</v>
      </c>
      <c r="C37" s="7">
        <v>-5000</v>
      </c>
      <c r="D37" s="2"/>
      <c r="E37" s="4">
        <f>'[1]links-p0'!Q36</f>
        <v>0</v>
      </c>
      <c r="F37" s="4">
        <f>'[1]links-p0'!R36</f>
        <v>5000</v>
      </c>
      <c r="G37" s="11">
        <f t="shared" si="0"/>
        <v>-5000</v>
      </c>
      <c r="I37" s="12">
        <v>35</v>
      </c>
      <c r="J37" s="7">
        <v>-2145.4950749</v>
      </c>
      <c r="L37" s="10">
        <f>'[1]links-p0'!M36</f>
        <v>0</v>
      </c>
      <c r="M37" s="7">
        <f>'[1]links-p0'!O36</f>
        <v>3500</v>
      </c>
      <c r="N37" s="11">
        <f t="shared" si="1"/>
        <v>-3500</v>
      </c>
      <c r="P37" s="4">
        <v>35</v>
      </c>
      <c r="Q37" s="4">
        <v>23.52671161</v>
      </c>
      <c r="S37" s="10">
        <f>'[1]links-p0'!N36</f>
        <v>0</v>
      </c>
      <c r="T37" s="7">
        <f>'[1]links-p0'!P36</f>
        <v>0</v>
      </c>
      <c r="U37" s="4">
        <f t="shared" si="2"/>
        <v>0</v>
      </c>
      <c r="W37" s="4">
        <v>35</v>
      </c>
      <c r="X37" s="4">
        <v>-2641.1212334900001</v>
      </c>
      <c r="Z37" s="4">
        <f>'[1]links-p0'!Y36</f>
        <v>1497.1759999999999</v>
      </c>
      <c r="AA37" s="4">
        <f t="shared" si="3"/>
        <v>-1497.1759999999999</v>
      </c>
    </row>
    <row r="38" spans="2:27" x14ac:dyDescent="0.35">
      <c r="B38" s="10">
        <f t="shared" si="4"/>
        <v>36</v>
      </c>
      <c r="C38" s="7">
        <v>0</v>
      </c>
      <c r="D38" s="2"/>
      <c r="E38" s="4">
        <f>'[1]links-p0'!Q37</f>
        <v>0</v>
      </c>
      <c r="F38" s="4">
        <f>'[1]links-p0'!R37</f>
        <v>0</v>
      </c>
      <c r="G38" s="11">
        <f t="shared" si="0"/>
        <v>0</v>
      </c>
      <c r="I38" s="12">
        <v>36</v>
      </c>
      <c r="J38" s="7">
        <v>-658.24248510999996</v>
      </c>
      <c r="L38" s="10">
        <f>'[1]links-p0'!M37</f>
        <v>0</v>
      </c>
      <c r="M38" s="7">
        <f>'[1]links-p0'!O37</f>
        <v>3500</v>
      </c>
      <c r="N38" s="11">
        <f t="shared" si="1"/>
        <v>-3500</v>
      </c>
      <c r="P38" s="4">
        <v>36</v>
      </c>
      <c r="Q38" s="4">
        <v>-411.23328838999998</v>
      </c>
      <c r="S38" s="10">
        <f>'[1]links-p0'!N37</f>
        <v>0</v>
      </c>
      <c r="T38" s="7">
        <f>'[1]links-p0'!P37</f>
        <v>0</v>
      </c>
      <c r="U38" s="4">
        <f t="shared" si="2"/>
        <v>0</v>
      </c>
      <c r="W38" s="4">
        <v>36</v>
      </c>
      <c r="X38" s="4">
        <v>-1517.77579117</v>
      </c>
      <c r="Z38" s="4">
        <f>'[1]links-p0'!Y37</f>
        <v>1517.8</v>
      </c>
      <c r="AA38" s="4">
        <f t="shared" si="3"/>
        <v>-1517.8</v>
      </c>
    </row>
    <row r="39" spans="2:27" x14ac:dyDescent="0.35">
      <c r="B39" s="10">
        <f t="shared" si="4"/>
        <v>37</v>
      </c>
      <c r="C39" s="7">
        <v>0</v>
      </c>
      <c r="D39" s="2"/>
      <c r="E39" s="4">
        <f>'[1]links-p0'!Q38</f>
        <v>0</v>
      </c>
      <c r="F39" s="4">
        <f>'[1]links-p0'!R38</f>
        <v>0</v>
      </c>
      <c r="G39" s="11">
        <f t="shared" si="0"/>
        <v>0</v>
      </c>
      <c r="I39" s="12">
        <v>37</v>
      </c>
      <c r="J39" s="7">
        <v>-2943.0556530099998</v>
      </c>
      <c r="L39" s="10">
        <f>'[1]links-p0'!M38</f>
        <v>0</v>
      </c>
      <c r="M39" s="7">
        <f>'[1]links-p0'!O38</f>
        <v>3500</v>
      </c>
      <c r="N39" s="11">
        <f t="shared" si="1"/>
        <v>-3500</v>
      </c>
      <c r="P39" s="4">
        <v>37</v>
      </c>
      <c r="Q39" s="4">
        <v>-845.99328838999998</v>
      </c>
      <c r="S39" s="10">
        <f>'[1]links-p0'!N38</f>
        <v>0</v>
      </c>
      <c r="T39" s="7">
        <f>'[1]links-p0'!P38</f>
        <v>0</v>
      </c>
      <c r="U39" s="4">
        <f t="shared" si="2"/>
        <v>0</v>
      </c>
      <c r="W39" s="4">
        <v>37</v>
      </c>
      <c r="X39" s="4">
        <v>-1517.77579117</v>
      </c>
      <c r="Z39" s="4">
        <f>'[1]links-p0'!Y38</f>
        <v>1517.8</v>
      </c>
      <c r="AA39" s="4">
        <f t="shared" si="3"/>
        <v>-1517.8</v>
      </c>
    </row>
    <row r="40" spans="2:27" x14ac:dyDescent="0.35">
      <c r="B40" s="10">
        <f t="shared" si="4"/>
        <v>38</v>
      </c>
      <c r="C40" s="7">
        <v>-1024.6925293199999</v>
      </c>
      <c r="D40" s="2"/>
      <c r="E40" s="4">
        <f>'[1]links-p0'!Q39</f>
        <v>0</v>
      </c>
      <c r="F40" s="4">
        <f>'[1]links-p0'!R39</f>
        <v>1024.6925293199999</v>
      </c>
      <c r="G40" s="11">
        <f t="shared" si="0"/>
        <v>-1024.6925293199999</v>
      </c>
      <c r="I40" s="12">
        <v>38</v>
      </c>
      <c r="J40" s="7">
        <v>-3500</v>
      </c>
      <c r="L40" s="10">
        <f>'[1]links-p0'!M39</f>
        <v>0</v>
      </c>
      <c r="M40" s="7">
        <f>'[1]links-p0'!O39</f>
        <v>3500</v>
      </c>
      <c r="N40" s="11">
        <f t="shared" si="1"/>
        <v>-3500</v>
      </c>
      <c r="P40" s="4">
        <v>38</v>
      </c>
      <c r="Q40" s="4">
        <v>-1280.7532883900001</v>
      </c>
      <c r="S40" s="10">
        <f>'[1]links-p0'!N39</f>
        <v>0</v>
      </c>
      <c r="T40" s="7">
        <f>'[1]links-p0'!P39</f>
        <v>0</v>
      </c>
      <c r="U40" s="4">
        <f t="shared" si="2"/>
        <v>0</v>
      </c>
      <c r="W40" s="4">
        <v>38</v>
      </c>
      <c r="X40" s="4">
        <v>-1517.77579117</v>
      </c>
      <c r="Z40" s="4">
        <f>'[1]links-p0'!Y39</f>
        <v>1517.8</v>
      </c>
      <c r="AA40" s="4">
        <f t="shared" si="3"/>
        <v>-1517.8</v>
      </c>
    </row>
    <row r="41" spans="2:27" x14ac:dyDescent="0.35">
      <c r="B41" s="10">
        <f t="shared" si="4"/>
        <v>39</v>
      </c>
      <c r="C41" s="7">
        <v>-2020.1101721099999</v>
      </c>
      <c r="D41" s="2"/>
      <c r="E41" s="4">
        <f>'[1]links-p0'!Q40</f>
        <v>0</v>
      </c>
      <c r="F41" s="4">
        <f>'[1]links-p0'!R40</f>
        <v>2020.1101721099999</v>
      </c>
      <c r="G41" s="11">
        <f t="shared" si="0"/>
        <v>-2020.1101721099999</v>
      </c>
      <c r="I41" s="12">
        <v>39</v>
      </c>
      <c r="J41" s="7">
        <v>-2361.9084276600001</v>
      </c>
      <c r="L41" s="10">
        <f>'[1]links-p0'!M40</f>
        <v>0</v>
      </c>
      <c r="M41" s="7">
        <f>'[1]links-p0'!O40</f>
        <v>3500</v>
      </c>
      <c r="N41" s="11">
        <f t="shared" si="1"/>
        <v>-3500</v>
      </c>
      <c r="P41" s="4">
        <v>39</v>
      </c>
      <c r="Q41" s="4">
        <v>-1130.34473839</v>
      </c>
      <c r="S41" s="10">
        <f>'[1]links-p0'!N40</f>
        <v>0</v>
      </c>
      <c r="T41" s="7">
        <f>'[1]links-p0'!P40</f>
        <v>0</v>
      </c>
      <c r="U41" s="4">
        <f t="shared" si="2"/>
        <v>0</v>
      </c>
      <c r="W41" s="4">
        <v>39</v>
      </c>
      <c r="X41" s="4">
        <v>-1517.77579117</v>
      </c>
      <c r="Z41" s="4">
        <f>'[1]links-p0'!Y40</f>
        <v>1517.8</v>
      </c>
      <c r="AA41" s="4">
        <f t="shared" si="3"/>
        <v>-1517.8</v>
      </c>
    </row>
    <row r="42" spans="2:27" x14ac:dyDescent="0.35">
      <c r="B42" s="10">
        <f t="shared" si="4"/>
        <v>40</v>
      </c>
      <c r="C42" s="7">
        <v>-3682.2798601</v>
      </c>
      <c r="D42" s="2"/>
      <c r="E42" s="4">
        <f>'[1]links-p0'!Q41</f>
        <v>0</v>
      </c>
      <c r="F42" s="4">
        <f>'[1]links-p0'!R41</f>
        <v>3682.2798601</v>
      </c>
      <c r="G42" s="11">
        <f t="shared" si="0"/>
        <v>-3682.2798601</v>
      </c>
      <c r="I42" s="12">
        <v>40</v>
      </c>
      <c r="J42" s="7">
        <v>-3500</v>
      </c>
      <c r="L42" s="10">
        <f>'[1]links-p0'!M41</f>
        <v>0</v>
      </c>
      <c r="M42" s="7">
        <f>'[1]links-p0'!O41</f>
        <v>3500</v>
      </c>
      <c r="N42" s="11">
        <f t="shared" si="1"/>
        <v>-3500</v>
      </c>
      <c r="P42" s="4">
        <v>40</v>
      </c>
      <c r="Q42" s="4">
        <v>-695.58473838999998</v>
      </c>
      <c r="S42" s="10">
        <f>'[1]links-p0'!N41</f>
        <v>0</v>
      </c>
      <c r="T42" s="7">
        <f>'[1]links-p0'!P41</f>
        <v>0</v>
      </c>
      <c r="U42" s="4">
        <f t="shared" si="2"/>
        <v>0</v>
      </c>
      <c r="W42" s="4">
        <v>40</v>
      </c>
      <c r="X42" s="4">
        <v>-1517.77579117</v>
      </c>
      <c r="Z42" s="4">
        <f>'[1]links-p0'!Y41</f>
        <v>1517.8</v>
      </c>
      <c r="AA42" s="4">
        <f t="shared" si="3"/>
        <v>-1517.8</v>
      </c>
    </row>
    <row r="43" spans="2:27" x14ac:dyDescent="0.35">
      <c r="B43" s="10">
        <f t="shared" si="4"/>
        <v>41</v>
      </c>
      <c r="C43" s="7">
        <v>-5000</v>
      </c>
      <c r="D43" s="2"/>
      <c r="E43" s="4">
        <f>'[1]links-p0'!Q42</f>
        <v>0</v>
      </c>
      <c r="F43" s="4">
        <f>'[1]links-p0'!R42</f>
        <v>5000</v>
      </c>
      <c r="G43" s="11">
        <f t="shared" si="0"/>
        <v>-5000</v>
      </c>
      <c r="I43" s="12">
        <v>41</v>
      </c>
      <c r="J43" s="7">
        <v>-1225.5375106399999</v>
      </c>
      <c r="L43" s="10">
        <f>'[1]links-p0'!M42</f>
        <v>0</v>
      </c>
      <c r="M43" s="7">
        <f>'[1]links-p0'!O42</f>
        <v>3500</v>
      </c>
      <c r="N43" s="11">
        <f t="shared" si="1"/>
        <v>-3500</v>
      </c>
      <c r="P43" s="4">
        <v>41</v>
      </c>
      <c r="Q43" s="4">
        <v>-260.82473838999999</v>
      </c>
      <c r="S43" s="10">
        <f>'[1]links-p0'!N42</f>
        <v>0</v>
      </c>
      <c r="T43" s="7">
        <f>'[1]links-p0'!P42</f>
        <v>0</v>
      </c>
      <c r="U43" s="4">
        <f t="shared" si="2"/>
        <v>0</v>
      </c>
      <c r="W43" s="4">
        <v>41</v>
      </c>
      <c r="X43" s="4">
        <v>-2710.9560965000001</v>
      </c>
      <c r="Z43" s="4">
        <f>'[1]links-p0'!Y42</f>
        <v>1497.1759999999999</v>
      </c>
      <c r="AA43" s="4">
        <f t="shared" si="3"/>
        <v>-1497.1759999999999</v>
      </c>
    </row>
    <row r="44" spans="2:27" x14ac:dyDescent="0.35">
      <c r="B44" s="10">
        <f t="shared" si="4"/>
        <v>42</v>
      </c>
      <c r="C44" s="7">
        <v>-5000</v>
      </c>
      <c r="D44" s="2"/>
      <c r="E44" s="4">
        <f>'[1]links-p0'!Q43</f>
        <v>0</v>
      </c>
      <c r="F44" s="4">
        <f>'[1]links-p0'!R43</f>
        <v>5000</v>
      </c>
      <c r="G44" s="11">
        <f t="shared" si="0"/>
        <v>-5000</v>
      </c>
      <c r="I44" s="12">
        <v>42</v>
      </c>
      <c r="J44" s="7">
        <v>-1198.1990383</v>
      </c>
      <c r="L44" s="10">
        <f>'[1]links-p0'!M43</f>
        <v>0</v>
      </c>
      <c r="M44" s="7">
        <f>'[1]links-p0'!O43</f>
        <v>3500</v>
      </c>
      <c r="N44" s="11">
        <f t="shared" si="1"/>
        <v>-3500</v>
      </c>
      <c r="P44" s="4">
        <v>42</v>
      </c>
      <c r="Q44" s="4">
        <v>173.93526161</v>
      </c>
      <c r="S44" s="10">
        <f>'[1]links-p0'!N43</f>
        <v>103.3628285416733</v>
      </c>
      <c r="T44" s="7">
        <f>'[1]links-p0'!P43</f>
        <v>0</v>
      </c>
      <c r="U44" s="4">
        <f t="shared" si="2"/>
        <v>103.3628285416733</v>
      </c>
      <c r="W44" s="4">
        <v>42</v>
      </c>
      <c r="X44" s="4">
        <v>-2710.9560965000001</v>
      </c>
      <c r="Z44" s="4">
        <f>'[1]links-p0'!Y43</f>
        <v>2710.9803065799151</v>
      </c>
      <c r="AA44" s="4">
        <f t="shared" si="3"/>
        <v>-2710.9803065799151</v>
      </c>
    </row>
    <row r="45" spans="2:27" x14ac:dyDescent="0.35">
      <c r="B45" s="10">
        <f t="shared" si="4"/>
        <v>43</v>
      </c>
      <c r="C45" s="7">
        <v>-5000</v>
      </c>
      <c r="D45" s="2"/>
      <c r="E45" s="4">
        <f>'[1]links-p0'!Q44</f>
        <v>0</v>
      </c>
      <c r="F45" s="4">
        <f>'[1]links-p0'!R44</f>
        <v>5000</v>
      </c>
      <c r="G45" s="11">
        <f t="shared" si="0"/>
        <v>-5000</v>
      </c>
      <c r="I45" s="12">
        <v>43</v>
      </c>
      <c r="J45" s="7">
        <v>-3458.30981277</v>
      </c>
      <c r="L45" s="10">
        <f>'[1]links-p0'!M44</f>
        <v>0</v>
      </c>
      <c r="M45" s="7">
        <f>'[1]links-p0'!O44</f>
        <v>3500</v>
      </c>
      <c r="N45" s="11">
        <f t="shared" si="1"/>
        <v>-3500</v>
      </c>
      <c r="P45" s="4">
        <v>43</v>
      </c>
      <c r="Q45" s="4">
        <v>608.69526160999999</v>
      </c>
      <c r="S45" s="10">
        <f>'[1]links-p0'!N44</f>
        <v>1035.0455584578799</v>
      </c>
      <c r="T45" s="7">
        <f>'[1]links-p0'!P44</f>
        <v>0</v>
      </c>
      <c r="U45" s="4">
        <f t="shared" si="2"/>
        <v>1035.0455584578799</v>
      </c>
      <c r="W45" s="4">
        <v>43</v>
      </c>
      <c r="X45" s="4">
        <v>-2710.9560965000001</v>
      </c>
      <c r="Z45" s="4">
        <f>'[1]links-p0'!Y44</f>
        <v>2710.9803065799151</v>
      </c>
      <c r="AA45" s="4">
        <f t="shared" si="3"/>
        <v>-2710.9803065799151</v>
      </c>
    </row>
    <row r="46" spans="2:27" x14ac:dyDescent="0.35">
      <c r="B46" s="10">
        <f t="shared" si="4"/>
        <v>44</v>
      </c>
      <c r="C46" s="7">
        <v>-5000</v>
      </c>
      <c r="D46" s="2"/>
      <c r="E46" s="4">
        <f>'[1]links-p0'!Q45</f>
        <v>0</v>
      </c>
      <c r="F46" s="4">
        <f>'[1]links-p0'!R45</f>
        <v>5000</v>
      </c>
      <c r="G46" s="11">
        <f t="shared" si="0"/>
        <v>-5000</v>
      </c>
      <c r="I46" s="12">
        <v>44</v>
      </c>
      <c r="J46" s="7">
        <v>-1155.82165532</v>
      </c>
      <c r="L46" s="10">
        <f>'[1]links-p0'!M45</f>
        <v>0</v>
      </c>
      <c r="M46" s="7">
        <f>'[1]links-p0'!O45</f>
        <v>3500</v>
      </c>
      <c r="N46" s="11">
        <f t="shared" si="1"/>
        <v>-3500</v>
      </c>
      <c r="P46" s="4">
        <v>44</v>
      </c>
      <c r="Q46" s="4">
        <v>313.53802086000002</v>
      </c>
      <c r="S46" s="10">
        <f>'[1]links-p0'!N45</f>
        <v>796.6472007011389</v>
      </c>
      <c r="T46" s="7">
        <f>'[1]links-p0'!P45</f>
        <v>0</v>
      </c>
      <c r="U46" s="4">
        <f t="shared" si="2"/>
        <v>796.6472007011389</v>
      </c>
      <c r="W46" s="4">
        <v>44</v>
      </c>
      <c r="X46" s="4">
        <v>-2710.9560965000001</v>
      </c>
      <c r="Z46" s="4">
        <f>'[1]links-p0'!Y45</f>
        <v>2710.9803065799151</v>
      </c>
      <c r="AA46" s="4">
        <f t="shared" si="3"/>
        <v>-2710.9803065799151</v>
      </c>
    </row>
    <row r="47" spans="2:27" x14ac:dyDescent="0.35">
      <c r="B47" s="10">
        <f t="shared" si="4"/>
        <v>45</v>
      </c>
      <c r="C47" s="7">
        <v>-5000</v>
      </c>
      <c r="D47" s="2"/>
      <c r="E47" s="4">
        <f>'[1]links-p0'!Q46</f>
        <v>0</v>
      </c>
      <c r="F47" s="4">
        <f>'[1]links-p0'!R46</f>
        <v>5000</v>
      </c>
      <c r="G47" s="11">
        <f t="shared" si="0"/>
        <v>-5000</v>
      </c>
      <c r="I47" s="12">
        <v>45</v>
      </c>
      <c r="J47" s="7">
        <v>-3500</v>
      </c>
      <c r="L47" s="10">
        <f>'[1]links-p0'!M46</f>
        <v>0</v>
      </c>
      <c r="M47" s="7">
        <f>'[1]links-p0'!O46</f>
        <v>3500</v>
      </c>
      <c r="N47" s="11">
        <f t="shared" si="1"/>
        <v>-3500</v>
      </c>
      <c r="P47" s="4">
        <v>45</v>
      </c>
      <c r="Q47" s="4">
        <v>158.02510036000001</v>
      </c>
      <c r="S47" s="10">
        <f>'[1]links-p0'!N46</f>
        <v>658.92609022464114</v>
      </c>
      <c r="T47" s="7">
        <f>'[1]links-p0'!P46</f>
        <v>0</v>
      </c>
      <c r="U47" s="4">
        <f t="shared" si="2"/>
        <v>658.92609022464114</v>
      </c>
      <c r="W47" s="4">
        <v>45</v>
      </c>
      <c r="X47" s="4">
        <v>-2710.9560965000001</v>
      </c>
      <c r="Z47" s="4">
        <f>'[1]links-p0'!Y46</f>
        <v>2710.9803065799151</v>
      </c>
      <c r="AA47" s="4">
        <f t="shared" si="3"/>
        <v>-2710.9803065799151</v>
      </c>
    </row>
    <row r="48" spans="2:27" x14ac:dyDescent="0.35">
      <c r="B48" s="10">
        <f t="shared" si="4"/>
        <v>46</v>
      </c>
      <c r="C48" s="7">
        <v>-5000</v>
      </c>
      <c r="D48" s="2"/>
      <c r="E48" s="4">
        <f>'[1]links-p0'!Q47</f>
        <v>0</v>
      </c>
      <c r="F48" s="4">
        <f>'[1]links-p0'!R47</f>
        <v>5000</v>
      </c>
      <c r="G48" s="11">
        <f t="shared" si="0"/>
        <v>-5000</v>
      </c>
      <c r="I48" s="12">
        <v>46</v>
      </c>
      <c r="J48" s="7">
        <v>-3500</v>
      </c>
      <c r="L48" s="10">
        <f>'[1]links-p0'!M47</f>
        <v>0</v>
      </c>
      <c r="M48" s="7">
        <f>'[1]links-p0'!O47</f>
        <v>3500</v>
      </c>
      <c r="N48" s="11">
        <f t="shared" si="1"/>
        <v>-3500</v>
      </c>
      <c r="P48" s="4">
        <v>46</v>
      </c>
      <c r="Q48" s="4">
        <v>71.122369980000002</v>
      </c>
      <c r="S48" s="10">
        <f>'[1]links-p0'!N47</f>
        <v>575.27214984524699</v>
      </c>
      <c r="T48" s="7">
        <f>'[1]links-p0'!P47</f>
        <v>0</v>
      </c>
      <c r="U48" s="4">
        <f t="shared" si="2"/>
        <v>575.27214984524699</v>
      </c>
      <c r="W48" s="4">
        <v>46</v>
      </c>
      <c r="X48" s="4">
        <v>-2710.9560965000001</v>
      </c>
      <c r="Z48" s="4">
        <f>'[1]links-p0'!Y47</f>
        <v>2710.9803065799151</v>
      </c>
      <c r="AA48" s="4">
        <f t="shared" si="3"/>
        <v>-2710.9803065799151</v>
      </c>
    </row>
    <row r="49" spans="2:27" x14ac:dyDescent="0.35">
      <c r="B49" s="10">
        <f t="shared" si="4"/>
        <v>47</v>
      </c>
      <c r="C49" s="7">
        <v>-5000</v>
      </c>
      <c r="D49" s="2"/>
      <c r="E49" s="4">
        <f>'[1]links-p0'!Q48</f>
        <v>0</v>
      </c>
      <c r="F49" s="4">
        <f>'[1]links-p0'!R48</f>
        <v>5000</v>
      </c>
      <c r="G49" s="11">
        <f t="shared" si="0"/>
        <v>-5000</v>
      </c>
      <c r="I49" s="12">
        <v>47</v>
      </c>
      <c r="J49" s="7">
        <v>-3500</v>
      </c>
      <c r="L49" s="10">
        <f>'[1]links-p0'!M48</f>
        <v>0</v>
      </c>
      <c r="M49" s="7">
        <f>'[1]links-p0'!O48</f>
        <v>3500</v>
      </c>
      <c r="N49" s="11">
        <f t="shared" si="1"/>
        <v>-3500</v>
      </c>
      <c r="P49" s="4">
        <v>47</v>
      </c>
      <c r="Q49" s="4">
        <v>7.8946397299999997</v>
      </c>
      <c r="S49" s="10">
        <f>'[1]links-p0'!N48</f>
        <v>516.00739792889692</v>
      </c>
      <c r="T49" s="7">
        <f>'[1]links-p0'!P48</f>
        <v>0</v>
      </c>
      <c r="U49" s="4">
        <f t="shared" si="2"/>
        <v>516.00739792889692</v>
      </c>
      <c r="W49" s="4">
        <v>47</v>
      </c>
      <c r="X49" s="4">
        <v>-2710.9560965000001</v>
      </c>
      <c r="Z49" s="4">
        <f>'[1]links-p0'!Y48</f>
        <v>2710.9803065799151</v>
      </c>
      <c r="AA49" s="4">
        <f t="shared" si="3"/>
        <v>-2710.9803065799151</v>
      </c>
    </row>
    <row r="50" spans="2:27" x14ac:dyDescent="0.35">
      <c r="B50" s="10">
        <f t="shared" si="4"/>
        <v>48</v>
      </c>
      <c r="C50" s="7">
        <v>-5000</v>
      </c>
      <c r="D50" s="2"/>
      <c r="E50" s="4">
        <f>'[1]links-p0'!Q49</f>
        <v>0</v>
      </c>
      <c r="F50" s="4">
        <f>'[1]links-p0'!R49</f>
        <v>5000</v>
      </c>
      <c r="G50" s="11">
        <f t="shared" si="0"/>
        <v>-5000</v>
      </c>
      <c r="I50" s="12">
        <v>48</v>
      </c>
      <c r="J50" s="7">
        <v>-3500</v>
      </c>
      <c r="L50" s="10">
        <f>'[1]links-p0'!M49</f>
        <v>0</v>
      </c>
      <c r="M50" s="7">
        <f>'[1]links-p0'!O49</f>
        <v>3500</v>
      </c>
      <c r="N50" s="11">
        <f t="shared" si="1"/>
        <v>-3500</v>
      </c>
      <c r="P50" s="4">
        <v>48</v>
      </c>
      <c r="Q50" s="4">
        <v>59.518029730000002</v>
      </c>
      <c r="S50" s="10">
        <f>'[1]links-p0'!N49</f>
        <v>550.10275018037862</v>
      </c>
      <c r="T50" s="7">
        <f>'[1]links-p0'!P49</f>
        <v>0</v>
      </c>
      <c r="U50" s="4">
        <f t="shared" si="2"/>
        <v>550.10275018037862</v>
      </c>
      <c r="W50" s="4">
        <v>48</v>
      </c>
      <c r="X50" s="4">
        <v>-2710.9560965000001</v>
      </c>
      <c r="Z50" s="4">
        <f>'[1]links-p0'!Y49</f>
        <v>2710.9803065799151</v>
      </c>
      <c r="AA50" s="4">
        <f t="shared" si="3"/>
        <v>-2710.9803065799151</v>
      </c>
    </row>
    <row r="51" spans="2:27" x14ac:dyDescent="0.35">
      <c r="B51" s="10">
        <f t="shared" si="4"/>
        <v>49</v>
      </c>
      <c r="C51" s="7">
        <v>-5000</v>
      </c>
      <c r="D51" s="2"/>
      <c r="E51" s="4">
        <f>'[1]links-p0'!Q50</f>
        <v>0</v>
      </c>
      <c r="F51" s="4">
        <f>'[1]links-p0'!R50</f>
        <v>5000</v>
      </c>
      <c r="G51" s="11">
        <f t="shared" si="0"/>
        <v>-5000</v>
      </c>
      <c r="I51" s="12">
        <v>49</v>
      </c>
      <c r="J51" s="7">
        <v>-3307.7390723399999</v>
      </c>
      <c r="L51" s="10">
        <f>'[1]links-p0'!M50</f>
        <v>0</v>
      </c>
      <c r="M51" s="7">
        <f>'[1]links-p0'!O50</f>
        <v>3500</v>
      </c>
      <c r="N51" s="11">
        <f t="shared" si="1"/>
        <v>-3500</v>
      </c>
      <c r="P51" s="4">
        <v>49</v>
      </c>
      <c r="Q51" s="4">
        <v>153.1397115</v>
      </c>
      <c r="S51" s="10">
        <f>'[1]links-p0'!N50</f>
        <v>460.03973877269942</v>
      </c>
      <c r="T51" s="7">
        <f>'[1]links-p0'!P50</f>
        <v>0</v>
      </c>
      <c r="U51" s="4">
        <f t="shared" si="2"/>
        <v>460.03973877269942</v>
      </c>
      <c r="W51" s="4">
        <v>49</v>
      </c>
      <c r="X51" s="4">
        <v>-2698.4194852700002</v>
      </c>
      <c r="Z51" s="4">
        <f>'[1]links-p0'!Y50</f>
        <v>2698.4436953367831</v>
      </c>
      <c r="AA51" s="4">
        <f t="shared" si="3"/>
        <v>-2698.4436953367831</v>
      </c>
    </row>
    <row r="52" spans="2:27" x14ac:dyDescent="0.35">
      <c r="B52" s="10">
        <f t="shared" si="4"/>
        <v>50</v>
      </c>
      <c r="C52" s="7">
        <v>-5000</v>
      </c>
      <c r="D52" s="2"/>
      <c r="E52" s="4">
        <f>'[1]links-p0'!Q51</f>
        <v>0</v>
      </c>
      <c r="F52" s="4">
        <f>'[1]links-p0'!R51</f>
        <v>5000</v>
      </c>
      <c r="G52" s="11">
        <f t="shared" si="0"/>
        <v>-5000</v>
      </c>
      <c r="I52" s="12">
        <v>50</v>
      </c>
      <c r="J52" s="7">
        <v>-3500</v>
      </c>
      <c r="L52" s="10">
        <f>'[1]links-p0'!M51</f>
        <v>0</v>
      </c>
      <c r="M52" s="7">
        <f>'[1]links-p0'!O51</f>
        <v>3500</v>
      </c>
      <c r="N52" s="11">
        <f t="shared" si="1"/>
        <v>-3500</v>
      </c>
      <c r="P52" s="4">
        <v>50</v>
      </c>
      <c r="Q52" s="4">
        <v>162.90718150000001</v>
      </c>
      <c r="S52" s="10">
        <f>'[1]links-p0'!N51</f>
        <v>466.49052822943997</v>
      </c>
      <c r="T52" s="7">
        <f>'[1]links-p0'!P51</f>
        <v>0</v>
      </c>
      <c r="U52" s="4">
        <f t="shared" si="2"/>
        <v>466.49052822943997</v>
      </c>
      <c r="W52" s="4">
        <v>50</v>
      </c>
      <c r="X52" s="4">
        <v>-2698.4194852700002</v>
      </c>
      <c r="Z52" s="4">
        <f>'[1]links-p0'!Y51</f>
        <v>2698.4436953367831</v>
      </c>
      <c r="AA52" s="4">
        <f t="shared" si="3"/>
        <v>-2698.4436953367831</v>
      </c>
    </row>
    <row r="53" spans="2:27" x14ac:dyDescent="0.35">
      <c r="B53" s="10">
        <f t="shared" si="4"/>
        <v>51</v>
      </c>
      <c r="C53" s="7">
        <v>-5000</v>
      </c>
      <c r="D53" s="2"/>
      <c r="E53" s="4">
        <f>'[1]links-p0'!Q52</f>
        <v>0</v>
      </c>
      <c r="F53" s="4">
        <f>'[1]links-p0'!R52</f>
        <v>5000</v>
      </c>
      <c r="G53" s="11">
        <f t="shared" si="0"/>
        <v>-5000</v>
      </c>
      <c r="I53" s="12">
        <v>51</v>
      </c>
      <c r="J53" s="7">
        <v>-3500</v>
      </c>
      <c r="L53" s="10">
        <f>'[1]links-p0'!M52</f>
        <v>0</v>
      </c>
      <c r="M53" s="7">
        <f>'[1]links-p0'!O52</f>
        <v>3500</v>
      </c>
      <c r="N53" s="11">
        <f t="shared" si="1"/>
        <v>-3500</v>
      </c>
      <c r="P53" s="4">
        <v>51</v>
      </c>
      <c r="Q53" s="4">
        <v>124.79154149999999</v>
      </c>
      <c r="S53" s="10">
        <f>'[1]links-p0'!N52</f>
        <v>441.31682969998138</v>
      </c>
      <c r="T53" s="7">
        <f>'[1]links-p0'!P52</f>
        <v>0</v>
      </c>
      <c r="U53" s="4">
        <f t="shared" si="2"/>
        <v>441.31682969998138</v>
      </c>
      <c r="W53" s="4">
        <v>51</v>
      </c>
      <c r="X53" s="4">
        <v>-2698.4194852700002</v>
      </c>
      <c r="Z53" s="4">
        <f>'[1]links-p0'!Y52</f>
        <v>2698.4436953367831</v>
      </c>
      <c r="AA53" s="4">
        <f t="shared" si="3"/>
        <v>-2698.4436953367831</v>
      </c>
    </row>
    <row r="54" spans="2:27" x14ac:dyDescent="0.35">
      <c r="B54" s="10">
        <f t="shared" si="4"/>
        <v>52</v>
      </c>
      <c r="C54" s="7">
        <v>-5000</v>
      </c>
      <c r="D54" s="2"/>
      <c r="E54" s="4">
        <f>'[1]links-p0'!Q53</f>
        <v>0</v>
      </c>
      <c r="F54" s="4">
        <f>'[1]links-p0'!R53</f>
        <v>5000</v>
      </c>
      <c r="G54" s="11">
        <f t="shared" si="0"/>
        <v>-5000</v>
      </c>
      <c r="I54" s="12">
        <v>52</v>
      </c>
      <c r="J54" s="7">
        <v>-3500</v>
      </c>
      <c r="L54" s="10">
        <f>'[1]links-p0'!M53</f>
        <v>0</v>
      </c>
      <c r="M54" s="7">
        <f>'[1]links-p0'!O53</f>
        <v>3500</v>
      </c>
      <c r="N54" s="11">
        <f t="shared" si="1"/>
        <v>-3500</v>
      </c>
      <c r="P54" s="4">
        <v>52</v>
      </c>
      <c r="Q54" s="4">
        <v>102.4861815</v>
      </c>
      <c r="S54" s="10">
        <f>'[1]links-p0'!N53</f>
        <v>426.58467212417878</v>
      </c>
      <c r="T54" s="7">
        <f>'[1]links-p0'!P53</f>
        <v>0</v>
      </c>
      <c r="U54" s="4">
        <f t="shared" si="2"/>
        <v>426.58467212417878</v>
      </c>
      <c r="W54" s="4">
        <v>52</v>
      </c>
      <c r="X54" s="4">
        <v>-2698.4194852700002</v>
      </c>
      <c r="Z54" s="4">
        <f>'[1]links-p0'!Y53</f>
        <v>2698.4436953367831</v>
      </c>
      <c r="AA54" s="4">
        <f t="shared" si="3"/>
        <v>-2698.4436953367831</v>
      </c>
    </row>
    <row r="55" spans="2:27" x14ac:dyDescent="0.35">
      <c r="B55" s="10">
        <f t="shared" si="4"/>
        <v>53</v>
      </c>
      <c r="C55" s="7">
        <v>-5000</v>
      </c>
      <c r="D55" s="2"/>
      <c r="E55" s="4">
        <f>'[1]links-p0'!Q54</f>
        <v>0</v>
      </c>
      <c r="F55" s="4">
        <f>'[1]links-p0'!R54</f>
        <v>5000</v>
      </c>
      <c r="G55" s="11">
        <f t="shared" si="0"/>
        <v>-5000</v>
      </c>
      <c r="I55" s="12">
        <v>53</v>
      </c>
      <c r="J55" s="7">
        <v>-3500</v>
      </c>
      <c r="L55" s="10">
        <f>'[1]links-p0'!M54</f>
        <v>0</v>
      </c>
      <c r="M55" s="7">
        <f>'[1]links-p0'!O54</f>
        <v>3500</v>
      </c>
      <c r="N55" s="11">
        <f t="shared" si="1"/>
        <v>-3500</v>
      </c>
      <c r="P55" s="4">
        <v>53</v>
      </c>
      <c r="Q55" s="4">
        <v>92.580261500000006</v>
      </c>
      <c r="S55" s="10">
        <f>'[1]links-p0'!N54</f>
        <v>420.04238074277822</v>
      </c>
      <c r="T55" s="7">
        <f>'[1]links-p0'!P54</f>
        <v>0</v>
      </c>
      <c r="U55" s="4">
        <f t="shared" si="2"/>
        <v>420.04238074277822</v>
      </c>
      <c r="W55" s="4">
        <v>53</v>
      </c>
      <c r="X55" s="4">
        <v>-2698.4194852700002</v>
      </c>
      <c r="Z55" s="4">
        <f>'[1]links-p0'!Y54</f>
        <v>2698.4436953367831</v>
      </c>
      <c r="AA55" s="4">
        <f t="shared" si="3"/>
        <v>-2698.4436953367831</v>
      </c>
    </row>
    <row r="56" spans="2:27" x14ac:dyDescent="0.35">
      <c r="B56" s="10">
        <f t="shared" si="4"/>
        <v>54</v>
      </c>
      <c r="C56" s="7">
        <v>-5000</v>
      </c>
      <c r="D56" s="2"/>
      <c r="E56" s="4">
        <f>'[1]links-p0'!Q55</f>
        <v>0</v>
      </c>
      <c r="F56" s="4">
        <f>'[1]links-p0'!R55</f>
        <v>5000</v>
      </c>
      <c r="G56" s="11">
        <f t="shared" si="0"/>
        <v>-5000</v>
      </c>
      <c r="I56" s="12">
        <v>54</v>
      </c>
      <c r="J56" s="7">
        <v>-3500</v>
      </c>
      <c r="L56" s="10">
        <f>'[1]links-p0'!M55</f>
        <v>0</v>
      </c>
      <c r="M56" s="7">
        <f>'[1]links-p0'!O55</f>
        <v>3500</v>
      </c>
      <c r="N56" s="11">
        <f t="shared" si="1"/>
        <v>-3500</v>
      </c>
      <c r="P56" s="4">
        <v>54</v>
      </c>
      <c r="Q56" s="4">
        <v>174.62918798000001</v>
      </c>
      <c r="S56" s="10">
        <f>'[1]links-p0'!N55</f>
        <v>507.49227670404821</v>
      </c>
      <c r="T56" s="7">
        <f>'[1]links-p0'!P55</f>
        <v>0</v>
      </c>
      <c r="U56" s="4">
        <f t="shared" si="2"/>
        <v>507.49227670404821</v>
      </c>
      <c r="W56" s="4">
        <v>54</v>
      </c>
      <c r="X56" s="4">
        <v>-2698.4194852700002</v>
      </c>
      <c r="Z56" s="4">
        <f>'[1]links-p0'!Y55</f>
        <v>2698.4436953367831</v>
      </c>
      <c r="AA56" s="4">
        <f t="shared" si="3"/>
        <v>-2698.4436953367831</v>
      </c>
    </row>
    <row r="57" spans="2:27" x14ac:dyDescent="0.35">
      <c r="B57" s="10">
        <f t="shared" si="4"/>
        <v>55</v>
      </c>
      <c r="C57" s="7">
        <v>-5000</v>
      </c>
      <c r="D57" s="2"/>
      <c r="E57" s="4">
        <f>'[1]links-p0'!Q56</f>
        <v>0</v>
      </c>
      <c r="F57" s="4">
        <f>'[1]links-p0'!R56</f>
        <v>5000</v>
      </c>
      <c r="G57" s="11">
        <f t="shared" si="0"/>
        <v>-5000</v>
      </c>
      <c r="I57" s="12">
        <v>55</v>
      </c>
      <c r="J57" s="7">
        <v>-3500</v>
      </c>
      <c r="L57" s="10">
        <f>'[1]links-p0'!M56</f>
        <v>0</v>
      </c>
      <c r="M57" s="7">
        <f>'[1]links-p0'!O56</f>
        <v>3500</v>
      </c>
      <c r="N57" s="11">
        <f t="shared" si="1"/>
        <v>-3500</v>
      </c>
      <c r="P57" s="4">
        <v>55</v>
      </c>
      <c r="Q57" s="4">
        <v>290.44358446000001</v>
      </c>
      <c r="S57" s="10">
        <f>'[1]links-p0'!N56</f>
        <v>617.24333431669834</v>
      </c>
      <c r="T57" s="7">
        <f>'[1]links-p0'!P56</f>
        <v>0</v>
      </c>
      <c r="U57" s="4">
        <f t="shared" si="2"/>
        <v>617.24333431669834</v>
      </c>
      <c r="W57" s="4">
        <v>55</v>
      </c>
      <c r="X57" s="4">
        <v>-2698.4194852700002</v>
      </c>
      <c r="Z57" s="4">
        <f>'[1]links-p0'!Y56</f>
        <v>2698.4436953367831</v>
      </c>
      <c r="AA57" s="4">
        <f t="shared" si="3"/>
        <v>-2698.4436953367831</v>
      </c>
    </row>
    <row r="58" spans="2:27" x14ac:dyDescent="0.35">
      <c r="B58" s="10">
        <f t="shared" si="4"/>
        <v>56</v>
      </c>
      <c r="C58" s="7">
        <v>-5000</v>
      </c>
      <c r="D58" s="2"/>
      <c r="E58" s="4">
        <f>'[1]links-p0'!Q57</f>
        <v>0</v>
      </c>
      <c r="F58" s="4">
        <f>'[1]links-p0'!R57</f>
        <v>5000</v>
      </c>
      <c r="G58" s="11">
        <f t="shared" si="0"/>
        <v>-5000</v>
      </c>
      <c r="I58" s="12">
        <v>56</v>
      </c>
      <c r="J58" s="7">
        <v>-3500</v>
      </c>
      <c r="L58" s="10">
        <f>'[1]links-p0'!M57</f>
        <v>0</v>
      </c>
      <c r="M58" s="7">
        <f>'[1]links-p0'!O57</f>
        <v>3500</v>
      </c>
      <c r="N58" s="11">
        <f t="shared" si="1"/>
        <v>-3500</v>
      </c>
      <c r="P58" s="4">
        <v>56</v>
      </c>
      <c r="Q58" s="4">
        <v>433.95691691000002</v>
      </c>
      <c r="S58" s="10">
        <f>'[1]links-p0'!N57</f>
        <v>743.53782696844814</v>
      </c>
      <c r="T58" s="7">
        <f>'[1]links-p0'!P57</f>
        <v>0</v>
      </c>
      <c r="U58" s="4">
        <f t="shared" si="2"/>
        <v>743.53782696844814</v>
      </c>
      <c r="W58" s="4">
        <v>56</v>
      </c>
      <c r="X58" s="4">
        <v>-2698.4194852700002</v>
      </c>
      <c r="Z58" s="4">
        <f>'[1]links-p0'!Y57</f>
        <v>2698.4436953367831</v>
      </c>
      <c r="AA58" s="4">
        <f t="shared" si="3"/>
        <v>-2698.4436953367831</v>
      </c>
    </row>
    <row r="59" spans="2:27" x14ac:dyDescent="0.35">
      <c r="B59" s="10">
        <f t="shared" si="4"/>
        <v>57</v>
      </c>
      <c r="C59" s="7">
        <v>-5000</v>
      </c>
      <c r="D59" s="2"/>
      <c r="E59" s="4">
        <f>'[1]links-p0'!Q58</f>
        <v>0</v>
      </c>
      <c r="F59" s="4">
        <f>'[1]links-p0'!R58</f>
        <v>5000</v>
      </c>
      <c r="G59" s="11">
        <f t="shared" si="0"/>
        <v>-5000</v>
      </c>
      <c r="I59" s="12">
        <v>57</v>
      </c>
      <c r="J59" s="7">
        <v>-3500</v>
      </c>
      <c r="L59" s="10">
        <f>'[1]links-p0'!M58</f>
        <v>0</v>
      </c>
      <c r="M59" s="7">
        <f>'[1]links-p0'!O58</f>
        <v>3500</v>
      </c>
      <c r="N59" s="11">
        <f t="shared" si="1"/>
        <v>-3500</v>
      </c>
      <c r="P59" s="4">
        <v>57</v>
      </c>
      <c r="Q59" s="4">
        <v>609.31120338999995</v>
      </c>
      <c r="S59" s="10">
        <f>'[1]links-p0'!N58</f>
        <v>892.61304414069855</v>
      </c>
      <c r="T59" s="7">
        <f>'[1]links-p0'!P58</f>
        <v>0</v>
      </c>
      <c r="U59" s="4">
        <f t="shared" si="2"/>
        <v>892.61304414069855</v>
      </c>
      <c r="W59" s="4">
        <v>57</v>
      </c>
      <c r="X59" s="4">
        <v>-2698.4194852700002</v>
      </c>
      <c r="Z59" s="4">
        <f>'[1]links-p0'!Y58</f>
        <v>2698.4436953367831</v>
      </c>
      <c r="AA59" s="4">
        <f t="shared" si="3"/>
        <v>-2698.4436953367831</v>
      </c>
    </row>
    <row r="60" spans="2:27" x14ac:dyDescent="0.35">
      <c r="B60" s="10">
        <f t="shared" si="4"/>
        <v>58</v>
      </c>
      <c r="C60" s="7">
        <v>-5000</v>
      </c>
      <c r="D60" s="2"/>
      <c r="E60" s="4">
        <f>'[1]links-p0'!Q59</f>
        <v>0</v>
      </c>
      <c r="F60" s="4">
        <f>'[1]links-p0'!R59</f>
        <v>5000</v>
      </c>
      <c r="G60" s="11">
        <f t="shared" si="0"/>
        <v>-5000</v>
      </c>
      <c r="I60" s="12">
        <v>58</v>
      </c>
      <c r="J60" s="7">
        <v>-3500</v>
      </c>
      <c r="L60" s="10">
        <f>'[1]links-p0'!M59</f>
        <v>0</v>
      </c>
      <c r="M60" s="7">
        <f>'[1]links-p0'!O59</f>
        <v>3500</v>
      </c>
      <c r="N60" s="11">
        <f t="shared" si="1"/>
        <v>-3500</v>
      </c>
      <c r="P60" s="4">
        <v>58</v>
      </c>
      <c r="Q60" s="4">
        <v>299.22722339000001</v>
      </c>
      <c r="S60" s="10">
        <f>'[1]links-p0'!N59</f>
        <v>424.60178766589928</v>
      </c>
      <c r="T60" s="7">
        <f>'[1]links-p0'!P59</f>
        <v>0</v>
      </c>
      <c r="U60" s="4">
        <f t="shared" si="2"/>
        <v>424.60178766589928</v>
      </c>
      <c r="W60" s="4">
        <v>58</v>
      </c>
      <c r="X60" s="4">
        <v>-2698.4194852700002</v>
      </c>
      <c r="Z60" s="4">
        <f>'[1]links-p0'!Y59</f>
        <v>1517.8</v>
      </c>
      <c r="AA60" s="4">
        <f t="shared" si="3"/>
        <v>-1517.8</v>
      </c>
    </row>
    <row r="61" spans="2:27" x14ac:dyDescent="0.35">
      <c r="B61" s="10">
        <f t="shared" si="4"/>
        <v>59</v>
      </c>
      <c r="C61" s="7">
        <v>-5000</v>
      </c>
      <c r="D61" s="2"/>
      <c r="E61" s="4">
        <f>'[1]links-p0'!Q60</f>
        <v>0</v>
      </c>
      <c r="F61" s="4">
        <f>'[1]links-p0'!R60</f>
        <v>5000</v>
      </c>
      <c r="G61" s="11">
        <f t="shared" si="0"/>
        <v>-5000</v>
      </c>
      <c r="I61" s="12">
        <v>59</v>
      </c>
      <c r="J61" s="7">
        <v>-1965.2597978700001</v>
      </c>
      <c r="L61" s="10">
        <f>'[1]links-p0'!M60</f>
        <v>0</v>
      </c>
      <c r="M61" s="7">
        <f>'[1]links-p0'!O60</f>
        <v>3500</v>
      </c>
      <c r="N61" s="11">
        <f t="shared" si="1"/>
        <v>-3500</v>
      </c>
      <c r="P61" s="4">
        <v>59</v>
      </c>
      <c r="Q61" s="4">
        <v>-135.53277661000001</v>
      </c>
      <c r="S61" s="10">
        <f>'[1]links-p0'!N60</f>
        <v>0</v>
      </c>
      <c r="T61" s="7">
        <f>'[1]links-p0'!P60</f>
        <v>0</v>
      </c>
      <c r="U61" s="4">
        <f t="shared" si="2"/>
        <v>0</v>
      </c>
      <c r="W61" s="4">
        <v>59</v>
      </c>
      <c r="X61" s="4">
        <v>-2698.4194852700002</v>
      </c>
      <c r="Z61" s="4">
        <f>'[1]links-p0'!Y60</f>
        <v>1497.1759999999999</v>
      </c>
      <c r="AA61" s="4">
        <f t="shared" si="3"/>
        <v>-1497.1759999999999</v>
      </c>
    </row>
    <row r="62" spans="2:27" x14ac:dyDescent="0.35">
      <c r="B62" s="10">
        <f t="shared" si="4"/>
        <v>60</v>
      </c>
      <c r="C62" s="7">
        <v>-5000</v>
      </c>
      <c r="D62" s="2"/>
      <c r="E62" s="4">
        <f>'[1]links-p0'!Q61</f>
        <v>0</v>
      </c>
      <c r="F62" s="4">
        <f>'[1]links-p0'!R61</f>
        <v>5000</v>
      </c>
      <c r="G62" s="11">
        <f t="shared" si="0"/>
        <v>-5000</v>
      </c>
      <c r="I62" s="12">
        <v>60</v>
      </c>
      <c r="J62" s="7">
        <v>-2452.7780019400002</v>
      </c>
      <c r="L62" s="10">
        <f>'[1]links-p0'!M61</f>
        <v>0</v>
      </c>
      <c r="M62" s="7">
        <f>'[1]links-p0'!O61</f>
        <v>3500</v>
      </c>
      <c r="N62" s="11">
        <f t="shared" si="1"/>
        <v>-3500</v>
      </c>
      <c r="P62" s="4">
        <v>60</v>
      </c>
      <c r="Q62" s="4">
        <v>-570.29277661000003</v>
      </c>
      <c r="S62" s="10">
        <f>'[1]links-p0'!N61</f>
        <v>0</v>
      </c>
      <c r="T62" s="7">
        <f>'[1]links-p0'!P61</f>
        <v>0</v>
      </c>
      <c r="U62" s="4">
        <f t="shared" si="2"/>
        <v>0</v>
      </c>
      <c r="W62" s="4">
        <v>60</v>
      </c>
      <c r="X62" s="4">
        <v>-1517.77579117</v>
      </c>
      <c r="Z62" s="4">
        <f>'[1]links-p0'!Y61</f>
        <v>1517.8</v>
      </c>
      <c r="AA62" s="4">
        <f t="shared" si="3"/>
        <v>-1517.8</v>
      </c>
    </row>
    <row r="63" spans="2:27" x14ac:dyDescent="0.35">
      <c r="B63" s="10">
        <f t="shared" si="4"/>
        <v>61</v>
      </c>
      <c r="C63" s="7">
        <v>-5000</v>
      </c>
      <c r="D63" s="2"/>
      <c r="E63" s="4">
        <f>'[1]links-p0'!Q62</f>
        <v>0</v>
      </c>
      <c r="F63" s="4">
        <f>'[1]links-p0'!R62</f>
        <v>5000</v>
      </c>
      <c r="G63" s="11">
        <f t="shared" si="0"/>
        <v>-5000</v>
      </c>
      <c r="I63" s="12">
        <v>61</v>
      </c>
      <c r="J63" s="7">
        <v>-3500</v>
      </c>
      <c r="L63" s="10">
        <f>'[1]links-p0'!M62</f>
        <v>0</v>
      </c>
      <c r="M63" s="7">
        <f>'[1]links-p0'!O62</f>
        <v>3500</v>
      </c>
      <c r="N63" s="11">
        <f t="shared" si="1"/>
        <v>-3500</v>
      </c>
      <c r="P63" s="4">
        <v>61</v>
      </c>
      <c r="Q63" s="4">
        <v>-1005.05277661</v>
      </c>
      <c r="S63" s="10">
        <f>'[1]links-p0'!N62</f>
        <v>0</v>
      </c>
      <c r="T63" s="7">
        <f>'[1]links-p0'!P62</f>
        <v>0</v>
      </c>
      <c r="U63" s="4">
        <f t="shared" si="2"/>
        <v>0</v>
      </c>
      <c r="W63" s="4">
        <v>61</v>
      </c>
      <c r="X63" s="4">
        <v>-1517.77579117</v>
      </c>
      <c r="Z63" s="4">
        <f>'[1]links-p0'!Y62</f>
        <v>1517.8</v>
      </c>
      <c r="AA63" s="4">
        <f t="shared" si="3"/>
        <v>-1517.8</v>
      </c>
    </row>
    <row r="64" spans="2:27" x14ac:dyDescent="0.35">
      <c r="B64" s="10">
        <f t="shared" si="4"/>
        <v>62</v>
      </c>
      <c r="C64" s="7">
        <v>-5000</v>
      </c>
      <c r="D64" s="2"/>
      <c r="E64" s="4">
        <f>'[1]links-p0'!Q63</f>
        <v>0</v>
      </c>
      <c r="F64" s="4">
        <f>'[1]links-p0'!R63</f>
        <v>5000</v>
      </c>
      <c r="G64" s="11">
        <f t="shared" si="0"/>
        <v>-5000</v>
      </c>
      <c r="I64" s="12">
        <v>62</v>
      </c>
      <c r="J64" s="7">
        <v>-2359.1536063799999</v>
      </c>
      <c r="L64" s="10">
        <f>'[1]links-p0'!M63</f>
        <v>0</v>
      </c>
      <c r="M64" s="7">
        <f>'[1]links-p0'!O63</f>
        <v>3500</v>
      </c>
      <c r="N64" s="11">
        <f t="shared" si="1"/>
        <v>-3500</v>
      </c>
      <c r="P64" s="4">
        <v>62</v>
      </c>
      <c r="Q64" s="4">
        <v>-1439.8127766099999</v>
      </c>
      <c r="S64" s="10">
        <f>'[1]links-p0'!N63</f>
        <v>0</v>
      </c>
      <c r="T64" s="7">
        <f>'[1]links-p0'!P63</f>
        <v>0</v>
      </c>
      <c r="U64" s="4">
        <f t="shared" si="2"/>
        <v>0</v>
      </c>
      <c r="W64" s="4">
        <v>62</v>
      </c>
      <c r="X64" s="4">
        <v>-1517.77579117</v>
      </c>
      <c r="Z64" s="4">
        <f>'[1]links-p0'!Y63</f>
        <v>1517.8</v>
      </c>
      <c r="AA64" s="4">
        <f t="shared" si="3"/>
        <v>-1517.8</v>
      </c>
    </row>
    <row r="65" spans="2:27" x14ac:dyDescent="0.35">
      <c r="B65" s="10">
        <f t="shared" si="4"/>
        <v>63</v>
      </c>
      <c r="C65" s="7">
        <v>-5000</v>
      </c>
      <c r="D65" s="2"/>
      <c r="E65" s="4">
        <f>'[1]links-p0'!Q64</f>
        <v>0</v>
      </c>
      <c r="F65" s="4">
        <f>'[1]links-p0'!R64</f>
        <v>5000</v>
      </c>
      <c r="G65" s="11">
        <f t="shared" si="0"/>
        <v>-5000</v>
      </c>
      <c r="I65" s="12">
        <v>63</v>
      </c>
      <c r="J65" s="7">
        <v>-3500</v>
      </c>
      <c r="L65" s="10">
        <f>'[1]links-p0'!M64</f>
        <v>0</v>
      </c>
      <c r="M65" s="7">
        <f>'[1]links-p0'!O64</f>
        <v>3500</v>
      </c>
      <c r="N65" s="11">
        <f t="shared" si="1"/>
        <v>-3500</v>
      </c>
      <c r="P65" s="4">
        <v>63</v>
      </c>
      <c r="Q65" s="4">
        <v>-1213.6280766100001</v>
      </c>
      <c r="S65" s="10">
        <f>'[1]links-p0'!N64</f>
        <v>0</v>
      </c>
      <c r="T65" s="7">
        <f>'[1]links-p0'!P64</f>
        <v>0</v>
      </c>
      <c r="U65" s="4">
        <f t="shared" si="2"/>
        <v>0</v>
      </c>
      <c r="W65" s="4">
        <v>63</v>
      </c>
      <c r="X65" s="4">
        <v>-1517.77579117</v>
      </c>
      <c r="Z65" s="4">
        <f>'[1]links-p0'!Y64</f>
        <v>1517.8</v>
      </c>
      <c r="AA65" s="4">
        <f t="shared" si="3"/>
        <v>-1517.8</v>
      </c>
    </row>
    <row r="66" spans="2:27" x14ac:dyDescent="0.35">
      <c r="B66" s="10">
        <f t="shared" si="4"/>
        <v>64</v>
      </c>
      <c r="C66" s="7">
        <v>-5000</v>
      </c>
      <c r="D66" s="2"/>
      <c r="E66" s="4">
        <f>'[1]links-p0'!Q65</f>
        <v>0</v>
      </c>
      <c r="F66" s="4">
        <f>'[1]links-p0'!R65</f>
        <v>5000</v>
      </c>
      <c r="G66" s="11">
        <f t="shared" si="0"/>
        <v>-5000</v>
      </c>
      <c r="I66" s="12">
        <v>64</v>
      </c>
      <c r="J66" s="7">
        <v>-1329.54075745</v>
      </c>
      <c r="L66" s="10">
        <f>'[1]links-p0'!M65</f>
        <v>0</v>
      </c>
      <c r="M66" s="7">
        <f>'[1]links-p0'!O65</f>
        <v>3500</v>
      </c>
      <c r="N66" s="11">
        <f t="shared" si="1"/>
        <v>-3500</v>
      </c>
      <c r="P66" s="4">
        <v>64</v>
      </c>
      <c r="Q66" s="4">
        <v>-778.86807661</v>
      </c>
      <c r="S66" s="10">
        <f>'[1]links-p0'!N65</f>
        <v>0</v>
      </c>
      <c r="T66" s="7">
        <f>'[1]links-p0'!P65</f>
        <v>0</v>
      </c>
      <c r="U66" s="4">
        <f t="shared" si="2"/>
        <v>0</v>
      </c>
      <c r="W66" s="4">
        <v>64</v>
      </c>
      <c r="X66" s="4">
        <v>-1517.77579117</v>
      </c>
      <c r="Z66" s="4">
        <f>'[1]links-p0'!Y65</f>
        <v>1517.8</v>
      </c>
      <c r="AA66" s="4">
        <f t="shared" si="3"/>
        <v>-1517.8</v>
      </c>
    </row>
    <row r="67" spans="2:27" x14ac:dyDescent="0.35">
      <c r="B67" s="10">
        <f t="shared" si="4"/>
        <v>65</v>
      </c>
      <c r="C67" s="7">
        <v>-5000</v>
      </c>
      <c r="D67" s="2"/>
      <c r="E67" s="4">
        <f>'[1]links-p0'!Q66</f>
        <v>0</v>
      </c>
      <c r="F67" s="4">
        <f>'[1]links-p0'!R66</f>
        <v>5000</v>
      </c>
      <c r="G67" s="11">
        <f t="shared" si="0"/>
        <v>-5000</v>
      </c>
      <c r="I67" s="12">
        <v>65</v>
      </c>
      <c r="J67" s="7">
        <v>-1455.36819388</v>
      </c>
      <c r="L67" s="10">
        <f>'[1]links-p0'!M66</f>
        <v>0</v>
      </c>
      <c r="M67" s="7">
        <f>'[1]links-p0'!O66</f>
        <v>3500</v>
      </c>
      <c r="N67" s="11">
        <f t="shared" si="1"/>
        <v>-3500</v>
      </c>
      <c r="P67" s="4">
        <v>65</v>
      </c>
      <c r="Q67" s="4">
        <v>-344.10807661000001</v>
      </c>
      <c r="S67" s="10">
        <f>'[1]links-p0'!N66</f>
        <v>0</v>
      </c>
      <c r="T67" s="7">
        <f>'[1]links-p0'!P66</f>
        <v>0</v>
      </c>
      <c r="U67" s="4">
        <f t="shared" si="2"/>
        <v>0</v>
      </c>
      <c r="W67" s="4">
        <v>65</v>
      </c>
      <c r="X67" s="4">
        <v>-2698.4194852700002</v>
      </c>
      <c r="Z67" s="4">
        <f>'[1]links-p0'!Y66</f>
        <v>1497.1759999999999</v>
      </c>
      <c r="AA67" s="4">
        <f t="shared" si="3"/>
        <v>-1497.1759999999999</v>
      </c>
    </row>
    <row r="68" spans="2:27" x14ac:dyDescent="0.35">
      <c r="B68" s="10">
        <f t="shared" si="4"/>
        <v>66</v>
      </c>
      <c r="C68" s="7">
        <v>-5000</v>
      </c>
      <c r="D68" s="2"/>
      <c r="E68" s="4">
        <f>'[1]links-p0'!Q67</f>
        <v>0</v>
      </c>
      <c r="F68" s="4">
        <f>'[1]links-p0'!R67</f>
        <v>5000</v>
      </c>
      <c r="G68" s="11">
        <f t="shared" ref="G68:G131" si="5">IF(E68=0,-F68,E68)</f>
        <v>-5000</v>
      </c>
      <c r="I68" s="12">
        <v>66</v>
      </c>
      <c r="J68" s="7">
        <v>-3500</v>
      </c>
      <c r="L68" s="10">
        <f>'[1]links-p0'!M67</f>
        <v>0</v>
      </c>
      <c r="M68" s="7">
        <f>'[1]links-p0'!O67</f>
        <v>3500</v>
      </c>
      <c r="N68" s="11">
        <f t="shared" ref="N68:N131" si="6">IF(L68=0,-M68,L68)</f>
        <v>-3500</v>
      </c>
      <c r="P68" s="4">
        <v>66</v>
      </c>
      <c r="Q68" s="4">
        <v>90.651923389999993</v>
      </c>
      <c r="S68" s="10">
        <f>'[1]links-p0'!N67</f>
        <v>0</v>
      </c>
      <c r="T68" s="7">
        <f>'[1]links-p0'!P67</f>
        <v>155.68140620669101</v>
      </c>
      <c r="U68" s="4">
        <f t="shared" ref="U68:U131" si="7">IF(S68=0,-T68,S68)</f>
        <v>-155.68140620669101</v>
      </c>
      <c r="W68" s="4">
        <v>66</v>
      </c>
      <c r="X68" s="4">
        <v>-2698.4194852700002</v>
      </c>
      <c r="Z68" s="4">
        <f>'[1]links-p0'!Y67</f>
        <v>2698.4436953367831</v>
      </c>
      <c r="AA68" s="4">
        <f t="shared" ref="AA68:AA131" si="8">-Z68</f>
        <v>-2698.4436953367831</v>
      </c>
    </row>
    <row r="69" spans="2:27" x14ac:dyDescent="0.35">
      <c r="B69" s="10">
        <f t="shared" ref="B69:B132" si="9">B68+1</f>
        <v>67</v>
      </c>
      <c r="C69" s="7">
        <v>-5000</v>
      </c>
      <c r="D69" s="2"/>
      <c r="E69" s="4">
        <f>'[1]links-p0'!Q68</f>
        <v>0</v>
      </c>
      <c r="F69" s="4">
        <f>'[1]links-p0'!R68</f>
        <v>5000</v>
      </c>
      <c r="G69" s="11">
        <f t="shared" si="5"/>
        <v>-5000</v>
      </c>
      <c r="I69" s="12">
        <v>67</v>
      </c>
      <c r="J69" s="7">
        <v>-757.34881276999999</v>
      </c>
      <c r="L69" s="10">
        <f>'[1]links-p0'!M68</f>
        <v>0</v>
      </c>
      <c r="M69" s="7">
        <f>'[1]links-p0'!O68</f>
        <v>3500</v>
      </c>
      <c r="N69" s="11">
        <f t="shared" si="6"/>
        <v>-3500</v>
      </c>
      <c r="P69" s="4">
        <v>67</v>
      </c>
      <c r="Q69" s="4">
        <v>525.41192338999997</v>
      </c>
      <c r="S69" s="10">
        <f>'[1]links-p0'!N68</f>
        <v>824.63048961049583</v>
      </c>
      <c r="T69" s="7">
        <f>'[1]links-p0'!P68</f>
        <v>0</v>
      </c>
      <c r="U69" s="4">
        <f t="shared" si="7"/>
        <v>824.63048961049583</v>
      </c>
      <c r="W69" s="4">
        <v>67</v>
      </c>
      <c r="X69" s="4">
        <v>-2698.4194852700002</v>
      </c>
      <c r="Z69" s="4">
        <f>'[1]links-p0'!Y68</f>
        <v>2698.4436953367831</v>
      </c>
      <c r="AA69" s="4">
        <f t="shared" si="8"/>
        <v>-2698.4436953367831</v>
      </c>
    </row>
    <row r="70" spans="2:27" x14ac:dyDescent="0.35">
      <c r="B70" s="10">
        <f t="shared" si="9"/>
        <v>68</v>
      </c>
      <c r="C70" s="7">
        <v>-5000</v>
      </c>
      <c r="D70" s="2"/>
      <c r="E70" s="4">
        <f>'[1]links-p0'!Q69</f>
        <v>0</v>
      </c>
      <c r="F70" s="4">
        <f>'[1]links-p0'!R69</f>
        <v>5000</v>
      </c>
      <c r="G70" s="11">
        <f t="shared" si="5"/>
        <v>-5000</v>
      </c>
      <c r="I70" s="12">
        <v>68</v>
      </c>
      <c r="J70" s="7">
        <v>-3500</v>
      </c>
      <c r="L70" s="10">
        <f>'[1]links-p0'!M69</f>
        <v>0</v>
      </c>
      <c r="M70" s="7">
        <f>'[1]links-p0'!O69</f>
        <v>3500</v>
      </c>
      <c r="N70" s="11">
        <f t="shared" si="6"/>
        <v>-3500</v>
      </c>
      <c r="P70" s="4">
        <v>68</v>
      </c>
      <c r="Q70" s="4">
        <v>303.96191262999997</v>
      </c>
      <c r="S70" s="10">
        <f>'[1]links-p0'!N69</f>
        <v>638.42553338727021</v>
      </c>
      <c r="T70" s="7">
        <f>'[1]links-p0'!P69</f>
        <v>0</v>
      </c>
      <c r="U70" s="4">
        <f t="shared" si="7"/>
        <v>638.42553338727021</v>
      </c>
      <c r="W70" s="4">
        <v>68</v>
      </c>
      <c r="X70" s="4">
        <v>-2698.4194852700002</v>
      </c>
      <c r="Z70" s="4">
        <f>'[1]links-p0'!Y69</f>
        <v>2698.4436953367831</v>
      </c>
      <c r="AA70" s="4">
        <f t="shared" si="8"/>
        <v>-2698.4436953367831</v>
      </c>
    </row>
    <row r="71" spans="2:27" x14ac:dyDescent="0.35">
      <c r="B71" s="10">
        <f t="shared" si="9"/>
        <v>69</v>
      </c>
      <c r="C71" s="7">
        <v>-5000</v>
      </c>
      <c r="D71" s="2"/>
      <c r="E71" s="4">
        <f>'[1]links-p0'!Q70</f>
        <v>0</v>
      </c>
      <c r="F71" s="4">
        <f>'[1]links-p0'!R70</f>
        <v>5000</v>
      </c>
      <c r="G71" s="11">
        <f t="shared" si="5"/>
        <v>-5000</v>
      </c>
      <c r="I71" s="12">
        <v>69</v>
      </c>
      <c r="J71" s="7">
        <v>-3500</v>
      </c>
      <c r="L71" s="10">
        <f>'[1]links-p0'!M70</f>
        <v>0</v>
      </c>
      <c r="M71" s="7">
        <f>'[1]links-p0'!O70</f>
        <v>3500</v>
      </c>
      <c r="N71" s="11">
        <f t="shared" si="6"/>
        <v>-3500</v>
      </c>
      <c r="P71" s="4">
        <v>69</v>
      </c>
      <c r="Q71" s="4">
        <v>196.44215213000001</v>
      </c>
      <c r="S71" s="10">
        <f>'[1]links-p0'!N70</f>
        <v>532.40205056827756</v>
      </c>
      <c r="T71" s="7">
        <f>'[1]links-p0'!P70</f>
        <v>0</v>
      </c>
      <c r="U71" s="4">
        <f t="shared" si="7"/>
        <v>532.40205056827756</v>
      </c>
      <c r="W71" s="4">
        <v>69</v>
      </c>
      <c r="X71" s="4">
        <v>-2698.4194852700002</v>
      </c>
      <c r="Z71" s="4">
        <f>'[1]links-p0'!Y70</f>
        <v>2698.4436953367831</v>
      </c>
      <c r="AA71" s="4">
        <f t="shared" si="8"/>
        <v>-2698.4436953367831</v>
      </c>
    </row>
    <row r="72" spans="2:27" x14ac:dyDescent="0.35">
      <c r="B72" s="10">
        <f t="shared" si="9"/>
        <v>70</v>
      </c>
      <c r="C72" s="7">
        <v>-5000</v>
      </c>
      <c r="D72" s="2"/>
      <c r="E72" s="4">
        <f>'[1]links-p0'!Q71</f>
        <v>0</v>
      </c>
      <c r="F72" s="4">
        <f>'[1]links-p0'!R71</f>
        <v>5000</v>
      </c>
      <c r="G72" s="11">
        <f t="shared" si="5"/>
        <v>-5000</v>
      </c>
      <c r="I72" s="12">
        <v>70</v>
      </c>
      <c r="J72" s="7">
        <v>-2411.5887285099998</v>
      </c>
      <c r="L72" s="10">
        <f>'[1]links-p0'!M71</f>
        <v>0</v>
      </c>
      <c r="M72" s="7">
        <f>'[1]links-p0'!O71</f>
        <v>3500</v>
      </c>
      <c r="N72" s="11">
        <f t="shared" si="6"/>
        <v>-3500</v>
      </c>
      <c r="P72" s="4">
        <v>70</v>
      </c>
      <c r="Q72" s="4">
        <v>195.57296174999999</v>
      </c>
      <c r="S72" s="10">
        <f>'[1]links-p0'!N71</f>
        <v>505.5705483899892</v>
      </c>
      <c r="T72" s="7">
        <f>'[1]links-p0'!P71</f>
        <v>0</v>
      </c>
      <c r="U72" s="4">
        <f t="shared" si="7"/>
        <v>505.5705483899892</v>
      </c>
      <c r="W72" s="4">
        <v>70</v>
      </c>
      <c r="X72" s="4">
        <v>-2698.4194852700002</v>
      </c>
      <c r="Z72" s="4">
        <f>'[1]links-p0'!Y71</f>
        <v>2698.4436953367831</v>
      </c>
      <c r="AA72" s="4">
        <f t="shared" si="8"/>
        <v>-2698.4436953367831</v>
      </c>
    </row>
    <row r="73" spans="2:27" x14ac:dyDescent="0.35">
      <c r="B73" s="10">
        <f t="shared" si="9"/>
        <v>71</v>
      </c>
      <c r="C73" s="7">
        <v>-5000</v>
      </c>
      <c r="D73" s="2"/>
      <c r="E73" s="4">
        <f>'[1]links-p0'!Q72</f>
        <v>0</v>
      </c>
      <c r="F73" s="4">
        <f>'[1]links-p0'!R72</f>
        <v>5000</v>
      </c>
      <c r="G73" s="11">
        <f t="shared" si="5"/>
        <v>-5000</v>
      </c>
      <c r="I73" s="12">
        <v>71</v>
      </c>
      <c r="J73" s="7">
        <v>-1508.62675745</v>
      </c>
      <c r="L73" s="10">
        <f>'[1]links-p0'!M72</f>
        <v>0</v>
      </c>
      <c r="M73" s="7">
        <f>'[1]links-p0'!O72</f>
        <v>3500</v>
      </c>
      <c r="N73" s="11">
        <f t="shared" si="6"/>
        <v>-3500</v>
      </c>
      <c r="P73" s="4">
        <v>71</v>
      </c>
      <c r="Q73" s="4">
        <v>190.0866915</v>
      </c>
      <c r="S73" s="10">
        <f>'[1]links-p0'!N72</f>
        <v>484.44157626196647</v>
      </c>
      <c r="T73" s="7">
        <f>'[1]links-p0'!P72</f>
        <v>0</v>
      </c>
      <c r="U73" s="4">
        <f t="shared" si="7"/>
        <v>484.44157626196647</v>
      </c>
      <c r="W73" s="4">
        <v>71</v>
      </c>
      <c r="X73" s="4">
        <v>-2698.4194852700002</v>
      </c>
      <c r="Z73" s="4">
        <f>'[1]links-p0'!Y72</f>
        <v>2698.4436953367831</v>
      </c>
      <c r="AA73" s="4">
        <f t="shared" si="8"/>
        <v>-2698.4436953367831</v>
      </c>
    </row>
    <row r="74" spans="2:27" x14ac:dyDescent="0.35">
      <c r="B74" s="10">
        <f t="shared" si="9"/>
        <v>72</v>
      </c>
      <c r="C74" s="7">
        <v>-5000</v>
      </c>
      <c r="D74" s="2"/>
      <c r="E74" s="4">
        <f>'[1]links-p0'!Q73</f>
        <v>0</v>
      </c>
      <c r="F74" s="4">
        <f>'[1]links-p0'!R73</f>
        <v>5000</v>
      </c>
      <c r="G74" s="11">
        <f t="shared" si="5"/>
        <v>-5000</v>
      </c>
      <c r="I74" s="12">
        <v>72</v>
      </c>
      <c r="J74" s="7">
        <v>-999.62707660000001</v>
      </c>
      <c r="L74" s="10">
        <f>'[1]links-p0'!M73</f>
        <v>0</v>
      </c>
      <c r="M74" s="7">
        <f>'[1]links-p0'!O73</f>
        <v>3500</v>
      </c>
      <c r="N74" s="11">
        <f t="shared" si="6"/>
        <v>-3500</v>
      </c>
      <c r="P74" s="4">
        <v>72</v>
      </c>
      <c r="Q74" s="4">
        <v>239.4210415</v>
      </c>
      <c r="S74" s="10">
        <f>'[1]links-p0'!N73</f>
        <v>517.02518104028843</v>
      </c>
      <c r="T74" s="7">
        <f>'[1]links-p0'!P73</f>
        <v>0</v>
      </c>
      <c r="U74" s="4">
        <f t="shared" si="7"/>
        <v>517.02518104028843</v>
      </c>
      <c r="W74" s="4">
        <v>72</v>
      </c>
      <c r="X74" s="4">
        <v>-3010.0779342999999</v>
      </c>
      <c r="Z74" s="4">
        <f>'[1]links-p0'!Y73</f>
        <v>2940.16732</v>
      </c>
      <c r="AA74" s="4">
        <f t="shared" si="8"/>
        <v>-2940.16732</v>
      </c>
    </row>
    <row r="75" spans="2:27" x14ac:dyDescent="0.35">
      <c r="B75" s="10">
        <f t="shared" si="9"/>
        <v>73</v>
      </c>
      <c r="C75" s="7">
        <v>-5000</v>
      </c>
      <c r="D75" s="2"/>
      <c r="E75" s="4">
        <f>'[1]links-p0'!Q74</f>
        <v>0</v>
      </c>
      <c r="F75" s="4">
        <f>'[1]links-p0'!R74</f>
        <v>5000</v>
      </c>
      <c r="G75" s="11">
        <f t="shared" si="5"/>
        <v>-5000</v>
      </c>
      <c r="I75" s="12">
        <v>73</v>
      </c>
      <c r="J75" s="7">
        <v>-1598.2044723399999</v>
      </c>
      <c r="L75" s="10">
        <f>'[1]links-p0'!M74</f>
        <v>0</v>
      </c>
      <c r="M75" s="7">
        <f>'[1]links-p0'!O74</f>
        <v>3500</v>
      </c>
      <c r="N75" s="11">
        <f t="shared" si="6"/>
        <v>-3500</v>
      </c>
      <c r="P75" s="4">
        <v>73</v>
      </c>
      <c r="Q75" s="4">
        <v>207.31380093999999</v>
      </c>
      <c r="S75" s="10">
        <f>'[1]links-p0'!N74</f>
        <v>543.25874864986747</v>
      </c>
      <c r="T75" s="7">
        <f>'[1]links-p0'!P74</f>
        <v>0</v>
      </c>
      <c r="U75" s="4">
        <f t="shared" si="7"/>
        <v>543.25874864986747</v>
      </c>
      <c r="W75" s="4">
        <v>73</v>
      </c>
      <c r="X75" s="4">
        <v>-3010.0779342999999</v>
      </c>
      <c r="Z75" s="4">
        <f>'[1]links-p0'!Y74</f>
        <v>2940.16732</v>
      </c>
      <c r="AA75" s="4">
        <f t="shared" si="8"/>
        <v>-2940.16732</v>
      </c>
    </row>
    <row r="76" spans="2:27" x14ac:dyDescent="0.35">
      <c r="B76" s="10">
        <f t="shared" si="9"/>
        <v>74</v>
      </c>
      <c r="C76" s="7">
        <v>-5000</v>
      </c>
      <c r="D76" s="2"/>
      <c r="E76" s="4">
        <f>'[1]links-p0'!Q75</f>
        <v>0</v>
      </c>
      <c r="F76" s="4">
        <f>'[1]links-p0'!R75</f>
        <v>5000</v>
      </c>
      <c r="G76" s="11">
        <f t="shared" si="5"/>
        <v>-5000</v>
      </c>
      <c r="I76" s="12">
        <v>74</v>
      </c>
      <c r="J76" s="7">
        <v>-1986.5157872299999</v>
      </c>
      <c r="L76" s="10">
        <f>'[1]links-p0'!M75</f>
        <v>0</v>
      </c>
      <c r="M76" s="7">
        <f>'[1]links-p0'!O75</f>
        <v>3500</v>
      </c>
      <c r="N76" s="11">
        <f t="shared" si="6"/>
        <v>-3500</v>
      </c>
      <c r="P76" s="4">
        <v>74</v>
      </c>
      <c r="Q76" s="4">
        <v>266.54768094000002</v>
      </c>
      <c r="S76" s="10">
        <f>'[1]links-p0'!N75</f>
        <v>582.38053430418904</v>
      </c>
      <c r="T76" s="7">
        <f>'[1]links-p0'!P75</f>
        <v>0</v>
      </c>
      <c r="U76" s="4">
        <f t="shared" si="7"/>
        <v>582.38053430418904</v>
      </c>
      <c r="W76" s="4">
        <v>74</v>
      </c>
      <c r="X76" s="4">
        <v>-3010.0779342999999</v>
      </c>
      <c r="Z76" s="4">
        <f>'[1]links-p0'!Y75</f>
        <v>2940.16732</v>
      </c>
      <c r="AA76" s="4">
        <f t="shared" si="8"/>
        <v>-2940.16732</v>
      </c>
    </row>
    <row r="77" spans="2:27" x14ac:dyDescent="0.35">
      <c r="B77" s="10">
        <f t="shared" si="9"/>
        <v>75</v>
      </c>
      <c r="C77" s="7">
        <v>-5000</v>
      </c>
      <c r="D77" s="2"/>
      <c r="E77" s="4">
        <f>'[1]links-p0'!Q76</f>
        <v>0</v>
      </c>
      <c r="F77" s="4">
        <f>'[1]links-p0'!R76</f>
        <v>5000</v>
      </c>
      <c r="G77" s="11">
        <f t="shared" si="5"/>
        <v>-5000</v>
      </c>
      <c r="I77" s="12">
        <v>75</v>
      </c>
      <c r="J77" s="7">
        <v>-2357.61208085</v>
      </c>
      <c r="L77" s="10">
        <f>'[1]links-p0'!M76</f>
        <v>0</v>
      </c>
      <c r="M77" s="7">
        <f>'[1]links-p0'!O76</f>
        <v>3500</v>
      </c>
      <c r="N77" s="11">
        <f t="shared" si="6"/>
        <v>-3500</v>
      </c>
      <c r="P77" s="4">
        <v>75</v>
      </c>
      <c r="Q77" s="4">
        <v>274.91219094000002</v>
      </c>
      <c r="S77" s="10">
        <f>'[1]links-p0'!N76</f>
        <v>587.90505696774392</v>
      </c>
      <c r="T77" s="7">
        <f>'[1]links-p0'!P76</f>
        <v>0</v>
      </c>
      <c r="U77" s="4">
        <f t="shared" si="7"/>
        <v>587.90505696774392</v>
      </c>
      <c r="W77" s="4">
        <v>75</v>
      </c>
      <c r="X77" s="4">
        <v>-3010.0779342999999</v>
      </c>
      <c r="Z77" s="4">
        <f>'[1]links-p0'!Y76</f>
        <v>2940.16732</v>
      </c>
      <c r="AA77" s="4">
        <f t="shared" si="8"/>
        <v>-2940.16732</v>
      </c>
    </row>
    <row r="78" spans="2:27" x14ac:dyDescent="0.35">
      <c r="B78" s="10">
        <f t="shared" si="9"/>
        <v>76</v>
      </c>
      <c r="C78" s="7">
        <v>-5000</v>
      </c>
      <c r="D78" s="2"/>
      <c r="E78" s="4">
        <f>'[1]links-p0'!Q77</f>
        <v>0</v>
      </c>
      <c r="F78" s="4">
        <f>'[1]links-p0'!R77</f>
        <v>5000</v>
      </c>
      <c r="G78" s="11">
        <f t="shared" si="5"/>
        <v>-5000</v>
      </c>
      <c r="I78" s="12">
        <v>76</v>
      </c>
      <c r="J78" s="7">
        <v>-2475.9811489399999</v>
      </c>
      <c r="L78" s="10">
        <f>'[1]links-p0'!M77</f>
        <v>0</v>
      </c>
      <c r="M78" s="7">
        <f>'[1]links-p0'!O77</f>
        <v>3500</v>
      </c>
      <c r="N78" s="11">
        <f t="shared" si="6"/>
        <v>-3500</v>
      </c>
      <c r="P78" s="4">
        <v>76</v>
      </c>
      <c r="Q78" s="4">
        <v>268.44196094</v>
      </c>
      <c r="S78" s="10">
        <f>'[1]links-p0'!N77</f>
        <v>583.63153329368265</v>
      </c>
      <c r="T78" s="7">
        <f>'[1]links-p0'!P77</f>
        <v>0</v>
      </c>
      <c r="U78" s="4">
        <f t="shared" si="7"/>
        <v>583.63153329368265</v>
      </c>
      <c r="W78" s="4">
        <v>76</v>
      </c>
      <c r="X78" s="4">
        <v>-3010.0779342999999</v>
      </c>
      <c r="Z78" s="4">
        <f>'[1]links-p0'!Y77</f>
        <v>2940.16732</v>
      </c>
      <c r="AA78" s="4">
        <f t="shared" si="8"/>
        <v>-2940.16732</v>
      </c>
    </row>
    <row r="79" spans="2:27" x14ac:dyDescent="0.35">
      <c r="B79" s="10">
        <f t="shared" si="9"/>
        <v>77</v>
      </c>
      <c r="C79" s="7">
        <v>-5000</v>
      </c>
      <c r="D79" s="2"/>
      <c r="E79" s="4">
        <f>'[1]links-p0'!Q78</f>
        <v>0</v>
      </c>
      <c r="F79" s="4">
        <f>'[1]links-p0'!R78</f>
        <v>5000</v>
      </c>
      <c r="G79" s="11">
        <f t="shared" si="5"/>
        <v>-5000</v>
      </c>
      <c r="I79" s="12">
        <v>77</v>
      </c>
      <c r="J79" s="7">
        <v>-2456.4717702100002</v>
      </c>
      <c r="L79" s="10">
        <f>'[1]links-p0'!M78</f>
        <v>0</v>
      </c>
      <c r="M79" s="7">
        <f>'[1]links-p0'!O78</f>
        <v>3500</v>
      </c>
      <c r="N79" s="11">
        <f t="shared" si="6"/>
        <v>-3500</v>
      </c>
      <c r="P79" s="4">
        <v>77</v>
      </c>
      <c r="Q79" s="4">
        <v>239.86872094</v>
      </c>
      <c r="S79" s="10">
        <f>'[1]links-p0'!N78</f>
        <v>564.75990567708868</v>
      </c>
      <c r="T79" s="7">
        <f>'[1]links-p0'!P78</f>
        <v>0</v>
      </c>
      <c r="U79" s="4">
        <f t="shared" si="7"/>
        <v>564.75990567708868</v>
      </c>
      <c r="W79" s="4">
        <v>77</v>
      </c>
      <c r="X79" s="4">
        <v>-3010.0779342999999</v>
      </c>
      <c r="Z79" s="4">
        <f>'[1]links-p0'!Y78</f>
        <v>2940.16732</v>
      </c>
      <c r="AA79" s="4">
        <f t="shared" si="8"/>
        <v>-2940.16732</v>
      </c>
    </row>
    <row r="80" spans="2:27" x14ac:dyDescent="0.35">
      <c r="B80" s="10">
        <f t="shared" si="9"/>
        <v>78</v>
      </c>
      <c r="C80" s="7">
        <v>-5000</v>
      </c>
      <c r="D80" s="2"/>
      <c r="E80" s="4">
        <f>'[1]links-p0'!Q79</f>
        <v>0</v>
      </c>
      <c r="F80" s="4">
        <f>'[1]links-p0'!R79</f>
        <v>5000</v>
      </c>
      <c r="G80" s="11">
        <f t="shared" si="5"/>
        <v>-5000</v>
      </c>
      <c r="I80" s="12">
        <v>78</v>
      </c>
      <c r="J80" s="7">
        <v>-2343.4829923399998</v>
      </c>
      <c r="L80" s="10">
        <f>'[1]links-p0'!M79</f>
        <v>0</v>
      </c>
      <c r="M80" s="7">
        <f>'[1]links-p0'!O79</f>
        <v>3500</v>
      </c>
      <c r="N80" s="11">
        <f t="shared" si="6"/>
        <v>-3500</v>
      </c>
      <c r="P80" s="4">
        <v>78</v>
      </c>
      <c r="Q80" s="4">
        <v>296.68424742000002</v>
      </c>
      <c r="S80" s="10">
        <f>'[1]links-p0'!N79</f>
        <v>635.54440340144299</v>
      </c>
      <c r="T80" s="7">
        <f>'[1]links-p0'!P79</f>
        <v>0</v>
      </c>
      <c r="U80" s="4">
        <f t="shared" si="7"/>
        <v>635.54440340144299</v>
      </c>
      <c r="W80" s="4">
        <v>78</v>
      </c>
      <c r="X80" s="4">
        <v>-3010.0779342999999</v>
      </c>
      <c r="Z80" s="4">
        <f>'[1]links-p0'!Y79</f>
        <v>2940.16732</v>
      </c>
      <c r="AA80" s="4">
        <f t="shared" si="8"/>
        <v>-2940.16732</v>
      </c>
    </row>
    <row r="81" spans="2:27" x14ac:dyDescent="0.35">
      <c r="B81" s="10">
        <f t="shared" si="9"/>
        <v>79</v>
      </c>
      <c r="C81" s="7">
        <v>-5000</v>
      </c>
      <c r="D81" s="2"/>
      <c r="E81" s="4">
        <f>'[1]links-p0'!Q80</f>
        <v>0</v>
      </c>
      <c r="F81" s="4">
        <f>'[1]links-p0'!R80</f>
        <v>5000</v>
      </c>
      <c r="G81" s="11">
        <f t="shared" si="5"/>
        <v>-5000</v>
      </c>
      <c r="I81" s="12">
        <v>79</v>
      </c>
      <c r="J81" s="7">
        <v>-1987.29290468</v>
      </c>
      <c r="L81" s="10">
        <f>'[1]links-p0'!M80</f>
        <v>0</v>
      </c>
      <c r="M81" s="7">
        <f>'[1]links-p0'!O80</f>
        <v>3500</v>
      </c>
      <c r="N81" s="11">
        <f t="shared" si="6"/>
        <v>-3500</v>
      </c>
      <c r="P81" s="4">
        <v>79</v>
      </c>
      <c r="Q81" s="4">
        <v>346.00714389000001</v>
      </c>
      <c r="S81" s="10">
        <f>'[1]links-p0'!N80</f>
        <v>701.37991653390702</v>
      </c>
      <c r="T81" s="7">
        <f>'[1]links-p0'!P80</f>
        <v>0</v>
      </c>
      <c r="U81" s="4">
        <f t="shared" si="7"/>
        <v>701.37991653390702</v>
      </c>
      <c r="W81" s="4">
        <v>79</v>
      </c>
      <c r="X81" s="4">
        <v>-3010.0779342999999</v>
      </c>
      <c r="Z81" s="4">
        <f>'[1]links-p0'!Y80</f>
        <v>2940.16732</v>
      </c>
      <c r="AA81" s="4">
        <f t="shared" si="8"/>
        <v>-2940.16732</v>
      </c>
    </row>
    <row r="82" spans="2:27" x14ac:dyDescent="0.35">
      <c r="B82" s="10">
        <f t="shared" si="9"/>
        <v>80</v>
      </c>
      <c r="C82" s="7">
        <v>-5000</v>
      </c>
      <c r="D82" s="2"/>
      <c r="E82" s="4">
        <f>'[1]links-p0'!Q81</f>
        <v>0</v>
      </c>
      <c r="F82" s="4">
        <f>'[1]links-p0'!R81</f>
        <v>5000</v>
      </c>
      <c r="G82" s="11">
        <f t="shared" si="5"/>
        <v>-5000</v>
      </c>
      <c r="I82" s="12">
        <v>80</v>
      </c>
      <c r="J82" s="7">
        <v>-3500</v>
      </c>
      <c r="L82" s="10">
        <f>'[1]links-p0'!M81</f>
        <v>0</v>
      </c>
      <c r="M82" s="7">
        <f>'[1]links-p0'!O81</f>
        <v>3500</v>
      </c>
      <c r="N82" s="11">
        <f t="shared" si="6"/>
        <v>-3500</v>
      </c>
      <c r="P82" s="4">
        <v>80</v>
      </c>
      <c r="Q82" s="4">
        <v>426.13806634000002</v>
      </c>
      <c r="S82" s="10">
        <f>'[1]links-p0'!N81</f>
        <v>785.81278840981349</v>
      </c>
      <c r="T82" s="7">
        <f>'[1]links-p0'!P81</f>
        <v>0</v>
      </c>
      <c r="U82" s="4">
        <f t="shared" si="7"/>
        <v>785.81278840981349</v>
      </c>
      <c r="W82" s="4">
        <v>80</v>
      </c>
      <c r="X82" s="4">
        <v>-3010.0779342999999</v>
      </c>
      <c r="Z82" s="4">
        <f>'[1]links-p0'!Y81</f>
        <v>2940.16732</v>
      </c>
      <c r="AA82" s="4">
        <f t="shared" si="8"/>
        <v>-2940.16732</v>
      </c>
    </row>
    <row r="83" spans="2:27" x14ac:dyDescent="0.35">
      <c r="B83" s="10">
        <f t="shared" si="9"/>
        <v>81</v>
      </c>
      <c r="C83" s="7">
        <v>-5000</v>
      </c>
      <c r="D83" s="2"/>
      <c r="E83" s="4">
        <f>'[1]links-p0'!Q82</f>
        <v>0</v>
      </c>
      <c r="F83" s="4">
        <f>'[1]links-p0'!R82</f>
        <v>5000</v>
      </c>
      <c r="G83" s="11">
        <f t="shared" si="5"/>
        <v>-5000</v>
      </c>
      <c r="I83" s="12">
        <v>81</v>
      </c>
      <c r="J83" s="7">
        <v>-3500</v>
      </c>
      <c r="L83" s="10">
        <f>'[1]links-p0'!M82</f>
        <v>0</v>
      </c>
      <c r="M83" s="7">
        <f>'[1]links-p0'!O82</f>
        <v>3500</v>
      </c>
      <c r="N83" s="11">
        <f t="shared" si="6"/>
        <v>-3500</v>
      </c>
      <c r="P83" s="4">
        <v>81</v>
      </c>
      <c r="Q83" s="4">
        <v>499.56901282000001</v>
      </c>
      <c r="S83" s="10">
        <f>'[1]links-p0'!N82</f>
        <v>867.57114536745348</v>
      </c>
      <c r="T83" s="7">
        <f>'[1]links-p0'!P82</f>
        <v>0</v>
      </c>
      <c r="U83" s="4">
        <f t="shared" si="7"/>
        <v>867.57114536745348</v>
      </c>
      <c r="W83" s="4">
        <v>81</v>
      </c>
      <c r="X83" s="4">
        <v>-3010.0779342999999</v>
      </c>
      <c r="Z83" s="4">
        <f>'[1]links-p0'!Y82</f>
        <v>2940.16732</v>
      </c>
      <c r="AA83" s="4">
        <f t="shared" si="8"/>
        <v>-2940.16732</v>
      </c>
    </row>
    <row r="84" spans="2:27" x14ac:dyDescent="0.35">
      <c r="B84" s="10">
        <f t="shared" si="9"/>
        <v>82</v>
      </c>
      <c r="C84" s="7">
        <v>-5000</v>
      </c>
      <c r="D84" s="2"/>
      <c r="E84" s="4">
        <f>'[1]links-p0'!Q83</f>
        <v>0</v>
      </c>
      <c r="F84" s="4">
        <f>'[1]links-p0'!R83</f>
        <v>5000</v>
      </c>
      <c r="G84" s="11">
        <f t="shared" si="5"/>
        <v>-5000</v>
      </c>
      <c r="I84" s="12">
        <v>82</v>
      </c>
      <c r="J84" s="7">
        <v>-1105.75236298</v>
      </c>
      <c r="L84" s="10">
        <f>'[1]links-p0'!M83</f>
        <v>0</v>
      </c>
      <c r="M84" s="7">
        <f>'[1]links-p0'!O83</f>
        <v>3500</v>
      </c>
      <c r="N84" s="11">
        <f t="shared" si="6"/>
        <v>-3500</v>
      </c>
      <c r="P84" s="4">
        <v>82</v>
      </c>
      <c r="Q84" s="4">
        <v>268.03801282000001</v>
      </c>
      <c r="S84" s="10">
        <f>'[1]links-p0'!N83</f>
        <v>553.12983412326503</v>
      </c>
      <c r="T84" s="7">
        <f>'[1]links-p0'!P83</f>
        <v>0</v>
      </c>
      <c r="U84" s="4">
        <f t="shared" si="7"/>
        <v>553.12983412326503</v>
      </c>
      <c r="W84" s="4">
        <v>82</v>
      </c>
      <c r="X84" s="4">
        <v>-3010.0779342999999</v>
      </c>
      <c r="Z84" s="4">
        <f>'[1]links-p0'!Y83</f>
        <v>2207.1494596687498</v>
      </c>
      <c r="AA84" s="4">
        <f t="shared" si="8"/>
        <v>-2207.1494596687498</v>
      </c>
    </row>
    <row r="85" spans="2:27" x14ac:dyDescent="0.35">
      <c r="B85" s="10">
        <f t="shared" si="9"/>
        <v>83</v>
      </c>
      <c r="C85" s="7">
        <v>-5000</v>
      </c>
      <c r="D85" s="2"/>
      <c r="E85" s="4">
        <f>'[1]links-p0'!Q84</f>
        <v>0</v>
      </c>
      <c r="F85" s="4">
        <f>'[1]links-p0'!R84</f>
        <v>5000</v>
      </c>
      <c r="G85" s="11">
        <f t="shared" si="5"/>
        <v>-5000</v>
      </c>
      <c r="I85" s="12">
        <v>83</v>
      </c>
      <c r="J85" s="7">
        <v>-1083.4669978699999</v>
      </c>
      <c r="L85" s="10">
        <f>'[1]links-p0'!M84</f>
        <v>0</v>
      </c>
      <c r="M85" s="7">
        <f>'[1]links-p0'!O84</f>
        <v>3500</v>
      </c>
      <c r="N85" s="11">
        <f t="shared" si="6"/>
        <v>-3500</v>
      </c>
      <c r="P85" s="4">
        <v>83</v>
      </c>
      <c r="Q85" s="4">
        <v>-166.72198718000001</v>
      </c>
      <c r="S85" s="10">
        <f>'[1]links-p0'!N84</f>
        <v>0</v>
      </c>
      <c r="T85" s="7">
        <f>'[1]links-p0'!P84</f>
        <v>0</v>
      </c>
      <c r="U85" s="4">
        <f t="shared" si="7"/>
        <v>0</v>
      </c>
      <c r="W85" s="4">
        <v>83</v>
      </c>
      <c r="X85" s="4">
        <v>-3010.0779342999999</v>
      </c>
      <c r="Z85" s="4">
        <f>'[1]links-p0'!Y84</f>
        <v>1497.1759999999999</v>
      </c>
      <c r="AA85" s="4">
        <f t="shared" si="8"/>
        <v>-1497.1759999999999</v>
      </c>
    </row>
    <row r="86" spans="2:27" x14ac:dyDescent="0.35">
      <c r="B86" s="10">
        <f t="shared" si="9"/>
        <v>84</v>
      </c>
      <c r="C86" s="7">
        <v>0</v>
      </c>
      <c r="D86" s="2"/>
      <c r="E86" s="4">
        <f>'[1]links-p0'!Q85</f>
        <v>0</v>
      </c>
      <c r="F86" s="4">
        <f>'[1]links-p0'!R85</f>
        <v>0</v>
      </c>
      <c r="G86" s="11">
        <f t="shared" si="5"/>
        <v>0</v>
      </c>
      <c r="I86" s="12">
        <v>84</v>
      </c>
      <c r="J86" s="7">
        <v>-2181.02128511</v>
      </c>
      <c r="L86" s="10">
        <f>'[1]links-p0'!M85</f>
        <v>0</v>
      </c>
      <c r="M86" s="7">
        <f>'[1]links-p0'!O85</f>
        <v>3500</v>
      </c>
      <c r="N86" s="11">
        <f t="shared" si="6"/>
        <v>-3500</v>
      </c>
      <c r="P86" s="4">
        <v>84</v>
      </c>
      <c r="Q86" s="4">
        <v>-601.48198718000003</v>
      </c>
      <c r="S86" s="10">
        <f>'[1]links-p0'!N85</f>
        <v>0</v>
      </c>
      <c r="T86" s="7">
        <f>'[1]links-p0'!P85</f>
        <v>0</v>
      </c>
      <c r="U86" s="4">
        <f t="shared" si="7"/>
        <v>0</v>
      </c>
      <c r="W86" s="4">
        <v>84</v>
      </c>
      <c r="X86" s="4">
        <v>-1517.77579117</v>
      </c>
      <c r="Z86" s="4">
        <f>'[1]links-p0'!Y85</f>
        <v>1517.8</v>
      </c>
      <c r="AA86" s="4">
        <f t="shared" si="8"/>
        <v>-1517.8</v>
      </c>
    </row>
    <row r="87" spans="2:27" x14ac:dyDescent="0.35">
      <c r="B87" s="10">
        <f t="shared" si="9"/>
        <v>85</v>
      </c>
      <c r="C87" s="7">
        <v>0</v>
      </c>
      <c r="D87" s="2"/>
      <c r="E87" s="4">
        <f>'[1]links-p0'!Q86</f>
        <v>0</v>
      </c>
      <c r="F87" s="4">
        <f>'[1]links-p0'!R86</f>
        <v>0</v>
      </c>
      <c r="G87" s="11">
        <f t="shared" si="5"/>
        <v>0</v>
      </c>
      <c r="I87" s="12">
        <v>85</v>
      </c>
      <c r="J87" s="7">
        <v>0</v>
      </c>
      <c r="L87" s="10">
        <f>'[1]links-p0'!M86</f>
        <v>0</v>
      </c>
      <c r="M87" s="7">
        <f>'[1]links-p0'!O86</f>
        <v>3500</v>
      </c>
      <c r="N87" s="11">
        <f t="shared" si="6"/>
        <v>-3500</v>
      </c>
      <c r="P87" s="4">
        <v>85</v>
      </c>
      <c r="Q87" s="4">
        <v>-1036.24198718</v>
      </c>
      <c r="S87" s="10">
        <f>'[1]links-p0'!N86</f>
        <v>0</v>
      </c>
      <c r="T87" s="7">
        <f>'[1]links-p0'!P86</f>
        <v>0</v>
      </c>
      <c r="U87" s="4">
        <f t="shared" si="7"/>
        <v>0</v>
      </c>
      <c r="W87" s="4">
        <v>85</v>
      </c>
      <c r="X87" s="4">
        <v>-1517.77579117</v>
      </c>
      <c r="Z87" s="4">
        <f>'[1]links-p0'!Y86</f>
        <v>1517.8</v>
      </c>
      <c r="AA87" s="4">
        <f t="shared" si="8"/>
        <v>-1517.8</v>
      </c>
    </row>
    <row r="88" spans="2:27" x14ac:dyDescent="0.35">
      <c r="B88" s="10">
        <f t="shared" si="9"/>
        <v>86</v>
      </c>
      <c r="C88" s="7">
        <v>0</v>
      </c>
      <c r="D88" s="2"/>
      <c r="E88" s="4">
        <f>'[1]links-p0'!Q87</f>
        <v>0</v>
      </c>
      <c r="F88" s="4">
        <f>'[1]links-p0'!R87</f>
        <v>0</v>
      </c>
      <c r="G88" s="11">
        <f t="shared" si="5"/>
        <v>0</v>
      </c>
      <c r="I88" s="12">
        <v>86</v>
      </c>
      <c r="J88" s="7">
        <v>-2697.57585049</v>
      </c>
      <c r="L88" s="10">
        <f>'[1]links-p0'!M87</f>
        <v>0</v>
      </c>
      <c r="M88" s="7">
        <f>'[1]links-p0'!O87</f>
        <v>3500</v>
      </c>
      <c r="N88" s="11">
        <f t="shared" si="6"/>
        <v>-3500</v>
      </c>
      <c r="P88" s="4">
        <v>86</v>
      </c>
      <c r="Q88" s="4">
        <v>-1471.00198718</v>
      </c>
      <c r="S88" s="10">
        <f>'[1]links-p0'!N87</f>
        <v>0</v>
      </c>
      <c r="T88" s="7">
        <f>'[1]links-p0'!P87</f>
        <v>0</v>
      </c>
      <c r="U88" s="4">
        <f t="shared" si="7"/>
        <v>0</v>
      </c>
      <c r="W88" s="4">
        <v>86</v>
      </c>
      <c r="X88" s="4">
        <v>-1517.77579117</v>
      </c>
      <c r="Z88" s="4">
        <f>'[1]links-p0'!Y87</f>
        <v>1517.8</v>
      </c>
      <c r="AA88" s="4">
        <f t="shared" si="8"/>
        <v>-1517.8</v>
      </c>
    </row>
    <row r="89" spans="2:27" x14ac:dyDescent="0.35">
      <c r="B89" s="10">
        <f t="shared" si="9"/>
        <v>87</v>
      </c>
      <c r="C89" s="7">
        <v>0</v>
      </c>
      <c r="D89" s="2"/>
      <c r="E89" s="4">
        <f>'[1]links-p0'!Q88</f>
        <v>0</v>
      </c>
      <c r="F89" s="4">
        <f>'[1]links-p0'!R88</f>
        <v>0</v>
      </c>
      <c r="G89" s="11">
        <f t="shared" si="5"/>
        <v>0</v>
      </c>
      <c r="I89" s="12">
        <v>87</v>
      </c>
      <c r="J89" s="7">
        <v>-2642.77572766</v>
      </c>
      <c r="L89" s="10">
        <f>'[1]links-p0'!M88</f>
        <v>0</v>
      </c>
      <c r="M89" s="7">
        <f>'[1]links-p0'!O88</f>
        <v>3500</v>
      </c>
      <c r="N89" s="11">
        <f t="shared" si="6"/>
        <v>-3500</v>
      </c>
      <c r="P89" s="4">
        <v>87</v>
      </c>
      <c r="Q89" s="4">
        <v>-1905.76198718</v>
      </c>
      <c r="S89" s="10">
        <f>'[1]links-p0'!N88</f>
        <v>0</v>
      </c>
      <c r="T89" s="7">
        <f>'[1]links-p0'!P88</f>
        <v>0</v>
      </c>
      <c r="U89" s="4">
        <f t="shared" si="7"/>
        <v>0</v>
      </c>
      <c r="W89" s="4">
        <v>87</v>
      </c>
      <c r="X89" s="4">
        <v>-1517.77579117</v>
      </c>
      <c r="Z89" s="4">
        <f>'[1]links-p0'!Y88</f>
        <v>1517.8</v>
      </c>
      <c r="AA89" s="4">
        <f t="shared" si="8"/>
        <v>-1517.8</v>
      </c>
    </row>
    <row r="90" spans="2:27" x14ac:dyDescent="0.35">
      <c r="B90" s="10">
        <f t="shared" si="9"/>
        <v>88</v>
      </c>
      <c r="C90" s="7">
        <v>-3139.1474637299998</v>
      </c>
      <c r="D90" s="2"/>
      <c r="E90" s="4">
        <f>'[1]links-p0'!Q89</f>
        <v>0</v>
      </c>
      <c r="F90" s="4">
        <f>'[1]links-p0'!R89</f>
        <v>3139.1474637299998</v>
      </c>
      <c r="G90" s="11">
        <f t="shared" si="5"/>
        <v>-3139.1474637299998</v>
      </c>
      <c r="I90" s="12">
        <v>88</v>
      </c>
      <c r="J90" s="7">
        <v>-2767.0649574499998</v>
      </c>
      <c r="L90" s="10">
        <f>'[1]links-p0'!M89</f>
        <v>0</v>
      </c>
      <c r="M90" s="7">
        <f>'[1]links-p0'!O89</f>
        <v>3500</v>
      </c>
      <c r="N90" s="11">
        <f t="shared" si="6"/>
        <v>-3500</v>
      </c>
      <c r="P90" s="4">
        <v>88</v>
      </c>
      <c r="Q90" s="4">
        <v>-1911.70957718</v>
      </c>
      <c r="S90" s="10">
        <f>'[1]links-p0'!N89</f>
        <v>0</v>
      </c>
      <c r="T90" s="7">
        <f>'[1]links-p0'!P89</f>
        <v>0</v>
      </c>
      <c r="U90" s="4">
        <f t="shared" si="7"/>
        <v>0</v>
      </c>
      <c r="W90" s="4">
        <v>88</v>
      </c>
      <c r="X90" s="4">
        <v>-1517.77579117</v>
      </c>
      <c r="Z90" s="4">
        <f>'[1]links-p0'!Y89</f>
        <v>1517.8</v>
      </c>
      <c r="AA90" s="4">
        <f t="shared" si="8"/>
        <v>-1517.8</v>
      </c>
    </row>
    <row r="91" spans="2:27" x14ac:dyDescent="0.35">
      <c r="B91" s="10">
        <f t="shared" si="9"/>
        <v>89</v>
      </c>
      <c r="C91" s="7">
        <v>0</v>
      </c>
      <c r="D91" s="2"/>
      <c r="E91" s="4">
        <f>'[1]links-p0'!Q90</f>
        <v>0</v>
      </c>
      <c r="F91" s="4">
        <f>'[1]links-p0'!R90</f>
        <v>0</v>
      </c>
      <c r="G91" s="11">
        <f t="shared" si="5"/>
        <v>0</v>
      </c>
      <c r="I91" s="12">
        <v>89</v>
      </c>
      <c r="J91" s="7">
        <v>-3500</v>
      </c>
      <c r="L91" s="10">
        <f>'[1]links-p0'!M90</f>
        <v>0</v>
      </c>
      <c r="M91" s="7">
        <f>'[1]links-p0'!O90</f>
        <v>3500</v>
      </c>
      <c r="N91" s="11">
        <f t="shared" si="6"/>
        <v>-3500</v>
      </c>
      <c r="P91" s="4">
        <v>89</v>
      </c>
      <c r="Q91" s="4">
        <v>-1476.94957718</v>
      </c>
      <c r="S91" s="10">
        <f>'[1]links-p0'!N90</f>
        <v>0</v>
      </c>
      <c r="T91" s="7">
        <f>'[1]links-p0'!P90</f>
        <v>0</v>
      </c>
      <c r="U91" s="4">
        <f t="shared" si="7"/>
        <v>0</v>
      </c>
      <c r="W91" s="4">
        <v>89</v>
      </c>
      <c r="X91" s="4">
        <v>-1517.77579117</v>
      </c>
      <c r="Z91" s="4">
        <f>'[1]links-p0'!Y90</f>
        <v>1517.8</v>
      </c>
      <c r="AA91" s="4">
        <f t="shared" si="8"/>
        <v>-1517.8</v>
      </c>
    </row>
    <row r="92" spans="2:27" x14ac:dyDescent="0.35">
      <c r="B92" s="10">
        <f t="shared" si="9"/>
        <v>90</v>
      </c>
      <c r="C92" s="7">
        <v>-5000</v>
      </c>
      <c r="D92" s="2"/>
      <c r="E92" s="4">
        <f>'[1]links-p0'!Q91</f>
        <v>0</v>
      </c>
      <c r="F92" s="4">
        <f>'[1]links-p0'!R91</f>
        <v>5000</v>
      </c>
      <c r="G92" s="11">
        <f t="shared" si="5"/>
        <v>-5000</v>
      </c>
      <c r="I92" s="12">
        <v>90</v>
      </c>
      <c r="J92" s="7">
        <v>-3500</v>
      </c>
      <c r="L92" s="10">
        <f>'[1]links-p0'!M91</f>
        <v>0</v>
      </c>
      <c r="M92" s="7">
        <f>'[1]links-p0'!O91</f>
        <v>3500</v>
      </c>
      <c r="N92" s="11">
        <f t="shared" si="6"/>
        <v>-3500</v>
      </c>
      <c r="P92" s="4">
        <v>90</v>
      </c>
      <c r="Q92" s="4">
        <v>-1104.87052718</v>
      </c>
      <c r="S92" s="10">
        <f>'[1]links-p0'!N91</f>
        <v>0</v>
      </c>
      <c r="T92" s="7">
        <f>'[1]links-p0'!P91</f>
        <v>489.08560350706921</v>
      </c>
      <c r="U92" s="4">
        <f t="shared" si="7"/>
        <v>-489.08560350706921</v>
      </c>
      <c r="W92" s="4">
        <v>90</v>
      </c>
      <c r="X92" s="4">
        <v>-1517.77579117</v>
      </c>
      <c r="Z92" s="4">
        <f>'[1]links-p0'!Y91</f>
        <v>1517.8</v>
      </c>
      <c r="AA92" s="4">
        <f t="shared" si="8"/>
        <v>-1517.8</v>
      </c>
    </row>
    <row r="93" spans="2:27" x14ac:dyDescent="0.35">
      <c r="B93" s="10">
        <f t="shared" si="9"/>
        <v>91</v>
      </c>
      <c r="C93" s="7">
        <v>-5000</v>
      </c>
      <c r="D93" s="2"/>
      <c r="E93" s="4">
        <f>'[1]links-p0'!Q92</f>
        <v>0</v>
      </c>
      <c r="F93" s="4">
        <f>'[1]links-p0'!R92</f>
        <v>5000</v>
      </c>
      <c r="G93" s="11">
        <f t="shared" si="5"/>
        <v>-5000</v>
      </c>
      <c r="I93" s="12">
        <v>91</v>
      </c>
      <c r="J93" s="7">
        <v>-3144.8217055599998</v>
      </c>
      <c r="L93" s="10">
        <f>'[1]links-p0'!M92</f>
        <v>0</v>
      </c>
      <c r="M93" s="7">
        <f>'[1]links-p0'!O92</f>
        <v>3500</v>
      </c>
      <c r="N93" s="11">
        <f t="shared" si="6"/>
        <v>-3500</v>
      </c>
      <c r="P93" s="4">
        <v>91</v>
      </c>
      <c r="Q93" s="4">
        <v>-1040.1632571800001</v>
      </c>
      <c r="S93" s="10">
        <f>'[1]links-p0'!N92</f>
        <v>0</v>
      </c>
      <c r="T93" s="7">
        <f>'[1]links-p0'!P92</f>
        <v>162.53962755622501</v>
      </c>
      <c r="U93" s="4">
        <f t="shared" si="7"/>
        <v>-162.53962755622501</v>
      </c>
      <c r="W93" s="4">
        <v>91</v>
      </c>
      <c r="X93" s="4">
        <v>-1517.77579117</v>
      </c>
      <c r="Z93" s="4">
        <f>'[1]links-p0'!Y92</f>
        <v>1517.8</v>
      </c>
      <c r="AA93" s="4">
        <f t="shared" si="8"/>
        <v>-1517.8</v>
      </c>
    </row>
    <row r="94" spans="2:27" x14ac:dyDescent="0.35">
      <c r="B94" s="10">
        <f t="shared" si="9"/>
        <v>92</v>
      </c>
      <c r="C94" s="7">
        <v>-5000</v>
      </c>
      <c r="D94" s="2"/>
      <c r="E94" s="4">
        <f>'[1]links-p0'!Q93</f>
        <v>0</v>
      </c>
      <c r="F94" s="4">
        <f>'[1]links-p0'!R93</f>
        <v>5000</v>
      </c>
      <c r="G94" s="11">
        <f t="shared" si="5"/>
        <v>-5000</v>
      </c>
      <c r="I94" s="12">
        <v>92</v>
      </c>
      <c r="J94" s="7">
        <v>-2970.2919743699999</v>
      </c>
      <c r="L94" s="10">
        <f>'[1]links-p0'!M93</f>
        <v>0</v>
      </c>
      <c r="M94" s="7">
        <f>'[1]links-p0'!O93</f>
        <v>3500</v>
      </c>
      <c r="N94" s="11">
        <f t="shared" si="6"/>
        <v>-3500</v>
      </c>
      <c r="P94" s="4">
        <v>92</v>
      </c>
      <c r="Q94" s="4">
        <v>-1364.6484679299999</v>
      </c>
      <c r="S94" s="10">
        <f>'[1]links-p0'!N93</f>
        <v>0</v>
      </c>
      <c r="T94" s="7">
        <f>'[1]links-p0'!P93</f>
        <v>416.19240616171442</v>
      </c>
      <c r="U94" s="4">
        <f t="shared" si="7"/>
        <v>-416.19240616171442</v>
      </c>
      <c r="W94" s="4">
        <v>92</v>
      </c>
      <c r="X94" s="4">
        <v>-1517.77579117</v>
      </c>
      <c r="Z94" s="4">
        <f>'[1]links-p0'!Y93</f>
        <v>1517.8</v>
      </c>
      <c r="AA94" s="4">
        <f t="shared" si="8"/>
        <v>-1517.8</v>
      </c>
    </row>
    <row r="95" spans="2:27" x14ac:dyDescent="0.35">
      <c r="B95" s="10">
        <f t="shared" si="9"/>
        <v>93</v>
      </c>
      <c r="C95" s="7">
        <v>-5000</v>
      </c>
      <c r="D95" s="2"/>
      <c r="E95" s="4">
        <f>'[1]links-p0'!Q94</f>
        <v>0</v>
      </c>
      <c r="F95" s="4">
        <f>'[1]links-p0'!R94</f>
        <v>5000</v>
      </c>
      <c r="G95" s="11">
        <f t="shared" si="5"/>
        <v>-5000</v>
      </c>
      <c r="I95" s="12">
        <v>93</v>
      </c>
      <c r="J95" s="7">
        <v>-89.159204259999996</v>
      </c>
      <c r="L95" s="10">
        <f>'[1]links-p0'!M94</f>
        <v>0</v>
      </c>
      <c r="M95" s="7">
        <f>'[1]links-p0'!O94</f>
        <v>3500</v>
      </c>
      <c r="N95" s="11">
        <f t="shared" si="6"/>
        <v>-3500</v>
      </c>
      <c r="P95" s="4">
        <v>93</v>
      </c>
      <c r="Q95" s="4">
        <v>-1758.0035784300001</v>
      </c>
      <c r="S95" s="10">
        <f>'[1]links-p0'!N94</f>
        <v>0</v>
      </c>
      <c r="T95" s="7">
        <f>'[1]links-p0'!P94</f>
        <v>710.99978728411679</v>
      </c>
      <c r="U95" s="4">
        <f t="shared" si="7"/>
        <v>-710.99978728411679</v>
      </c>
      <c r="W95" s="4">
        <v>93</v>
      </c>
      <c r="X95" s="4">
        <v>-1517.77579117</v>
      </c>
      <c r="Z95" s="4">
        <f>'[1]links-p0'!Y94</f>
        <v>1517.8</v>
      </c>
      <c r="AA95" s="4">
        <f t="shared" si="8"/>
        <v>-1517.8</v>
      </c>
    </row>
    <row r="96" spans="2:27" x14ac:dyDescent="0.35">
      <c r="B96" s="10">
        <f t="shared" si="9"/>
        <v>94</v>
      </c>
      <c r="C96" s="7">
        <v>-5000</v>
      </c>
      <c r="D96" s="2"/>
      <c r="E96" s="4">
        <f>'[1]links-p0'!Q95</f>
        <v>0</v>
      </c>
      <c r="F96" s="4">
        <f>'[1]links-p0'!R95</f>
        <v>5000</v>
      </c>
      <c r="G96" s="11">
        <f t="shared" si="5"/>
        <v>-5000</v>
      </c>
      <c r="I96" s="12">
        <v>94</v>
      </c>
      <c r="J96" s="7">
        <v>-3158.0710893599999</v>
      </c>
      <c r="L96" s="10">
        <f>'[1]links-p0'!M95</f>
        <v>0</v>
      </c>
      <c r="M96" s="7">
        <f>'[1]links-p0'!O95</f>
        <v>3500</v>
      </c>
      <c r="N96" s="11">
        <f t="shared" si="6"/>
        <v>-3500</v>
      </c>
      <c r="P96" s="4">
        <v>94</v>
      </c>
      <c r="Q96" s="4">
        <v>-2192.7635784300001</v>
      </c>
      <c r="S96" s="10">
        <f>'[1]links-p0'!N95</f>
        <v>0</v>
      </c>
      <c r="T96" s="7">
        <f>'[1]links-p0'!P95</f>
        <v>1065.9084444358889</v>
      </c>
      <c r="U96" s="4">
        <f t="shared" si="7"/>
        <v>-1065.9084444358889</v>
      </c>
      <c r="W96" s="4">
        <v>94</v>
      </c>
      <c r="X96" s="4">
        <v>-1517.77579117</v>
      </c>
      <c r="Z96" s="4">
        <f>'[1]links-p0'!Y95</f>
        <v>1517.8</v>
      </c>
      <c r="AA96" s="4">
        <f t="shared" si="8"/>
        <v>-1517.8</v>
      </c>
    </row>
    <row r="97" spans="2:27" x14ac:dyDescent="0.35">
      <c r="B97" s="10">
        <f t="shared" si="9"/>
        <v>95</v>
      </c>
      <c r="C97" s="7">
        <v>-746.27792890000001</v>
      </c>
      <c r="D97" s="2"/>
      <c r="E97" s="4">
        <f>'[1]links-p0'!Q96</f>
        <v>0</v>
      </c>
      <c r="F97" s="4">
        <f>'[1]links-p0'!R96</f>
        <v>746.27792890000001</v>
      </c>
      <c r="G97" s="11">
        <f t="shared" si="5"/>
        <v>-746.27792890000001</v>
      </c>
      <c r="I97" s="12">
        <v>95</v>
      </c>
      <c r="J97" s="7">
        <v>-1688.3280255499999</v>
      </c>
      <c r="L97" s="10">
        <f>'[1]links-p0'!M96</f>
        <v>0</v>
      </c>
      <c r="M97" s="7">
        <f>'[1]links-p0'!O96</f>
        <v>3500</v>
      </c>
      <c r="N97" s="11">
        <f t="shared" si="6"/>
        <v>-3500</v>
      </c>
      <c r="P97" s="4">
        <v>95</v>
      </c>
      <c r="Q97" s="4">
        <v>-2529.08299906</v>
      </c>
      <c r="S97" s="10">
        <f>'[1]links-p0'!N96</f>
        <v>0</v>
      </c>
      <c r="T97" s="7">
        <f>'[1]links-p0'!P96</f>
        <v>1264.032747153994</v>
      </c>
      <c r="U97" s="4">
        <f t="shared" si="7"/>
        <v>-1264.032747153994</v>
      </c>
      <c r="W97" s="4">
        <v>95</v>
      </c>
      <c r="X97" s="4">
        <v>-1517.77579117</v>
      </c>
      <c r="Z97" s="4">
        <f>'[1]links-p0'!Y96</f>
        <v>1517.8</v>
      </c>
      <c r="AA97" s="4">
        <f t="shared" si="8"/>
        <v>-1517.8</v>
      </c>
    </row>
    <row r="98" spans="2:27" x14ac:dyDescent="0.35">
      <c r="B98" s="10">
        <f t="shared" si="9"/>
        <v>96</v>
      </c>
      <c r="C98" s="7">
        <v>0</v>
      </c>
      <c r="D98" s="2"/>
      <c r="E98" s="4">
        <f>'[1]links-p0'!Q97</f>
        <v>0</v>
      </c>
      <c r="F98" s="4">
        <f>'[1]links-p0'!R97</f>
        <v>0</v>
      </c>
      <c r="G98" s="11">
        <f t="shared" si="5"/>
        <v>0</v>
      </c>
      <c r="I98" s="12">
        <v>96</v>
      </c>
      <c r="J98" s="7">
        <v>0</v>
      </c>
      <c r="L98" s="10">
        <f>'[1]links-p0'!M97</f>
        <v>0</v>
      </c>
      <c r="M98" s="7">
        <f>'[1]links-p0'!O97</f>
        <v>3500</v>
      </c>
      <c r="N98" s="11">
        <f t="shared" si="6"/>
        <v>-3500</v>
      </c>
      <c r="P98" s="4">
        <v>96</v>
      </c>
      <c r="Q98" s="4">
        <v>-2608.4120090599999</v>
      </c>
      <c r="S98" s="10">
        <f>'[1]links-p0'!N97</f>
        <v>0</v>
      </c>
      <c r="T98" s="7">
        <f>'[1]links-p0'!P97</f>
        <v>1316.426507046212</v>
      </c>
      <c r="U98" s="4">
        <f t="shared" si="7"/>
        <v>-1316.426507046212</v>
      </c>
      <c r="W98" s="4">
        <v>96</v>
      </c>
      <c r="X98" s="4">
        <v>-1517.77579117</v>
      </c>
      <c r="Z98" s="4">
        <f>'[1]links-p0'!Y97</f>
        <v>1517.8</v>
      </c>
      <c r="AA98" s="4">
        <f t="shared" si="8"/>
        <v>-1517.8</v>
      </c>
    </row>
    <row r="99" spans="2:27" x14ac:dyDescent="0.35">
      <c r="B99" s="10">
        <f t="shared" si="9"/>
        <v>97</v>
      </c>
      <c r="C99" s="7">
        <v>0</v>
      </c>
      <c r="D99" s="2"/>
      <c r="E99" s="4">
        <f>'[1]links-p0'!Q98</f>
        <v>0</v>
      </c>
      <c r="F99" s="4">
        <f>'[1]links-p0'!R98</f>
        <v>0</v>
      </c>
      <c r="G99" s="11">
        <f t="shared" si="5"/>
        <v>0</v>
      </c>
      <c r="I99" s="12">
        <v>97</v>
      </c>
      <c r="J99" s="7">
        <v>-2754.0536382999999</v>
      </c>
      <c r="L99" s="10">
        <f>'[1]links-p0'!M98</f>
        <v>0</v>
      </c>
      <c r="M99" s="7">
        <f>'[1]links-p0'!O98</f>
        <v>0</v>
      </c>
      <c r="N99" s="11">
        <f t="shared" si="6"/>
        <v>0</v>
      </c>
      <c r="P99" s="4">
        <v>97</v>
      </c>
      <c r="Q99" s="4">
        <v>-2540.5300770099998</v>
      </c>
      <c r="S99" s="10">
        <f>'[1]links-p0'!N98</f>
        <v>0</v>
      </c>
      <c r="T99" s="7">
        <f>'[1]links-p0'!P98</f>
        <v>1251.728783117743</v>
      </c>
      <c r="U99" s="4">
        <f t="shared" si="7"/>
        <v>-1251.728783117743</v>
      </c>
      <c r="W99" s="4">
        <v>97</v>
      </c>
      <c r="X99" s="4">
        <v>-1517.77579117</v>
      </c>
      <c r="Z99" s="4">
        <f>'[1]links-p0'!Y98</f>
        <v>1517.8</v>
      </c>
      <c r="AA99" s="4">
        <f t="shared" si="8"/>
        <v>-1517.8</v>
      </c>
    </row>
    <row r="100" spans="2:27" x14ac:dyDescent="0.35">
      <c r="B100" s="10">
        <f t="shared" si="9"/>
        <v>98</v>
      </c>
      <c r="C100" s="7">
        <v>353.90529597</v>
      </c>
      <c r="D100" s="2"/>
      <c r="E100" s="4">
        <f>'[1]links-p0'!Q99</f>
        <v>353.90529597</v>
      </c>
      <c r="F100" s="4">
        <f>'[1]links-p0'!R99</f>
        <v>0</v>
      </c>
      <c r="G100" s="11">
        <f t="shared" si="5"/>
        <v>353.90529597</v>
      </c>
      <c r="I100" s="12">
        <v>98</v>
      </c>
      <c r="J100" s="7">
        <v>-90.240200000000002</v>
      </c>
      <c r="L100" s="10">
        <f>'[1]links-p0'!M99</f>
        <v>0</v>
      </c>
      <c r="M100" s="7">
        <f>'[1]links-p0'!O99</f>
        <v>418.99449976307869</v>
      </c>
      <c r="N100" s="11">
        <f t="shared" si="6"/>
        <v>-418.99449976307869</v>
      </c>
      <c r="P100" s="4">
        <v>98</v>
      </c>
      <c r="Q100" s="4">
        <v>-2585.5753170100002</v>
      </c>
      <c r="S100" s="10">
        <f>'[1]links-p0'!N99</f>
        <v>0</v>
      </c>
      <c r="T100" s="7">
        <f>'[1]links-p0'!P99</f>
        <v>1281.4798981108329</v>
      </c>
      <c r="U100" s="4">
        <f t="shared" si="7"/>
        <v>-1281.4798981108329</v>
      </c>
      <c r="W100" s="4">
        <v>98</v>
      </c>
      <c r="X100" s="4">
        <v>-1517.77579117</v>
      </c>
      <c r="Z100" s="4">
        <f>'[1]links-p0'!Y99</f>
        <v>1517.8</v>
      </c>
      <c r="AA100" s="4">
        <f t="shared" si="8"/>
        <v>-1517.8</v>
      </c>
    </row>
    <row r="101" spans="2:27" x14ac:dyDescent="0.35">
      <c r="B101" s="10">
        <f t="shared" si="9"/>
        <v>99</v>
      </c>
      <c r="C101" s="7">
        <v>2858.6637063200001</v>
      </c>
      <c r="D101" s="2"/>
      <c r="E101" s="4">
        <f>'[1]links-p0'!Q100</f>
        <v>2858.6637063200001</v>
      </c>
      <c r="F101" s="4">
        <f>'[1]links-p0'!R100</f>
        <v>0</v>
      </c>
      <c r="G101" s="11">
        <f t="shared" si="5"/>
        <v>2858.6637063200001</v>
      </c>
      <c r="I101" s="12">
        <v>99</v>
      </c>
      <c r="J101" s="7">
        <v>-3109.9481787200002</v>
      </c>
      <c r="L101" s="10">
        <f>'[1]links-p0'!M100</f>
        <v>0</v>
      </c>
      <c r="M101" s="7">
        <f>'[1]links-p0'!O100</f>
        <v>3500</v>
      </c>
      <c r="N101" s="11">
        <f t="shared" si="6"/>
        <v>-3500</v>
      </c>
      <c r="P101" s="4">
        <v>99</v>
      </c>
      <c r="Q101" s="4">
        <v>-2608.65031701</v>
      </c>
      <c r="S101" s="10">
        <f>'[1]links-p0'!N100</f>
        <v>0</v>
      </c>
      <c r="T101" s="7">
        <f>'[1]links-p0'!P100</f>
        <v>1296.7197551914121</v>
      </c>
      <c r="U101" s="4">
        <f t="shared" si="7"/>
        <v>-1296.7197551914121</v>
      </c>
      <c r="W101" s="4">
        <v>99</v>
      </c>
      <c r="X101" s="4">
        <v>-1517.77579117</v>
      </c>
      <c r="Z101" s="4">
        <f>'[1]links-p0'!Y100</f>
        <v>1517.8</v>
      </c>
      <c r="AA101" s="4">
        <f t="shared" si="8"/>
        <v>-1517.8</v>
      </c>
    </row>
    <row r="102" spans="2:27" x14ac:dyDescent="0.35">
      <c r="B102" s="10">
        <f t="shared" si="9"/>
        <v>100</v>
      </c>
      <c r="C102" s="7">
        <v>0</v>
      </c>
      <c r="D102" s="2"/>
      <c r="E102" s="4">
        <f>'[1]links-p0'!Q101</f>
        <v>0</v>
      </c>
      <c r="F102" s="4">
        <f>'[1]links-p0'!R101</f>
        <v>0</v>
      </c>
      <c r="G102" s="11">
        <f t="shared" si="5"/>
        <v>0</v>
      </c>
      <c r="I102" s="12">
        <v>100</v>
      </c>
      <c r="J102" s="7">
        <v>-1239.1858297900001</v>
      </c>
      <c r="L102" s="10">
        <f>'[1]links-p0'!M101</f>
        <v>0</v>
      </c>
      <c r="M102" s="7">
        <f>'[1]links-p0'!O101</f>
        <v>0</v>
      </c>
      <c r="N102" s="11">
        <f t="shared" si="6"/>
        <v>0</v>
      </c>
      <c r="P102" s="4">
        <v>100</v>
      </c>
      <c r="Q102" s="4">
        <v>-2508.9450170099999</v>
      </c>
      <c r="S102" s="10">
        <f>'[1]links-p0'!N101</f>
        <v>0</v>
      </c>
      <c r="T102" s="7">
        <f>'[1]links-p0'!P101</f>
        <v>1230.8680771486449</v>
      </c>
      <c r="U102" s="4">
        <f t="shared" si="7"/>
        <v>-1230.8680771486449</v>
      </c>
      <c r="W102" s="4">
        <v>100</v>
      </c>
      <c r="X102" s="4">
        <v>-1517.77579117</v>
      </c>
      <c r="Z102" s="4">
        <f>'[1]links-p0'!Y101</f>
        <v>1517.8</v>
      </c>
      <c r="AA102" s="4">
        <f t="shared" si="8"/>
        <v>-1517.8</v>
      </c>
    </row>
    <row r="103" spans="2:27" x14ac:dyDescent="0.35">
      <c r="B103" s="10">
        <f t="shared" si="9"/>
        <v>101</v>
      </c>
      <c r="C103" s="7">
        <v>0</v>
      </c>
      <c r="D103" s="2"/>
      <c r="E103" s="4">
        <f>'[1]links-p0'!Q102</f>
        <v>0</v>
      </c>
      <c r="F103" s="4">
        <f>'[1]links-p0'!R102</f>
        <v>0</v>
      </c>
      <c r="G103" s="11">
        <f t="shared" si="5"/>
        <v>0</v>
      </c>
      <c r="I103" s="12">
        <v>101</v>
      </c>
      <c r="J103" s="7">
        <v>-1173.07119625</v>
      </c>
      <c r="L103" s="10">
        <f>'[1]links-p0'!M102</f>
        <v>0</v>
      </c>
      <c r="M103" s="7">
        <f>'[1]links-p0'!O102</f>
        <v>0</v>
      </c>
      <c r="N103" s="11">
        <f t="shared" si="6"/>
        <v>0</v>
      </c>
      <c r="P103" s="4">
        <v>101</v>
      </c>
      <c r="Q103" s="4">
        <v>-2369.3796070100002</v>
      </c>
      <c r="S103" s="10">
        <f>'[1]links-p0'!N102</f>
        <v>0</v>
      </c>
      <c r="T103" s="7">
        <f>'[1]links-p0'!P102</f>
        <v>1138.6904063716941</v>
      </c>
      <c r="U103" s="4">
        <f t="shared" si="7"/>
        <v>-1138.6904063716941</v>
      </c>
      <c r="W103" s="4">
        <v>101</v>
      </c>
      <c r="X103" s="4">
        <v>-1517.77579117</v>
      </c>
      <c r="Z103" s="4">
        <f>'[1]links-p0'!Y102</f>
        <v>1517.8</v>
      </c>
      <c r="AA103" s="4">
        <f t="shared" si="8"/>
        <v>-1517.8</v>
      </c>
    </row>
    <row r="104" spans="2:27" x14ac:dyDescent="0.35">
      <c r="B104" s="10">
        <f t="shared" si="9"/>
        <v>102</v>
      </c>
      <c r="C104" s="7">
        <v>1329.8327752099999</v>
      </c>
      <c r="D104" s="2"/>
      <c r="E104" s="4">
        <f>'[1]links-p0'!Q103</f>
        <v>1329.8327752099999</v>
      </c>
      <c r="F104" s="4">
        <f>'[1]links-p0'!R103</f>
        <v>0</v>
      </c>
      <c r="G104" s="11">
        <f t="shared" si="5"/>
        <v>1329.8327752099999</v>
      </c>
      <c r="I104" s="12">
        <v>102</v>
      </c>
      <c r="J104" s="7">
        <v>-3443.8641531899998</v>
      </c>
      <c r="L104" s="10">
        <f>'[1]links-p0'!M103</f>
        <v>0</v>
      </c>
      <c r="M104" s="7">
        <f>'[1]links-p0'!O103</f>
        <v>0</v>
      </c>
      <c r="N104" s="11">
        <f t="shared" si="6"/>
        <v>0</v>
      </c>
      <c r="P104" s="4">
        <v>102</v>
      </c>
      <c r="Q104" s="4">
        <v>-2225.5493205299999</v>
      </c>
      <c r="S104" s="10">
        <f>'[1]links-p0'!N103</f>
        <v>0</v>
      </c>
      <c r="T104" s="7">
        <f>'[1]links-p0'!P103</f>
        <v>769.51525406051042</v>
      </c>
      <c r="U104" s="4">
        <f t="shared" si="7"/>
        <v>-769.51525406051042</v>
      </c>
      <c r="W104" s="4">
        <v>102</v>
      </c>
      <c r="X104" s="4">
        <v>-1517.77579117</v>
      </c>
      <c r="Z104" s="4">
        <f>'[1]links-p0'!Y103</f>
        <v>1517.8</v>
      </c>
      <c r="AA104" s="4">
        <f t="shared" si="8"/>
        <v>-1517.8</v>
      </c>
    </row>
    <row r="105" spans="2:27" x14ac:dyDescent="0.35">
      <c r="B105" s="10">
        <f t="shared" si="9"/>
        <v>103</v>
      </c>
      <c r="C105" s="7">
        <v>3030.0808235099998</v>
      </c>
      <c r="D105" s="2"/>
      <c r="E105" s="4">
        <f>'[1]links-p0'!Q104</f>
        <v>3030.0808235099998</v>
      </c>
      <c r="F105" s="4">
        <f>'[1]links-p0'!R104</f>
        <v>0</v>
      </c>
      <c r="G105" s="11">
        <f t="shared" si="5"/>
        <v>3030.0808235099998</v>
      </c>
      <c r="I105" s="12">
        <v>103</v>
      </c>
      <c r="J105" s="7">
        <v>-3201.47374468</v>
      </c>
      <c r="L105" s="10">
        <f>'[1]links-p0'!M104</f>
        <v>0</v>
      </c>
      <c r="M105" s="7">
        <f>'[1]links-p0'!O104</f>
        <v>0</v>
      </c>
      <c r="N105" s="11">
        <f t="shared" si="6"/>
        <v>0</v>
      </c>
      <c r="P105" s="4">
        <v>103</v>
      </c>
      <c r="Q105" s="4">
        <v>-2152.8283740500001</v>
      </c>
      <c r="S105" s="10">
        <f>'[1]links-p0'!N104</f>
        <v>0</v>
      </c>
      <c r="T105" s="7">
        <f>'[1]links-p0'!P104</f>
        <v>496.46815487778622</v>
      </c>
      <c r="U105" s="4">
        <f t="shared" si="7"/>
        <v>-496.46815487778622</v>
      </c>
      <c r="W105" s="4">
        <v>103</v>
      </c>
      <c r="X105" s="4">
        <v>-1517.77579117</v>
      </c>
      <c r="Z105" s="4">
        <f>'[1]links-p0'!Y104</f>
        <v>1517.8</v>
      </c>
      <c r="AA105" s="4">
        <f t="shared" si="8"/>
        <v>-1517.8</v>
      </c>
    </row>
    <row r="106" spans="2:27" x14ac:dyDescent="0.35">
      <c r="B106" s="10">
        <f t="shared" si="9"/>
        <v>104</v>
      </c>
      <c r="C106" s="7">
        <v>197.61554663999999</v>
      </c>
      <c r="D106" s="2"/>
      <c r="E106" s="4">
        <f>'[1]links-p0'!Q105</f>
        <v>197.61554663999999</v>
      </c>
      <c r="F106" s="4">
        <f>'[1]links-p0'!R105</f>
        <v>0</v>
      </c>
      <c r="G106" s="11">
        <f t="shared" si="5"/>
        <v>197.61554663999999</v>
      </c>
      <c r="I106" s="12">
        <v>104</v>
      </c>
      <c r="J106" s="7">
        <v>-3267.0699829800001</v>
      </c>
      <c r="L106" s="10">
        <f>'[1]links-p0'!M105</f>
        <v>0</v>
      </c>
      <c r="M106" s="7">
        <f>'[1]links-p0'!O105</f>
        <v>0</v>
      </c>
      <c r="N106" s="11">
        <f t="shared" si="6"/>
        <v>0</v>
      </c>
      <c r="P106" s="4">
        <v>104</v>
      </c>
      <c r="Q106" s="4">
        <v>-1913.0653116000001</v>
      </c>
      <c r="S106" s="10">
        <f>'[1]links-p0'!N105</f>
        <v>0</v>
      </c>
      <c r="T106" s="7">
        <f>'[1]links-p0'!P105</f>
        <v>0</v>
      </c>
      <c r="U106" s="4">
        <f t="shared" si="7"/>
        <v>0</v>
      </c>
      <c r="W106" s="4">
        <v>104</v>
      </c>
      <c r="X106" s="4">
        <v>-1517.77579117</v>
      </c>
      <c r="Z106" s="4">
        <f>'[1]links-p0'!Y105</f>
        <v>1517.8</v>
      </c>
      <c r="AA106" s="4">
        <f t="shared" si="8"/>
        <v>-1517.8</v>
      </c>
    </row>
    <row r="107" spans="2:27" x14ac:dyDescent="0.35">
      <c r="B107" s="10">
        <f t="shared" si="9"/>
        <v>105</v>
      </c>
      <c r="C107" s="7">
        <v>843.23938495000004</v>
      </c>
      <c r="D107" s="2"/>
      <c r="E107" s="4">
        <f>'[1]links-p0'!Q106</f>
        <v>843.23938495000004</v>
      </c>
      <c r="F107" s="4">
        <f>'[1]links-p0'!R106</f>
        <v>0</v>
      </c>
      <c r="G107" s="11">
        <f t="shared" si="5"/>
        <v>843.23938495000004</v>
      </c>
      <c r="I107" s="12">
        <v>105</v>
      </c>
      <c r="J107" s="7">
        <v>-1935.6791659600001</v>
      </c>
      <c r="L107" s="10">
        <f>'[1]links-p0'!M106</f>
        <v>0</v>
      </c>
      <c r="M107" s="7">
        <f>'[1]links-p0'!O106</f>
        <v>0</v>
      </c>
      <c r="N107" s="11">
        <f t="shared" si="6"/>
        <v>0</v>
      </c>
      <c r="P107" s="4">
        <v>105</v>
      </c>
      <c r="Q107" s="4">
        <v>-1577.0216951299999</v>
      </c>
      <c r="S107" s="10">
        <f>'[1]links-p0'!N106</f>
        <v>0</v>
      </c>
      <c r="T107" s="7">
        <f>'[1]links-p0'!P106</f>
        <v>0</v>
      </c>
      <c r="U107" s="4">
        <f t="shared" si="7"/>
        <v>0</v>
      </c>
      <c r="W107" s="4">
        <v>105</v>
      </c>
      <c r="X107" s="4">
        <v>-1517.77579117</v>
      </c>
      <c r="Z107" s="4">
        <f>'[1]links-p0'!Y106</f>
        <v>1517.8</v>
      </c>
      <c r="AA107" s="4">
        <f t="shared" si="8"/>
        <v>-1517.8</v>
      </c>
    </row>
    <row r="108" spans="2:27" x14ac:dyDescent="0.35">
      <c r="B108" s="10">
        <f t="shared" si="9"/>
        <v>106</v>
      </c>
      <c r="C108" s="7">
        <v>5000</v>
      </c>
      <c r="D108" s="2"/>
      <c r="E108" s="4">
        <f>'[1]links-p0'!Q107</f>
        <v>5000</v>
      </c>
      <c r="F108" s="4">
        <f>'[1]links-p0'!R107</f>
        <v>0</v>
      </c>
      <c r="G108" s="11">
        <f t="shared" si="5"/>
        <v>5000</v>
      </c>
      <c r="I108" s="12">
        <v>106</v>
      </c>
      <c r="J108" s="7">
        <v>-621.77287875000002</v>
      </c>
      <c r="L108" s="10">
        <f>'[1]links-p0'!M107</f>
        <v>0</v>
      </c>
      <c r="M108" s="7">
        <f>'[1]links-p0'!O107</f>
        <v>0</v>
      </c>
      <c r="N108" s="11">
        <f t="shared" si="6"/>
        <v>0</v>
      </c>
      <c r="P108" s="4">
        <v>106</v>
      </c>
      <c r="Q108" s="4">
        <v>-1723.3491451299999</v>
      </c>
      <c r="S108" s="10">
        <f>'[1]links-p0'!N107</f>
        <v>0</v>
      </c>
      <c r="T108" s="7">
        <f>'[1]links-p0'!P107</f>
        <v>0</v>
      </c>
      <c r="U108" s="4">
        <f t="shared" si="7"/>
        <v>0</v>
      </c>
      <c r="W108" s="4">
        <v>106</v>
      </c>
      <c r="X108" s="4">
        <v>-1517.77579117</v>
      </c>
      <c r="Z108" s="4">
        <f>'[1]links-p0'!Y107</f>
        <v>1517.8</v>
      </c>
      <c r="AA108" s="4">
        <f t="shared" si="8"/>
        <v>-1517.8</v>
      </c>
    </row>
    <row r="109" spans="2:27" x14ac:dyDescent="0.35">
      <c r="B109" s="10">
        <f t="shared" si="9"/>
        <v>107</v>
      </c>
      <c r="C109" s="7">
        <v>5000</v>
      </c>
      <c r="D109" s="2"/>
      <c r="E109" s="4">
        <f>'[1]links-p0'!Q108</f>
        <v>5000</v>
      </c>
      <c r="F109" s="4">
        <f>'[1]links-p0'!R108</f>
        <v>0</v>
      </c>
      <c r="G109" s="11">
        <f t="shared" si="5"/>
        <v>5000</v>
      </c>
      <c r="I109" s="12">
        <v>107</v>
      </c>
      <c r="J109" s="7">
        <v>3399.8320021300001</v>
      </c>
      <c r="L109" s="10">
        <f>'[1]links-p0'!M108</f>
        <v>4200</v>
      </c>
      <c r="M109" s="7">
        <f>'[1]links-p0'!O108</f>
        <v>0</v>
      </c>
      <c r="N109" s="11">
        <f t="shared" si="6"/>
        <v>4200</v>
      </c>
      <c r="P109" s="4">
        <v>107</v>
      </c>
      <c r="Q109" s="4">
        <v>-1288.5891451299999</v>
      </c>
      <c r="S109" s="10">
        <f>'[1]links-p0'!N108</f>
        <v>0</v>
      </c>
      <c r="T109" s="7">
        <f>'[1]links-p0'!P108</f>
        <v>0</v>
      </c>
      <c r="U109" s="4">
        <f t="shared" si="7"/>
        <v>0</v>
      </c>
      <c r="W109" s="4">
        <v>107</v>
      </c>
      <c r="X109" s="4">
        <v>-1517.77579117</v>
      </c>
      <c r="Z109" s="4">
        <f>'[1]links-p0'!Y108</f>
        <v>1517.8</v>
      </c>
      <c r="AA109" s="4">
        <f t="shared" si="8"/>
        <v>-1517.8</v>
      </c>
    </row>
    <row r="110" spans="2:27" x14ac:dyDescent="0.35">
      <c r="B110" s="10">
        <f t="shared" si="9"/>
        <v>108</v>
      </c>
      <c r="C110" s="7">
        <v>5000</v>
      </c>
      <c r="D110" s="2"/>
      <c r="E110" s="4">
        <f>'[1]links-p0'!Q109</f>
        <v>5000</v>
      </c>
      <c r="F110" s="4">
        <f>'[1]links-p0'!R109</f>
        <v>0</v>
      </c>
      <c r="G110" s="11">
        <f t="shared" si="5"/>
        <v>5000</v>
      </c>
      <c r="I110" s="12">
        <v>108</v>
      </c>
      <c r="J110" s="7">
        <v>59.394714890000003</v>
      </c>
      <c r="L110" s="10">
        <f>'[1]links-p0'!M109</f>
        <v>4200</v>
      </c>
      <c r="M110" s="7">
        <f>'[1]links-p0'!O109</f>
        <v>0</v>
      </c>
      <c r="N110" s="11">
        <f t="shared" si="6"/>
        <v>4200</v>
      </c>
      <c r="P110" s="4">
        <v>108</v>
      </c>
      <c r="Q110" s="4">
        <v>-853.82914513000003</v>
      </c>
      <c r="S110" s="10">
        <f>'[1]links-p0'!N109</f>
        <v>0</v>
      </c>
      <c r="T110" s="7">
        <f>'[1]links-p0'!P109</f>
        <v>0</v>
      </c>
      <c r="U110" s="4">
        <f t="shared" si="7"/>
        <v>0</v>
      </c>
      <c r="W110" s="4">
        <v>108</v>
      </c>
      <c r="X110" s="4">
        <v>-1517.77579117</v>
      </c>
      <c r="Z110" s="4">
        <f>'[1]links-p0'!Y109</f>
        <v>1517.8</v>
      </c>
      <c r="AA110" s="4">
        <f t="shared" si="8"/>
        <v>-1517.8</v>
      </c>
    </row>
    <row r="111" spans="2:27" x14ac:dyDescent="0.35">
      <c r="B111" s="10">
        <f t="shared" si="9"/>
        <v>109</v>
      </c>
      <c r="C111" s="7">
        <v>5000</v>
      </c>
      <c r="D111" s="2"/>
      <c r="E111" s="4">
        <f>'[1]links-p0'!Q110</f>
        <v>5000</v>
      </c>
      <c r="F111" s="4">
        <f>'[1]links-p0'!R110</f>
        <v>0</v>
      </c>
      <c r="G111" s="11">
        <f t="shared" si="5"/>
        <v>5000</v>
      </c>
      <c r="I111" s="12">
        <v>109</v>
      </c>
      <c r="J111" s="7">
        <v>1328.00260213</v>
      </c>
      <c r="L111" s="10">
        <f>'[1]links-p0'!M110</f>
        <v>4200</v>
      </c>
      <c r="M111" s="7">
        <f>'[1]links-p0'!O110</f>
        <v>0</v>
      </c>
      <c r="N111" s="11">
        <f t="shared" si="6"/>
        <v>4200</v>
      </c>
      <c r="P111" s="4">
        <v>109</v>
      </c>
      <c r="Q111" s="4">
        <v>-419.06914512999998</v>
      </c>
      <c r="S111" s="10">
        <f>'[1]links-p0'!N110</f>
        <v>0</v>
      </c>
      <c r="T111" s="7">
        <f>'[1]links-p0'!P110</f>
        <v>0</v>
      </c>
      <c r="U111" s="4">
        <f t="shared" si="7"/>
        <v>0</v>
      </c>
      <c r="W111" s="4">
        <v>109</v>
      </c>
      <c r="X111" s="4">
        <v>-1517.77579117</v>
      </c>
      <c r="Z111" s="4">
        <f>'[1]links-p0'!Y110</f>
        <v>1517.8</v>
      </c>
      <c r="AA111" s="4">
        <f t="shared" si="8"/>
        <v>-1517.8</v>
      </c>
    </row>
    <row r="112" spans="2:27" x14ac:dyDescent="0.35">
      <c r="B112" s="10">
        <f t="shared" si="9"/>
        <v>110</v>
      </c>
      <c r="C112" s="7">
        <v>5000</v>
      </c>
      <c r="D112" s="2"/>
      <c r="E112" s="4">
        <f>'[1]links-p0'!Q111</f>
        <v>5000</v>
      </c>
      <c r="F112" s="4">
        <f>'[1]links-p0'!R111</f>
        <v>0</v>
      </c>
      <c r="G112" s="11">
        <f t="shared" si="5"/>
        <v>5000</v>
      </c>
      <c r="I112" s="12">
        <v>110</v>
      </c>
      <c r="J112" s="7">
        <v>60.682493620000002</v>
      </c>
      <c r="L112" s="10">
        <f>'[1]links-p0'!M111</f>
        <v>4200</v>
      </c>
      <c r="M112" s="7">
        <f>'[1]links-p0'!O111</f>
        <v>0</v>
      </c>
      <c r="N112" s="11">
        <f t="shared" si="6"/>
        <v>4200</v>
      </c>
      <c r="P112" s="4">
        <v>110</v>
      </c>
      <c r="Q112" s="4">
        <v>0</v>
      </c>
      <c r="S112" s="10">
        <f>'[1]links-p0'!N111</f>
        <v>0</v>
      </c>
      <c r="T112" s="7">
        <f>'[1]links-p0'!P111</f>
        <v>0</v>
      </c>
      <c r="U112" s="4">
        <f t="shared" si="7"/>
        <v>0</v>
      </c>
      <c r="W112" s="4">
        <v>110</v>
      </c>
      <c r="X112" s="4">
        <v>-1517.77579117</v>
      </c>
      <c r="Z112" s="4">
        <f>'[1]links-p0'!Y111</f>
        <v>1517.8</v>
      </c>
      <c r="AA112" s="4">
        <f t="shared" si="8"/>
        <v>-1517.8</v>
      </c>
    </row>
    <row r="113" spans="2:27" x14ac:dyDescent="0.35">
      <c r="B113" s="10">
        <f t="shared" si="9"/>
        <v>111</v>
      </c>
      <c r="C113" s="7">
        <v>5000</v>
      </c>
      <c r="D113" s="2"/>
      <c r="E113" s="4">
        <f>'[1]links-p0'!Q112</f>
        <v>5000</v>
      </c>
      <c r="F113" s="4">
        <f>'[1]links-p0'!R112</f>
        <v>0</v>
      </c>
      <c r="G113" s="11">
        <f t="shared" si="5"/>
        <v>5000</v>
      </c>
      <c r="I113" s="12">
        <v>111</v>
      </c>
      <c r="J113" s="7">
        <v>26.157423590000001</v>
      </c>
      <c r="L113" s="10">
        <f>'[1]links-p0'!M112</f>
        <v>4200</v>
      </c>
      <c r="M113" s="7">
        <f>'[1]links-p0'!O112</f>
        <v>0</v>
      </c>
      <c r="N113" s="11">
        <f t="shared" si="6"/>
        <v>4200</v>
      </c>
      <c r="P113" s="4">
        <v>111</v>
      </c>
      <c r="Q113" s="4">
        <v>0</v>
      </c>
      <c r="S113" s="10">
        <f>'[1]links-p0'!N112</f>
        <v>0</v>
      </c>
      <c r="T113" s="7">
        <f>'[1]links-p0'!P112</f>
        <v>0</v>
      </c>
      <c r="U113" s="4">
        <f t="shared" si="7"/>
        <v>0</v>
      </c>
      <c r="W113" s="4">
        <v>111</v>
      </c>
      <c r="X113" s="4">
        <v>-1517.77579117</v>
      </c>
      <c r="Z113" s="4">
        <f>'[1]links-p0'!Y112</f>
        <v>1517.8</v>
      </c>
      <c r="AA113" s="4">
        <f t="shared" si="8"/>
        <v>-1517.8</v>
      </c>
    </row>
    <row r="114" spans="2:27" x14ac:dyDescent="0.35">
      <c r="B114" s="10">
        <f t="shared" si="9"/>
        <v>112</v>
      </c>
      <c r="C114" s="7">
        <v>5000</v>
      </c>
      <c r="D114" s="2"/>
      <c r="E114" s="4">
        <f>'[1]links-p0'!Q113</f>
        <v>5000</v>
      </c>
      <c r="F114" s="4">
        <f>'[1]links-p0'!R113</f>
        <v>0</v>
      </c>
      <c r="G114" s="11">
        <f t="shared" si="5"/>
        <v>5000</v>
      </c>
      <c r="I114" s="12">
        <v>112</v>
      </c>
      <c r="J114" s="7">
        <v>0</v>
      </c>
      <c r="L114" s="10">
        <f>'[1]links-p0'!M113</f>
        <v>4200</v>
      </c>
      <c r="M114" s="7">
        <f>'[1]links-p0'!O113</f>
        <v>0</v>
      </c>
      <c r="N114" s="11">
        <f t="shared" si="6"/>
        <v>4200</v>
      </c>
      <c r="P114" s="4">
        <v>112</v>
      </c>
      <c r="Q114" s="4">
        <v>-274.75316513000001</v>
      </c>
      <c r="S114" s="10">
        <f>'[1]links-p0'!N113</f>
        <v>0</v>
      </c>
      <c r="T114" s="7">
        <f>'[1]links-p0'!P113</f>
        <v>0</v>
      </c>
      <c r="U114" s="4">
        <f t="shared" si="7"/>
        <v>0</v>
      </c>
      <c r="W114" s="4">
        <v>112</v>
      </c>
      <c r="X114" s="4">
        <v>-1517.77579117</v>
      </c>
      <c r="Z114" s="4">
        <f>'[1]links-p0'!Y113</f>
        <v>1517.8</v>
      </c>
      <c r="AA114" s="4">
        <f t="shared" si="8"/>
        <v>-1517.8</v>
      </c>
    </row>
    <row r="115" spans="2:27" x14ac:dyDescent="0.35">
      <c r="B115" s="10">
        <f t="shared" si="9"/>
        <v>113</v>
      </c>
      <c r="C115" s="7">
        <v>5000</v>
      </c>
      <c r="D115" s="2"/>
      <c r="E115" s="4">
        <f>'[1]links-p0'!Q114</f>
        <v>5000</v>
      </c>
      <c r="F115" s="4">
        <f>'[1]links-p0'!R114</f>
        <v>0</v>
      </c>
      <c r="G115" s="11">
        <f t="shared" si="5"/>
        <v>5000</v>
      </c>
      <c r="I115" s="12">
        <v>113</v>
      </c>
      <c r="J115" s="7">
        <v>2684.1520127700001</v>
      </c>
      <c r="L115" s="10">
        <f>'[1]links-p0'!M114</f>
        <v>4200</v>
      </c>
      <c r="M115" s="7">
        <f>'[1]links-p0'!O114</f>
        <v>0</v>
      </c>
      <c r="N115" s="11">
        <f t="shared" si="6"/>
        <v>4200</v>
      </c>
      <c r="P115" s="4">
        <v>113</v>
      </c>
      <c r="Q115" s="4">
        <v>-709.51316512999995</v>
      </c>
      <c r="S115" s="10">
        <f>'[1]links-p0'!N114</f>
        <v>0</v>
      </c>
      <c r="T115" s="7">
        <f>'[1]links-p0'!P114</f>
        <v>0</v>
      </c>
      <c r="U115" s="4">
        <f t="shared" si="7"/>
        <v>0</v>
      </c>
      <c r="W115" s="4">
        <v>113</v>
      </c>
      <c r="X115" s="4">
        <v>-1517.77579117</v>
      </c>
      <c r="Z115" s="4">
        <f>'[1]links-p0'!Y114</f>
        <v>1517.8</v>
      </c>
      <c r="AA115" s="4">
        <f t="shared" si="8"/>
        <v>-1517.8</v>
      </c>
    </row>
    <row r="116" spans="2:27" x14ac:dyDescent="0.35">
      <c r="B116" s="10">
        <f t="shared" si="9"/>
        <v>114</v>
      </c>
      <c r="C116" s="7">
        <v>5000</v>
      </c>
      <c r="D116" s="2"/>
      <c r="E116" s="4">
        <f>'[1]links-p0'!Q115</f>
        <v>5000</v>
      </c>
      <c r="F116" s="4">
        <f>'[1]links-p0'!R115</f>
        <v>0</v>
      </c>
      <c r="G116" s="11">
        <f t="shared" si="5"/>
        <v>5000</v>
      </c>
      <c r="I116" s="12">
        <v>114</v>
      </c>
      <c r="J116" s="7">
        <v>-194.37778510999999</v>
      </c>
      <c r="L116" s="10">
        <f>'[1]links-p0'!M115</f>
        <v>4200</v>
      </c>
      <c r="M116" s="7">
        <f>'[1]links-p0'!O115</f>
        <v>0</v>
      </c>
      <c r="N116" s="11">
        <f t="shared" si="6"/>
        <v>4200</v>
      </c>
      <c r="P116" s="4">
        <v>114</v>
      </c>
      <c r="Q116" s="4">
        <v>-1144.2731651300001</v>
      </c>
      <c r="S116" s="10">
        <f>'[1]links-p0'!N115</f>
        <v>0</v>
      </c>
      <c r="T116" s="7">
        <f>'[1]links-p0'!P115</f>
        <v>0</v>
      </c>
      <c r="U116" s="4">
        <f t="shared" si="7"/>
        <v>0</v>
      </c>
      <c r="W116" s="4">
        <v>114</v>
      </c>
      <c r="X116" s="4">
        <v>-1517.77579117</v>
      </c>
      <c r="Z116" s="4">
        <f>'[1]links-p0'!Y115</f>
        <v>1517.8</v>
      </c>
      <c r="AA116" s="4">
        <f t="shared" si="8"/>
        <v>-1517.8</v>
      </c>
    </row>
    <row r="117" spans="2:27" x14ac:dyDescent="0.35">
      <c r="B117" s="10">
        <f t="shared" si="9"/>
        <v>115</v>
      </c>
      <c r="C117" s="7">
        <v>5000</v>
      </c>
      <c r="D117" s="2"/>
      <c r="E117" s="4">
        <f>'[1]links-p0'!Q116</f>
        <v>5000</v>
      </c>
      <c r="F117" s="4">
        <f>'[1]links-p0'!R116</f>
        <v>0</v>
      </c>
      <c r="G117" s="11">
        <f t="shared" si="5"/>
        <v>5000</v>
      </c>
      <c r="I117" s="12">
        <v>115</v>
      </c>
      <c r="J117" s="7">
        <v>0</v>
      </c>
      <c r="L117" s="10">
        <f>'[1]links-p0'!M116</f>
        <v>4200</v>
      </c>
      <c r="M117" s="7">
        <f>'[1]links-p0'!O116</f>
        <v>0</v>
      </c>
      <c r="N117" s="11">
        <f t="shared" si="6"/>
        <v>4200</v>
      </c>
      <c r="P117" s="4">
        <v>115</v>
      </c>
      <c r="Q117" s="4">
        <v>-709.51316512999995</v>
      </c>
      <c r="S117" s="10">
        <f>'[1]links-p0'!N116</f>
        <v>68.968892944310255</v>
      </c>
      <c r="T117" s="7">
        <f>'[1]links-p0'!P116</f>
        <v>0</v>
      </c>
      <c r="U117" s="4">
        <f t="shared" si="7"/>
        <v>68.968892944310255</v>
      </c>
      <c r="W117" s="4">
        <v>115</v>
      </c>
      <c r="X117" s="4">
        <v>-1517.77579117</v>
      </c>
      <c r="Z117" s="4">
        <f>'[1]links-p0'!Y116</f>
        <v>1517.8</v>
      </c>
      <c r="AA117" s="4">
        <f t="shared" si="8"/>
        <v>-1517.8</v>
      </c>
    </row>
    <row r="118" spans="2:27" x14ac:dyDescent="0.35">
      <c r="B118" s="10">
        <f t="shared" si="9"/>
        <v>116</v>
      </c>
      <c r="C118" s="7">
        <v>5000</v>
      </c>
      <c r="D118" s="2"/>
      <c r="E118" s="4">
        <f>'[1]links-p0'!Q117</f>
        <v>5000</v>
      </c>
      <c r="F118" s="4">
        <f>'[1]links-p0'!R117</f>
        <v>0</v>
      </c>
      <c r="G118" s="11">
        <f t="shared" si="5"/>
        <v>5000</v>
      </c>
      <c r="I118" s="12">
        <v>116</v>
      </c>
      <c r="J118" s="7">
        <v>-716.98913617000005</v>
      </c>
      <c r="L118" s="10">
        <f>'[1]links-p0'!M117</f>
        <v>4200</v>
      </c>
      <c r="M118" s="7">
        <f>'[1]links-p0'!O117</f>
        <v>0</v>
      </c>
      <c r="N118" s="11">
        <f t="shared" si="6"/>
        <v>4200</v>
      </c>
      <c r="P118" s="4">
        <v>116</v>
      </c>
      <c r="Q118" s="4">
        <v>-697.30430588000002</v>
      </c>
      <c r="S118" s="10">
        <f>'[1]links-p0'!N117</f>
        <v>44.428200599221327</v>
      </c>
      <c r="T118" s="7">
        <f>'[1]links-p0'!P117</f>
        <v>0</v>
      </c>
      <c r="U118" s="4">
        <f t="shared" si="7"/>
        <v>44.428200599221327</v>
      </c>
      <c r="W118" s="4">
        <v>116</v>
      </c>
      <c r="X118" s="4">
        <v>-1517.77579117</v>
      </c>
      <c r="Z118" s="4">
        <f>'[1]links-p0'!Y117</f>
        <v>1517.8</v>
      </c>
      <c r="AA118" s="4">
        <f t="shared" si="8"/>
        <v>-1517.8</v>
      </c>
    </row>
    <row r="119" spans="2:27" x14ac:dyDescent="0.35">
      <c r="B119" s="10">
        <f t="shared" si="9"/>
        <v>117</v>
      </c>
      <c r="C119" s="7">
        <v>2797.6247696400001</v>
      </c>
      <c r="D119" s="2"/>
      <c r="E119" s="4">
        <f>'[1]links-p0'!Q118</f>
        <v>2797.6247696400001</v>
      </c>
      <c r="F119" s="4">
        <f>'[1]links-p0'!R118</f>
        <v>0</v>
      </c>
      <c r="G119" s="11">
        <f t="shared" si="5"/>
        <v>2797.6247696400001</v>
      </c>
      <c r="I119" s="12">
        <v>117</v>
      </c>
      <c r="J119" s="7">
        <v>0</v>
      </c>
      <c r="L119" s="10">
        <f>'[1]links-p0'!M118</f>
        <v>4200</v>
      </c>
      <c r="M119" s="7">
        <f>'[1]links-p0'!O118</f>
        <v>0</v>
      </c>
      <c r="N119" s="11">
        <f t="shared" si="6"/>
        <v>4200</v>
      </c>
      <c r="P119" s="4">
        <v>117</v>
      </c>
      <c r="Q119" s="4">
        <v>-647.78839637999999</v>
      </c>
      <c r="S119" s="10">
        <f>'[1]links-p0'!N118</f>
        <v>42.121460234433471</v>
      </c>
      <c r="T119" s="7">
        <f>'[1]links-p0'!P118</f>
        <v>0</v>
      </c>
      <c r="U119" s="4">
        <f t="shared" si="7"/>
        <v>42.121460234433471</v>
      </c>
      <c r="W119" s="4">
        <v>117</v>
      </c>
      <c r="X119" s="4">
        <v>-1517.77579117</v>
      </c>
      <c r="Z119" s="4">
        <f>'[1]links-p0'!Y118</f>
        <v>1517.8</v>
      </c>
      <c r="AA119" s="4">
        <f t="shared" si="8"/>
        <v>-1517.8</v>
      </c>
    </row>
    <row r="120" spans="2:27" x14ac:dyDescent="0.35">
      <c r="B120" s="10">
        <f t="shared" si="9"/>
        <v>118</v>
      </c>
      <c r="C120" s="7">
        <v>0</v>
      </c>
      <c r="D120" s="2"/>
      <c r="E120" s="4">
        <f>'[1]links-p0'!Q119</f>
        <v>0</v>
      </c>
      <c r="F120" s="4">
        <f>'[1]links-p0'!R119</f>
        <v>0</v>
      </c>
      <c r="G120" s="11">
        <f t="shared" si="5"/>
        <v>0</v>
      </c>
      <c r="I120" s="12">
        <v>118</v>
      </c>
      <c r="J120" s="7">
        <v>0</v>
      </c>
      <c r="L120" s="10">
        <f>'[1]links-p0'!M119</f>
        <v>4200</v>
      </c>
      <c r="M120" s="7">
        <f>'[1]links-p0'!O119</f>
        <v>0</v>
      </c>
      <c r="N120" s="11">
        <f t="shared" si="6"/>
        <v>4200</v>
      </c>
      <c r="P120" s="4">
        <v>118</v>
      </c>
      <c r="Q120" s="4">
        <v>-531.63893675999998</v>
      </c>
      <c r="S120" s="10">
        <f>'[1]links-p0'!N119</f>
        <v>92.576243111843041</v>
      </c>
      <c r="T120" s="7">
        <f>'[1]links-p0'!P119</f>
        <v>0</v>
      </c>
      <c r="U120" s="4">
        <f t="shared" si="7"/>
        <v>92.576243111843041</v>
      </c>
      <c r="W120" s="4">
        <v>118</v>
      </c>
      <c r="X120" s="4">
        <v>-1517.77579117</v>
      </c>
      <c r="Z120" s="4">
        <f>'[1]links-p0'!Y119</f>
        <v>1517.8</v>
      </c>
      <c r="AA120" s="4">
        <f t="shared" si="8"/>
        <v>-1517.8</v>
      </c>
    </row>
    <row r="121" spans="2:27" x14ac:dyDescent="0.35">
      <c r="B121" s="10">
        <f t="shared" si="9"/>
        <v>119</v>
      </c>
      <c r="C121" s="7">
        <v>29.88274315</v>
      </c>
      <c r="D121" s="2"/>
      <c r="E121" s="4">
        <f>'[1]links-p0'!Q120</f>
        <v>29.88274315</v>
      </c>
      <c r="F121" s="4">
        <f>'[1]links-p0'!R120</f>
        <v>0</v>
      </c>
      <c r="G121" s="11">
        <f t="shared" si="5"/>
        <v>29.88274315</v>
      </c>
      <c r="I121" s="12">
        <v>119</v>
      </c>
      <c r="J121" s="7">
        <v>-1534.8241379200001</v>
      </c>
      <c r="L121" s="10">
        <f>'[1]links-p0'!M120</f>
        <v>4200</v>
      </c>
      <c r="M121" s="7">
        <f>'[1]links-p0'!O120</f>
        <v>0</v>
      </c>
      <c r="N121" s="11">
        <f t="shared" si="6"/>
        <v>4200</v>
      </c>
      <c r="P121" s="4">
        <v>119</v>
      </c>
      <c r="Q121" s="4">
        <v>-333.48442700999999</v>
      </c>
      <c r="S121" s="10">
        <f>'[1]links-p0'!N120</f>
        <v>205.94494927517229</v>
      </c>
      <c r="T121" s="7">
        <f>'[1]links-p0'!P120</f>
        <v>0</v>
      </c>
      <c r="U121" s="4">
        <f t="shared" si="7"/>
        <v>205.94494927517229</v>
      </c>
      <c r="W121" s="4">
        <v>119</v>
      </c>
      <c r="X121" s="4">
        <v>-1517.77579117</v>
      </c>
      <c r="Z121" s="4">
        <f>'[1]links-p0'!Y120</f>
        <v>1517.8</v>
      </c>
      <c r="AA121" s="4">
        <f t="shared" si="8"/>
        <v>-1517.8</v>
      </c>
    </row>
    <row r="122" spans="2:27" x14ac:dyDescent="0.35">
      <c r="B122" s="10">
        <f t="shared" si="9"/>
        <v>120</v>
      </c>
      <c r="C122" s="7">
        <v>2244.1603927199999</v>
      </c>
      <c r="D122" s="2"/>
      <c r="E122" s="4">
        <f>'[1]links-p0'!Q121</f>
        <v>2244.1603927199999</v>
      </c>
      <c r="F122" s="4">
        <f>'[1]links-p0'!R121</f>
        <v>0</v>
      </c>
      <c r="G122" s="11">
        <f t="shared" si="5"/>
        <v>2244.1603927199999</v>
      </c>
      <c r="I122" s="12">
        <v>120</v>
      </c>
      <c r="J122" s="7">
        <v>-3500</v>
      </c>
      <c r="L122" s="10">
        <f>'[1]links-p0'!M121</f>
        <v>4200</v>
      </c>
      <c r="M122" s="7">
        <f>'[1]links-p0'!O121</f>
        <v>0</v>
      </c>
      <c r="N122" s="11">
        <f t="shared" si="6"/>
        <v>4200</v>
      </c>
      <c r="P122" s="4">
        <v>120</v>
      </c>
      <c r="Q122" s="4">
        <v>-118.32957700999999</v>
      </c>
      <c r="S122" s="10">
        <f>'[1]links-p0'!N121</f>
        <v>348.04703655017119</v>
      </c>
      <c r="T122" s="7">
        <f>'[1]links-p0'!P121</f>
        <v>0</v>
      </c>
      <c r="U122" s="4">
        <f t="shared" si="7"/>
        <v>348.04703655017119</v>
      </c>
      <c r="W122" s="4">
        <v>120</v>
      </c>
      <c r="X122" s="4">
        <v>-1517.77579117</v>
      </c>
      <c r="Z122" s="4">
        <f>'[1]links-p0'!Y121</f>
        <v>1517.8</v>
      </c>
      <c r="AA122" s="4">
        <f t="shared" si="8"/>
        <v>-1517.8</v>
      </c>
    </row>
    <row r="123" spans="2:27" x14ac:dyDescent="0.35">
      <c r="B123" s="10">
        <f t="shared" si="9"/>
        <v>121</v>
      </c>
      <c r="C123" s="7">
        <v>5000</v>
      </c>
      <c r="D123" s="2"/>
      <c r="E123" s="4">
        <f>'[1]links-p0'!Q122</f>
        <v>5000</v>
      </c>
      <c r="F123" s="4">
        <f>'[1]links-p0'!R122</f>
        <v>0</v>
      </c>
      <c r="G123" s="11">
        <f t="shared" si="5"/>
        <v>5000</v>
      </c>
      <c r="I123" s="12">
        <v>121</v>
      </c>
      <c r="J123" s="7">
        <v>-3500</v>
      </c>
      <c r="L123" s="10">
        <f>'[1]links-p0'!M122</f>
        <v>4200</v>
      </c>
      <c r="M123" s="7">
        <f>'[1]links-p0'!O122</f>
        <v>0</v>
      </c>
      <c r="N123" s="11">
        <f t="shared" si="6"/>
        <v>4200</v>
      </c>
      <c r="P123" s="4">
        <v>121</v>
      </c>
      <c r="Q123" s="4">
        <v>316.43042299000001</v>
      </c>
      <c r="S123" s="10">
        <f>'[1]links-p0'!N122</f>
        <v>885.4665873364105</v>
      </c>
      <c r="T123" s="7">
        <f>'[1]links-p0'!P122</f>
        <v>0</v>
      </c>
      <c r="U123" s="4">
        <f t="shared" si="7"/>
        <v>885.4665873364105</v>
      </c>
      <c r="W123" s="4">
        <v>121</v>
      </c>
      <c r="X123" s="4">
        <v>-1517.77579117</v>
      </c>
      <c r="Z123" s="4">
        <f>'[1]links-p0'!Y122</f>
        <v>1517.8</v>
      </c>
      <c r="AA123" s="4">
        <f t="shared" si="8"/>
        <v>-1517.8</v>
      </c>
    </row>
    <row r="124" spans="2:27" x14ac:dyDescent="0.35">
      <c r="B124" s="10">
        <f t="shared" si="9"/>
        <v>122</v>
      </c>
      <c r="C124" s="7">
        <v>5000</v>
      </c>
      <c r="D124" s="2"/>
      <c r="E124" s="4">
        <f>'[1]links-p0'!Q123</f>
        <v>5000</v>
      </c>
      <c r="F124" s="4">
        <f>'[1]links-p0'!R123</f>
        <v>0</v>
      </c>
      <c r="G124" s="11">
        <f t="shared" si="5"/>
        <v>5000</v>
      </c>
      <c r="I124" s="12">
        <v>122</v>
      </c>
      <c r="J124" s="7">
        <v>-3500</v>
      </c>
      <c r="L124" s="10">
        <f>'[1]links-p0'!M123</f>
        <v>4200</v>
      </c>
      <c r="M124" s="7">
        <f>'[1]links-p0'!O123</f>
        <v>0</v>
      </c>
      <c r="N124" s="11">
        <f t="shared" si="6"/>
        <v>4200</v>
      </c>
      <c r="P124" s="4">
        <v>122</v>
      </c>
      <c r="Q124" s="4">
        <v>618.33666932999995</v>
      </c>
      <c r="S124" s="10">
        <f>'[1]links-p0'!N123</f>
        <v>1010.474303021752</v>
      </c>
      <c r="T124" s="7">
        <f>'[1]links-p0'!P123</f>
        <v>0</v>
      </c>
      <c r="U124" s="4">
        <f t="shared" si="7"/>
        <v>1010.474303021752</v>
      </c>
      <c r="W124" s="4">
        <v>122</v>
      </c>
      <c r="X124" s="4">
        <v>-1517.77579117</v>
      </c>
      <c r="Z124" s="4">
        <f>'[1]links-p0'!Y123</f>
        <v>1517.8</v>
      </c>
      <c r="AA124" s="4">
        <f t="shared" si="8"/>
        <v>-1517.8</v>
      </c>
    </row>
    <row r="125" spans="2:27" x14ac:dyDescent="0.35">
      <c r="B125" s="10">
        <f t="shared" si="9"/>
        <v>123</v>
      </c>
      <c r="C125" s="7">
        <v>5000</v>
      </c>
      <c r="D125" s="2"/>
      <c r="E125" s="4">
        <f>'[1]links-p0'!Q124</f>
        <v>5000</v>
      </c>
      <c r="F125" s="4">
        <f>'[1]links-p0'!R124</f>
        <v>0</v>
      </c>
      <c r="G125" s="11">
        <f t="shared" si="5"/>
        <v>5000</v>
      </c>
      <c r="I125" s="12">
        <v>123</v>
      </c>
      <c r="J125" s="7">
        <v>-3500</v>
      </c>
      <c r="L125" s="10">
        <f>'[1]links-p0'!M124</f>
        <v>4200</v>
      </c>
      <c r="M125" s="7">
        <f>'[1]links-p0'!O124</f>
        <v>0</v>
      </c>
      <c r="N125" s="11">
        <f t="shared" si="6"/>
        <v>4200</v>
      </c>
      <c r="P125" s="4">
        <v>123</v>
      </c>
      <c r="Q125" s="4">
        <v>742.66050932999997</v>
      </c>
      <c r="S125" s="10">
        <f>'[1]links-p0'!N124</f>
        <v>1092.585778433574</v>
      </c>
      <c r="T125" s="7">
        <f>'[1]links-p0'!P124</f>
        <v>0</v>
      </c>
      <c r="U125" s="4">
        <f t="shared" si="7"/>
        <v>1092.585778433574</v>
      </c>
      <c r="W125" s="4">
        <v>123</v>
      </c>
      <c r="X125" s="4">
        <v>-1517.77579117</v>
      </c>
      <c r="Z125" s="4">
        <f>'[1]links-p0'!Y124</f>
        <v>1517.8</v>
      </c>
      <c r="AA125" s="4">
        <f t="shared" si="8"/>
        <v>-1517.8</v>
      </c>
    </row>
    <row r="126" spans="2:27" x14ac:dyDescent="0.35">
      <c r="B126" s="10">
        <f t="shared" si="9"/>
        <v>124</v>
      </c>
      <c r="C126" s="7">
        <v>5000</v>
      </c>
      <c r="D126" s="2"/>
      <c r="E126" s="4">
        <f>'[1]links-p0'!Q125</f>
        <v>5000</v>
      </c>
      <c r="F126" s="4">
        <f>'[1]links-p0'!R125</f>
        <v>0</v>
      </c>
      <c r="G126" s="11">
        <f t="shared" si="5"/>
        <v>5000</v>
      </c>
      <c r="I126" s="12">
        <v>124</v>
      </c>
      <c r="J126" s="7">
        <v>-3500</v>
      </c>
      <c r="L126" s="10">
        <f>'[1]links-p0'!M125</f>
        <v>4200</v>
      </c>
      <c r="M126" s="7">
        <f>'[1]links-p0'!O125</f>
        <v>0</v>
      </c>
      <c r="N126" s="11">
        <f t="shared" si="6"/>
        <v>4200</v>
      </c>
      <c r="P126" s="4">
        <v>124</v>
      </c>
      <c r="Q126" s="4">
        <v>818.82575932999998</v>
      </c>
      <c r="S126" s="10">
        <f>'[1]links-p0'!N125</f>
        <v>1142.889807629201</v>
      </c>
      <c r="T126" s="7">
        <f>'[1]links-p0'!P125</f>
        <v>0</v>
      </c>
      <c r="U126" s="4">
        <f t="shared" si="7"/>
        <v>1142.889807629201</v>
      </c>
      <c r="W126" s="4">
        <v>124</v>
      </c>
      <c r="X126" s="4">
        <v>-1517.77579117</v>
      </c>
      <c r="Z126" s="4">
        <f>'[1]links-p0'!Y125</f>
        <v>1517.8</v>
      </c>
      <c r="AA126" s="4">
        <f t="shared" si="8"/>
        <v>-1517.8</v>
      </c>
    </row>
    <row r="127" spans="2:27" x14ac:dyDescent="0.35">
      <c r="B127" s="10">
        <f t="shared" si="9"/>
        <v>125</v>
      </c>
      <c r="C127" s="7">
        <v>5000</v>
      </c>
      <c r="D127" s="2"/>
      <c r="E127" s="4">
        <f>'[1]links-p0'!Q126</f>
        <v>5000</v>
      </c>
      <c r="F127" s="4">
        <f>'[1]links-p0'!R126</f>
        <v>0</v>
      </c>
      <c r="G127" s="11">
        <f t="shared" si="5"/>
        <v>5000</v>
      </c>
      <c r="I127" s="12">
        <v>125</v>
      </c>
      <c r="J127" s="7">
        <v>-3500</v>
      </c>
      <c r="L127" s="10">
        <f>'[1]links-p0'!M126</f>
        <v>4200</v>
      </c>
      <c r="M127" s="7">
        <f>'[1]links-p0'!O126</f>
        <v>0</v>
      </c>
      <c r="N127" s="11">
        <f t="shared" si="6"/>
        <v>4200</v>
      </c>
      <c r="P127" s="4">
        <v>125</v>
      </c>
      <c r="Q127" s="4">
        <v>841.98453932999996</v>
      </c>
      <c r="S127" s="10">
        <f>'[1]links-p0'!N126</f>
        <v>1158.1854319508559</v>
      </c>
      <c r="T127" s="7">
        <f>'[1]links-p0'!P126</f>
        <v>0</v>
      </c>
      <c r="U127" s="4">
        <f t="shared" si="7"/>
        <v>1158.1854319508559</v>
      </c>
      <c r="W127" s="4">
        <v>125</v>
      </c>
      <c r="X127" s="4">
        <v>-1517.77579117</v>
      </c>
      <c r="Z127" s="4">
        <f>'[1]links-p0'!Y126</f>
        <v>1517.8</v>
      </c>
      <c r="AA127" s="4">
        <f t="shared" si="8"/>
        <v>-1517.8</v>
      </c>
    </row>
    <row r="128" spans="2:27" x14ac:dyDescent="0.35">
      <c r="B128" s="10">
        <f t="shared" si="9"/>
        <v>126</v>
      </c>
      <c r="C128" s="7">
        <v>5000</v>
      </c>
      <c r="D128" s="2"/>
      <c r="E128" s="4">
        <f>'[1]links-p0'!Q127</f>
        <v>5000</v>
      </c>
      <c r="F128" s="4">
        <f>'[1]links-p0'!R127</f>
        <v>0</v>
      </c>
      <c r="G128" s="11">
        <f t="shared" si="5"/>
        <v>5000</v>
      </c>
      <c r="I128" s="12">
        <v>126</v>
      </c>
      <c r="J128" s="7">
        <v>-3500</v>
      </c>
      <c r="L128" s="10">
        <f>'[1]links-p0'!M127</f>
        <v>4200</v>
      </c>
      <c r="M128" s="7">
        <f>'[1]links-p0'!O127</f>
        <v>0</v>
      </c>
      <c r="N128" s="11">
        <f t="shared" si="6"/>
        <v>4200</v>
      </c>
      <c r="P128" s="4">
        <v>126</v>
      </c>
      <c r="Q128" s="4">
        <v>799.61883933000001</v>
      </c>
      <c r="S128" s="10">
        <f>'[1]links-p0'!N127</f>
        <v>1130.2045827878139</v>
      </c>
      <c r="T128" s="7">
        <f>'[1]links-p0'!P127</f>
        <v>0</v>
      </c>
      <c r="U128" s="4">
        <f t="shared" si="7"/>
        <v>1130.2045827878139</v>
      </c>
      <c r="W128" s="4">
        <v>126</v>
      </c>
      <c r="X128" s="4">
        <v>-1517.77579117</v>
      </c>
      <c r="Z128" s="4">
        <f>'[1]links-p0'!Y127</f>
        <v>1517.8</v>
      </c>
      <c r="AA128" s="4">
        <f t="shared" si="8"/>
        <v>-1517.8</v>
      </c>
    </row>
    <row r="129" spans="2:27" x14ac:dyDescent="0.35">
      <c r="B129" s="10">
        <f t="shared" si="9"/>
        <v>127</v>
      </c>
      <c r="C129" s="7">
        <v>5000</v>
      </c>
      <c r="D129" s="2"/>
      <c r="E129" s="4">
        <f>'[1]links-p0'!Q128</f>
        <v>5000</v>
      </c>
      <c r="F129" s="4">
        <f>'[1]links-p0'!R128</f>
        <v>0</v>
      </c>
      <c r="G129" s="11">
        <f t="shared" si="5"/>
        <v>5000</v>
      </c>
      <c r="I129" s="12">
        <v>127</v>
      </c>
      <c r="J129" s="7">
        <v>-3500</v>
      </c>
      <c r="L129" s="10">
        <f>'[1]links-p0'!M128</f>
        <v>4200</v>
      </c>
      <c r="M129" s="7">
        <f>'[1]links-p0'!O128</f>
        <v>0</v>
      </c>
      <c r="N129" s="11">
        <f t="shared" si="6"/>
        <v>4200</v>
      </c>
      <c r="P129" s="4">
        <v>127</v>
      </c>
      <c r="Q129" s="4">
        <v>792.32287932999998</v>
      </c>
      <c r="S129" s="10">
        <f>'[1]links-p0'!N128</f>
        <v>1125.3858732341171</v>
      </c>
      <c r="T129" s="7">
        <f>'[1]links-p0'!P128</f>
        <v>0</v>
      </c>
      <c r="U129" s="4">
        <f t="shared" si="7"/>
        <v>1125.3858732341171</v>
      </c>
      <c r="W129" s="4">
        <v>127</v>
      </c>
      <c r="X129" s="4">
        <v>-1517.77579117</v>
      </c>
      <c r="Z129" s="4">
        <f>'[1]links-p0'!Y128</f>
        <v>1517.8</v>
      </c>
      <c r="AA129" s="4">
        <f t="shared" si="8"/>
        <v>-1517.8</v>
      </c>
    </row>
    <row r="130" spans="2:27" x14ac:dyDescent="0.35">
      <c r="B130" s="10">
        <f t="shared" si="9"/>
        <v>128</v>
      </c>
      <c r="C130" s="7">
        <v>5000</v>
      </c>
      <c r="D130" s="2"/>
      <c r="E130" s="4">
        <f>'[1]links-p0'!Q129</f>
        <v>5000</v>
      </c>
      <c r="F130" s="4">
        <f>'[1]links-p0'!R129</f>
        <v>0</v>
      </c>
      <c r="G130" s="11">
        <f t="shared" si="5"/>
        <v>5000</v>
      </c>
      <c r="I130" s="12">
        <v>128</v>
      </c>
      <c r="J130" s="7">
        <v>-3500</v>
      </c>
      <c r="L130" s="10">
        <f>'[1]links-p0'!M129</f>
        <v>4200</v>
      </c>
      <c r="M130" s="7">
        <f>'[1]links-p0'!O129</f>
        <v>0</v>
      </c>
      <c r="N130" s="11">
        <f t="shared" si="6"/>
        <v>4200</v>
      </c>
      <c r="P130" s="4">
        <v>128</v>
      </c>
      <c r="Q130" s="4">
        <v>808.48105932999999</v>
      </c>
      <c r="S130" s="10">
        <f>'[1]links-p0'!N129</f>
        <v>1136.0578076637159</v>
      </c>
      <c r="T130" s="7">
        <f>'[1]links-p0'!P129</f>
        <v>0</v>
      </c>
      <c r="U130" s="4">
        <f t="shared" si="7"/>
        <v>1136.0578076637159</v>
      </c>
      <c r="W130" s="4">
        <v>128</v>
      </c>
      <c r="X130" s="4">
        <v>-1517.77579117</v>
      </c>
      <c r="Z130" s="4">
        <f>'[1]links-p0'!Y129</f>
        <v>1517.8</v>
      </c>
      <c r="AA130" s="4">
        <f t="shared" si="8"/>
        <v>-1517.8</v>
      </c>
    </row>
    <row r="131" spans="2:27" x14ac:dyDescent="0.35">
      <c r="B131" s="10">
        <f t="shared" si="9"/>
        <v>129</v>
      </c>
      <c r="C131" s="7">
        <v>5000</v>
      </c>
      <c r="D131" s="2"/>
      <c r="E131" s="4">
        <f>'[1]links-p0'!Q130</f>
        <v>5000</v>
      </c>
      <c r="F131" s="4">
        <f>'[1]links-p0'!R130</f>
        <v>0</v>
      </c>
      <c r="G131" s="11">
        <f t="shared" si="5"/>
        <v>5000</v>
      </c>
      <c r="I131" s="12">
        <v>129</v>
      </c>
      <c r="J131" s="7">
        <v>-3500</v>
      </c>
      <c r="L131" s="10">
        <f>'[1]links-p0'!M130</f>
        <v>4200</v>
      </c>
      <c r="M131" s="7">
        <f>'[1]links-p0'!O130</f>
        <v>0</v>
      </c>
      <c r="N131" s="11">
        <f t="shared" si="6"/>
        <v>4200</v>
      </c>
      <c r="P131" s="4">
        <v>129</v>
      </c>
      <c r="Q131" s="4">
        <v>826.21117933000005</v>
      </c>
      <c r="S131" s="10">
        <f>'[1]links-p0'!N130</f>
        <v>1147.723996541283</v>
      </c>
      <c r="T131" s="7">
        <f>'[1]links-p0'!P130</f>
        <v>0</v>
      </c>
      <c r="U131" s="4">
        <f t="shared" si="7"/>
        <v>1147.723996541283</v>
      </c>
      <c r="W131" s="4">
        <v>129</v>
      </c>
      <c r="X131" s="4">
        <v>-1517.77579117</v>
      </c>
      <c r="Z131" s="4">
        <f>'[1]links-p0'!Y130</f>
        <v>1517.8</v>
      </c>
      <c r="AA131" s="4">
        <f t="shared" si="8"/>
        <v>-1517.8</v>
      </c>
    </row>
    <row r="132" spans="2:27" x14ac:dyDescent="0.35">
      <c r="B132" s="10">
        <f t="shared" si="9"/>
        <v>130</v>
      </c>
      <c r="C132" s="7">
        <v>5000</v>
      </c>
      <c r="D132" s="2"/>
      <c r="E132" s="4">
        <f>'[1]links-p0'!Q131</f>
        <v>5000</v>
      </c>
      <c r="F132" s="4">
        <f>'[1]links-p0'!R131</f>
        <v>0</v>
      </c>
      <c r="G132" s="11">
        <f t="shared" ref="G132:G170" si="10">IF(E132=0,-F132,E132)</f>
        <v>5000</v>
      </c>
      <c r="I132" s="12">
        <v>130</v>
      </c>
      <c r="J132" s="7">
        <v>-3500</v>
      </c>
      <c r="L132" s="10">
        <f>'[1]links-p0'!M131</f>
        <v>4200</v>
      </c>
      <c r="M132" s="7">
        <f>'[1]links-p0'!O131</f>
        <v>0</v>
      </c>
      <c r="N132" s="11">
        <f t="shared" ref="N132:N170" si="11">IF(L132=0,-M132,L132)</f>
        <v>4200</v>
      </c>
      <c r="P132" s="4">
        <v>130</v>
      </c>
      <c r="Q132" s="4">
        <v>432.34932932999999</v>
      </c>
      <c r="S132" s="10">
        <f>'[1]links-p0'!N131</f>
        <v>633.31063714070342</v>
      </c>
      <c r="T132" s="7">
        <f>'[1]links-p0'!P131</f>
        <v>0</v>
      </c>
      <c r="U132" s="4">
        <f t="shared" ref="U132:U170" si="12">IF(S132=0,-T132,S132)</f>
        <v>633.31063714070342</v>
      </c>
      <c r="W132" s="4">
        <v>130</v>
      </c>
      <c r="X132" s="4">
        <v>-1517.77579117</v>
      </c>
      <c r="Z132" s="4">
        <f>'[1]links-p0'!Y131</f>
        <v>1517.8</v>
      </c>
      <c r="AA132" s="4">
        <f t="shared" ref="AA132:AA170" si="13">-Z132</f>
        <v>-1517.8</v>
      </c>
    </row>
    <row r="133" spans="2:27" x14ac:dyDescent="0.35">
      <c r="B133" s="10">
        <f t="shared" ref="B133:B170" si="14">B132+1</f>
        <v>131</v>
      </c>
      <c r="C133" s="7">
        <v>5000</v>
      </c>
      <c r="D133" s="2"/>
      <c r="E133" s="4">
        <f>'[1]links-p0'!Q132</f>
        <v>5000</v>
      </c>
      <c r="F133" s="4">
        <f>'[1]links-p0'!R132</f>
        <v>0</v>
      </c>
      <c r="G133" s="11">
        <f t="shared" si="10"/>
        <v>5000</v>
      </c>
      <c r="I133" s="12">
        <v>131</v>
      </c>
      <c r="J133" s="7">
        <v>0</v>
      </c>
      <c r="L133" s="10">
        <f>'[1]links-p0'!M132</f>
        <v>4200</v>
      </c>
      <c r="M133" s="7">
        <f>'[1]links-p0'!O132</f>
        <v>0</v>
      </c>
      <c r="N133" s="11">
        <f t="shared" si="11"/>
        <v>4200</v>
      </c>
      <c r="P133" s="4">
        <v>131</v>
      </c>
      <c r="Q133" s="4">
        <v>0</v>
      </c>
      <c r="S133" s="10">
        <f>'[1]links-p0'!N132</f>
        <v>0</v>
      </c>
      <c r="T133" s="7">
        <f>'[1]links-p0'!P132</f>
        <v>0</v>
      </c>
      <c r="U133" s="4">
        <f t="shared" si="12"/>
        <v>0</v>
      </c>
      <c r="W133" s="4">
        <v>131</v>
      </c>
      <c r="X133" s="4">
        <v>-1517.77579117</v>
      </c>
      <c r="Z133" s="4">
        <f>'[1]links-p0'!Y132</f>
        <v>1517.8</v>
      </c>
      <c r="AA133" s="4">
        <f t="shared" si="13"/>
        <v>-1517.8</v>
      </c>
    </row>
    <row r="134" spans="2:27" x14ac:dyDescent="0.35">
      <c r="B134" s="10">
        <f t="shared" si="14"/>
        <v>132</v>
      </c>
      <c r="C134" s="7">
        <v>5000</v>
      </c>
      <c r="D134" s="2"/>
      <c r="E134" s="4">
        <f>'[1]links-p0'!Q133</f>
        <v>5000</v>
      </c>
      <c r="F134" s="4">
        <f>'[1]links-p0'!R133</f>
        <v>0</v>
      </c>
      <c r="G134" s="11">
        <f t="shared" si="10"/>
        <v>5000</v>
      </c>
      <c r="I134" s="12">
        <v>132</v>
      </c>
      <c r="J134" s="7">
        <v>0</v>
      </c>
      <c r="L134" s="10">
        <f>'[1]links-p0'!M133</f>
        <v>4200</v>
      </c>
      <c r="M134" s="7">
        <f>'[1]links-p0'!O133</f>
        <v>0</v>
      </c>
      <c r="N134" s="11">
        <f t="shared" si="11"/>
        <v>4200</v>
      </c>
      <c r="P134" s="4">
        <v>132</v>
      </c>
      <c r="Q134" s="4">
        <v>0</v>
      </c>
      <c r="S134" s="10">
        <f>'[1]links-p0'!N133</f>
        <v>0</v>
      </c>
      <c r="T134" s="7">
        <f>'[1]links-p0'!P133</f>
        <v>0</v>
      </c>
      <c r="U134" s="4">
        <f t="shared" si="12"/>
        <v>0</v>
      </c>
      <c r="W134" s="4">
        <v>132</v>
      </c>
      <c r="X134" s="4">
        <v>-1517.77579117</v>
      </c>
      <c r="Z134" s="4">
        <f>'[1]links-p0'!Y133</f>
        <v>1517.8</v>
      </c>
      <c r="AA134" s="4">
        <f t="shared" si="13"/>
        <v>-1517.8</v>
      </c>
    </row>
    <row r="135" spans="2:27" x14ac:dyDescent="0.35">
      <c r="B135" s="10">
        <f t="shared" si="14"/>
        <v>133</v>
      </c>
      <c r="C135" s="7">
        <v>5000</v>
      </c>
      <c r="D135" s="2"/>
      <c r="E135" s="4">
        <f>'[1]links-p0'!Q134</f>
        <v>5000</v>
      </c>
      <c r="F135" s="4">
        <f>'[1]links-p0'!R134</f>
        <v>0</v>
      </c>
      <c r="G135" s="11">
        <f t="shared" si="10"/>
        <v>5000</v>
      </c>
      <c r="I135" s="12">
        <v>133</v>
      </c>
      <c r="J135" s="7">
        <v>0</v>
      </c>
      <c r="L135" s="10">
        <f>'[1]links-p0'!M134</f>
        <v>4200</v>
      </c>
      <c r="M135" s="7">
        <f>'[1]links-p0'!O134</f>
        <v>0</v>
      </c>
      <c r="N135" s="11">
        <f t="shared" si="11"/>
        <v>4200</v>
      </c>
      <c r="P135" s="4">
        <v>133</v>
      </c>
      <c r="Q135" s="4">
        <v>0</v>
      </c>
      <c r="S135" s="10">
        <f>'[1]links-p0'!N134</f>
        <v>0</v>
      </c>
      <c r="T135" s="7">
        <f>'[1]links-p0'!P134</f>
        <v>0</v>
      </c>
      <c r="U135" s="4">
        <f t="shared" si="12"/>
        <v>0</v>
      </c>
      <c r="W135" s="4">
        <v>133</v>
      </c>
      <c r="X135" s="4">
        <v>-1517.77579117</v>
      </c>
      <c r="Z135" s="4">
        <f>'[1]links-p0'!Y134</f>
        <v>1517.8</v>
      </c>
      <c r="AA135" s="4">
        <f t="shared" si="13"/>
        <v>-1517.8</v>
      </c>
    </row>
    <row r="136" spans="2:27" x14ac:dyDescent="0.35">
      <c r="B136" s="10">
        <f t="shared" si="14"/>
        <v>134</v>
      </c>
      <c r="C136" s="7">
        <v>5000</v>
      </c>
      <c r="D136" s="2"/>
      <c r="E136" s="4">
        <f>'[1]links-p0'!Q135</f>
        <v>5000</v>
      </c>
      <c r="F136" s="4">
        <f>'[1]links-p0'!R135</f>
        <v>0</v>
      </c>
      <c r="G136" s="11">
        <f t="shared" si="10"/>
        <v>5000</v>
      </c>
      <c r="I136" s="12">
        <v>134</v>
      </c>
      <c r="J136" s="7">
        <v>0</v>
      </c>
      <c r="L136" s="10">
        <f>'[1]links-p0'!M135</f>
        <v>4200</v>
      </c>
      <c r="M136" s="7">
        <f>'[1]links-p0'!O135</f>
        <v>0</v>
      </c>
      <c r="N136" s="11">
        <f t="shared" si="11"/>
        <v>4200</v>
      </c>
      <c r="P136" s="4">
        <v>134</v>
      </c>
      <c r="Q136" s="4">
        <v>0</v>
      </c>
      <c r="S136" s="10">
        <f>'[1]links-p0'!N135</f>
        <v>0</v>
      </c>
      <c r="T136" s="7">
        <f>'[1]links-p0'!P135</f>
        <v>0</v>
      </c>
      <c r="U136" s="4">
        <f t="shared" si="12"/>
        <v>0</v>
      </c>
      <c r="W136" s="4">
        <v>134</v>
      </c>
      <c r="X136" s="4">
        <v>-1517.77579117</v>
      </c>
      <c r="Z136" s="4">
        <f>'[1]links-p0'!Y135</f>
        <v>1517.8</v>
      </c>
      <c r="AA136" s="4">
        <f t="shared" si="13"/>
        <v>-1517.8</v>
      </c>
    </row>
    <row r="137" spans="2:27" x14ac:dyDescent="0.35">
      <c r="B137" s="10">
        <f t="shared" si="14"/>
        <v>135</v>
      </c>
      <c r="C137" s="7">
        <v>5000</v>
      </c>
      <c r="D137" s="2"/>
      <c r="E137" s="4">
        <f>'[1]links-p0'!Q136</f>
        <v>5000</v>
      </c>
      <c r="F137" s="4">
        <f>'[1]links-p0'!R136</f>
        <v>0</v>
      </c>
      <c r="G137" s="11">
        <f t="shared" si="10"/>
        <v>5000</v>
      </c>
      <c r="I137" s="12">
        <v>135</v>
      </c>
      <c r="J137" s="7">
        <v>0</v>
      </c>
      <c r="L137" s="10">
        <f>'[1]links-p0'!M136</f>
        <v>4200</v>
      </c>
      <c r="M137" s="7">
        <f>'[1]links-p0'!O136</f>
        <v>0</v>
      </c>
      <c r="N137" s="11">
        <f t="shared" si="11"/>
        <v>4200</v>
      </c>
      <c r="P137" s="4">
        <v>135</v>
      </c>
      <c r="Q137" s="4">
        <v>-136.44297066999999</v>
      </c>
      <c r="S137" s="10">
        <f>'[1]links-p0'!N136</f>
        <v>0</v>
      </c>
      <c r="T137" s="7">
        <f>'[1]links-p0'!P136</f>
        <v>0</v>
      </c>
      <c r="U137" s="4">
        <f t="shared" si="12"/>
        <v>0</v>
      </c>
      <c r="W137" s="4">
        <v>135</v>
      </c>
      <c r="X137" s="4">
        <v>-1517.77579117</v>
      </c>
      <c r="Z137" s="4">
        <f>'[1]links-p0'!Y136</f>
        <v>1517.8</v>
      </c>
      <c r="AA137" s="4">
        <f t="shared" si="13"/>
        <v>-1517.8</v>
      </c>
    </row>
    <row r="138" spans="2:27" x14ac:dyDescent="0.35">
      <c r="B138" s="10">
        <f t="shared" si="14"/>
        <v>136</v>
      </c>
      <c r="C138" s="7">
        <v>5000</v>
      </c>
      <c r="D138" s="2"/>
      <c r="E138" s="4">
        <f>'[1]links-p0'!Q137</f>
        <v>5000</v>
      </c>
      <c r="F138" s="4">
        <f>'[1]links-p0'!R137</f>
        <v>0</v>
      </c>
      <c r="G138" s="11">
        <f t="shared" si="10"/>
        <v>5000</v>
      </c>
      <c r="I138" s="12">
        <v>136</v>
      </c>
      <c r="J138" s="7">
        <v>0</v>
      </c>
      <c r="L138" s="10">
        <f>'[1]links-p0'!M137</f>
        <v>4200</v>
      </c>
      <c r="M138" s="7">
        <f>'[1]links-p0'!O137</f>
        <v>0</v>
      </c>
      <c r="N138" s="11">
        <f t="shared" si="11"/>
        <v>4200</v>
      </c>
      <c r="P138" s="4">
        <v>136</v>
      </c>
      <c r="Q138" s="4">
        <v>-571.20297067000001</v>
      </c>
      <c r="S138" s="10">
        <f>'[1]links-p0'!N137</f>
        <v>0</v>
      </c>
      <c r="T138" s="7">
        <f>'[1]links-p0'!P137</f>
        <v>0</v>
      </c>
      <c r="U138" s="4">
        <f t="shared" si="12"/>
        <v>0</v>
      </c>
      <c r="W138" s="4">
        <v>136</v>
      </c>
      <c r="X138" s="4">
        <v>-1517.77579117</v>
      </c>
      <c r="Z138" s="4">
        <f>'[1]links-p0'!Y137</f>
        <v>1517.8</v>
      </c>
      <c r="AA138" s="4">
        <f t="shared" si="13"/>
        <v>-1517.8</v>
      </c>
    </row>
    <row r="139" spans="2:27" x14ac:dyDescent="0.35">
      <c r="B139" s="10">
        <f t="shared" si="14"/>
        <v>137</v>
      </c>
      <c r="C139" s="7">
        <v>5000</v>
      </c>
      <c r="D139" s="2"/>
      <c r="E139" s="4">
        <f>'[1]links-p0'!Q138</f>
        <v>5000</v>
      </c>
      <c r="F139" s="4">
        <f>'[1]links-p0'!R138</f>
        <v>0</v>
      </c>
      <c r="G139" s="11">
        <f t="shared" si="10"/>
        <v>5000</v>
      </c>
      <c r="I139" s="12">
        <v>137</v>
      </c>
      <c r="J139" s="7">
        <v>0</v>
      </c>
      <c r="L139" s="10">
        <f>'[1]links-p0'!M138</f>
        <v>4200</v>
      </c>
      <c r="M139" s="7">
        <f>'[1]links-p0'!O138</f>
        <v>0</v>
      </c>
      <c r="N139" s="11">
        <f t="shared" si="11"/>
        <v>4200</v>
      </c>
      <c r="P139" s="4">
        <v>137</v>
      </c>
      <c r="Q139" s="4">
        <v>-1005.96297067</v>
      </c>
      <c r="S139" s="10">
        <f>'[1]links-p0'!N138</f>
        <v>0</v>
      </c>
      <c r="T139" s="7">
        <f>'[1]links-p0'!P138</f>
        <v>0</v>
      </c>
      <c r="U139" s="4">
        <f t="shared" si="12"/>
        <v>0</v>
      </c>
      <c r="W139" s="4">
        <v>137</v>
      </c>
      <c r="X139" s="4">
        <v>-1517.77579117</v>
      </c>
      <c r="Z139" s="4">
        <f>'[1]links-p0'!Y138</f>
        <v>1517.8</v>
      </c>
      <c r="AA139" s="4">
        <f t="shared" si="13"/>
        <v>-1517.8</v>
      </c>
    </row>
    <row r="140" spans="2:27" x14ac:dyDescent="0.35">
      <c r="B140" s="10">
        <f t="shared" si="14"/>
        <v>138</v>
      </c>
      <c r="C140" s="7">
        <v>5000</v>
      </c>
      <c r="D140" s="2"/>
      <c r="E140" s="4">
        <f>'[1]links-p0'!Q139</f>
        <v>5000</v>
      </c>
      <c r="F140" s="4">
        <f>'[1]links-p0'!R139</f>
        <v>0</v>
      </c>
      <c r="G140" s="11">
        <f t="shared" si="10"/>
        <v>5000</v>
      </c>
      <c r="I140" s="12">
        <v>138</v>
      </c>
      <c r="J140" s="7">
        <v>-3500</v>
      </c>
      <c r="L140" s="10">
        <f>'[1]links-p0'!M139</f>
        <v>4200</v>
      </c>
      <c r="M140" s="7">
        <f>'[1]links-p0'!O139</f>
        <v>0</v>
      </c>
      <c r="N140" s="11">
        <f t="shared" si="11"/>
        <v>4200</v>
      </c>
      <c r="P140" s="4">
        <v>138</v>
      </c>
      <c r="Q140" s="4">
        <v>-1440.72297067</v>
      </c>
      <c r="S140" s="10">
        <f>'[1]links-p0'!N139</f>
        <v>0</v>
      </c>
      <c r="T140" s="7">
        <f>'[1]links-p0'!P139</f>
        <v>668.38662590592253</v>
      </c>
      <c r="U140" s="4">
        <f t="shared" si="12"/>
        <v>-668.38662590592253</v>
      </c>
      <c r="W140" s="4">
        <v>138</v>
      </c>
      <c r="X140" s="4">
        <v>-1517.77579117</v>
      </c>
      <c r="Z140" s="4">
        <f>'[1]links-p0'!Y139</f>
        <v>1517.8</v>
      </c>
      <c r="AA140" s="4">
        <f t="shared" si="13"/>
        <v>-1517.8</v>
      </c>
    </row>
    <row r="141" spans="2:27" x14ac:dyDescent="0.35">
      <c r="B141" s="10">
        <f t="shared" si="14"/>
        <v>139</v>
      </c>
      <c r="C141" s="7">
        <v>5000</v>
      </c>
      <c r="D141" s="2"/>
      <c r="E141" s="4">
        <f>'[1]links-p0'!Q140</f>
        <v>5000</v>
      </c>
      <c r="F141" s="4">
        <f>'[1]links-p0'!R140</f>
        <v>0</v>
      </c>
      <c r="G141" s="11">
        <f t="shared" si="10"/>
        <v>5000</v>
      </c>
      <c r="I141" s="12">
        <v>139</v>
      </c>
      <c r="J141" s="7">
        <v>-3500</v>
      </c>
      <c r="L141" s="10">
        <f>'[1]links-p0'!M140</f>
        <v>4200</v>
      </c>
      <c r="M141" s="7">
        <f>'[1]links-p0'!O140</f>
        <v>0</v>
      </c>
      <c r="N141" s="11">
        <f t="shared" si="11"/>
        <v>4200</v>
      </c>
      <c r="P141" s="4">
        <v>139</v>
      </c>
      <c r="Q141" s="4">
        <v>-1349.1954506699999</v>
      </c>
      <c r="S141" s="10">
        <f>'[1]links-p0'!N140</f>
        <v>0</v>
      </c>
      <c r="T141" s="7">
        <f>'[1]links-p0'!P140</f>
        <v>309.26000250606558</v>
      </c>
      <c r="U141" s="4">
        <f t="shared" si="12"/>
        <v>-309.26000250606558</v>
      </c>
      <c r="W141" s="4">
        <v>139</v>
      </c>
      <c r="X141" s="4">
        <v>-1517.77579117</v>
      </c>
      <c r="Z141" s="4">
        <f>'[1]links-p0'!Y140</f>
        <v>1517.8</v>
      </c>
      <c r="AA141" s="4">
        <f t="shared" si="13"/>
        <v>-1517.8</v>
      </c>
    </row>
    <row r="142" spans="2:27" x14ac:dyDescent="0.35">
      <c r="B142" s="10">
        <f t="shared" si="14"/>
        <v>140</v>
      </c>
      <c r="C142" s="7">
        <v>5000</v>
      </c>
      <c r="D142" s="2"/>
      <c r="E142" s="4">
        <f>'[1]links-p0'!Q141</f>
        <v>5000</v>
      </c>
      <c r="F142" s="4">
        <f>'[1]links-p0'!R141</f>
        <v>0</v>
      </c>
      <c r="G142" s="11">
        <f t="shared" si="10"/>
        <v>5000</v>
      </c>
      <c r="I142" s="12">
        <v>140</v>
      </c>
      <c r="J142" s="7">
        <v>-3500</v>
      </c>
      <c r="L142" s="10">
        <f>'[1]links-p0'!M141</f>
        <v>4200</v>
      </c>
      <c r="M142" s="7">
        <f>'[1]links-p0'!O141</f>
        <v>0</v>
      </c>
      <c r="N142" s="11">
        <f t="shared" si="11"/>
        <v>4200</v>
      </c>
      <c r="P142" s="4">
        <v>140</v>
      </c>
      <c r="Q142" s="4">
        <v>-1622.02999067</v>
      </c>
      <c r="S142" s="10">
        <f>'[1]links-p0'!N141</f>
        <v>0</v>
      </c>
      <c r="T142" s="7">
        <f>'[1]links-p0'!P141</f>
        <v>469.20738055248808</v>
      </c>
      <c r="U142" s="4">
        <f t="shared" si="12"/>
        <v>-469.20738055248808</v>
      </c>
      <c r="W142" s="4">
        <v>140</v>
      </c>
      <c r="X142" s="4">
        <v>-1517.77579117</v>
      </c>
      <c r="Z142" s="4">
        <f>'[1]links-p0'!Y141</f>
        <v>1517.8</v>
      </c>
      <c r="AA142" s="4">
        <f t="shared" si="13"/>
        <v>-1517.8</v>
      </c>
    </row>
    <row r="143" spans="2:27" x14ac:dyDescent="0.35">
      <c r="B143" s="10">
        <f t="shared" si="14"/>
        <v>141</v>
      </c>
      <c r="C143" s="7">
        <v>5000</v>
      </c>
      <c r="D143" s="2"/>
      <c r="E143" s="4">
        <f>'[1]links-p0'!Q142</f>
        <v>5000</v>
      </c>
      <c r="F143" s="4">
        <f>'[1]links-p0'!R142</f>
        <v>0</v>
      </c>
      <c r="G143" s="11">
        <f t="shared" si="10"/>
        <v>5000</v>
      </c>
      <c r="I143" s="12">
        <v>141</v>
      </c>
      <c r="J143" s="7">
        <v>-3500</v>
      </c>
      <c r="L143" s="10">
        <f>'[1]links-p0'!M142</f>
        <v>4200</v>
      </c>
      <c r="M143" s="7">
        <f>'[1]links-p0'!O142</f>
        <v>0</v>
      </c>
      <c r="N143" s="11">
        <f t="shared" si="11"/>
        <v>4200</v>
      </c>
      <c r="P143" s="4">
        <v>141</v>
      </c>
      <c r="Q143" s="4">
        <v>-1887.0978406700001</v>
      </c>
      <c r="S143" s="10">
        <f>'[1]links-p0'!N142</f>
        <v>0</v>
      </c>
      <c r="T143" s="7">
        <f>'[1]links-p0'!P142</f>
        <v>644.2747735790324</v>
      </c>
      <c r="U143" s="4">
        <f t="shared" si="12"/>
        <v>-644.2747735790324</v>
      </c>
      <c r="W143" s="4">
        <v>141</v>
      </c>
      <c r="X143" s="4">
        <v>-1517.77579117</v>
      </c>
      <c r="Z143" s="4">
        <f>'[1]links-p0'!Y142</f>
        <v>1517.8</v>
      </c>
      <c r="AA143" s="4">
        <f t="shared" si="13"/>
        <v>-1517.8</v>
      </c>
    </row>
    <row r="144" spans="2:27" x14ac:dyDescent="0.35">
      <c r="B144" s="10">
        <f t="shared" si="14"/>
        <v>142</v>
      </c>
      <c r="C144" s="7">
        <v>5000</v>
      </c>
      <c r="D144" s="2"/>
      <c r="E144" s="4">
        <f>'[1]links-p0'!Q143</f>
        <v>5000</v>
      </c>
      <c r="F144" s="4">
        <f>'[1]links-p0'!R143</f>
        <v>0</v>
      </c>
      <c r="G144" s="11">
        <f t="shared" si="10"/>
        <v>5000</v>
      </c>
      <c r="I144" s="12">
        <v>142</v>
      </c>
      <c r="J144" s="7">
        <v>-3500</v>
      </c>
      <c r="L144" s="10">
        <f>'[1]links-p0'!M143</f>
        <v>4200</v>
      </c>
      <c r="M144" s="7">
        <f>'[1]links-p0'!O143</f>
        <v>0</v>
      </c>
      <c r="N144" s="11">
        <f t="shared" si="11"/>
        <v>4200</v>
      </c>
      <c r="P144" s="4">
        <v>142</v>
      </c>
      <c r="Q144" s="4">
        <v>-2115.6333506699998</v>
      </c>
      <c r="S144" s="10">
        <f>'[1]links-p0'!N143</f>
        <v>0</v>
      </c>
      <c r="T144" s="7">
        <f>'[1]links-p0'!P143</f>
        <v>795.21440252803654</v>
      </c>
      <c r="U144" s="4">
        <f t="shared" si="12"/>
        <v>-795.21440252803654</v>
      </c>
      <c r="W144" s="4">
        <v>142</v>
      </c>
      <c r="X144" s="4">
        <v>-1517.77579117</v>
      </c>
      <c r="Z144" s="4">
        <f>'[1]links-p0'!Y143</f>
        <v>1517.8</v>
      </c>
      <c r="AA144" s="4">
        <f t="shared" si="13"/>
        <v>-1517.8</v>
      </c>
    </row>
    <row r="145" spans="2:27" x14ac:dyDescent="0.35">
      <c r="B145" s="10">
        <f t="shared" si="14"/>
        <v>143</v>
      </c>
      <c r="C145" s="7">
        <v>5000</v>
      </c>
      <c r="D145" s="2"/>
      <c r="E145" s="4">
        <f>'[1]links-p0'!Q144</f>
        <v>5000</v>
      </c>
      <c r="F145" s="4">
        <f>'[1]links-p0'!R144</f>
        <v>0</v>
      </c>
      <c r="G145" s="11">
        <f t="shared" si="10"/>
        <v>5000</v>
      </c>
      <c r="I145" s="12">
        <v>143</v>
      </c>
      <c r="J145" s="7">
        <v>-3500</v>
      </c>
      <c r="L145" s="10">
        <f>'[1]links-p0'!M144</f>
        <v>4200</v>
      </c>
      <c r="M145" s="7">
        <f>'[1]links-p0'!O144</f>
        <v>0</v>
      </c>
      <c r="N145" s="11">
        <f t="shared" si="11"/>
        <v>4200</v>
      </c>
      <c r="P145" s="4">
        <v>143</v>
      </c>
      <c r="Q145" s="4">
        <v>-2334.3921606700001</v>
      </c>
      <c r="S145" s="10">
        <f>'[1]links-p0'!N144</f>
        <v>0</v>
      </c>
      <c r="T145" s="7">
        <f>'[1]links-p0'!P144</f>
        <v>939.69655663312619</v>
      </c>
      <c r="U145" s="4">
        <f t="shared" si="12"/>
        <v>-939.69655663312619</v>
      </c>
      <c r="W145" s="4">
        <v>143</v>
      </c>
      <c r="X145" s="4">
        <v>-1517.77579117</v>
      </c>
      <c r="Z145" s="4">
        <f>'[1]links-p0'!Y144</f>
        <v>1517.8</v>
      </c>
      <c r="AA145" s="4">
        <f t="shared" si="13"/>
        <v>-1517.8</v>
      </c>
    </row>
    <row r="146" spans="2:27" x14ac:dyDescent="0.35">
      <c r="B146" s="10">
        <f t="shared" si="14"/>
        <v>144</v>
      </c>
      <c r="C146" s="7">
        <v>5000</v>
      </c>
      <c r="D146" s="2"/>
      <c r="E146" s="4">
        <f>'[1]links-p0'!Q145</f>
        <v>5000</v>
      </c>
      <c r="F146" s="4">
        <f>'[1]links-p0'!R145</f>
        <v>0</v>
      </c>
      <c r="G146" s="11">
        <f t="shared" si="10"/>
        <v>5000</v>
      </c>
      <c r="I146" s="12">
        <v>144</v>
      </c>
      <c r="J146" s="7">
        <v>-3500</v>
      </c>
      <c r="L146" s="10">
        <f>'[1]links-p0'!M145</f>
        <v>4200</v>
      </c>
      <c r="M146" s="7">
        <f>'[1]links-p0'!O145</f>
        <v>0</v>
      </c>
      <c r="N146" s="11">
        <f t="shared" si="11"/>
        <v>4200</v>
      </c>
      <c r="P146" s="4">
        <v>144</v>
      </c>
      <c r="Q146" s="4">
        <v>-2553.8048806699999</v>
      </c>
      <c r="S146" s="10">
        <f>'[1]links-p0'!N145</f>
        <v>0</v>
      </c>
      <c r="T146" s="7">
        <f>'[1]links-p0'!P145</f>
        <v>1084.6110634602051</v>
      </c>
      <c r="U146" s="4">
        <f t="shared" si="12"/>
        <v>-1084.6110634602051</v>
      </c>
      <c r="W146" s="4">
        <v>144</v>
      </c>
      <c r="X146" s="4">
        <v>-1517.77579117</v>
      </c>
      <c r="Z146" s="4">
        <f>'[1]links-p0'!Y145</f>
        <v>1517.8</v>
      </c>
      <c r="AA146" s="4">
        <f t="shared" si="13"/>
        <v>-1517.8</v>
      </c>
    </row>
    <row r="147" spans="2:27" x14ac:dyDescent="0.35">
      <c r="B147" s="10">
        <f t="shared" si="14"/>
        <v>145</v>
      </c>
      <c r="C147" s="7">
        <v>5000</v>
      </c>
      <c r="D147" s="2"/>
      <c r="E147" s="4">
        <f>'[1]links-p0'!Q146</f>
        <v>5000</v>
      </c>
      <c r="F147" s="4">
        <f>'[1]links-p0'!R146</f>
        <v>0</v>
      </c>
      <c r="G147" s="11">
        <f t="shared" si="10"/>
        <v>5000</v>
      </c>
      <c r="I147" s="12">
        <v>145</v>
      </c>
      <c r="J147" s="7">
        <v>-965.11985730000004</v>
      </c>
      <c r="L147" s="10">
        <f>'[1]links-p0'!M146</f>
        <v>4200</v>
      </c>
      <c r="M147" s="7">
        <f>'[1]links-p0'!O146</f>
        <v>0</v>
      </c>
      <c r="N147" s="11">
        <f t="shared" si="11"/>
        <v>4200</v>
      </c>
      <c r="P147" s="4">
        <v>145</v>
      </c>
      <c r="Q147" s="4">
        <v>-2119.0448806700001</v>
      </c>
      <c r="S147" s="10">
        <f>'[1]links-p0'!N146</f>
        <v>0</v>
      </c>
      <c r="T147" s="7">
        <f>'[1]links-p0'!P146</f>
        <v>986.34481266051148</v>
      </c>
      <c r="U147" s="4">
        <f t="shared" si="12"/>
        <v>-986.34481266051148</v>
      </c>
      <c r="W147" s="4">
        <v>145</v>
      </c>
      <c r="X147" s="4">
        <v>-1517.77579117</v>
      </c>
      <c r="Z147" s="4">
        <f>'[1]links-p0'!Y146</f>
        <v>1517.8</v>
      </c>
      <c r="AA147" s="4">
        <f t="shared" si="13"/>
        <v>-1517.8</v>
      </c>
    </row>
    <row r="148" spans="2:27" x14ac:dyDescent="0.35">
      <c r="B148" s="10">
        <f t="shared" si="14"/>
        <v>146</v>
      </c>
      <c r="C148" s="7">
        <v>5000</v>
      </c>
      <c r="D148" s="2"/>
      <c r="E148" s="4">
        <f>'[1]links-p0'!Q147</f>
        <v>5000</v>
      </c>
      <c r="F148" s="4">
        <f>'[1]links-p0'!R147</f>
        <v>0</v>
      </c>
      <c r="G148" s="11">
        <f t="shared" si="10"/>
        <v>5000</v>
      </c>
      <c r="I148" s="12">
        <v>146</v>
      </c>
      <c r="J148" s="7">
        <v>0</v>
      </c>
      <c r="L148" s="10">
        <f>'[1]links-p0'!M147</f>
        <v>4200</v>
      </c>
      <c r="M148" s="7">
        <f>'[1]links-p0'!O147</f>
        <v>0</v>
      </c>
      <c r="N148" s="11">
        <f t="shared" si="11"/>
        <v>4200</v>
      </c>
      <c r="P148" s="4">
        <v>146</v>
      </c>
      <c r="Q148" s="4">
        <v>-1684.2848806699999</v>
      </c>
      <c r="S148" s="10">
        <f>'[1]links-p0'!N147</f>
        <v>0</v>
      </c>
      <c r="T148" s="7">
        <f>'[1]links-p0'!P147</f>
        <v>0</v>
      </c>
      <c r="U148" s="4">
        <f t="shared" si="12"/>
        <v>0</v>
      </c>
      <c r="W148" s="4">
        <v>146</v>
      </c>
      <c r="X148" s="4">
        <v>-1517.77579117</v>
      </c>
      <c r="Z148" s="4">
        <f>'[1]links-p0'!Y147</f>
        <v>1517.8</v>
      </c>
      <c r="AA148" s="4">
        <f t="shared" si="13"/>
        <v>-1517.8</v>
      </c>
    </row>
    <row r="149" spans="2:27" x14ac:dyDescent="0.35">
      <c r="B149" s="10">
        <f t="shared" si="14"/>
        <v>147</v>
      </c>
      <c r="C149" s="7">
        <v>5000</v>
      </c>
      <c r="D149" s="2"/>
      <c r="E149" s="4">
        <f>'[1]links-p0'!Q148</f>
        <v>5000</v>
      </c>
      <c r="F149" s="4">
        <f>'[1]links-p0'!R148</f>
        <v>0</v>
      </c>
      <c r="G149" s="11">
        <f t="shared" si="10"/>
        <v>5000</v>
      </c>
      <c r="I149" s="12">
        <v>147</v>
      </c>
      <c r="J149" s="7">
        <v>0</v>
      </c>
      <c r="L149" s="10">
        <f>'[1]links-p0'!M148</f>
        <v>4200</v>
      </c>
      <c r="M149" s="7">
        <f>'[1]links-p0'!O148</f>
        <v>0</v>
      </c>
      <c r="N149" s="11">
        <f t="shared" si="11"/>
        <v>4200</v>
      </c>
      <c r="P149" s="4">
        <v>147</v>
      </c>
      <c r="Q149" s="4">
        <v>-1249.5248806699999</v>
      </c>
      <c r="S149" s="10">
        <f>'[1]links-p0'!N148</f>
        <v>0</v>
      </c>
      <c r="T149" s="7">
        <f>'[1]links-p0'!P148</f>
        <v>0</v>
      </c>
      <c r="U149" s="4">
        <f t="shared" si="12"/>
        <v>0</v>
      </c>
      <c r="W149" s="4">
        <v>147</v>
      </c>
      <c r="X149" s="4">
        <v>-1517.77579117</v>
      </c>
      <c r="Z149" s="4">
        <f>'[1]links-p0'!Y148</f>
        <v>1517.8</v>
      </c>
      <c r="AA149" s="4">
        <f t="shared" si="13"/>
        <v>-1517.8</v>
      </c>
    </row>
    <row r="150" spans="2:27" x14ac:dyDescent="0.35">
      <c r="B150" s="10">
        <f t="shared" si="14"/>
        <v>148</v>
      </c>
      <c r="C150" s="7">
        <v>5000</v>
      </c>
      <c r="D150" s="2"/>
      <c r="E150" s="4">
        <f>'[1]links-p0'!Q149</f>
        <v>5000</v>
      </c>
      <c r="F150" s="4">
        <f>'[1]links-p0'!R149</f>
        <v>0</v>
      </c>
      <c r="G150" s="11">
        <f t="shared" si="10"/>
        <v>5000</v>
      </c>
      <c r="I150" s="12">
        <v>148</v>
      </c>
      <c r="J150" s="7">
        <v>0</v>
      </c>
      <c r="L150" s="10">
        <f>'[1]links-p0'!M149</f>
        <v>4200</v>
      </c>
      <c r="M150" s="7">
        <f>'[1]links-p0'!O149</f>
        <v>0</v>
      </c>
      <c r="N150" s="11">
        <f t="shared" si="11"/>
        <v>4200</v>
      </c>
      <c r="P150" s="4">
        <v>148</v>
      </c>
      <c r="Q150" s="4">
        <v>-814.76488067000003</v>
      </c>
      <c r="S150" s="10">
        <f>'[1]links-p0'!N149</f>
        <v>0</v>
      </c>
      <c r="T150" s="7">
        <f>'[1]links-p0'!P149</f>
        <v>0</v>
      </c>
      <c r="U150" s="4">
        <f t="shared" si="12"/>
        <v>0</v>
      </c>
      <c r="W150" s="4">
        <v>148</v>
      </c>
      <c r="X150" s="4">
        <v>-1517.77579117</v>
      </c>
      <c r="Z150" s="4">
        <f>'[1]links-p0'!Y149</f>
        <v>1517.8</v>
      </c>
      <c r="AA150" s="4">
        <f t="shared" si="13"/>
        <v>-1517.8</v>
      </c>
    </row>
    <row r="151" spans="2:27" x14ac:dyDescent="0.35">
      <c r="B151" s="10">
        <f t="shared" si="14"/>
        <v>149</v>
      </c>
      <c r="C151" s="7">
        <v>5000</v>
      </c>
      <c r="D151" s="2"/>
      <c r="E151" s="4">
        <f>'[1]links-p0'!Q150</f>
        <v>5000</v>
      </c>
      <c r="F151" s="4">
        <f>'[1]links-p0'!R150</f>
        <v>0</v>
      </c>
      <c r="G151" s="11">
        <f t="shared" si="10"/>
        <v>5000</v>
      </c>
      <c r="I151" s="12">
        <v>149</v>
      </c>
      <c r="J151" s="7">
        <v>0</v>
      </c>
      <c r="L151" s="10">
        <f>'[1]links-p0'!M150</f>
        <v>4200</v>
      </c>
      <c r="M151" s="7">
        <f>'[1]links-p0'!O150</f>
        <v>0</v>
      </c>
      <c r="N151" s="11">
        <f t="shared" si="11"/>
        <v>4200</v>
      </c>
      <c r="P151" s="4">
        <v>149</v>
      </c>
      <c r="Q151" s="4">
        <v>-380.00488066999998</v>
      </c>
      <c r="S151" s="10">
        <f>'[1]links-p0'!N150</f>
        <v>0</v>
      </c>
      <c r="T151" s="7">
        <f>'[1]links-p0'!P150</f>
        <v>0</v>
      </c>
      <c r="U151" s="4">
        <f t="shared" si="12"/>
        <v>0</v>
      </c>
      <c r="W151" s="4">
        <v>149</v>
      </c>
      <c r="X151" s="4">
        <v>-1517.77579117</v>
      </c>
      <c r="Z151" s="4">
        <f>'[1]links-p0'!Y150</f>
        <v>1517.8</v>
      </c>
      <c r="AA151" s="4">
        <f t="shared" si="13"/>
        <v>-1517.8</v>
      </c>
    </row>
    <row r="152" spans="2:27" x14ac:dyDescent="0.35">
      <c r="B152" s="10">
        <f t="shared" si="14"/>
        <v>150</v>
      </c>
      <c r="C152" s="7">
        <v>5000</v>
      </c>
      <c r="D152" s="2"/>
      <c r="E152" s="4">
        <f>'[1]links-p0'!Q151</f>
        <v>5000</v>
      </c>
      <c r="F152" s="4">
        <f>'[1]links-p0'!R151</f>
        <v>0</v>
      </c>
      <c r="G152" s="11">
        <f t="shared" si="10"/>
        <v>5000</v>
      </c>
      <c r="I152" s="12">
        <v>150</v>
      </c>
      <c r="J152" s="7">
        <v>0</v>
      </c>
      <c r="L152" s="10">
        <f>'[1]links-p0'!M151</f>
        <v>4200</v>
      </c>
      <c r="M152" s="7">
        <f>'[1]links-p0'!O151</f>
        <v>0</v>
      </c>
      <c r="N152" s="11">
        <f t="shared" si="11"/>
        <v>4200</v>
      </c>
      <c r="P152" s="4">
        <v>150</v>
      </c>
      <c r="Q152" s="4">
        <v>0</v>
      </c>
      <c r="S152" s="10">
        <f>'[1]links-p0'!N151</f>
        <v>0</v>
      </c>
      <c r="T152" s="7">
        <f>'[1]links-p0'!P151</f>
        <v>0</v>
      </c>
      <c r="U152" s="4">
        <f t="shared" si="12"/>
        <v>0</v>
      </c>
      <c r="W152" s="4">
        <v>150</v>
      </c>
      <c r="X152" s="4">
        <v>-1517.77579117</v>
      </c>
      <c r="Z152" s="4">
        <f>'[1]links-p0'!Y151</f>
        <v>1517.8</v>
      </c>
      <c r="AA152" s="4">
        <f t="shared" si="13"/>
        <v>-1517.8</v>
      </c>
    </row>
    <row r="153" spans="2:27" x14ac:dyDescent="0.35">
      <c r="B153" s="10">
        <f t="shared" si="14"/>
        <v>151</v>
      </c>
      <c r="C153" s="7">
        <v>5000</v>
      </c>
      <c r="D153" s="2"/>
      <c r="E153" s="4">
        <f>'[1]links-p0'!Q152</f>
        <v>5000</v>
      </c>
      <c r="F153" s="4">
        <f>'[1]links-p0'!R152</f>
        <v>0</v>
      </c>
      <c r="G153" s="11">
        <f t="shared" si="10"/>
        <v>5000</v>
      </c>
      <c r="I153" s="12">
        <v>151</v>
      </c>
      <c r="J153" s="7">
        <v>0</v>
      </c>
      <c r="L153" s="10">
        <f>'[1]links-p0'!M152</f>
        <v>4200</v>
      </c>
      <c r="M153" s="7">
        <f>'[1]links-p0'!O152</f>
        <v>0</v>
      </c>
      <c r="N153" s="11">
        <f t="shared" si="11"/>
        <v>4200</v>
      </c>
      <c r="P153" s="4">
        <v>151</v>
      </c>
      <c r="Q153" s="4">
        <v>0</v>
      </c>
      <c r="S153" s="10">
        <f>'[1]links-p0'!N152</f>
        <v>0</v>
      </c>
      <c r="T153" s="7">
        <f>'[1]links-p0'!P152</f>
        <v>0</v>
      </c>
      <c r="U153" s="4">
        <f t="shared" si="12"/>
        <v>0</v>
      </c>
      <c r="W153" s="4">
        <v>151</v>
      </c>
      <c r="X153" s="4">
        <v>-1517.77579117</v>
      </c>
      <c r="Z153" s="4">
        <f>'[1]links-p0'!Y152</f>
        <v>1517.8</v>
      </c>
      <c r="AA153" s="4">
        <f t="shared" si="13"/>
        <v>-1517.8</v>
      </c>
    </row>
    <row r="154" spans="2:27" x14ac:dyDescent="0.35">
      <c r="B154" s="10">
        <f t="shared" si="14"/>
        <v>152</v>
      </c>
      <c r="C154" s="7">
        <v>5000</v>
      </c>
      <c r="D154" s="2"/>
      <c r="E154" s="4">
        <f>'[1]links-p0'!Q153</f>
        <v>5000</v>
      </c>
      <c r="F154" s="4">
        <f>'[1]links-p0'!R153</f>
        <v>0</v>
      </c>
      <c r="G154" s="11">
        <f t="shared" si="10"/>
        <v>5000</v>
      </c>
      <c r="I154" s="12">
        <v>152</v>
      </c>
      <c r="J154" s="7">
        <v>0</v>
      </c>
      <c r="L154" s="10">
        <f>'[1]links-p0'!M153</f>
        <v>4200</v>
      </c>
      <c r="M154" s="7">
        <f>'[1]links-p0'!O153</f>
        <v>0</v>
      </c>
      <c r="N154" s="11">
        <f t="shared" si="11"/>
        <v>4200</v>
      </c>
      <c r="P154" s="4">
        <v>152</v>
      </c>
      <c r="Q154" s="4">
        <v>0</v>
      </c>
      <c r="S154" s="10">
        <f>'[1]links-p0'!N153</f>
        <v>0</v>
      </c>
      <c r="T154" s="7">
        <f>'[1]links-p0'!P153</f>
        <v>0</v>
      </c>
      <c r="U154" s="4">
        <f t="shared" si="12"/>
        <v>0</v>
      </c>
      <c r="W154" s="4">
        <v>152</v>
      </c>
      <c r="X154" s="4">
        <v>-1517.77579117</v>
      </c>
      <c r="Z154" s="4">
        <f>'[1]links-p0'!Y153</f>
        <v>1517.8</v>
      </c>
      <c r="AA154" s="4">
        <f t="shared" si="13"/>
        <v>-1517.8</v>
      </c>
    </row>
    <row r="155" spans="2:27" x14ac:dyDescent="0.35">
      <c r="B155" s="10">
        <f t="shared" si="14"/>
        <v>153</v>
      </c>
      <c r="C155" s="7">
        <v>5000</v>
      </c>
      <c r="D155" s="2"/>
      <c r="E155" s="4">
        <f>'[1]links-p0'!Q154</f>
        <v>5000</v>
      </c>
      <c r="F155" s="4">
        <f>'[1]links-p0'!R154</f>
        <v>0</v>
      </c>
      <c r="G155" s="11">
        <f t="shared" si="10"/>
        <v>5000</v>
      </c>
      <c r="I155" s="12">
        <v>153</v>
      </c>
      <c r="J155" s="7">
        <v>0</v>
      </c>
      <c r="L155" s="10">
        <f>'[1]links-p0'!M154</f>
        <v>4200</v>
      </c>
      <c r="M155" s="7">
        <f>'[1]links-p0'!O154</f>
        <v>0</v>
      </c>
      <c r="N155" s="11">
        <f t="shared" si="11"/>
        <v>4200</v>
      </c>
      <c r="P155" s="4">
        <v>153</v>
      </c>
      <c r="Q155" s="4">
        <v>0</v>
      </c>
      <c r="S155" s="10">
        <f>'[1]links-p0'!N154</f>
        <v>0</v>
      </c>
      <c r="T155" s="7">
        <f>'[1]links-p0'!P154</f>
        <v>0</v>
      </c>
      <c r="U155" s="4">
        <f t="shared" si="12"/>
        <v>0</v>
      </c>
      <c r="W155" s="4">
        <v>153</v>
      </c>
      <c r="X155" s="4">
        <v>-1517.77579117</v>
      </c>
      <c r="Z155" s="4">
        <f>'[1]links-p0'!Y154</f>
        <v>1517.8</v>
      </c>
      <c r="AA155" s="4">
        <f t="shared" si="13"/>
        <v>-1517.8</v>
      </c>
    </row>
    <row r="156" spans="2:27" x14ac:dyDescent="0.35">
      <c r="B156" s="10">
        <f t="shared" si="14"/>
        <v>154</v>
      </c>
      <c r="C156" s="7">
        <v>5000</v>
      </c>
      <c r="D156" s="2"/>
      <c r="E156" s="4">
        <f>'[1]links-p0'!Q155</f>
        <v>5000</v>
      </c>
      <c r="F156" s="4">
        <f>'[1]links-p0'!R155</f>
        <v>0</v>
      </c>
      <c r="G156" s="11">
        <f t="shared" si="10"/>
        <v>5000</v>
      </c>
      <c r="I156" s="12">
        <v>154</v>
      </c>
      <c r="J156" s="7">
        <v>0</v>
      </c>
      <c r="L156" s="10">
        <f>'[1]links-p0'!M155</f>
        <v>4200</v>
      </c>
      <c r="M156" s="7">
        <f>'[1]links-p0'!O155</f>
        <v>0</v>
      </c>
      <c r="N156" s="11">
        <f t="shared" si="11"/>
        <v>4200</v>
      </c>
      <c r="P156" s="4">
        <v>154</v>
      </c>
      <c r="Q156" s="4">
        <v>0</v>
      </c>
      <c r="S156" s="10">
        <f>'[1]links-p0'!N155</f>
        <v>0</v>
      </c>
      <c r="T156" s="7">
        <f>'[1]links-p0'!P155</f>
        <v>0</v>
      </c>
      <c r="U156" s="4">
        <f t="shared" si="12"/>
        <v>0</v>
      </c>
      <c r="W156" s="4">
        <v>154</v>
      </c>
      <c r="X156" s="4">
        <v>-1517.77579117</v>
      </c>
      <c r="Z156" s="4">
        <f>'[1]links-p0'!Y155</f>
        <v>1517.8</v>
      </c>
      <c r="AA156" s="4">
        <f t="shared" si="13"/>
        <v>-1517.8</v>
      </c>
    </row>
    <row r="157" spans="2:27" x14ac:dyDescent="0.35">
      <c r="B157" s="10">
        <f t="shared" si="14"/>
        <v>155</v>
      </c>
      <c r="C157" s="7">
        <v>5000</v>
      </c>
      <c r="D157" s="2"/>
      <c r="E157" s="4">
        <f>'[1]links-p0'!Q156</f>
        <v>5000</v>
      </c>
      <c r="F157" s="4">
        <f>'[1]links-p0'!R156</f>
        <v>0</v>
      </c>
      <c r="G157" s="11">
        <f t="shared" si="10"/>
        <v>5000</v>
      </c>
      <c r="I157" s="12">
        <v>155</v>
      </c>
      <c r="J157" s="7">
        <v>0</v>
      </c>
      <c r="L157" s="10">
        <f>'[1]links-p0'!M156</f>
        <v>4200</v>
      </c>
      <c r="M157" s="7">
        <f>'[1]links-p0'!O156</f>
        <v>0</v>
      </c>
      <c r="N157" s="11">
        <f t="shared" si="11"/>
        <v>4200</v>
      </c>
      <c r="P157" s="4">
        <v>155</v>
      </c>
      <c r="Q157" s="4">
        <v>0</v>
      </c>
      <c r="S157" s="10">
        <f>'[1]links-p0'!N156</f>
        <v>0</v>
      </c>
      <c r="T157" s="7">
        <f>'[1]links-p0'!P156</f>
        <v>0</v>
      </c>
      <c r="U157" s="4">
        <f t="shared" si="12"/>
        <v>0</v>
      </c>
      <c r="W157" s="4">
        <v>155</v>
      </c>
      <c r="X157" s="4">
        <v>-1517.77579117</v>
      </c>
      <c r="Z157" s="4">
        <f>'[1]links-p0'!Y156</f>
        <v>1517.8</v>
      </c>
      <c r="AA157" s="4">
        <f t="shared" si="13"/>
        <v>-1517.8</v>
      </c>
    </row>
    <row r="158" spans="2:27" x14ac:dyDescent="0.35">
      <c r="B158" s="10">
        <f t="shared" si="14"/>
        <v>156</v>
      </c>
      <c r="C158" s="7">
        <v>5000</v>
      </c>
      <c r="D158" s="2"/>
      <c r="E158" s="4">
        <f>'[1]links-p0'!Q157</f>
        <v>5000</v>
      </c>
      <c r="F158" s="4">
        <f>'[1]links-p0'!R157</f>
        <v>0</v>
      </c>
      <c r="G158" s="11">
        <f t="shared" si="10"/>
        <v>5000</v>
      </c>
      <c r="I158" s="12">
        <v>156</v>
      </c>
      <c r="J158" s="7">
        <v>0</v>
      </c>
      <c r="L158" s="10">
        <f>'[1]links-p0'!M157</f>
        <v>4200</v>
      </c>
      <c r="M158" s="7">
        <f>'[1]links-p0'!O157</f>
        <v>0</v>
      </c>
      <c r="N158" s="11">
        <f t="shared" si="11"/>
        <v>4200</v>
      </c>
      <c r="P158" s="4">
        <v>156</v>
      </c>
      <c r="Q158" s="4">
        <v>0</v>
      </c>
      <c r="S158" s="10">
        <f>'[1]links-p0'!N157</f>
        <v>0</v>
      </c>
      <c r="T158" s="7">
        <f>'[1]links-p0'!P157</f>
        <v>0</v>
      </c>
      <c r="U158" s="4">
        <f t="shared" si="12"/>
        <v>0</v>
      </c>
      <c r="W158" s="4">
        <v>156</v>
      </c>
      <c r="X158" s="4">
        <v>-1517.77579117</v>
      </c>
      <c r="Z158" s="4">
        <f>'[1]links-p0'!Y157</f>
        <v>1517.8</v>
      </c>
      <c r="AA158" s="4">
        <f t="shared" si="13"/>
        <v>-1517.8</v>
      </c>
    </row>
    <row r="159" spans="2:27" x14ac:dyDescent="0.35">
      <c r="B159" s="10">
        <f t="shared" si="14"/>
        <v>157</v>
      </c>
      <c r="C159" s="7">
        <v>5000</v>
      </c>
      <c r="D159" s="2"/>
      <c r="E159" s="4">
        <f>'[1]links-p0'!Q158</f>
        <v>5000</v>
      </c>
      <c r="F159" s="4">
        <f>'[1]links-p0'!R158</f>
        <v>0</v>
      </c>
      <c r="G159" s="11">
        <f t="shared" si="10"/>
        <v>5000</v>
      </c>
      <c r="I159" s="12">
        <v>157</v>
      </c>
      <c r="J159" s="7">
        <v>0</v>
      </c>
      <c r="L159" s="10">
        <f>'[1]links-p0'!M158</f>
        <v>4200</v>
      </c>
      <c r="M159" s="7">
        <f>'[1]links-p0'!O158</f>
        <v>0</v>
      </c>
      <c r="N159" s="11">
        <f t="shared" si="11"/>
        <v>4200</v>
      </c>
      <c r="P159" s="4">
        <v>157</v>
      </c>
      <c r="Q159" s="4">
        <v>0</v>
      </c>
      <c r="S159" s="10">
        <f>'[1]links-p0'!N158</f>
        <v>0</v>
      </c>
      <c r="T159" s="7">
        <f>'[1]links-p0'!P158</f>
        <v>0</v>
      </c>
      <c r="U159" s="4">
        <f t="shared" si="12"/>
        <v>0</v>
      </c>
      <c r="W159" s="4">
        <v>157</v>
      </c>
      <c r="X159" s="4">
        <v>-1517.77579117</v>
      </c>
      <c r="Z159" s="4">
        <f>'[1]links-p0'!Y158</f>
        <v>1517.8</v>
      </c>
      <c r="AA159" s="4">
        <f t="shared" si="13"/>
        <v>-1517.8</v>
      </c>
    </row>
    <row r="160" spans="2:27" x14ac:dyDescent="0.35">
      <c r="B160" s="10">
        <f t="shared" si="14"/>
        <v>158</v>
      </c>
      <c r="C160" s="7">
        <v>5000</v>
      </c>
      <c r="D160" s="2"/>
      <c r="E160" s="4">
        <f>'[1]links-p0'!Q159</f>
        <v>5000</v>
      </c>
      <c r="F160" s="4">
        <f>'[1]links-p0'!R159</f>
        <v>0</v>
      </c>
      <c r="G160" s="11">
        <f t="shared" si="10"/>
        <v>5000</v>
      </c>
      <c r="I160" s="12">
        <v>158</v>
      </c>
      <c r="J160" s="7">
        <v>0</v>
      </c>
      <c r="L160" s="10">
        <f>'[1]links-p0'!M159</f>
        <v>4200</v>
      </c>
      <c r="M160" s="7">
        <f>'[1]links-p0'!O159</f>
        <v>0</v>
      </c>
      <c r="N160" s="11">
        <f t="shared" si="11"/>
        <v>4200</v>
      </c>
      <c r="P160" s="4">
        <v>158</v>
      </c>
      <c r="Q160" s="4">
        <v>0</v>
      </c>
      <c r="S160" s="10">
        <f>'[1]links-p0'!N159</f>
        <v>0</v>
      </c>
      <c r="T160" s="7">
        <f>'[1]links-p0'!P159</f>
        <v>0</v>
      </c>
      <c r="U160" s="4">
        <f t="shared" si="12"/>
        <v>0</v>
      </c>
      <c r="W160" s="4">
        <v>158</v>
      </c>
      <c r="X160" s="4">
        <v>-1517.77579117</v>
      </c>
      <c r="Z160" s="4">
        <f>'[1]links-p0'!Y159</f>
        <v>1517.8</v>
      </c>
      <c r="AA160" s="4">
        <f t="shared" si="13"/>
        <v>-1517.8</v>
      </c>
    </row>
    <row r="161" spans="2:27" x14ac:dyDescent="0.35">
      <c r="B161" s="10">
        <f t="shared" si="14"/>
        <v>159</v>
      </c>
      <c r="C161" s="7">
        <v>5000</v>
      </c>
      <c r="D161" s="2"/>
      <c r="E161" s="4">
        <f>'[1]links-p0'!Q160</f>
        <v>5000</v>
      </c>
      <c r="F161" s="4">
        <f>'[1]links-p0'!R160</f>
        <v>0</v>
      </c>
      <c r="G161" s="11">
        <f t="shared" si="10"/>
        <v>5000</v>
      </c>
      <c r="I161" s="12">
        <v>159</v>
      </c>
      <c r="J161" s="7">
        <v>0</v>
      </c>
      <c r="L161" s="10">
        <f>'[1]links-p0'!M160</f>
        <v>4200</v>
      </c>
      <c r="M161" s="7">
        <f>'[1]links-p0'!O160</f>
        <v>0</v>
      </c>
      <c r="N161" s="11">
        <f t="shared" si="11"/>
        <v>4200</v>
      </c>
      <c r="P161" s="4">
        <v>159</v>
      </c>
      <c r="Q161" s="4">
        <v>0</v>
      </c>
      <c r="S161" s="10">
        <f>'[1]links-p0'!N160</f>
        <v>0</v>
      </c>
      <c r="T161" s="7">
        <f>'[1]links-p0'!P160</f>
        <v>0</v>
      </c>
      <c r="U161" s="4">
        <f t="shared" si="12"/>
        <v>0</v>
      </c>
      <c r="W161" s="4">
        <v>159</v>
      </c>
      <c r="X161" s="4">
        <v>-1517.77579117</v>
      </c>
      <c r="Z161" s="4">
        <f>'[1]links-p0'!Y160</f>
        <v>1517.8</v>
      </c>
      <c r="AA161" s="4">
        <f t="shared" si="13"/>
        <v>-1517.8</v>
      </c>
    </row>
    <row r="162" spans="2:27" x14ac:dyDescent="0.35">
      <c r="B162" s="10">
        <f t="shared" si="14"/>
        <v>160</v>
      </c>
      <c r="C162" s="7">
        <v>5000</v>
      </c>
      <c r="D162" s="2"/>
      <c r="E162" s="4">
        <f>'[1]links-p0'!Q161</f>
        <v>5000</v>
      </c>
      <c r="F162" s="4">
        <f>'[1]links-p0'!R161</f>
        <v>0</v>
      </c>
      <c r="G162" s="11">
        <f t="shared" si="10"/>
        <v>5000</v>
      </c>
      <c r="I162" s="12">
        <v>160</v>
      </c>
      <c r="J162" s="7">
        <v>0</v>
      </c>
      <c r="L162" s="10">
        <f>'[1]links-p0'!M161</f>
        <v>4200</v>
      </c>
      <c r="M162" s="7">
        <f>'[1]links-p0'!O161</f>
        <v>0</v>
      </c>
      <c r="N162" s="11">
        <f t="shared" si="11"/>
        <v>4200</v>
      </c>
      <c r="P162" s="4">
        <v>160</v>
      </c>
      <c r="Q162" s="4">
        <v>0</v>
      </c>
      <c r="S162" s="10">
        <f>'[1]links-p0'!N161</f>
        <v>0</v>
      </c>
      <c r="T162" s="7">
        <f>'[1]links-p0'!P161</f>
        <v>0</v>
      </c>
      <c r="U162" s="4">
        <f t="shared" si="12"/>
        <v>0</v>
      </c>
      <c r="W162" s="4">
        <v>160</v>
      </c>
      <c r="X162" s="4">
        <v>-1517.77579117</v>
      </c>
      <c r="Z162" s="4">
        <f>'[1]links-p0'!Y161</f>
        <v>1517.8</v>
      </c>
      <c r="AA162" s="4">
        <f t="shared" si="13"/>
        <v>-1517.8</v>
      </c>
    </row>
    <row r="163" spans="2:27" x14ac:dyDescent="0.35">
      <c r="B163" s="10">
        <f t="shared" si="14"/>
        <v>161</v>
      </c>
      <c r="C163" s="7">
        <v>5000</v>
      </c>
      <c r="D163" s="2"/>
      <c r="E163" s="4">
        <f>'[1]links-p0'!Q162</f>
        <v>5000</v>
      </c>
      <c r="F163" s="4">
        <f>'[1]links-p0'!R162</f>
        <v>0</v>
      </c>
      <c r="G163" s="11">
        <f t="shared" si="10"/>
        <v>5000</v>
      </c>
      <c r="I163" s="12">
        <v>161</v>
      </c>
      <c r="J163" s="7">
        <v>0</v>
      </c>
      <c r="L163" s="10">
        <f>'[1]links-p0'!M162</f>
        <v>4200</v>
      </c>
      <c r="M163" s="7">
        <f>'[1]links-p0'!O162</f>
        <v>0</v>
      </c>
      <c r="N163" s="11">
        <f t="shared" si="11"/>
        <v>4200</v>
      </c>
      <c r="P163" s="4">
        <v>161</v>
      </c>
      <c r="Q163" s="4">
        <v>0</v>
      </c>
      <c r="S163" s="10">
        <f>'[1]links-p0'!N162</f>
        <v>0</v>
      </c>
      <c r="T163" s="7">
        <f>'[1]links-p0'!P162</f>
        <v>0</v>
      </c>
      <c r="U163" s="4">
        <f t="shared" si="12"/>
        <v>0</v>
      </c>
      <c r="W163" s="4">
        <v>161</v>
      </c>
      <c r="X163" s="4">
        <v>-1517.77579117</v>
      </c>
      <c r="Z163" s="4">
        <f>'[1]links-p0'!Y162</f>
        <v>1517.8</v>
      </c>
      <c r="AA163" s="4">
        <f t="shared" si="13"/>
        <v>-1517.8</v>
      </c>
    </row>
    <row r="164" spans="2:27" x14ac:dyDescent="0.35">
      <c r="B164" s="10">
        <f t="shared" si="14"/>
        <v>162</v>
      </c>
      <c r="C164" s="7">
        <v>5000</v>
      </c>
      <c r="D164" s="2"/>
      <c r="E164" s="4">
        <f>'[1]links-p0'!Q163</f>
        <v>5000</v>
      </c>
      <c r="F164" s="4">
        <f>'[1]links-p0'!R163</f>
        <v>0</v>
      </c>
      <c r="G164" s="11">
        <f t="shared" si="10"/>
        <v>5000</v>
      </c>
      <c r="I164" s="12">
        <v>162</v>
      </c>
      <c r="J164" s="7">
        <v>0</v>
      </c>
      <c r="L164" s="10">
        <f>'[1]links-p0'!M163</f>
        <v>4200</v>
      </c>
      <c r="M164" s="7">
        <f>'[1]links-p0'!O163</f>
        <v>0</v>
      </c>
      <c r="N164" s="11">
        <f t="shared" si="11"/>
        <v>4200</v>
      </c>
      <c r="P164" s="4">
        <v>162</v>
      </c>
      <c r="Q164" s="4">
        <v>0</v>
      </c>
      <c r="S164" s="10">
        <f>'[1]links-p0'!N163</f>
        <v>871.64071416100194</v>
      </c>
      <c r="T164" s="7">
        <f>'[1]links-p0'!P163</f>
        <v>0</v>
      </c>
      <c r="U164" s="4">
        <f t="shared" si="12"/>
        <v>871.64071416100194</v>
      </c>
      <c r="W164" s="4">
        <v>162</v>
      </c>
      <c r="X164" s="4">
        <v>-1517.77579117</v>
      </c>
      <c r="Z164" s="4">
        <f>'[1]links-p0'!Y163</f>
        <v>1517.8</v>
      </c>
      <c r="AA164" s="4">
        <f t="shared" si="13"/>
        <v>-1517.8</v>
      </c>
    </row>
    <row r="165" spans="2:27" x14ac:dyDescent="0.35">
      <c r="B165" s="10">
        <f t="shared" si="14"/>
        <v>163</v>
      </c>
      <c r="C165" s="7">
        <v>5000</v>
      </c>
      <c r="D165" s="2"/>
      <c r="E165" s="4">
        <f>'[1]links-p0'!Q164</f>
        <v>5000</v>
      </c>
      <c r="F165" s="4">
        <f>'[1]links-p0'!R164</f>
        <v>0</v>
      </c>
      <c r="G165" s="11">
        <f t="shared" si="10"/>
        <v>5000</v>
      </c>
      <c r="I165" s="12">
        <v>163</v>
      </c>
      <c r="J165" s="7">
        <v>0</v>
      </c>
      <c r="L165" s="10">
        <f>'[1]links-p0'!M164</f>
        <v>4200</v>
      </c>
      <c r="M165" s="7">
        <f>'[1]links-p0'!O164</f>
        <v>0</v>
      </c>
      <c r="N165" s="11">
        <f t="shared" si="11"/>
        <v>4200</v>
      </c>
      <c r="P165" s="4">
        <v>163</v>
      </c>
      <c r="Q165" s="4">
        <v>0</v>
      </c>
      <c r="S165" s="10">
        <f>'[1]links-p0'!N164</f>
        <v>1619.9172304409151</v>
      </c>
      <c r="T165" s="7">
        <f>'[1]links-p0'!P164</f>
        <v>0</v>
      </c>
      <c r="U165" s="4">
        <f t="shared" si="12"/>
        <v>1619.9172304409151</v>
      </c>
      <c r="W165" s="4">
        <v>163</v>
      </c>
      <c r="X165" s="4">
        <v>-1517.77579117</v>
      </c>
      <c r="Z165" s="4">
        <f>'[1]links-p0'!Y164</f>
        <v>1517.8</v>
      </c>
      <c r="AA165" s="4">
        <f t="shared" si="13"/>
        <v>-1517.8</v>
      </c>
    </row>
    <row r="166" spans="2:27" x14ac:dyDescent="0.35">
      <c r="B166" s="10">
        <f t="shared" si="14"/>
        <v>164</v>
      </c>
      <c r="C166" s="7">
        <v>5000</v>
      </c>
      <c r="D166" s="2"/>
      <c r="E166" s="4">
        <f>'[1]links-p0'!Q165</f>
        <v>5000</v>
      </c>
      <c r="F166" s="4">
        <f>'[1]links-p0'!R165</f>
        <v>0</v>
      </c>
      <c r="G166" s="11">
        <f t="shared" si="10"/>
        <v>5000</v>
      </c>
      <c r="I166" s="12">
        <v>164</v>
      </c>
      <c r="J166" s="7">
        <v>0</v>
      </c>
      <c r="L166" s="10">
        <f>'[1]links-p0'!M165</f>
        <v>4200</v>
      </c>
      <c r="M166" s="7">
        <f>'[1]links-p0'!O165</f>
        <v>0</v>
      </c>
      <c r="N166" s="11">
        <f t="shared" si="11"/>
        <v>4200</v>
      </c>
      <c r="P166" s="4">
        <v>164</v>
      </c>
      <c r="Q166" s="4">
        <v>0</v>
      </c>
      <c r="S166" s="10">
        <f>'[1]links-p0'!N165</f>
        <v>1669.6811791784889</v>
      </c>
      <c r="T166" s="7">
        <f>'[1]links-p0'!P165</f>
        <v>0</v>
      </c>
      <c r="U166" s="4">
        <f t="shared" si="12"/>
        <v>1669.6811791784889</v>
      </c>
      <c r="W166" s="4">
        <v>164</v>
      </c>
      <c r="X166" s="4">
        <v>-1517.77579117</v>
      </c>
      <c r="Z166" s="4">
        <f>'[1]links-p0'!Y165</f>
        <v>1517.8</v>
      </c>
      <c r="AA166" s="4">
        <f t="shared" si="13"/>
        <v>-1517.8</v>
      </c>
    </row>
    <row r="167" spans="2:27" x14ac:dyDescent="0.35">
      <c r="B167" s="10">
        <f t="shared" si="14"/>
        <v>165</v>
      </c>
      <c r="C167" s="7">
        <v>5000</v>
      </c>
      <c r="D167" s="2"/>
      <c r="E167" s="4">
        <f>'[1]links-p0'!Q166</f>
        <v>5000</v>
      </c>
      <c r="F167" s="4">
        <f>'[1]links-p0'!R166</f>
        <v>0</v>
      </c>
      <c r="G167" s="11">
        <f t="shared" si="10"/>
        <v>5000</v>
      </c>
      <c r="I167" s="12">
        <v>165</v>
      </c>
      <c r="J167" s="7">
        <v>0</v>
      </c>
      <c r="L167" s="10">
        <f>'[1]links-p0'!M166</f>
        <v>4200</v>
      </c>
      <c r="M167" s="7">
        <f>'[1]links-p0'!O166</f>
        <v>0</v>
      </c>
      <c r="N167" s="11">
        <f t="shared" si="11"/>
        <v>4200</v>
      </c>
      <c r="P167" s="4">
        <v>165</v>
      </c>
      <c r="Q167" s="4">
        <v>0</v>
      </c>
      <c r="S167" s="10">
        <f>'[1]links-p0'!N166</f>
        <v>1668.1681073831489</v>
      </c>
      <c r="T167" s="7">
        <f>'[1]links-p0'!P166</f>
        <v>0</v>
      </c>
      <c r="U167" s="4">
        <f t="shared" si="12"/>
        <v>1668.1681073831489</v>
      </c>
      <c r="W167" s="4">
        <v>165</v>
      </c>
      <c r="X167" s="4">
        <v>-1517.77579117</v>
      </c>
      <c r="Z167" s="4">
        <f>'[1]links-p0'!Y166</f>
        <v>1517.8</v>
      </c>
      <c r="AA167" s="4">
        <f t="shared" si="13"/>
        <v>-1517.8</v>
      </c>
    </row>
    <row r="168" spans="2:27" x14ac:dyDescent="0.35">
      <c r="B168" s="10">
        <f t="shared" si="14"/>
        <v>166</v>
      </c>
      <c r="C168" s="7">
        <v>5000</v>
      </c>
      <c r="D168" s="2"/>
      <c r="E168" s="4">
        <f>'[1]links-p0'!Q167</f>
        <v>5000</v>
      </c>
      <c r="F168" s="4">
        <f>'[1]links-p0'!R167</f>
        <v>0</v>
      </c>
      <c r="G168" s="11">
        <f t="shared" si="10"/>
        <v>5000</v>
      </c>
      <c r="I168" s="12">
        <v>166</v>
      </c>
      <c r="J168" s="7">
        <v>0</v>
      </c>
      <c r="L168" s="10">
        <f>'[1]links-p0'!M167</f>
        <v>4200</v>
      </c>
      <c r="M168" s="7">
        <f>'[1]links-p0'!O167</f>
        <v>0</v>
      </c>
      <c r="N168" s="11">
        <f t="shared" si="11"/>
        <v>4200</v>
      </c>
      <c r="P168" s="4">
        <v>166</v>
      </c>
      <c r="Q168" s="4">
        <v>0</v>
      </c>
      <c r="S168" s="10">
        <f>'[1]links-p0'!N167</f>
        <v>1671.249542956868</v>
      </c>
      <c r="T168" s="7">
        <f>'[1]links-p0'!P167</f>
        <v>0</v>
      </c>
      <c r="U168" s="4">
        <f t="shared" si="12"/>
        <v>1671.249542956868</v>
      </c>
      <c r="W168" s="4">
        <v>166</v>
      </c>
      <c r="X168" s="4">
        <v>-1517.77579117</v>
      </c>
      <c r="Z168" s="4">
        <f>'[1]links-p0'!Y167</f>
        <v>1517.8</v>
      </c>
      <c r="AA168" s="4">
        <f t="shared" si="13"/>
        <v>-1517.8</v>
      </c>
    </row>
    <row r="169" spans="2:27" x14ac:dyDescent="0.35">
      <c r="B169" s="10">
        <f t="shared" si="14"/>
        <v>167</v>
      </c>
      <c r="C169" s="7">
        <v>5000</v>
      </c>
      <c r="D169" s="2"/>
      <c r="E169" s="4">
        <f>'[1]links-p0'!Q168</f>
        <v>5000</v>
      </c>
      <c r="F169" s="4">
        <f>'[1]links-p0'!R168</f>
        <v>0</v>
      </c>
      <c r="G169" s="11">
        <f t="shared" si="10"/>
        <v>5000</v>
      </c>
      <c r="I169" s="12">
        <v>167</v>
      </c>
      <c r="J169" s="7">
        <v>0</v>
      </c>
      <c r="L169" s="10">
        <f>'[1]links-p0'!M168</f>
        <v>4200</v>
      </c>
      <c r="M169" s="7">
        <f>'[1]links-p0'!O168</f>
        <v>0</v>
      </c>
      <c r="N169" s="11">
        <f t="shared" si="11"/>
        <v>4200</v>
      </c>
      <c r="P169" s="4">
        <v>167</v>
      </c>
      <c r="Q169" s="4">
        <v>0</v>
      </c>
      <c r="S169" s="10">
        <f>'[1]links-p0'!N168</f>
        <v>1670.777409730011</v>
      </c>
      <c r="T169" s="7">
        <f>'[1]links-p0'!P168</f>
        <v>0</v>
      </c>
      <c r="U169" s="4">
        <f t="shared" si="12"/>
        <v>1670.777409730011</v>
      </c>
      <c r="W169" s="4">
        <v>167</v>
      </c>
      <c r="X169" s="4">
        <v>-1517.77579117</v>
      </c>
      <c r="Z169" s="4">
        <f>'[1]links-p0'!Y168</f>
        <v>1517.8</v>
      </c>
      <c r="AA169" s="4">
        <f t="shared" si="13"/>
        <v>-1517.8</v>
      </c>
    </row>
    <row r="170" spans="2:27" x14ac:dyDescent="0.35">
      <c r="B170" s="10">
        <f t="shared" si="14"/>
        <v>168</v>
      </c>
      <c r="C170" s="7">
        <v>5000</v>
      </c>
      <c r="D170" s="2"/>
      <c r="E170" s="4">
        <f>'[1]links-p0'!Q169</f>
        <v>5000</v>
      </c>
      <c r="F170" s="4">
        <f>'[1]links-p0'!R169</f>
        <v>0</v>
      </c>
      <c r="G170" s="11">
        <f t="shared" si="10"/>
        <v>5000</v>
      </c>
      <c r="I170" s="12">
        <v>168</v>
      </c>
      <c r="J170" s="7">
        <v>0</v>
      </c>
      <c r="L170" s="10">
        <f>'[1]links-p0'!M169</f>
        <v>4200</v>
      </c>
      <c r="M170" s="7">
        <f>'[1]links-p0'!O169</f>
        <v>0</v>
      </c>
      <c r="N170" s="11">
        <f t="shared" si="11"/>
        <v>4200</v>
      </c>
      <c r="P170" s="4">
        <v>168</v>
      </c>
      <c r="Q170" s="4">
        <v>0</v>
      </c>
      <c r="S170" s="10">
        <f>'[1]links-p0'!N169</f>
        <v>1667.681246604224</v>
      </c>
      <c r="T170" s="7">
        <f>'[1]links-p0'!P169</f>
        <v>0</v>
      </c>
      <c r="U170" s="4">
        <f t="shared" si="12"/>
        <v>1667.681246604224</v>
      </c>
      <c r="W170" s="4">
        <v>168</v>
      </c>
      <c r="X170" s="4">
        <v>-1517.77579117</v>
      </c>
      <c r="Z170" s="4">
        <f>'[1]links-p0'!Y169</f>
        <v>1517.8</v>
      </c>
      <c r="AA170" s="4">
        <f t="shared" si="13"/>
        <v>-1517.8</v>
      </c>
    </row>
    <row r="171" spans="2:27" x14ac:dyDescent="0.35">
      <c r="B171" s="9"/>
      <c r="C171" s="2"/>
      <c r="D171" s="2"/>
      <c r="I171" s="9"/>
      <c r="J171" s="2"/>
      <c r="L171" s="9"/>
      <c r="M171" s="2"/>
      <c r="N171" s="9"/>
      <c r="S171" s="9"/>
      <c r="T171" s="2"/>
      <c r="U171" s="9"/>
    </row>
    <row r="172" spans="2:27" x14ac:dyDescent="0.35">
      <c r="B172" s="9"/>
      <c r="C172" s="2"/>
      <c r="D172" s="2"/>
      <c r="I172" s="9"/>
      <c r="J172" s="2"/>
      <c r="L172" s="9"/>
      <c r="M172" s="2"/>
      <c r="N172" s="9"/>
      <c r="S172" s="9"/>
      <c r="T172" s="2"/>
      <c r="U172" s="9"/>
    </row>
    <row r="173" spans="2:27" x14ac:dyDescent="0.35">
      <c r="B173" s="9"/>
      <c r="C173" s="2"/>
      <c r="D173" s="2"/>
      <c r="I173" s="9"/>
      <c r="J173" s="2"/>
      <c r="L173" s="9"/>
      <c r="M173" s="2"/>
      <c r="N173" s="9"/>
      <c r="S173" s="9"/>
      <c r="T173" s="2"/>
      <c r="U173" s="9"/>
    </row>
    <row r="174" spans="2:27" x14ac:dyDescent="0.35">
      <c r="B174" s="9"/>
      <c r="C174" s="2"/>
      <c r="D174" s="2"/>
      <c r="I174" s="9"/>
      <c r="J174" s="2"/>
      <c r="L174" s="9"/>
      <c r="M174" s="2"/>
      <c r="N174" s="9"/>
      <c r="S174" s="9"/>
      <c r="T174" s="2"/>
      <c r="U174" s="9"/>
    </row>
    <row r="175" spans="2:27" x14ac:dyDescent="0.35">
      <c r="B175" s="9"/>
      <c r="C175" s="2"/>
      <c r="D175" s="2"/>
      <c r="I175" s="9"/>
      <c r="J175" s="2"/>
      <c r="L175" s="9"/>
      <c r="M175" s="2"/>
      <c r="N175" s="9"/>
      <c r="S175" s="9"/>
      <c r="T175" s="2"/>
      <c r="U175" s="9"/>
    </row>
    <row r="176" spans="2:27" x14ac:dyDescent="0.35">
      <c r="B176" s="9"/>
      <c r="C176" s="2"/>
      <c r="D176" s="2"/>
      <c r="I176" s="9"/>
      <c r="J176" s="2"/>
      <c r="L176" s="9"/>
      <c r="M176" s="2"/>
      <c r="N176" s="9"/>
      <c r="S176" s="9"/>
      <c r="T176" s="2"/>
      <c r="U176" s="9"/>
    </row>
    <row r="177" spans="2:21" x14ac:dyDescent="0.35">
      <c r="B177" s="9"/>
      <c r="C177" s="2"/>
      <c r="D177" s="2"/>
      <c r="I177" s="9"/>
      <c r="J177" s="2"/>
      <c r="L177" s="9"/>
      <c r="M177" s="2"/>
      <c r="N177" s="9"/>
      <c r="S177" s="9"/>
      <c r="T177" s="2"/>
      <c r="U177" s="9"/>
    </row>
    <row r="178" spans="2:21" x14ac:dyDescent="0.35">
      <c r="B178" s="9"/>
      <c r="C178" s="2"/>
      <c r="D178" s="2"/>
      <c r="I178" s="9"/>
      <c r="J178" s="2"/>
      <c r="L178" s="9"/>
      <c r="M178" s="2"/>
      <c r="N178" s="9"/>
      <c r="S178" s="9"/>
      <c r="T178" s="2"/>
      <c r="U178" s="9"/>
    </row>
    <row r="179" spans="2:21" x14ac:dyDescent="0.35">
      <c r="B179" s="9"/>
      <c r="C179" s="2"/>
      <c r="D179" s="2"/>
      <c r="I179" s="9"/>
      <c r="J179" s="2"/>
      <c r="L179" s="9"/>
      <c r="M179" s="2"/>
      <c r="N179" s="9"/>
      <c r="S179" s="9"/>
      <c r="T179" s="2"/>
      <c r="U179" s="9"/>
    </row>
    <row r="180" spans="2:21" x14ac:dyDescent="0.35">
      <c r="B180" s="9"/>
      <c r="C180" s="2"/>
      <c r="D180" s="2"/>
      <c r="I180" s="9"/>
      <c r="J180" s="2"/>
      <c r="L180" s="9"/>
      <c r="M180" s="2"/>
      <c r="N180" s="9"/>
      <c r="S180" s="9"/>
      <c r="T180" s="2"/>
      <c r="U180" s="9"/>
    </row>
    <row r="181" spans="2:21" x14ac:dyDescent="0.35">
      <c r="B181" s="9"/>
      <c r="C181" s="2"/>
      <c r="D181" s="2"/>
      <c r="I181" s="9"/>
      <c r="J181" s="2"/>
      <c r="L181" s="9"/>
      <c r="M181" s="2"/>
      <c r="N181" s="9"/>
      <c r="S181" s="9"/>
      <c r="T181" s="2"/>
      <c r="U181" s="9"/>
    </row>
    <row r="182" spans="2:21" x14ac:dyDescent="0.35">
      <c r="B182" s="9"/>
      <c r="C182" s="2"/>
      <c r="D182" s="2"/>
      <c r="I182" s="9"/>
      <c r="J182" s="2"/>
      <c r="L182" s="9"/>
      <c r="M182" s="2"/>
      <c r="N182" s="9"/>
      <c r="S182" s="9"/>
      <c r="T182" s="2"/>
      <c r="U182" s="9"/>
    </row>
    <row r="183" spans="2:21" x14ac:dyDescent="0.35">
      <c r="B183" s="9"/>
      <c r="C183" s="2"/>
      <c r="D183" s="2"/>
      <c r="I183" s="9"/>
      <c r="J183" s="2"/>
      <c r="L183" s="9"/>
      <c r="M183" s="2"/>
      <c r="N183" s="9"/>
      <c r="S183" s="9"/>
      <c r="T183" s="2"/>
      <c r="U183" s="9"/>
    </row>
    <row r="184" spans="2:21" x14ac:dyDescent="0.35">
      <c r="B184" s="9"/>
      <c r="C184" s="2"/>
      <c r="D184" s="2"/>
      <c r="I184" s="9"/>
      <c r="J184" s="2"/>
      <c r="L184" s="9"/>
      <c r="M184" s="2"/>
      <c r="N184" s="9"/>
      <c r="S184" s="9"/>
      <c r="T184" s="2"/>
      <c r="U184" s="9"/>
    </row>
    <row r="185" spans="2:21" x14ac:dyDescent="0.35">
      <c r="B185" s="9"/>
      <c r="C185" s="2"/>
      <c r="D185" s="2"/>
      <c r="I185" s="9"/>
      <c r="J185" s="2"/>
      <c r="L185" s="9"/>
      <c r="M185" s="2"/>
      <c r="N185" s="9"/>
      <c r="S185" s="9"/>
      <c r="T185" s="2"/>
      <c r="U185" s="9"/>
    </row>
    <row r="186" spans="2:21" x14ac:dyDescent="0.35">
      <c r="B186" s="9"/>
      <c r="C186" s="2"/>
      <c r="D186" s="2"/>
      <c r="I186" s="9"/>
      <c r="J186" s="2"/>
      <c r="L186" s="9"/>
      <c r="M186" s="2"/>
      <c r="N186" s="9"/>
      <c r="S186" s="9"/>
      <c r="T186" s="2"/>
      <c r="U186" s="9"/>
    </row>
    <row r="187" spans="2:21" x14ac:dyDescent="0.35">
      <c r="B187" s="9"/>
      <c r="C187" s="2"/>
      <c r="D187" s="2"/>
      <c r="I187" s="9"/>
      <c r="J187" s="2"/>
      <c r="L187" s="9"/>
      <c r="M187" s="2"/>
      <c r="N187" s="9"/>
      <c r="S187" s="9"/>
      <c r="T187" s="2"/>
      <c r="U187" s="9"/>
    </row>
    <row r="188" spans="2:21" x14ac:dyDescent="0.35">
      <c r="B188" s="9"/>
      <c r="C188" s="2"/>
      <c r="D188" s="2"/>
      <c r="I188" s="9"/>
      <c r="J188" s="2"/>
      <c r="L188" s="9"/>
      <c r="M188" s="2"/>
      <c r="N188" s="9"/>
      <c r="S188" s="9"/>
      <c r="T188" s="2"/>
      <c r="U188" s="9"/>
    </row>
    <row r="189" spans="2:21" x14ac:dyDescent="0.35">
      <c r="B189" s="9"/>
      <c r="C189" s="2"/>
      <c r="D189" s="2"/>
      <c r="I189" s="9"/>
      <c r="J189" s="2"/>
      <c r="L189" s="9"/>
      <c r="M189" s="2"/>
      <c r="N189" s="9"/>
      <c r="S189" s="9"/>
      <c r="T189" s="2"/>
      <c r="U189" s="9"/>
    </row>
    <row r="190" spans="2:21" x14ac:dyDescent="0.35">
      <c r="B190" s="9"/>
      <c r="C190" s="2"/>
      <c r="D190" s="2"/>
      <c r="I190" s="9"/>
      <c r="J190" s="2"/>
      <c r="L190" s="9"/>
      <c r="M190" s="2"/>
      <c r="N190" s="9"/>
      <c r="S190" s="9"/>
      <c r="T190" s="2"/>
      <c r="U190" s="9"/>
    </row>
    <row r="191" spans="2:21" x14ac:dyDescent="0.35">
      <c r="B191" s="9"/>
      <c r="C191" s="2"/>
      <c r="D191" s="2"/>
      <c r="I191" s="9"/>
      <c r="J191" s="2"/>
      <c r="L191" s="9"/>
      <c r="M191" s="2"/>
      <c r="N191" s="9"/>
      <c r="S191" s="9"/>
      <c r="T191" s="2"/>
      <c r="U191" s="9"/>
    </row>
    <row r="192" spans="2:21" x14ac:dyDescent="0.35">
      <c r="B192" s="9"/>
      <c r="C192" s="2"/>
      <c r="D192" s="2"/>
      <c r="I192" s="9"/>
      <c r="J192" s="2"/>
      <c r="L192" s="9"/>
      <c r="M192" s="2"/>
      <c r="N192" s="9"/>
      <c r="S192" s="9"/>
      <c r="T192" s="2"/>
      <c r="U192" s="9"/>
    </row>
    <row r="193" spans="2:21" x14ac:dyDescent="0.35">
      <c r="B193" s="9"/>
      <c r="C193" s="2"/>
      <c r="D193" s="2"/>
      <c r="I193" s="9"/>
      <c r="J193" s="2"/>
      <c r="L193" s="9"/>
      <c r="M193" s="2"/>
      <c r="N193" s="9"/>
      <c r="S193" s="9"/>
      <c r="T193" s="2"/>
      <c r="U193" s="9"/>
    </row>
    <row r="194" spans="2:21" x14ac:dyDescent="0.35">
      <c r="B194" s="9"/>
      <c r="C194" s="2"/>
      <c r="D194" s="2"/>
      <c r="I194" s="9"/>
      <c r="J194" s="2"/>
      <c r="L194" s="9"/>
      <c r="M194" s="2"/>
      <c r="N194" s="9"/>
      <c r="S194" s="9"/>
      <c r="T194" s="2"/>
      <c r="U194" s="9"/>
    </row>
    <row r="195" spans="2:21" x14ac:dyDescent="0.35">
      <c r="B195" s="9"/>
      <c r="C195" s="2"/>
      <c r="D195" s="2"/>
      <c r="I195" s="9"/>
      <c r="J195" s="2"/>
      <c r="L195" s="9"/>
      <c r="M195" s="2"/>
      <c r="N195" s="9"/>
      <c r="S195" s="9"/>
      <c r="T195" s="2"/>
      <c r="U195" s="9"/>
    </row>
    <row r="196" spans="2:21" x14ac:dyDescent="0.35">
      <c r="B196" s="9"/>
      <c r="C196" s="2"/>
      <c r="D196" s="2"/>
      <c r="I196" s="9"/>
      <c r="J196" s="2"/>
      <c r="L196" s="9"/>
      <c r="M196" s="2"/>
      <c r="N196" s="9"/>
      <c r="S196" s="9"/>
      <c r="T196" s="2"/>
      <c r="U196" s="9"/>
    </row>
    <row r="197" spans="2:21" x14ac:dyDescent="0.35">
      <c r="B197" s="9"/>
      <c r="C197" s="2"/>
      <c r="D197" s="2"/>
      <c r="I197" s="9"/>
      <c r="J197" s="2"/>
      <c r="L197" s="9"/>
      <c r="M197" s="2"/>
      <c r="N197" s="9"/>
      <c r="S197" s="9"/>
      <c r="T197" s="2"/>
      <c r="U197" s="9"/>
    </row>
    <row r="198" spans="2:21" x14ac:dyDescent="0.35">
      <c r="B198" s="9"/>
      <c r="C198" s="2"/>
      <c r="D198" s="2"/>
      <c r="I198" s="9"/>
      <c r="J198" s="2"/>
      <c r="L198" s="9"/>
      <c r="M198" s="2"/>
      <c r="N198" s="9"/>
      <c r="S198" s="9"/>
      <c r="T198" s="2"/>
      <c r="U198" s="9"/>
    </row>
    <row r="199" spans="2:21" x14ac:dyDescent="0.35">
      <c r="B199" s="9"/>
      <c r="C199" s="2"/>
      <c r="D199" s="2"/>
      <c r="I199" s="9"/>
      <c r="J199" s="2"/>
      <c r="L199" s="9"/>
      <c r="M199" s="2"/>
      <c r="N199" s="9"/>
      <c r="S199" s="9"/>
      <c r="T199" s="2"/>
      <c r="U199" s="9"/>
    </row>
    <row r="200" spans="2:21" x14ac:dyDescent="0.35">
      <c r="B200" s="9"/>
      <c r="C200" s="2"/>
      <c r="D200" s="2"/>
      <c r="I200" s="9"/>
      <c r="J200" s="2"/>
      <c r="L200" s="9"/>
      <c r="M200" s="2"/>
      <c r="N200" s="9"/>
      <c r="S200" s="9"/>
      <c r="T200" s="2"/>
      <c r="U200" s="9"/>
    </row>
    <row r="201" spans="2:21" x14ac:dyDescent="0.35">
      <c r="B201" s="9"/>
      <c r="C201" s="2"/>
      <c r="D201" s="2"/>
      <c r="I201" s="9"/>
      <c r="J201" s="2"/>
      <c r="L201" s="9"/>
      <c r="M201" s="2"/>
      <c r="N201" s="9"/>
      <c r="S201" s="9"/>
      <c r="T201" s="2"/>
      <c r="U201" s="9"/>
    </row>
    <row r="202" spans="2:21" x14ac:dyDescent="0.35">
      <c r="B202" s="9"/>
      <c r="C202" s="2"/>
      <c r="D202" s="2"/>
      <c r="I202" s="9"/>
      <c r="J202" s="2"/>
      <c r="L202" s="9"/>
      <c r="M202" s="2"/>
      <c r="N202" s="9"/>
      <c r="S202" s="9"/>
      <c r="T202" s="2"/>
      <c r="U202" s="9"/>
    </row>
    <row r="203" spans="2:21" x14ac:dyDescent="0.35">
      <c r="B203" s="9"/>
      <c r="C203" s="2"/>
      <c r="D203" s="2"/>
      <c r="I203" s="9"/>
      <c r="J203" s="2"/>
      <c r="L203" s="9"/>
      <c r="M203" s="2"/>
      <c r="N203" s="9"/>
      <c r="S203" s="9"/>
      <c r="T203" s="2"/>
      <c r="U203" s="9"/>
    </row>
    <row r="204" spans="2:21" x14ac:dyDescent="0.35">
      <c r="B204" s="9"/>
      <c r="C204" s="2"/>
      <c r="D204" s="2"/>
      <c r="I204" s="9"/>
      <c r="J204" s="2"/>
      <c r="L204" s="9"/>
      <c r="M204" s="2"/>
      <c r="N204" s="9"/>
      <c r="S204" s="9"/>
      <c r="T204" s="2"/>
      <c r="U204" s="9"/>
    </row>
    <row r="205" spans="2:21" x14ac:dyDescent="0.35">
      <c r="B205" s="9"/>
      <c r="C205" s="2"/>
      <c r="D205" s="2"/>
      <c r="I205" s="9"/>
      <c r="J205" s="2"/>
      <c r="L205" s="9"/>
      <c r="M205" s="2"/>
      <c r="N205" s="9"/>
      <c r="S205" s="9"/>
      <c r="T205" s="2"/>
      <c r="U205" s="9"/>
    </row>
    <row r="206" spans="2:21" x14ac:dyDescent="0.35">
      <c r="B206" s="9"/>
      <c r="C206" s="2"/>
      <c r="D206" s="2"/>
      <c r="I206" s="9"/>
      <c r="J206" s="2"/>
      <c r="L206" s="9"/>
      <c r="M206" s="2"/>
      <c r="N206" s="9"/>
      <c r="S206" s="9"/>
      <c r="T206" s="2"/>
      <c r="U206" s="9"/>
    </row>
    <row r="207" spans="2:21" x14ac:dyDescent="0.35">
      <c r="B207" s="9"/>
      <c r="C207" s="2"/>
      <c r="D207" s="2"/>
      <c r="I207" s="9"/>
      <c r="J207" s="2"/>
      <c r="L207" s="9"/>
      <c r="M207" s="2"/>
      <c r="N207" s="9"/>
      <c r="S207" s="9"/>
      <c r="T207" s="2"/>
      <c r="U207" s="9"/>
    </row>
    <row r="208" spans="2:21" x14ac:dyDescent="0.35">
      <c r="B208" s="9"/>
      <c r="C208" s="2"/>
      <c r="D208" s="2"/>
      <c r="I208" s="9"/>
      <c r="J208" s="2"/>
      <c r="L208" s="9"/>
      <c r="M208" s="2"/>
      <c r="N208" s="9"/>
      <c r="S208" s="9"/>
      <c r="T208" s="2"/>
      <c r="U208" s="9"/>
    </row>
    <row r="209" spans="2:21" x14ac:dyDescent="0.35">
      <c r="B209" s="9"/>
      <c r="C209" s="2"/>
      <c r="D209" s="2"/>
      <c r="I209" s="9"/>
      <c r="J209" s="2"/>
      <c r="L209" s="9"/>
      <c r="M209" s="2"/>
      <c r="N209" s="9"/>
      <c r="S209" s="9"/>
      <c r="T209" s="2"/>
      <c r="U209" s="9"/>
    </row>
    <row r="210" spans="2:21" x14ac:dyDescent="0.35">
      <c r="B210" s="9"/>
      <c r="C210" s="2"/>
      <c r="D210" s="2"/>
      <c r="I210" s="9"/>
      <c r="J210" s="2"/>
      <c r="L210" s="9"/>
      <c r="M210" s="2"/>
      <c r="N210" s="9"/>
      <c r="S210" s="9"/>
      <c r="T210" s="2"/>
      <c r="U210" s="9"/>
    </row>
    <row r="211" spans="2:21" x14ac:dyDescent="0.35">
      <c r="B211" s="9"/>
      <c r="C211" s="2"/>
      <c r="D211" s="2"/>
      <c r="I211" s="9"/>
      <c r="J211" s="2"/>
      <c r="L211" s="9"/>
      <c r="M211" s="2"/>
      <c r="N211" s="9"/>
      <c r="S211" s="9"/>
      <c r="T211" s="2"/>
      <c r="U211" s="9"/>
    </row>
    <row r="212" spans="2:21" x14ac:dyDescent="0.35">
      <c r="B212" s="9"/>
      <c r="C212" s="2"/>
      <c r="D212" s="2"/>
      <c r="I212" s="9"/>
      <c r="J212" s="2"/>
      <c r="L212" s="9"/>
      <c r="M212" s="2"/>
      <c r="N212" s="9"/>
      <c r="S212" s="9"/>
      <c r="T212" s="2"/>
      <c r="U212" s="9"/>
    </row>
    <row r="213" spans="2:21" x14ac:dyDescent="0.35">
      <c r="B213" s="9"/>
      <c r="C213" s="2"/>
      <c r="D213" s="2"/>
      <c r="I213" s="9"/>
      <c r="J213" s="2"/>
      <c r="L213" s="9"/>
      <c r="M213" s="2"/>
      <c r="N213" s="9"/>
      <c r="S213" s="9"/>
      <c r="T213" s="2"/>
      <c r="U213" s="9"/>
    </row>
    <row r="214" spans="2:21" x14ac:dyDescent="0.35">
      <c r="B214" s="9"/>
      <c r="C214" s="2"/>
      <c r="D214" s="2"/>
      <c r="I214" s="9"/>
      <c r="J214" s="2"/>
      <c r="L214" s="9"/>
      <c r="M214" s="2"/>
      <c r="N214" s="9"/>
      <c r="S214" s="9"/>
      <c r="T214" s="2"/>
      <c r="U214" s="9"/>
    </row>
    <row r="215" spans="2:21" x14ac:dyDescent="0.35">
      <c r="B215" s="9"/>
      <c r="C215" s="2"/>
      <c r="D215" s="2"/>
      <c r="I215" s="9"/>
      <c r="J215" s="2"/>
      <c r="L215" s="9"/>
      <c r="M215" s="2"/>
      <c r="N215" s="9"/>
      <c r="S215" s="9"/>
      <c r="T215" s="2"/>
      <c r="U215" s="9"/>
    </row>
    <row r="216" spans="2:21" x14ac:dyDescent="0.35">
      <c r="B216" s="9"/>
      <c r="C216" s="2"/>
      <c r="D216" s="2"/>
      <c r="I216" s="9"/>
      <c r="J216" s="2"/>
      <c r="L216" s="9"/>
      <c r="M216" s="2"/>
      <c r="N216" s="9"/>
      <c r="S216" s="9"/>
      <c r="T216" s="2"/>
      <c r="U216" s="9"/>
    </row>
    <row r="217" spans="2:21" x14ac:dyDescent="0.35">
      <c r="B217" s="9"/>
      <c r="C217" s="2"/>
      <c r="D217" s="2"/>
      <c r="I217" s="9"/>
      <c r="J217" s="2"/>
      <c r="L217" s="9"/>
      <c r="M217" s="2"/>
      <c r="N217" s="9"/>
      <c r="S217" s="9"/>
      <c r="T217" s="2"/>
      <c r="U217" s="9"/>
    </row>
    <row r="218" spans="2:21" x14ac:dyDescent="0.35">
      <c r="B218" s="9"/>
      <c r="C218" s="2"/>
      <c r="D218" s="2"/>
      <c r="I218" s="9"/>
      <c r="J218" s="2"/>
      <c r="L218" s="9"/>
      <c r="M218" s="2"/>
      <c r="N218" s="9"/>
      <c r="S218" s="9"/>
      <c r="T218" s="2"/>
      <c r="U218" s="9"/>
    </row>
    <row r="219" spans="2:21" x14ac:dyDescent="0.35">
      <c r="B219" s="9"/>
      <c r="C219" s="2"/>
      <c r="D219" s="2"/>
      <c r="I219" s="9"/>
      <c r="J219" s="2"/>
      <c r="L219" s="9"/>
      <c r="M219" s="2"/>
      <c r="N219" s="9"/>
      <c r="S219" s="9"/>
      <c r="T219" s="2"/>
      <c r="U219" s="9"/>
    </row>
    <row r="220" spans="2:21" x14ac:dyDescent="0.35">
      <c r="B220" s="9"/>
      <c r="C220" s="2"/>
      <c r="D220" s="2"/>
      <c r="I220" s="9"/>
      <c r="J220" s="2"/>
      <c r="L220" s="9"/>
      <c r="M220" s="2"/>
      <c r="N220" s="9"/>
      <c r="S220" s="9"/>
      <c r="T220" s="2"/>
      <c r="U220" s="9"/>
    </row>
    <row r="221" spans="2:21" x14ac:dyDescent="0.35">
      <c r="B221" s="9"/>
      <c r="C221" s="2"/>
      <c r="D221" s="2"/>
      <c r="I221" s="9"/>
      <c r="J221" s="2"/>
      <c r="L221" s="9"/>
      <c r="M221" s="2"/>
      <c r="N221" s="9"/>
      <c r="S221" s="9"/>
      <c r="T221" s="2"/>
      <c r="U221" s="9"/>
    </row>
    <row r="222" spans="2:21" x14ac:dyDescent="0.35">
      <c r="B222" s="9"/>
      <c r="C222" s="2"/>
      <c r="D222" s="2"/>
      <c r="I222" s="9"/>
      <c r="J222" s="2"/>
      <c r="L222" s="9"/>
      <c r="M222" s="2"/>
      <c r="N222" s="9"/>
      <c r="S222" s="9"/>
      <c r="T222" s="2"/>
      <c r="U222" s="9"/>
    </row>
    <row r="223" spans="2:21" x14ac:dyDescent="0.35">
      <c r="B223" s="9"/>
      <c r="C223" s="2"/>
      <c r="D223" s="2"/>
      <c r="I223" s="9"/>
      <c r="J223" s="2"/>
      <c r="L223" s="9"/>
      <c r="M223" s="2"/>
      <c r="N223" s="9"/>
      <c r="S223" s="9"/>
      <c r="T223" s="2"/>
      <c r="U223" s="9"/>
    </row>
    <row r="224" spans="2:21" x14ac:dyDescent="0.35">
      <c r="B224" s="9"/>
      <c r="C224" s="2"/>
      <c r="D224" s="2"/>
      <c r="I224" s="9"/>
      <c r="J224" s="2"/>
      <c r="L224" s="9"/>
      <c r="M224" s="2"/>
      <c r="N224" s="9"/>
      <c r="S224" s="9"/>
      <c r="T224" s="2"/>
      <c r="U224" s="9"/>
    </row>
    <row r="225" spans="2:21" x14ac:dyDescent="0.35">
      <c r="B225" s="9"/>
      <c r="C225" s="2"/>
      <c r="D225" s="2"/>
      <c r="I225" s="9"/>
      <c r="J225" s="2"/>
      <c r="L225" s="9"/>
      <c r="M225" s="2"/>
      <c r="N225" s="9"/>
      <c r="S225" s="9"/>
      <c r="T225" s="2"/>
      <c r="U225" s="9"/>
    </row>
    <row r="226" spans="2:21" x14ac:dyDescent="0.35">
      <c r="B226" s="9"/>
      <c r="C226" s="2"/>
      <c r="D226" s="2"/>
      <c r="I226" s="9"/>
      <c r="J226" s="2"/>
      <c r="L226" s="9"/>
      <c r="M226" s="2"/>
      <c r="N226" s="9"/>
      <c r="S226" s="9"/>
      <c r="T226" s="2"/>
      <c r="U226" s="9"/>
    </row>
    <row r="227" spans="2:21" x14ac:dyDescent="0.35">
      <c r="B227" s="9"/>
      <c r="C227" s="2"/>
      <c r="D227" s="2"/>
      <c r="I227" s="9"/>
      <c r="J227" s="2"/>
      <c r="L227" s="9"/>
      <c r="M227" s="2"/>
      <c r="N227" s="9"/>
      <c r="S227" s="9"/>
      <c r="T227" s="2"/>
      <c r="U227" s="9"/>
    </row>
    <row r="228" spans="2:21" x14ac:dyDescent="0.35">
      <c r="B228" s="9"/>
      <c r="C228" s="2"/>
      <c r="D228" s="2"/>
      <c r="I228" s="9"/>
      <c r="J228" s="2"/>
      <c r="L228" s="9"/>
      <c r="M228" s="2"/>
      <c r="N228" s="9"/>
      <c r="S228" s="9"/>
      <c r="T228" s="2"/>
      <c r="U228" s="9"/>
    </row>
    <row r="229" spans="2:21" x14ac:dyDescent="0.35">
      <c r="B229" s="9"/>
      <c r="C229" s="2"/>
      <c r="D229" s="2"/>
      <c r="I229" s="9"/>
      <c r="J229" s="2"/>
      <c r="L229" s="9"/>
      <c r="M229" s="2"/>
      <c r="N229" s="9"/>
      <c r="S229" s="9"/>
      <c r="T229" s="2"/>
      <c r="U229" s="9"/>
    </row>
    <row r="230" spans="2:21" x14ac:dyDescent="0.35">
      <c r="B230" s="9"/>
      <c r="C230" s="2"/>
      <c r="D230" s="2"/>
      <c r="I230" s="9"/>
      <c r="J230" s="2"/>
      <c r="L230" s="9"/>
      <c r="M230" s="2"/>
      <c r="N230" s="9"/>
      <c r="S230" s="9"/>
      <c r="T230" s="2"/>
      <c r="U230" s="9"/>
    </row>
    <row r="231" spans="2:21" x14ac:dyDescent="0.35">
      <c r="B231" s="9"/>
      <c r="C231" s="2"/>
      <c r="D231" s="2"/>
      <c r="I231" s="9"/>
      <c r="J231" s="2"/>
      <c r="L231" s="9"/>
      <c r="M231" s="2"/>
      <c r="N231" s="9"/>
      <c r="S231" s="9"/>
      <c r="T231" s="2"/>
      <c r="U231" s="9"/>
    </row>
    <row r="232" spans="2:21" x14ac:dyDescent="0.35">
      <c r="B232" s="9"/>
      <c r="C232" s="2"/>
      <c r="D232" s="2"/>
      <c r="I232" s="9"/>
      <c r="J232" s="2"/>
      <c r="L232" s="9"/>
      <c r="M232" s="2"/>
      <c r="N232" s="9"/>
      <c r="S232" s="9"/>
      <c r="T232" s="2"/>
      <c r="U232" s="9"/>
    </row>
    <row r="233" spans="2:21" x14ac:dyDescent="0.35">
      <c r="B233" s="9"/>
      <c r="C233" s="2"/>
      <c r="D233" s="2"/>
      <c r="I233" s="9"/>
      <c r="J233" s="2"/>
      <c r="L233" s="9"/>
      <c r="M233" s="2"/>
      <c r="N233" s="9"/>
      <c r="S233" s="9"/>
      <c r="T233" s="2"/>
      <c r="U233" s="9"/>
    </row>
    <row r="234" spans="2:21" x14ac:dyDescent="0.35">
      <c r="B234" s="9"/>
      <c r="C234" s="2"/>
      <c r="D234" s="2"/>
      <c r="I234" s="9"/>
      <c r="J234" s="2"/>
      <c r="L234" s="9"/>
      <c r="M234" s="2"/>
      <c r="N234" s="9"/>
      <c r="S234" s="9"/>
      <c r="T234" s="2"/>
      <c r="U234" s="9"/>
    </row>
    <row r="235" spans="2:21" x14ac:dyDescent="0.35">
      <c r="B235" s="9"/>
      <c r="C235" s="2"/>
      <c r="D235" s="2"/>
      <c r="I235" s="9"/>
      <c r="J235" s="2"/>
      <c r="L235" s="9"/>
      <c r="M235" s="2"/>
      <c r="N235" s="9"/>
      <c r="S235" s="9"/>
      <c r="T235" s="2"/>
      <c r="U235" s="9"/>
    </row>
    <row r="236" spans="2:21" x14ac:dyDescent="0.35">
      <c r="B236" s="9"/>
      <c r="C236" s="2"/>
      <c r="D236" s="2"/>
      <c r="I236" s="9"/>
      <c r="J236" s="2"/>
      <c r="L236" s="9"/>
      <c r="M236" s="2"/>
      <c r="N236" s="9"/>
      <c r="S236" s="9"/>
      <c r="T236" s="2"/>
      <c r="U236" s="9"/>
    </row>
    <row r="237" spans="2:21" x14ac:dyDescent="0.35">
      <c r="B237" s="9"/>
      <c r="C237" s="2"/>
      <c r="D237" s="2"/>
      <c r="I237" s="9"/>
      <c r="J237" s="2"/>
      <c r="L237" s="9"/>
      <c r="M237" s="2"/>
      <c r="N237" s="9"/>
      <c r="S237" s="9"/>
      <c r="T237" s="2"/>
      <c r="U237" s="9"/>
    </row>
    <row r="238" spans="2:21" x14ac:dyDescent="0.35">
      <c r="B238" s="9"/>
      <c r="C238" s="2"/>
      <c r="D238" s="2"/>
      <c r="I238" s="9"/>
      <c r="J238" s="2"/>
      <c r="L238" s="9"/>
      <c r="M238" s="2"/>
      <c r="N238" s="9"/>
      <c r="S238" s="9"/>
      <c r="T238" s="2"/>
      <c r="U238" s="9"/>
    </row>
    <row r="239" spans="2:21" x14ac:dyDescent="0.35">
      <c r="B239" s="9"/>
      <c r="C239" s="2"/>
      <c r="D239" s="2"/>
      <c r="I239" s="9"/>
      <c r="J239" s="2"/>
      <c r="L239" s="9"/>
      <c r="M239" s="2"/>
      <c r="N239" s="9"/>
      <c r="S239" s="9"/>
      <c r="T239" s="2"/>
      <c r="U239" s="9"/>
    </row>
    <row r="240" spans="2:21" x14ac:dyDescent="0.35">
      <c r="B240" s="9"/>
      <c r="C240" s="2"/>
      <c r="D240" s="2"/>
      <c r="I240" s="9"/>
      <c r="J240" s="2"/>
      <c r="L240" s="9"/>
      <c r="M240" s="2"/>
      <c r="N240" s="9"/>
      <c r="S240" s="9"/>
      <c r="T240" s="2"/>
      <c r="U240" s="9"/>
    </row>
    <row r="241" spans="2:21" x14ac:dyDescent="0.35">
      <c r="B241" s="9"/>
      <c r="C241" s="2"/>
      <c r="D241" s="2"/>
      <c r="I241" s="9"/>
      <c r="J241" s="2"/>
      <c r="L241" s="9"/>
      <c r="M241" s="2"/>
      <c r="N241" s="9"/>
      <c r="P241" s="3">
        <v>-1998.9288746499999</v>
      </c>
      <c r="S241" s="9"/>
      <c r="T241" s="2"/>
      <c r="U241" s="9"/>
    </row>
    <row r="242" spans="2:21" x14ac:dyDescent="0.35">
      <c r="B242" s="9"/>
      <c r="C242" s="2"/>
      <c r="D242" s="2"/>
      <c r="I242" s="9"/>
      <c r="J242" s="2"/>
      <c r="L242" s="9"/>
      <c r="M242" s="2"/>
      <c r="N242" s="9"/>
      <c r="P242" s="3">
        <v>-2382.35108515</v>
      </c>
      <c r="S242" s="9"/>
      <c r="T242" s="2"/>
      <c r="U242" s="9"/>
    </row>
    <row r="243" spans="2:21" x14ac:dyDescent="0.35">
      <c r="B243" s="9"/>
      <c r="C243" s="2"/>
      <c r="D243" s="2"/>
      <c r="I243" s="9"/>
      <c r="J243" s="2"/>
      <c r="L243" s="9"/>
      <c r="M243" s="2"/>
      <c r="N243" s="9"/>
      <c r="P243" s="3">
        <v>-2673.4313555200001</v>
      </c>
      <c r="S243" s="9"/>
      <c r="T243" s="2"/>
      <c r="U243" s="9"/>
    </row>
    <row r="244" spans="2:21" x14ac:dyDescent="0.35">
      <c r="B244" s="9"/>
      <c r="C244" s="2"/>
      <c r="D244" s="2"/>
      <c r="I244" s="9"/>
      <c r="J244" s="2"/>
      <c r="L244" s="9"/>
      <c r="M244" s="2"/>
      <c r="N244" s="9"/>
      <c r="P244" s="3">
        <v>-2850.47492577</v>
      </c>
      <c r="S244" s="9"/>
      <c r="T244" s="2"/>
      <c r="U244" s="9"/>
    </row>
    <row r="245" spans="2:21" x14ac:dyDescent="0.35">
      <c r="B245" s="9"/>
      <c r="C245" s="2"/>
      <c r="D245" s="2"/>
      <c r="I245" s="9"/>
      <c r="J245" s="2"/>
      <c r="L245" s="9"/>
      <c r="M245" s="2"/>
      <c r="N245" s="9"/>
      <c r="P245" s="3">
        <v>-2860.169492</v>
      </c>
      <c r="S245" s="9"/>
      <c r="T245" s="2"/>
      <c r="U245" s="9"/>
    </row>
    <row r="246" spans="2:21" x14ac:dyDescent="0.35">
      <c r="B246" s="9"/>
      <c r="C246" s="2"/>
      <c r="D246" s="2"/>
      <c r="I246" s="9"/>
      <c r="J246" s="2"/>
      <c r="L246" s="9"/>
      <c r="M246" s="2"/>
      <c r="N246" s="9"/>
      <c r="P246" s="3">
        <v>-2425.4094919999998</v>
      </c>
      <c r="S246" s="9"/>
      <c r="T246" s="2"/>
      <c r="U246" s="9"/>
    </row>
    <row r="247" spans="2:21" x14ac:dyDescent="0.35">
      <c r="B247" s="9"/>
      <c r="C247" s="2"/>
      <c r="D247" s="2"/>
      <c r="I247" s="9"/>
      <c r="J247" s="2"/>
      <c r="L247" s="9"/>
      <c r="M247" s="2"/>
      <c r="N247" s="9"/>
      <c r="P247" s="3">
        <v>-1990.649492</v>
      </c>
      <c r="S247" s="9"/>
      <c r="T247" s="2"/>
      <c r="U247" s="9"/>
    </row>
    <row r="248" spans="2:21" x14ac:dyDescent="0.35">
      <c r="B248" s="9"/>
      <c r="C248" s="2"/>
      <c r="D248" s="2"/>
      <c r="I248" s="9"/>
      <c r="J248" s="2"/>
      <c r="L248" s="9"/>
      <c r="M248" s="2"/>
      <c r="N248" s="9"/>
      <c r="P248" s="3">
        <v>-1555.889492</v>
      </c>
      <c r="S248" s="9"/>
      <c r="T248" s="2"/>
      <c r="U248" s="9"/>
    </row>
    <row r="249" spans="2:21" x14ac:dyDescent="0.35">
      <c r="B249" s="9"/>
      <c r="C249" s="2"/>
      <c r="D249" s="2"/>
      <c r="I249" s="9"/>
      <c r="J249" s="2"/>
      <c r="L249" s="9"/>
      <c r="M249" s="2"/>
      <c r="N249" s="9"/>
      <c r="P249" s="3">
        <v>-1121.129492</v>
      </c>
      <c r="S249" s="9"/>
      <c r="T249" s="2"/>
      <c r="U249" s="9"/>
    </row>
    <row r="250" spans="2:21" x14ac:dyDescent="0.35">
      <c r="B250" s="9"/>
      <c r="C250" s="2"/>
      <c r="D250" s="2"/>
      <c r="I250" s="9"/>
      <c r="J250" s="2"/>
      <c r="L250" s="9"/>
      <c r="M250" s="2"/>
      <c r="N250" s="9"/>
      <c r="P250" s="3">
        <v>-686.36949200000004</v>
      </c>
      <c r="S250" s="9"/>
      <c r="T250" s="2"/>
      <c r="U250" s="9"/>
    </row>
    <row r="251" spans="2:21" x14ac:dyDescent="0.35">
      <c r="B251" s="9"/>
      <c r="C251" s="2"/>
      <c r="D251" s="2"/>
      <c r="I251" s="9"/>
      <c r="J251" s="2"/>
      <c r="L251" s="9"/>
      <c r="M251" s="2"/>
      <c r="N251" s="9"/>
      <c r="P251" s="3">
        <v>-251.60949199999999</v>
      </c>
      <c r="S251" s="9"/>
      <c r="T251" s="2"/>
      <c r="U251" s="9"/>
    </row>
    <row r="252" spans="2:21" x14ac:dyDescent="0.35">
      <c r="B252" s="9"/>
      <c r="C252" s="2"/>
      <c r="D252" s="2"/>
      <c r="I252" s="9"/>
      <c r="J252" s="2"/>
      <c r="L252" s="9"/>
      <c r="M252" s="2"/>
      <c r="N252" s="9"/>
      <c r="P252" s="3">
        <v>0</v>
      </c>
      <c r="S252" s="9"/>
      <c r="T252" s="2"/>
      <c r="U252" s="9"/>
    </row>
    <row r="253" spans="2:21" x14ac:dyDescent="0.35">
      <c r="B253" s="9"/>
      <c r="C253" s="2"/>
      <c r="D253" s="2"/>
      <c r="I253" s="9"/>
      <c r="J253" s="2"/>
      <c r="L253" s="9"/>
      <c r="M253" s="2"/>
      <c r="N253" s="9"/>
      <c r="P253" s="3">
        <v>0</v>
      </c>
      <c r="S253" s="9"/>
      <c r="T253" s="2"/>
      <c r="U253" s="9"/>
    </row>
    <row r="254" spans="2:21" x14ac:dyDescent="0.35">
      <c r="B254" s="9"/>
      <c r="C254" s="2"/>
      <c r="D254" s="2"/>
      <c r="I254" s="9"/>
      <c r="J254" s="2"/>
      <c r="L254" s="9"/>
      <c r="M254" s="2"/>
      <c r="N254" s="9"/>
      <c r="P254" s="3">
        <v>0</v>
      </c>
      <c r="S254" s="9"/>
      <c r="T254" s="2"/>
      <c r="U254" s="9"/>
    </row>
    <row r="255" spans="2:21" x14ac:dyDescent="0.35">
      <c r="B255" s="9"/>
      <c r="C255" s="2"/>
      <c r="D255" s="2"/>
      <c r="I255" s="9"/>
      <c r="J255" s="2"/>
      <c r="L255" s="9"/>
      <c r="M255" s="2"/>
      <c r="N255" s="9"/>
      <c r="P255" s="3">
        <v>0</v>
      </c>
      <c r="S255" s="9"/>
      <c r="T255" s="2"/>
      <c r="U255" s="9"/>
    </row>
    <row r="256" spans="2:21" x14ac:dyDescent="0.35">
      <c r="B256" s="9"/>
      <c r="C256" s="2"/>
      <c r="D256" s="2"/>
      <c r="I256" s="9"/>
      <c r="J256" s="2"/>
      <c r="L256" s="9"/>
      <c r="M256" s="2"/>
      <c r="N256" s="9"/>
      <c r="P256" s="3">
        <v>0</v>
      </c>
      <c r="S256" s="9"/>
      <c r="T256" s="2"/>
      <c r="U256" s="9"/>
    </row>
    <row r="257" spans="2:21" x14ac:dyDescent="0.35">
      <c r="B257" s="9"/>
      <c r="C257" s="2"/>
      <c r="D257" s="2"/>
      <c r="I257" s="9"/>
      <c r="J257" s="2"/>
      <c r="L257" s="9"/>
      <c r="M257" s="2"/>
      <c r="N257" s="9"/>
      <c r="P257" s="3">
        <v>0</v>
      </c>
      <c r="S257" s="9"/>
      <c r="T257" s="2"/>
      <c r="U257" s="9"/>
    </row>
    <row r="258" spans="2:21" x14ac:dyDescent="0.35">
      <c r="B258" s="9"/>
      <c r="C258" s="2"/>
      <c r="D258" s="2"/>
      <c r="I258" s="9"/>
      <c r="J258" s="2"/>
      <c r="L258" s="9"/>
      <c r="M258" s="2"/>
      <c r="N258" s="9"/>
      <c r="P258" s="3">
        <v>0</v>
      </c>
      <c r="S258" s="9"/>
      <c r="T258" s="2"/>
      <c r="U258" s="9"/>
    </row>
    <row r="259" spans="2:21" x14ac:dyDescent="0.35">
      <c r="B259" s="9"/>
      <c r="C259" s="2"/>
      <c r="D259" s="2"/>
      <c r="I259" s="9"/>
      <c r="J259" s="2"/>
      <c r="L259" s="9"/>
      <c r="M259" s="2"/>
      <c r="N259" s="9"/>
      <c r="P259" s="3">
        <v>0</v>
      </c>
      <c r="S259" s="9"/>
      <c r="T259" s="2"/>
      <c r="U259" s="9"/>
    </row>
    <row r="260" spans="2:21" x14ac:dyDescent="0.35">
      <c r="B260" s="9"/>
      <c r="C260" s="2"/>
      <c r="D260" s="2"/>
      <c r="I260" s="9"/>
      <c r="J260" s="2"/>
      <c r="L260" s="9"/>
      <c r="M260" s="2"/>
      <c r="N260" s="9"/>
      <c r="P260" s="3">
        <v>0</v>
      </c>
      <c r="S260" s="9"/>
      <c r="T260" s="2"/>
      <c r="U260" s="9"/>
    </row>
    <row r="261" spans="2:21" x14ac:dyDescent="0.35">
      <c r="B261" s="9"/>
      <c r="C261" s="2"/>
      <c r="D261" s="2"/>
      <c r="I261" s="9"/>
      <c r="J261" s="2"/>
      <c r="L261" s="9"/>
      <c r="M261" s="2"/>
      <c r="N261" s="9"/>
      <c r="P261" s="3">
        <v>0</v>
      </c>
      <c r="S261" s="9"/>
      <c r="T261" s="2"/>
      <c r="U261" s="9"/>
    </row>
    <row r="262" spans="2:21" x14ac:dyDescent="0.35">
      <c r="B262" s="9"/>
      <c r="C262" s="2"/>
      <c r="D262" s="2"/>
      <c r="I262" s="9"/>
      <c r="J262" s="2"/>
      <c r="L262" s="9"/>
      <c r="M262" s="2"/>
      <c r="N262" s="9"/>
      <c r="P262" s="3">
        <v>0</v>
      </c>
      <c r="S262" s="9"/>
      <c r="T262" s="2"/>
      <c r="U262" s="9"/>
    </row>
    <row r="263" spans="2:21" x14ac:dyDescent="0.35">
      <c r="B263" s="9"/>
      <c r="C263" s="2"/>
      <c r="D263" s="2"/>
      <c r="I263" s="9"/>
      <c r="J263" s="2"/>
      <c r="L263" s="9"/>
      <c r="M263" s="2"/>
      <c r="N263" s="9"/>
      <c r="P263" s="3">
        <v>0</v>
      </c>
      <c r="S263" s="9"/>
      <c r="T263" s="2"/>
      <c r="U263" s="9"/>
    </row>
    <row r="264" spans="2:21" x14ac:dyDescent="0.35">
      <c r="B264" s="9"/>
      <c r="C264" s="2"/>
      <c r="D264" s="2"/>
      <c r="I264" s="9"/>
      <c r="J264" s="2"/>
      <c r="L264" s="9"/>
      <c r="M264" s="2"/>
      <c r="N264" s="9"/>
      <c r="P264" s="3">
        <v>0</v>
      </c>
      <c r="S264" s="9"/>
      <c r="T264" s="2"/>
      <c r="U264" s="9"/>
    </row>
    <row r="265" spans="2:21" x14ac:dyDescent="0.35">
      <c r="B265" s="9"/>
      <c r="C265" s="2"/>
      <c r="D265" s="2"/>
      <c r="I265" s="9"/>
      <c r="J265" s="2"/>
      <c r="L265" s="9"/>
      <c r="M265" s="2"/>
      <c r="N265" s="9"/>
      <c r="P265" s="3">
        <v>0</v>
      </c>
      <c r="S265" s="9"/>
      <c r="T265" s="2"/>
      <c r="U265" s="9"/>
    </row>
    <row r="266" spans="2:21" x14ac:dyDescent="0.35">
      <c r="B266" s="9"/>
      <c r="C266" s="2"/>
      <c r="D266" s="2"/>
      <c r="I266" s="9"/>
      <c r="J266" s="2"/>
      <c r="L266" s="9"/>
      <c r="M266" s="2"/>
      <c r="N266" s="9"/>
      <c r="P266" s="3">
        <v>0</v>
      </c>
      <c r="S266" s="9"/>
      <c r="T266" s="2"/>
      <c r="U266" s="9"/>
    </row>
    <row r="267" spans="2:21" x14ac:dyDescent="0.35">
      <c r="B267" s="9"/>
      <c r="C267" s="2"/>
      <c r="D267" s="2"/>
      <c r="I267" s="9"/>
      <c r="J267" s="2"/>
      <c r="L267" s="9"/>
      <c r="M267" s="2"/>
      <c r="N267" s="9"/>
      <c r="P267" s="3">
        <v>0</v>
      </c>
      <c r="S267" s="9"/>
      <c r="T267" s="2"/>
      <c r="U267" s="9"/>
    </row>
    <row r="268" spans="2:21" x14ac:dyDescent="0.35">
      <c r="B268" s="9"/>
      <c r="C268" s="2"/>
      <c r="D268" s="2"/>
      <c r="I268" s="9"/>
      <c r="J268" s="2"/>
      <c r="L268" s="9"/>
      <c r="M268" s="2"/>
      <c r="N268" s="9"/>
      <c r="P268" s="3">
        <v>0</v>
      </c>
      <c r="S268" s="9"/>
      <c r="T268" s="2"/>
      <c r="U268" s="9"/>
    </row>
    <row r="269" spans="2:21" x14ac:dyDescent="0.35">
      <c r="B269" s="9"/>
      <c r="C269" s="2"/>
      <c r="D269" s="2"/>
      <c r="I269" s="9"/>
      <c r="J269" s="2"/>
      <c r="L269" s="9"/>
      <c r="M269" s="2"/>
      <c r="N269" s="9"/>
      <c r="P269" s="3">
        <v>0</v>
      </c>
      <c r="S269" s="9"/>
      <c r="T269" s="2"/>
      <c r="U269" s="9"/>
    </row>
    <row r="270" spans="2:21" x14ac:dyDescent="0.35">
      <c r="B270" s="9"/>
      <c r="C270" s="2"/>
      <c r="D270" s="2"/>
      <c r="I270" s="9"/>
      <c r="J270" s="2"/>
      <c r="L270" s="9"/>
      <c r="M270" s="2"/>
      <c r="N270" s="9"/>
      <c r="P270" s="3">
        <v>0</v>
      </c>
      <c r="S270" s="9"/>
      <c r="T270" s="2"/>
      <c r="U270" s="9"/>
    </row>
    <row r="271" spans="2:21" x14ac:dyDescent="0.35">
      <c r="B271" s="9"/>
      <c r="C271" s="2"/>
      <c r="D271" s="2"/>
      <c r="I271" s="9"/>
      <c r="J271" s="2"/>
      <c r="L271" s="9"/>
      <c r="M271" s="2"/>
      <c r="N271" s="9"/>
      <c r="P271" s="3">
        <v>0</v>
      </c>
      <c r="S271" s="9"/>
      <c r="T271" s="2"/>
      <c r="U271" s="9"/>
    </row>
    <row r="272" spans="2:21" x14ac:dyDescent="0.35">
      <c r="B272" s="9"/>
      <c r="C272" s="2"/>
      <c r="D272" s="2"/>
      <c r="I272" s="9"/>
      <c r="J272" s="2"/>
      <c r="L272" s="9"/>
      <c r="M272" s="2"/>
      <c r="N272" s="9"/>
      <c r="P272" s="3">
        <v>0</v>
      </c>
      <c r="S272" s="9"/>
      <c r="T272" s="2"/>
      <c r="U272" s="9"/>
    </row>
    <row r="273" spans="2:21" x14ac:dyDescent="0.35">
      <c r="B273" s="9"/>
      <c r="C273" s="2"/>
      <c r="D273" s="2"/>
      <c r="I273" s="9"/>
      <c r="J273" s="2"/>
      <c r="L273" s="9"/>
      <c r="M273" s="2"/>
      <c r="N273" s="9"/>
      <c r="P273" s="3">
        <v>0</v>
      </c>
      <c r="S273" s="9"/>
      <c r="T273" s="2"/>
      <c r="U273" s="9"/>
    </row>
    <row r="274" spans="2:21" x14ac:dyDescent="0.35">
      <c r="B274" s="9"/>
      <c r="C274" s="2"/>
      <c r="D274" s="2"/>
      <c r="I274" s="9"/>
      <c r="J274" s="2"/>
      <c r="L274" s="9"/>
      <c r="M274" s="2"/>
      <c r="N274" s="9"/>
      <c r="P274" s="3">
        <v>0</v>
      </c>
      <c r="S274" s="9"/>
      <c r="T274" s="2"/>
      <c r="U274" s="9"/>
    </row>
    <row r="275" spans="2:21" x14ac:dyDescent="0.35">
      <c r="B275" s="9"/>
      <c r="C275" s="2"/>
      <c r="D275" s="2"/>
      <c r="I275" s="9"/>
      <c r="J275" s="2"/>
      <c r="L275" s="9"/>
      <c r="M275" s="2"/>
      <c r="N275" s="9"/>
      <c r="P275" s="3">
        <v>0</v>
      </c>
      <c r="S275" s="9"/>
      <c r="T275" s="2"/>
      <c r="U275" s="9"/>
    </row>
    <row r="276" spans="2:21" x14ac:dyDescent="0.35">
      <c r="B276" s="9"/>
      <c r="C276" s="2"/>
      <c r="D276" s="2"/>
      <c r="I276" s="9"/>
      <c r="J276" s="2"/>
      <c r="L276" s="9"/>
      <c r="M276" s="2"/>
      <c r="N276" s="9"/>
      <c r="P276" s="3">
        <v>0</v>
      </c>
      <c r="S276" s="9"/>
      <c r="T276" s="2"/>
      <c r="U276" s="9"/>
    </row>
    <row r="277" spans="2:21" x14ac:dyDescent="0.35">
      <c r="B277" s="9"/>
      <c r="C277" s="2"/>
      <c r="D277" s="2"/>
      <c r="I277" s="9"/>
      <c r="J277" s="2"/>
      <c r="L277" s="9"/>
      <c r="M277" s="2"/>
      <c r="N277" s="9"/>
      <c r="P277" s="3">
        <v>0</v>
      </c>
      <c r="S277" s="9"/>
      <c r="T277" s="2"/>
      <c r="U277" s="9"/>
    </row>
    <row r="278" spans="2:21" x14ac:dyDescent="0.35">
      <c r="B278" s="9"/>
      <c r="C278" s="2"/>
      <c r="D278" s="2"/>
      <c r="I278" s="9"/>
      <c r="J278" s="2"/>
      <c r="L278" s="9"/>
      <c r="M278" s="2"/>
      <c r="N278" s="9"/>
      <c r="P278" s="3">
        <v>0</v>
      </c>
      <c r="S278" s="9"/>
      <c r="T278" s="2"/>
      <c r="U278" s="9"/>
    </row>
    <row r="279" spans="2:21" x14ac:dyDescent="0.35">
      <c r="B279" s="9"/>
      <c r="C279" s="2"/>
      <c r="D279" s="2"/>
      <c r="I279" s="9"/>
      <c r="J279" s="2"/>
      <c r="L279" s="9"/>
      <c r="M279" s="2"/>
      <c r="N279" s="9"/>
      <c r="P279" s="3">
        <v>0</v>
      </c>
      <c r="S279" s="9"/>
      <c r="T279" s="2"/>
      <c r="U279" s="9"/>
    </row>
    <row r="280" spans="2:21" x14ac:dyDescent="0.35">
      <c r="B280" s="9"/>
      <c r="C280" s="2"/>
      <c r="D280" s="2"/>
      <c r="I280" s="9"/>
      <c r="J280" s="2"/>
      <c r="L280" s="9"/>
      <c r="M280" s="2"/>
      <c r="N280" s="9"/>
      <c r="P280" s="3">
        <v>0</v>
      </c>
      <c r="S280" s="9"/>
      <c r="T280" s="2"/>
      <c r="U280" s="9"/>
    </row>
    <row r="281" spans="2:21" x14ac:dyDescent="0.35">
      <c r="B281" s="9"/>
      <c r="C281" s="2"/>
      <c r="D281" s="2"/>
      <c r="I281" s="9"/>
      <c r="J281" s="2"/>
      <c r="L281" s="9"/>
      <c r="M281" s="2"/>
      <c r="N281" s="9"/>
      <c r="P281" s="3">
        <v>0</v>
      </c>
      <c r="S281" s="9"/>
      <c r="T281" s="2"/>
      <c r="U281" s="9"/>
    </row>
    <row r="282" spans="2:21" x14ac:dyDescent="0.35">
      <c r="B282" s="9"/>
      <c r="C282" s="2"/>
      <c r="D282" s="2"/>
      <c r="I282" s="9"/>
      <c r="J282" s="2"/>
      <c r="L282" s="9"/>
      <c r="M282" s="2"/>
      <c r="N282" s="9"/>
      <c r="P282" s="3">
        <v>0</v>
      </c>
      <c r="S282" s="9"/>
      <c r="T282" s="2"/>
      <c r="U282" s="9"/>
    </row>
    <row r="283" spans="2:21" x14ac:dyDescent="0.35">
      <c r="B283" s="9"/>
      <c r="C283" s="2"/>
      <c r="D283" s="2"/>
      <c r="I283" s="9"/>
      <c r="J283" s="2"/>
      <c r="L283" s="9"/>
      <c r="M283" s="2"/>
      <c r="N283" s="9"/>
      <c r="P283" s="3">
        <v>0</v>
      </c>
      <c r="S283" s="9"/>
      <c r="T283" s="2"/>
      <c r="U283" s="9"/>
    </row>
    <row r="284" spans="2:21" x14ac:dyDescent="0.35">
      <c r="B284" s="9"/>
      <c r="C284" s="2"/>
      <c r="D284" s="2"/>
      <c r="I284" s="9"/>
      <c r="J284" s="2"/>
      <c r="L284" s="9"/>
      <c r="M284" s="2"/>
      <c r="N284" s="9"/>
      <c r="P284" s="3">
        <v>0</v>
      </c>
      <c r="S284" s="9"/>
      <c r="T284" s="2"/>
      <c r="U284" s="9"/>
    </row>
    <row r="285" spans="2:21" x14ac:dyDescent="0.35">
      <c r="B285" s="9"/>
      <c r="C285" s="2"/>
      <c r="D285" s="2"/>
      <c r="I285" s="9"/>
      <c r="J285" s="2"/>
      <c r="L285" s="9"/>
      <c r="M285" s="2"/>
      <c r="N285" s="9"/>
      <c r="P285" s="3">
        <v>0</v>
      </c>
      <c r="S285" s="9"/>
      <c r="T285" s="2"/>
      <c r="U285" s="9"/>
    </row>
    <row r="286" spans="2:21" x14ac:dyDescent="0.35">
      <c r="B286" s="9"/>
      <c r="C286" s="2"/>
      <c r="D286" s="2"/>
      <c r="I286" s="9"/>
      <c r="J286" s="2"/>
      <c r="L286" s="9"/>
      <c r="M286" s="2"/>
      <c r="N286" s="9"/>
      <c r="P286" s="3">
        <v>0</v>
      </c>
      <c r="S286" s="9"/>
      <c r="T286" s="2"/>
      <c r="U286" s="9"/>
    </row>
    <row r="287" spans="2:21" x14ac:dyDescent="0.35">
      <c r="B287" s="9"/>
      <c r="C287" s="2"/>
      <c r="D287" s="2"/>
      <c r="I287" s="9"/>
      <c r="J287" s="2"/>
      <c r="L287" s="9"/>
      <c r="M287" s="2"/>
      <c r="N287" s="9"/>
      <c r="P287" s="3">
        <v>0</v>
      </c>
      <c r="S287" s="9"/>
      <c r="T287" s="2"/>
      <c r="U287" s="9"/>
    </row>
    <row r="288" spans="2:21" x14ac:dyDescent="0.35">
      <c r="B288" s="9"/>
      <c r="C288" s="2"/>
      <c r="D288" s="2"/>
      <c r="I288" s="9"/>
      <c r="J288" s="2"/>
      <c r="L288" s="9"/>
      <c r="M288" s="2"/>
      <c r="N288" s="9"/>
      <c r="P288" s="3">
        <v>0</v>
      </c>
      <c r="S288" s="9"/>
      <c r="T288" s="2"/>
      <c r="U288" s="9"/>
    </row>
    <row r="289" spans="2:21" x14ac:dyDescent="0.35">
      <c r="B289" s="9"/>
      <c r="C289" s="2"/>
      <c r="D289" s="2"/>
      <c r="I289" s="9"/>
      <c r="J289" s="2"/>
      <c r="L289" s="9"/>
      <c r="M289" s="2"/>
      <c r="N289" s="9"/>
      <c r="P289" s="3">
        <v>0</v>
      </c>
      <c r="S289" s="9"/>
      <c r="T289" s="2"/>
      <c r="U289" s="9"/>
    </row>
    <row r="290" spans="2:21" x14ac:dyDescent="0.35">
      <c r="B290" s="9"/>
      <c r="C290" s="2"/>
      <c r="D290" s="2"/>
      <c r="I290" s="9"/>
      <c r="J290" s="2"/>
      <c r="L290" s="9"/>
      <c r="M290" s="2"/>
      <c r="N290" s="9"/>
      <c r="P290" s="3">
        <v>0</v>
      </c>
      <c r="S290" s="9"/>
      <c r="T290" s="2"/>
      <c r="U290" s="9"/>
    </row>
    <row r="291" spans="2:21" x14ac:dyDescent="0.35">
      <c r="B291" s="9"/>
      <c r="C291" s="2"/>
      <c r="D291" s="2"/>
      <c r="I291" s="9"/>
      <c r="J291" s="2"/>
      <c r="L291" s="9"/>
      <c r="M291" s="2"/>
      <c r="N291" s="9"/>
      <c r="P291" s="3">
        <v>0</v>
      </c>
      <c r="S291" s="9"/>
      <c r="T291" s="2"/>
      <c r="U291" s="9"/>
    </row>
    <row r="292" spans="2:21" x14ac:dyDescent="0.35">
      <c r="B292" s="9"/>
      <c r="C292" s="2"/>
      <c r="D292" s="2"/>
      <c r="I292" s="9"/>
      <c r="J292" s="2"/>
      <c r="L292" s="9"/>
      <c r="M292" s="2"/>
      <c r="N292" s="9"/>
      <c r="P292" s="3">
        <v>0</v>
      </c>
      <c r="S292" s="9"/>
      <c r="T292" s="2"/>
      <c r="U292" s="9"/>
    </row>
    <row r="293" spans="2:21" x14ac:dyDescent="0.35">
      <c r="B293" s="9"/>
      <c r="C293" s="2"/>
      <c r="D293" s="2"/>
      <c r="I293" s="9"/>
      <c r="J293" s="2"/>
      <c r="L293" s="9"/>
      <c r="M293" s="2"/>
      <c r="N293" s="9"/>
      <c r="P293" s="3">
        <v>0</v>
      </c>
      <c r="S293" s="9"/>
      <c r="T293" s="2"/>
      <c r="U293" s="9"/>
    </row>
    <row r="294" spans="2:21" x14ac:dyDescent="0.35">
      <c r="B294" s="9"/>
      <c r="C294" s="2"/>
      <c r="D294" s="2"/>
      <c r="I294" s="9"/>
      <c r="J294" s="2"/>
      <c r="L294" s="9"/>
      <c r="M294" s="2"/>
      <c r="N294" s="9"/>
      <c r="P294" s="3">
        <v>0</v>
      </c>
      <c r="S294" s="9"/>
      <c r="T294" s="2"/>
      <c r="U294" s="9"/>
    </row>
    <row r="295" spans="2:21" x14ac:dyDescent="0.35">
      <c r="B295" s="9"/>
      <c r="C295" s="2"/>
      <c r="D295" s="2"/>
      <c r="I295" s="9"/>
      <c r="J295" s="2"/>
      <c r="L295" s="9"/>
      <c r="M295" s="2"/>
      <c r="N295" s="9"/>
      <c r="P295" s="3">
        <v>0</v>
      </c>
      <c r="S295" s="9"/>
      <c r="T295" s="2"/>
      <c r="U295" s="9"/>
    </row>
    <row r="296" spans="2:21" x14ac:dyDescent="0.35">
      <c r="B296" s="9"/>
      <c r="C296" s="2"/>
      <c r="D296" s="2"/>
      <c r="I296" s="9"/>
      <c r="J296" s="2"/>
      <c r="L296" s="9"/>
      <c r="M296" s="2"/>
      <c r="N296" s="9"/>
      <c r="P296" s="3">
        <v>0</v>
      </c>
      <c r="S296" s="9"/>
      <c r="T296" s="2"/>
      <c r="U296" s="9"/>
    </row>
    <row r="297" spans="2:21" x14ac:dyDescent="0.35">
      <c r="B297" s="9"/>
      <c r="C297" s="2"/>
      <c r="D297" s="2"/>
      <c r="I297" s="9"/>
      <c r="J297" s="2"/>
      <c r="L297" s="9"/>
      <c r="M297" s="2"/>
      <c r="N297" s="9"/>
      <c r="P297" s="3">
        <v>0</v>
      </c>
      <c r="S297" s="9"/>
      <c r="T297" s="2"/>
      <c r="U297" s="9"/>
    </row>
    <row r="298" spans="2:21" x14ac:dyDescent="0.35">
      <c r="B298" s="9"/>
      <c r="C298" s="2"/>
      <c r="D298" s="2"/>
      <c r="I298" s="9"/>
      <c r="J298" s="2"/>
      <c r="L298" s="9"/>
      <c r="M298" s="2"/>
      <c r="N298" s="9"/>
      <c r="P298" s="3">
        <v>0</v>
      </c>
      <c r="S298" s="9"/>
      <c r="T298" s="2"/>
      <c r="U298" s="9"/>
    </row>
    <row r="299" spans="2:21" x14ac:dyDescent="0.35">
      <c r="B299" s="9"/>
      <c r="C299" s="2"/>
      <c r="D299" s="2"/>
      <c r="I299" s="9"/>
      <c r="J299" s="2"/>
      <c r="L299" s="9"/>
      <c r="M299" s="2"/>
      <c r="N299" s="9"/>
      <c r="P299" s="3">
        <v>0</v>
      </c>
      <c r="S299" s="9"/>
      <c r="T299" s="2"/>
      <c r="U299" s="9"/>
    </row>
    <row r="300" spans="2:21" x14ac:dyDescent="0.35">
      <c r="B300" s="9"/>
      <c r="C300" s="2"/>
      <c r="D300" s="2"/>
      <c r="I300" s="9"/>
      <c r="J300" s="2"/>
      <c r="L300" s="9"/>
      <c r="M300" s="2"/>
      <c r="N300" s="9"/>
      <c r="P300" s="3">
        <v>0</v>
      </c>
      <c r="S300" s="9"/>
      <c r="T300" s="2"/>
      <c r="U300" s="9"/>
    </row>
    <row r="301" spans="2:21" x14ac:dyDescent="0.35">
      <c r="B301" s="9"/>
      <c r="C301" s="2"/>
      <c r="D301" s="2"/>
      <c r="I301" s="9"/>
      <c r="J301" s="2"/>
      <c r="L301" s="9"/>
      <c r="M301" s="2"/>
      <c r="N301" s="9"/>
      <c r="P301" s="3">
        <v>0</v>
      </c>
      <c r="S301" s="9"/>
      <c r="T301" s="2"/>
      <c r="U301" s="9"/>
    </row>
    <row r="302" spans="2:21" x14ac:dyDescent="0.35">
      <c r="B302" s="9"/>
      <c r="C302" s="2"/>
      <c r="D302" s="2"/>
      <c r="I302" s="9"/>
      <c r="J302" s="2"/>
      <c r="L302" s="9"/>
      <c r="M302" s="2"/>
      <c r="N302" s="9"/>
      <c r="P302" s="3">
        <v>0</v>
      </c>
      <c r="S302" s="9"/>
      <c r="T302" s="2"/>
      <c r="U302" s="9"/>
    </row>
    <row r="303" spans="2:21" x14ac:dyDescent="0.35">
      <c r="B303" s="9"/>
      <c r="C303" s="2"/>
      <c r="D303" s="2"/>
      <c r="I303" s="9"/>
      <c r="J303" s="2"/>
      <c r="L303" s="9"/>
      <c r="M303" s="2"/>
      <c r="N303" s="9"/>
      <c r="P303" s="3">
        <v>0</v>
      </c>
      <c r="S303" s="9"/>
      <c r="T303" s="2"/>
      <c r="U303" s="9"/>
    </row>
    <row r="304" spans="2:21" x14ac:dyDescent="0.35">
      <c r="B304" s="9"/>
      <c r="C304" s="2"/>
      <c r="D304" s="2"/>
      <c r="I304" s="9"/>
      <c r="J304" s="2"/>
      <c r="L304" s="9"/>
      <c r="M304" s="2"/>
      <c r="N304" s="9"/>
      <c r="P304" s="3">
        <v>0</v>
      </c>
      <c r="S304" s="9"/>
      <c r="T304" s="2"/>
      <c r="U304" s="9"/>
    </row>
    <row r="305" spans="2:21" x14ac:dyDescent="0.35">
      <c r="B305" s="9"/>
      <c r="C305" s="2"/>
      <c r="D305" s="2"/>
      <c r="I305" s="9"/>
      <c r="J305" s="2"/>
      <c r="L305" s="9"/>
      <c r="M305" s="2"/>
      <c r="N305" s="9"/>
      <c r="P305" s="3">
        <v>0</v>
      </c>
      <c r="S305" s="9"/>
      <c r="T305" s="2"/>
      <c r="U305" s="9"/>
    </row>
    <row r="306" spans="2:21" x14ac:dyDescent="0.35">
      <c r="B306" s="9"/>
      <c r="C306" s="2"/>
      <c r="D306" s="2"/>
      <c r="I306" s="9"/>
      <c r="J306" s="2"/>
      <c r="L306" s="9"/>
      <c r="M306" s="2"/>
      <c r="N306" s="9"/>
      <c r="P306" s="3">
        <v>-251.60949199999999</v>
      </c>
      <c r="S306" s="9"/>
      <c r="T306" s="2"/>
      <c r="U306" s="9"/>
    </row>
    <row r="307" spans="2:21" x14ac:dyDescent="0.35">
      <c r="B307" s="9"/>
      <c r="C307" s="2"/>
      <c r="D307" s="2"/>
      <c r="I307" s="9"/>
      <c r="J307" s="2"/>
      <c r="L307" s="9"/>
      <c r="M307" s="2"/>
      <c r="N307" s="9"/>
      <c r="P307" s="3">
        <v>-686.36949200000004</v>
      </c>
      <c r="S307" s="9"/>
      <c r="T307" s="2"/>
      <c r="U307" s="9"/>
    </row>
    <row r="308" spans="2:21" x14ac:dyDescent="0.35">
      <c r="B308" s="9"/>
      <c r="C308" s="2"/>
      <c r="D308" s="2"/>
      <c r="I308" s="9"/>
      <c r="J308" s="2"/>
      <c r="L308" s="9"/>
      <c r="M308" s="2"/>
      <c r="N308" s="9"/>
      <c r="P308" s="3">
        <v>-1121.129492</v>
      </c>
      <c r="S308" s="9"/>
      <c r="T308" s="2"/>
      <c r="U308" s="9"/>
    </row>
    <row r="309" spans="2:21" x14ac:dyDescent="0.35">
      <c r="B309" s="9"/>
      <c r="C309" s="2"/>
      <c r="D309" s="2"/>
      <c r="I309" s="9"/>
      <c r="J309" s="2"/>
      <c r="L309" s="9"/>
      <c r="M309" s="2"/>
      <c r="N309" s="9"/>
      <c r="P309" s="3">
        <v>-1555.889492</v>
      </c>
      <c r="S309" s="9"/>
      <c r="T309" s="2"/>
      <c r="U309" s="9"/>
    </row>
    <row r="310" spans="2:21" x14ac:dyDescent="0.35">
      <c r="B310" s="9"/>
      <c r="C310" s="2"/>
      <c r="D310" s="2"/>
      <c r="I310" s="9"/>
      <c r="J310" s="2"/>
      <c r="L310" s="9"/>
      <c r="M310" s="2"/>
      <c r="N310" s="9"/>
      <c r="P310" s="3">
        <v>-1990.649492</v>
      </c>
      <c r="S310" s="9"/>
      <c r="T310" s="2"/>
      <c r="U310" s="9"/>
    </row>
    <row r="311" spans="2:21" x14ac:dyDescent="0.35">
      <c r="B311" s="9"/>
      <c r="C311" s="2"/>
      <c r="D311" s="2"/>
      <c r="I311" s="9"/>
      <c r="J311" s="2"/>
      <c r="L311" s="9"/>
      <c r="M311" s="2"/>
      <c r="N311" s="9"/>
      <c r="P311" s="3">
        <v>-2425.4094919999998</v>
      </c>
      <c r="S311" s="9"/>
      <c r="T311" s="2"/>
      <c r="U311" s="9"/>
    </row>
    <row r="312" spans="2:21" x14ac:dyDescent="0.35">
      <c r="B312" s="9"/>
      <c r="C312" s="2"/>
      <c r="D312" s="2"/>
      <c r="I312" s="9"/>
      <c r="J312" s="2"/>
      <c r="L312" s="9"/>
      <c r="M312" s="2"/>
      <c r="N312" s="9"/>
      <c r="P312" s="3">
        <v>-2860.169492</v>
      </c>
      <c r="S312" s="9"/>
      <c r="T312" s="2"/>
      <c r="U312" s="9"/>
    </row>
    <row r="313" spans="2:21" x14ac:dyDescent="0.35">
      <c r="B313" s="9"/>
      <c r="C313" s="2"/>
      <c r="D313" s="2"/>
      <c r="I313" s="9"/>
      <c r="J313" s="2"/>
      <c r="L313" s="9"/>
      <c r="M313" s="2"/>
      <c r="N313" s="9"/>
      <c r="P313" s="3">
        <v>-2860.169492</v>
      </c>
      <c r="S313" s="9"/>
      <c r="T313" s="2"/>
      <c r="U313" s="9"/>
    </row>
    <row r="314" spans="2:21" x14ac:dyDescent="0.35">
      <c r="B314" s="9"/>
      <c r="C314" s="2"/>
      <c r="D314" s="2"/>
      <c r="I314" s="9"/>
      <c r="J314" s="2"/>
      <c r="L314" s="9"/>
      <c r="M314" s="2"/>
      <c r="N314" s="9"/>
      <c r="P314" s="3">
        <v>-2860.169492</v>
      </c>
      <c r="S314" s="9"/>
      <c r="T314" s="2"/>
      <c r="U314" s="9"/>
    </row>
    <row r="315" spans="2:21" x14ac:dyDescent="0.35">
      <c r="B315" s="9"/>
      <c r="C315" s="2"/>
      <c r="D315" s="2"/>
      <c r="I315" s="9"/>
      <c r="J315" s="2"/>
      <c r="L315" s="9"/>
      <c r="M315" s="2"/>
      <c r="N315" s="9"/>
      <c r="P315" s="3">
        <v>-2860.169492</v>
      </c>
      <c r="S315" s="9"/>
      <c r="T315" s="2"/>
      <c r="U315" s="9"/>
    </row>
    <row r="316" spans="2:21" x14ac:dyDescent="0.35">
      <c r="B316" s="9"/>
      <c r="C316" s="2"/>
      <c r="D316" s="2"/>
      <c r="I316" s="9"/>
      <c r="J316" s="2"/>
      <c r="L316" s="9"/>
      <c r="M316" s="2"/>
      <c r="N316" s="9"/>
      <c r="P316" s="3">
        <v>-2860.169492</v>
      </c>
      <c r="S316" s="9"/>
      <c r="T316" s="2"/>
      <c r="U316" s="9"/>
    </row>
    <row r="317" spans="2:21" x14ac:dyDescent="0.35">
      <c r="B317" s="9"/>
      <c r="C317" s="2"/>
      <c r="D317" s="2"/>
      <c r="I317" s="9"/>
      <c r="J317" s="2"/>
      <c r="L317" s="9"/>
      <c r="M317" s="2"/>
      <c r="N317" s="9"/>
      <c r="P317" s="3">
        <v>-2860.169492</v>
      </c>
      <c r="S317" s="9"/>
      <c r="T317" s="2"/>
      <c r="U317" s="9"/>
    </row>
    <row r="318" spans="2:21" x14ac:dyDescent="0.35">
      <c r="B318" s="9"/>
      <c r="C318" s="2"/>
      <c r="D318" s="2"/>
      <c r="I318" s="9"/>
      <c r="J318" s="2"/>
      <c r="L318" s="9"/>
      <c r="M318" s="2"/>
      <c r="N318" s="9"/>
      <c r="P318" s="3">
        <v>-2860.169492</v>
      </c>
      <c r="S318" s="9"/>
      <c r="T318" s="2"/>
      <c r="U318" s="9"/>
    </row>
    <row r="319" spans="2:21" x14ac:dyDescent="0.35">
      <c r="B319" s="9"/>
      <c r="C319" s="2"/>
      <c r="D319" s="2"/>
      <c r="I319" s="9"/>
      <c r="J319" s="2"/>
      <c r="L319" s="9"/>
      <c r="M319" s="2"/>
      <c r="N319" s="9"/>
      <c r="P319" s="3">
        <v>-2860.169492</v>
      </c>
      <c r="S319" s="9"/>
      <c r="T319" s="2"/>
      <c r="U319" s="9"/>
    </row>
    <row r="320" spans="2:21" x14ac:dyDescent="0.35">
      <c r="B320" s="9"/>
      <c r="C320" s="2"/>
      <c r="D320" s="2"/>
      <c r="I320" s="9"/>
      <c r="J320" s="2"/>
      <c r="L320" s="9"/>
      <c r="M320" s="2"/>
      <c r="N320" s="9"/>
      <c r="P320" s="3">
        <v>-2860.169492</v>
      </c>
      <c r="S320" s="9"/>
      <c r="T320" s="2"/>
      <c r="U320" s="9"/>
    </row>
    <row r="321" spans="2:21" x14ac:dyDescent="0.35">
      <c r="B321" s="9"/>
      <c r="C321" s="2"/>
      <c r="D321" s="2"/>
      <c r="I321" s="9"/>
      <c r="J321" s="2"/>
      <c r="L321" s="9"/>
      <c r="M321" s="2"/>
      <c r="N321" s="9"/>
      <c r="P321" s="3">
        <v>-2860.169492</v>
      </c>
      <c r="S321" s="9"/>
      <c r="T321" s="2"/>
      <c r="U321" s="9"/>
    </row>
    <row r="322" spans="2:21" x14ac:dyDescent="0.35">
      <c r="B322" s="9"/>
      <c r="C322" s="2"/>
      <c r="D322" s="2"/>
      <c r="I322" s="9"/>
      <c r="J322" s="2"/>
      <c r="L322" s="9"/>
      <c r="M322" s="2"/>
      <c r="N322" s="9"/>
      <c r="P322" s="3">
        <v>-2860.169492</v>
      </c>
      <c r="S322" s="9"/>
      <c r="T322" s="2"/>
      <c r="U322" s="9"/>
    </row>
    <row r="323" spans="2:21" x14ac:dyDescent="0.35">
      <c r="B323" s="9"/>
      <c r="C323" s="2"/>
      <c r="D323" s="2"/>
      <c r="I323" s="9"/>
      <c r="J323" s="2"/>
      <c r="L323" s="9"/>
      <c r="M323" s="2"/>
      <c r="N323" s="9"/>
      <c r="P323" s="3">
        <v>-2860.169492</v>
      </c>
      <c r="S323" s="9"/>
      <c r="T323" s="2"/>
      <c r="U323" s="9"/>
    </row>
    <row r="324" spans="2:21" x14ac:dyDescent="0.35">
      <c r="B324" s="9"/>
      <c r="C324" s="2"/>
      <c r="D324" s="2"/>
      <c r="I324" s="9"/>
      <c r="J324" s="2"/>
      <c r="L324" s="9"/>
      <c r="M324" s="2"/>
      <c r="N324" s="9"/>
      <c r="P324" s="3">
        <v>-2860.169492</v>
      </c>
      <c r="S324" s="9"/>
      <c r="T324" s="2"/>
      <c r="U324" s="9"/>
    </row>
    <row r="325" spans="2:21" x14ac:dyDescent="0.35">
      <c r="B325" s="9"/>
      <c r="C325" s="2"/>
      <c r="D325" s="2"/>
      <c r="I325" s="9"/>
      <c r="J325" s="2"/>
      <c r="L325" s="9"/>
      <c r="M325" s="2"/>
      <c r="N325" s="9"/>
      <c r="P325" s="3">
        <v>-2763.1117345900002</v>
      </c>
      <c r="S325" s="9"/>
      <c r="T325" s="2"/>
      <c r="U325" s="9"/>
    </row>
    <row r="326" spans="2:21" x14ac:dyDescent="0.35">
      <c r="B326" s="9"/>
      <c r="C326" s="2"/>
      <c r="D326" s="2"/>
      <c r="I326" s="9"/>
      <c r="J326" s="2"/>
      <c r="L326" s="9"/>
      <c r="M326" s="2"/>
      <c r="N326" s="9"/>
      <c r="P326" s="3">
        <v>-2459.2019145899999</v>
      </c>
      <c r="S326" s="9"/>
      <c r="T326" s="2"/>
      <c r="U326" s="9"/>
    </row>
    <row r="327" spans="2:21" x14ac:dyDescent="0.35">
      <c r="B327" s="9"/>
      <c r="C327" s="2"/>
      <c r="D327" s="2"/>
      <c r="I327" s="9"/>
      <c r="J327" s="2"/>
      <c r="L327" s="9"/>
      <c r="M327" s="2"/>
      <c r="N327" s="9"/>
      <c r="P327" s="3">
        <v>-2356.1297945900001</v>
      </c>
      <c r="S327" s="9"/>
      <c r="T327" s="2"/>
      <c r="U327" s="9"/>
    </row>
    <row r="328" spans="2:21" x14ac:dyDescent="0.35">
      <c r="B328" s="9"/>
      <c r="C328" s="2"/>
      <c r="D328" s="2"/>
      <c r="I328" s="9"/>
      <c r="J328" s="2"/>
      <c r="L328" s="9"/>
      <c r="M328" s="2"/>
      <c r="N328" s="9"/>
      <c r="P328" s="3">
        <v>-2567.5192774000002</v>
      </c>
      <c r="S328" s="9"/>
      <c r="T328" s="2"/>
      <c r="U328" s="9"/>
    </row>
    <row r="329" spans="2:21" x14ac:dyDescent="0.35">
      <c r="B329" s="9"/>
      <c r="C329" s="2"/>
      <c r="D329" s="2"/>
      <c r="I329" s="9"/>
      <c r="J329" s="2"/>
      <c r="L329" s="9"/>
      <c r="M329" s="2"/>
      <c r="N329" s="9"/>
      <c r="P329" s="3">
        <v>-2860.169492</v>
      </c>
      <c r="S329" s="9"/>
      <c r="T329" s="2"/>
      <c r="U329" s="9"/>
    </row>
    <row r="330" spans="2:21" x14ac:dyDescent="0.35">
      <c r="B330" s="9"/>
      <c r="C330" s="2"/>
      <c r="D330" s="2"/>
      <c r="I330" s="9"/>
      <c r="J330" s="2"/>
      <c r="L330" s="9"/>
      <c r="M330" s="2"/>
      <c r="N330" s="9"/>
      <c r="P330" s="3">
        <v>-2860.169492</v>
      </c>
      <c r="S330" s="9"/>
      <c r="T330" s="2"/>
      <c r="U330" s="9"/>
    </row>
    <row r="331" spans="2:21" x14ac:dyDescent="0.35">
      <c r="B331" s="9"/>
      <c r="C331" s="2"/>
      <c r="D331" s="2"/>
      <c r="I331" s="9"/>
      <c r="J331" s="2"/>
      <c r="L331" s="9"/>
      <c r="M331" s="2"/>
      <c r="N331" s="9"/>
      <c r="P331" s="3">
        <v>-2860.169492</v>
      </c>
      <c r="S331" s="9"/>
      <c r="T331" s="2"/>
      <c r="U331" s="9"/>
    </row>
    <row r="332" spans="2:21" x14ac:dyDescent="0.35">
      <c r="B332" s="9"/>
      <c r="C332" s="2"/>
      <c r="D332" s="2"/>
      <c r="I332" s="9"/>
      <c r="J332" s="2"/>
      <c r="L332" s="9"/>
      <c r="M332" s="2"/>
      <c r="N332" s="9"/>
      <c r="P332" s="3">
        <v>-2860.169492</v>
      </c>
      <c r="S332" s="9"/>
      <c r="T332" s="2"/>
      <c r="U332" s="9"/>
    </row>
    <row r="333" spans="2:21" x14ac:dyDescent="0.35">
      <c r="B333" s="9"/>
      <c r="C333" s="2"/>
      <c r="D333" s="2"/>
      <c r="I333" s="9"/>
      <c r="J333" s="2"/>
      <c r="L333" s="9"/>
      <c r="M333" s="2"/>
      <c r="N333" s="9"/>
      <c r="P333" s="3">
        <v>-2860.169492</v>
      </c>
      <c r="S333" s="9"/>
      <c r="T333" s="2"/>
      <c r="U333" s="9"/>
    </row>
    <row r="334" spans="2:21" x14ac:dyDescent="0.35">
      <c r="B334" s="9"/>
      <c r="C334" s="2"/>
      <c r="D334" s="2"/>
      <c r="I334" s="9"/>
      <c r="J334" s="2"/>
      <c r="L334" s="9"/>
      <c r="M334" s="2"/>
      <c r="N334" s="9"/>
      <c r="P334" s="3">
        <v>-2860.169492</v>
      </c>
      <c r="S334" s="9"/>
      <c r="T334" s="2"/>
      <c r="U334" s="9"/>
    </row>
    <row r="335" spans="2:21" x14ac:dyDescent="0.35">
      <c r="B335" s="9"/>
      <c r="C335" s="2"/>
      <c r="D335" s="2"/>
      <c r="I335" s="9"/>
      <c r="J335" s="2"/>
      <c r="L335" s="9"/>
      <c r="M335" s="2"/>
      <c r="N335" s="9"/>
      <c r="P335" s="3">
        <v>-2860.169492</v>
      </c>
      <c r="S335" s="9"/>
      <c r="T335" s="2"/>
      <c r="U335" s="9"/>
    </row>
    <row r="336" spans="2:21" x14ac:dyDescent="0.35">
      <c r="B336" s="9"/>
      <c r="C336" s="2"/>
      <c r="D336" s="2"/>
      <c r="I336" s="9"/>
      <c r="J336" s="2"/>
      <c r="L336" s="9"/>
      <c r="M336" s="2"/>
      <c r="N336" s="9"/>
      <c r="P336" s="3">
        <v>-2860.169492</v>
      </c>
      <c r="S336" s="9"/>
      <c r="T336" s="2"/>
      <c r="U336" s="9"/>
    </row>
    <row r="337" spans="2:21" x14ac:dyDescent="0.35">
      <c r="B337" s="9"/>
      <c r="C337" s="2"/>
      <c r="D337" s="2"/>
      <c r="I337" s="9"/>
      <c r="J337" s="2"/>
      <c r="L337" s="9"/>
      <c r="M337" s="2"/>
      <c r="N337" s="9"/>
      <c r="P337" s="3">
        <v>-2860.169492</v>
      </c>
      <c r="S337" s="9"/>
      <c r="T337" s="2"/>
      <c r="U337" s="9"/>
    </row>
    <row r="338" spans="2:21" x14ac:dyDescent="0.35">
      <c r="B338" s="9"/>
      <c r="C338" s="2"/>
      <c r="D338" s="2"/>
      <c r="I338" s="9"/>
      <c r="J338" s="2"/>
      <c r="L338" s="9"/>
      <c r="M338" s="2"/>
      <c r="N338" s="9"/>
      <c r="P338" s="3">
        <v>-2860.169492</v>
      </c>
      <c r="S338" s="9"/>
      <c r="T338" s="2"/>
      <c r="U338" s="9"/>
    </row>
    <row r="339" spans="2:21" x14ac:dyDescent="0.35">
      <c r="B339" s="9"/>
      <c r="C339" s="2"/>
      <c r="D339" s="2"/>
      <c r="I339" s="9"/>
      <c r="J339" s="2"/>
      <c r="L339" s="9"/>
      <c r="M339" s="2"/>
      <c r="N339" s="9"/>
      <c r="P339" s="3">
        <v>-2860.169492</v>
      </c>
      <c r="S339" s="9"/>
      <c r="T339" s="2"/>
      <c r="U339" s="9"/>
    </row>
    <row r="340" spans="2:21" x14ac:dyDescent="0.35">
      <c r="B340" s="9"/>
      <c r="C340" s="2"/>
      <c r="D340" s="2"/>
      <c r="I340" s="9"/>
      <c r="J340" s="2"/>
      <c r="L340" s="9"/>
      <c r="M340" s="2"/>
      <c r="N340" s="9"/>
      <c r="P340" s="3">
        <v>-2860.169492</v>
      </c>
      <c r="S340" s="9"/>
      <c r="T340" s="2"/>
      <c r="U340" s="9"/>
    </row>
    <row r="341" spans="2:21" x14ac:dyDescent="0.35">
      <c r="B341" s="9"/>
      <c r="C341" s="2"/>
      <c r="D341" s="2"/>
      <c r="I341" s="9"/>
      <c r="J341" s="2"/>
      <c r="L341" s="9"/>
      <c r="M341" s="2"/>
      <c r="N341" s="9"/>
      <c r="P341" s="3">
        <v>-2860.169492</v>
      </c>
      <c r="S341" s="9"/>
      <c r="T341" s="2"/>
      <c r="U341" s="9"/>
    </row>
    <row r="342" spans="2:21" x14ac:dyDescent="0.35">
      <c r="B342" s="9"/>
      <c r="C342" s="2"/>
      <c r="D342" s="2"/>
      <c r="I342" s="9"/>
      <c r="J342" s="2"/>
      <c r="L342" s="9"/>
      <c r="M342" s="2"/>
      <c r="N342" s="9"/>
      <c r="P342" s="3">
        <v>-2860.169492</v>
      </c>
      <c r="S342" s="9"/>
      <c r="T342" s="2"/>
      <c r="U342" s="9"/>
    </row>
    <row r="343" spans="2:21" x14ac:dyDescent="0.35">
      <c r="B343" s="9"/>
      <c r="C343" s="2"/>
      <c r="D343" s="2"/>
      <c r="I343" s="9"/>
      <c r="J343" s="2"/>
      <c r="L343" s="9"/>
      <c r="M343" s="2"/>
      <c r="N343" s="9"/>
      <c r="P343" s="3">
        <v>-2860.169492</v>
      </c>
      <c r="S343" s="9"/>
      <c r="T343" s="2"/>
      <c r="U343" s="9"/>
    </row>
    <row r="344" spans="2:21" x14ac:dyDescent="0.35">
      <c r="B344" s="9"/>
      <c r="C344" s="2"/>
      <c r="D344" s="2"/>
      <c r="I344" s="9"/>
      <c r="J344" s="2"/>
      <c r="L344" s="9"/>
      <c r="M344" s="2"/>
      <c r="N344" s="9"/>
      <c r="P344" s="3">
        <v>-2860.169492</v>
      </c>
      <c r="S344" s="9"/>
      <c r="T344" s="2"/>
      <c r="U344" s="9"/>
    </row>
    <row r="345" spans="2:21" x14ac:dyDescent="0.35">
      <c r="B345" s="9"/>
      <c r="C345" s="2"/>
      <c r="D345" s="2"/>
      <c r="I345" s="9"/>
      <c r="J345" s="2"/>
      <c r="L345" s="9"/>
      <c r="M345" s="2"/>
      <c r="N345" s="9"/>
      <c r="P345" s="3">
        <v>-2860.169492</v>
      </c>
      <c r="S345" s="9"/>
      <c r="T345" s="2"/>
      <c r="U345" s="9"/>
    </row>
    <row r="346" spans="2:21" x14ac:dyDescent="0.35">
      <c r="B346" s="9"/>
      <c r="C346" s="2"/>
      <c r="D346" s="2"/>
      <c r="I346" s="9"/>
      <c r="J346" s="2"/>
      <c r="L346" s="9"/>
      <c r="M346" s="2"/>
      <c r="N346" s="9"/>
      <c r="P346" s="3">
        <v>-2860.169492</v>
      </c>
      <c r="S346" s="9"/>
      <c r="T346" s="2"/>
      <c r="U346" s="9"/>
    </row>
    <row r="347" spans="2:21" x14ac:dyDescent="0.35">
      <c r="B347" s="9"/>
      <c r="C347" s="2"/>
      <c r="D347" s="2"/>
      <c r="I347" s="9"/>
      <c r="J347" s="2"/>
      <c r="L347" s="9"/>
      <c r="M347" s="2"/>
      <c r="N347" s="9"/>
      <c r="P347" s="3">
        <v>-2860.169492</v>
      </c>
      <c r="S347" s="9"/>
      <c r="T347" s="2"/>
      <c r="U347" s="9"/>
    </row>
    <row r="348" spans="2:21" x14ac:dyDescent="0.35">
      <c r="B348" s="9"/>
      <c r="C348" s="2"/>
      <c r="D348" s="2"/>
      <c r="I348" s="9"/>
      <c r="J348" s="2"/>
      <c r="L348" s="9"/>
      <c r="M348" s="2"/>
      <c r="N348" s="9"/>
      <c r="P348" s="3">
        <v>-2860.169492</v>
      </c>
      <c r="S348" s="9"/>
      <c r="T348" s="2"/>
      <c r="U348" s="9"/>
    </row>
    <row r="349" spans="2:21" x14ac:dyDescent="0.35">
      <c r="B349" s="9"/>
      <c r="C349" s="2"/>
      <c r="D349" s="2"/>
      <c r="I349" s="9"/>
      <c r="J349" s="2"/>
      <c r="L349" s="9"/>
      <c r="M349" s="2"/>
      <c r="N349" s="9"/>
      <c r="P349" s="3">
        <v>-2860.169492</v>
      </c>
      <c r="S349" s="9"/>
      <c r="T349" s="2"/>
      <c r="U349" s="9"/>
    </row>
    <row r="350" spans="2:21" x14ac:dyDescent="0.35">
      <c r="B350" s="9"/>
      <c r="C350" s="2"/>
      <c r="D350" s="2"/>
      <c r="I350" s="9"/>
      <c r="J350" s="2"/>
      <c r="L350" s="9"/>
      <c r="M350" s="2"/>
      <c r="N350" s="9"/>
      <c r="P350" s="3">
        <v>-2824.4393000599998</v>
      </c>
      <c r="S350" s="9"/>
      <c r="T350" s="2"/>
      <c r="U350" s="9"/>
    </row>
    <row r="351" spans="2:21" x14ac:dyDescent="0.35">
      <c r="B351" s="9"/>
      <c r="C351" s="2"/>
      <c r="D351" s="2"/>
      <c r="I351" s="9"/>
      <c r="J351" s="2"/>
      <c r="L351" s="9"/>
      <c r="M351" s="2"/>
      <c r="N351" s="9"/>
      <c r="P351" s="3">
        <v>-2860.169492</v>
      </c>
      <c r="S351" s="9"/>
      <c r="T351" s="2"/>
      <c r="U351" s="9"/>
    </row>
    <row r="352" spans="2:21" x14ac:dyDescent="0.35">
      <c r="B352" s="9"/>
      <c r="C352" s="2"/>
      <c r="D352" s="2"/>
      <c r="I352" s="9"/>
      <c r="J352" s="2"/>
      <c r="L352" s="9"/>
      <c r="M352" s="2"/>
      <c r="N352" s="9"/>
      <c r="P352" s="3">
        <v>-2425.4094919999998</v>
      </c>
      <c r="S352" s="9"/>
      <c r="T352" s="2"/>
      <c r="U352" s="9"/>
    </row>
    <row r="353" spans="2:21" x14ac:dyDescent="0.35">
      <c r="B353" s="9"/>
      <c r="C353" s="2"/>
      <c r="D353" s="2"/>
      <c r="I353" s="9"/>
      <c r="J353" s="2"/>
      <c r="L353" s="9"/>
      <c r="M353" s="2"/>
      <c r="N353" s="9"/>
      <c r="P353" s="3">
        <v>-1990.649492</v>
      </c>
      <c r="S353" s="9"/>
      <c r="T353" s="2"/>
      <c r="U353" s="9"/>
    </row>
    <row r="354" spans="2:21" x14ac:dyDescent="0.35">
      <c r="B354" s="9"/>
      <c r="C354" s="2"/>
      <c r="D354" s="2"/>
      <c r="I354" s="9"/>
      <c r="J354" s="2"/>
      <c r="L354" s="9"/>
      <c r="M354" s="2"/>
      <c r="N354" s="9"/>
      <c r="P354" s="3">
        <v>-1555.889492</v>
      </c>
      <c r="S354" s="9"/>
      <c r="T354" s="2"/>
      <c r="U354" s="9"/>
    </row>
    <row r="355" spans="2:21" x14ac:dyDescent="0.35">
      <c r="B355" s="9"/>
      <c r="C355" s="2"/>
      <c r="D355" s="2"/>
      <c r="I355" s="9"/>
      <c r="J355" s="2"/>
      <c r="L355" s="9"/>
      <c r="M355" s="2"/>
      <c r="N355" s="9"/>
      <c r="P355" s="3">
        <v>-1121.129492</v>
      </c>
      <c r="S355" s="9"/>
      <c r="T355" s="2"/>
      <c r="U355" s="9"/>
    </row>
    <row r="356" spans="2:21" x14ac:dyDescent="0.35">
      <c r="B356" s="9"/>
      <c r="C356" s="2"/>
      <c r="D356" s="2"/>
      <c r="I356" s="9"/>
      <c r="J356" s="2"/>
      <c r="L356" s="9"/>
      <c r="M356" s="2"/>
      <c r="N356" s="9"/>
      <c r="P356" s="3">
        <v>-1121.129492</v>
      </c>
      <c r="S356" s="9"/>
      <c r="T356" s="2"/>
      <c r="U356" s="9"/>
    </row>
    <row r="357" spans="2:21" x14ac:dyDescent="0.35">
      <c r="B357" s="9"/>
      <c r="C357" s="2"/>
      <c r="D357" s="2"/>
      <c r="I357" s="9"/>
      <c r="J357" s="2"/>
      <c r="L357" s="9"/>
      <c r="M357" s="2"/>
      <c r="N357" s="9"/>
      <c r="P357" s="3">
        <v>-1555.889492</v>
      </c>
      <c r="S357" s="9"/>
      <c r="T357" s="2"/>
      <c r="U357" s="9"/>
    </row>
    <row r="358" spans="2:21" x14ac:dyDescent="0.35">
      <c r="B358" s="9"/>
      <c r="C358" s="2"/>
      <c r="D358" s="2"/>
      <c r="I358" s="9"/>
      <c r="J358" s="2"/>
      <c r="L358" s="9"/>
      <c r="M358" s="2"/>
      <c r="N358" s="9"/>
      <c r="P358" s="3">
        <v>-1990.649492</v>
      </c>
      <c r="S358" s="9"/>
      <c r="T358" s="2"/>
      <c r="U358" s="9"/>
    </row>
    <row r="359" spans="2:21" x14ac:dyDescent="0.35">
      <c r="B359" s="9"/>
      <c r="C359" s="2"/>
      <c r="D359" s="2"/>
      <c r="I359" s="9"/>
      <c r="J359" s="2"/>
      <c r="L359" s="9"/>
      <c r="M359" s="2"/>
      <c r="N359" s="9"/>
      <c r="P359" s="3">
        <v>-2425.4094919999998</v>
      </c>
      <c r="S359" s="9"/>
      <c r="T359" s="2"/>
      <c r="U359" s="9"/>
    </row>
    <row r="360" spans="2:21" x14ac:dyDescent="0.35">
      <c r="B360" s="9"/>
      <c r="C360" s="2"/>
      <c r="D360" s="2"/>
      <c r="I360" s="9"/>
      <c r="J360" s="2"/>
      <c r="L360" s="9"/>
      <c r="M360" s="2"/>
      <c r="N360" s="9"/>
      <c r="P360" s="3">
        <v>-2860.169492</v>
      </c>
      <c r="S360" s="9"/>
      <c r="T360" s="2"/>
      <c r="U360" s="9"/>
    </row>
    <row r="361" spans="2:21" x14ac:dyDescent="0.35">
      <c r="B361" s="9"/>
      <c r="C361" s="2"/>
      <c r="D361" s="2"/>
      <c r="I361" s="9"/>
      <c r="J361" s="2"/>
      <c r="L361" s="9"/>
      <c r="M361" s="2"/>
      <c r="N361" s="9"/>
      <c r="P361" s="3">
        <v>-2860.169492</v>
      </c>
      <c r="S361" s="9"/>
      <c r="T361" s="2"/>
      <c r="U361" s="9"/>
    </row>
    <row r="362" spans="2:21" x14ac:dyDescent="0.35">
      <c r="B362" s="9"/>
      <c r="C362" s="2"/>
      <c r="D362" s="2"/>
      <c r="I362" s="9"/>
      <c r="J362" s="2"/>
      <c r="L362" s="9"/>
      <c r="M362" s="2"/>
      <c r="N362" s="9"/>
      <c r="P362" s="3">
        <v>-2860.169492</v>
      </c>
      <c r="S362" s="9"/>
      <c r="T362" s="2"/>
      <c r="U362" s="9"/>
    </row>
    <row r="363" spans="2:21" x14ac:dyDescent="0.35">
      <c r="B363" s="9"/>
      <c r="C363" s="2"/>
      <c r="D363" s="2"/>
      <c r="I363" s="9"/>
      <c r="J363" s="2"/>
      <c r="L363" s="9"/>
      <c r="M363" s="2"/>
      <c r="N363" s="9"/>
      <c r="P363" s="3">
        <v>-2860.169492</v>
      </c>
      <c r="S363" s="9"/>
      <c r="T363" s="2"/>
      <c r="U363" s="9"/>
    </row>
    <row r="364" spans="2:21" x14ac:dyDescent="0.35">
      <c r="B364" s="9"/>
      <c r="C364" s="2"/>
      <c r="D364" s="2"/>
      <c r="I364" s="9"/>
      <c r="J364" s="2"/>
      <c r="L364" s="9"/>
      <c r="M364" s="2"/>
      <c r="N364" s="9"/>
      <c r="P364" s="3">
        <v>-2860.169492</v>
      </c>
      <c r="S364" s="9"/>
      <c r="T364" s="2"/>
      <c r="U364" s="9"/>
    </row>
    <row r="365" spans="2:21" x14ac:dyDescent="0.35">
      <c r="B365" s="9"/>
      <c r="C365" s="2"/>
      <c r="D365" s="2"/>
      <c r="I365" s="9"/>
      <c r="J365" s="2"/>
      <c r="L365" s="9"/>
      <c r="M365" s="2"/>
      <c r="N365" s="9"/>
      <c r="P365" s="3">
        <v>-2860.169492</v>
      </c>
      <c r="S365" s="9"/>
      <c r="T365" s="2"/>
      <c r="U365" s="9"/>
    </row>
    <row r="366" spans="2:21" x14ac:dyDescent="0.35">
      <c r="B366" s="9"/>
      <c r="C366" s="2"/>
      <c r="D366" s="2"/>
      <c r="I366" s="9"/>
      <c r="J366" s="2"/>
      <c r="L366" s="9"/>
      <c r="M366" s="2"/>
      <c r="N366" s="9"/>
      <c r="P366" s="3">
        <v>-2860.169492</v>
      </c>
      <c r="S366" s="9"/>
      <c r="T366" s="2"/>
      <c r="U366" s="9"/>
    </row>
    <row r="367" spans="2:21" x14ac:dyDescent="0.35">
      <c r="B367" s="9"/>
      <c r="C367" s="2"/>
      <c r="D367" s="2"/>
      <c r="I367" s="9"/>
      <c r="J367" s="2"/>
      <c r="L367" s="9"/>
      <c r="M367" s="2"/>
      <c r="N367" s="9"/>
      <c r="P367" s="3">
        <v>-2860.169492</v>
      </c>
      <c r="S367" s="9"/>
      <c r="T367" s="2"/>
      <c r="U367" s="9"/>
    </row>
    <row r="368" spans="2:21" x14ac:dyDescent="0.35">
      <c r="B368" s="9"/>
      <c r="C368" s="2"/>
      <c r="D368" s="2"/>
      <c r="I368" s="9"/>
      <c r="J368" s="2"/>
      <c r="L368" s="9"/>
      <c r="M368" s="2"/>
      <c r="N368" s="9"/>
      <c r="P368" s="3">
        <v>-2860.169492</v>
      </c>
      <c r="S368" s="9"/>
      <c r="T368" s="2"/>
      <c r="U368" s="9"/>
    </row>
    <row r="369" spans="2:21" x14ac:dyDescent="0.35">
      <c r="B369" s="9"/>
      <c r="C369" s="2"/>
      <c r="D369" s="2"/>
      <c r="I369" s="9"/>
      <c r="J369" s="2"/>
      <c r="L369" s="9"/>
      <c r="M369" s="2"/>
      <c r="N369" s="9"/>
      <c r="P369" s="3">
        <v>-2860.169492</v>
      </c>
      <c r="S369" s="9"/>
      <c r="T369" s="2"/>
      <c r="U369" s="9"/>
    </row>
    <row r="370" spans="2:21" x14ac:dyDescent="0.35">
      <c r="B370" s="9"/>
      <c r="C370" s="2"/>
      <c r="D370" s="2"/>
      <c r="I370" s="9"/>
      <c r="J370" s="2"/>
      <c r="L370" s="9"/>
      <c r="M370" s="2"/>
      <c r="N370" s="9"/>
      <c r="P370" s="3">
        <v>-2860.169492</v>
      </c>
      <c r="S370" s="9"/>
      <c r="T370" s="2"/>
      <c r="U370" s="9"/>
    </row>
    <row r="371" spans="2:21" x14ac:dyDescent="0.35">
      <c r="B371" s="9"/>
      <c r="C371" s="2"/>
      <c r="D371" s="2"/>
      <c r="I371" s="9"/>
      <c r="J371" s="2"/>
      <c r="L371" s="9"/>
      <c r="M371" s="2"/>
      <c r="N371" s="9"/>
      <c r="P371" s="3">
        <v>-2860.169492</v>
      </c>
      <c r="S371" s="9"/>
      <c r="T371" s="2"/>
      <c r="U371" s="9"/>
    </row>
    <row r="372" spans="2:21" x14ac:dyDescent="0.35">
      <c r="B372" s="9"/>
      <c r="C372" s="2"/>
      <c r="D372" s="2"/>
      <c r="I372" s="9"/>
      <c r="J372" s="2"/>
      <c r="L372" s="9"/>
      <c r="M372" s="2"/>
      <c r="N372" s="9"/>
      <c r="P372" s="3">
        <v>-2860.169492</v>
      </c>
      <c r="S372" s="9"/>
      <c r="T372" s="2"/>
      <c r="U372" s="9"/>
    </row>
    <row r="373" spans="2:21" x14ac:dyDescent="0.35">
      <c r="B373" s="9"/>
      <c r="C373" s="2"/>
      <c r="D373" s="2"/>
      <c r="I373" s="9"/>
      <c r="J373" s="2"/>
      <c r="L373" s="9"/>
      <c r="M373" s="2"/>
      <c r="N373" s="9"/>
      <c r="P373" s="3">
        <v>-2835.8950482999999</v>
      </c>
      <c r="S373" s="9"/>
      <c r="T373" s="2"/>
      <c r="U373" s="9"/>
    </row>
    <row r="374" spans="2:21" x14ac:dyDescent="0.35">
      <c r="B374" s="9"/>
      <c r="C374" s="2"/>
      <c r="D374" s="2"/>
      <c r="I374" s="9"/>
      <c r="J374" s="2"/>
      <c r="L374" s="9"/>
      <c r="M374" s="2"/>
      <c r="N374" s="9"/>
      <c r="P374" s="3">
        <v>-2668.5864818199998</v>
      </c>
      <c r="S374" s="9"/>
      <c r="T374" s="2"/>
      <c r="U374" s="9"/>
    </row>
    <row r="375" spans="2:21" x14ac:dyDescent="0.35">
      <c r="B375" s="9"/>
      <c r="C375" s="2"/>
      <c r="D375" s="2"/>
      <c r="I375" s="9"/>
      <c r="J375" s="2"/>
      <c r="L375" s="9"/>
      <c r="M375" s="2"/>
      <c r="N375" s="9"/>
      <c r="P375" s="3">
        <v>-2860.169492</v>
      </c>
      <c r="S375" s="9"/>
      <c r="T375" s="2"/>
      <c r="U375" s="9"/>
    </row>
    <row r="376" spans="2:21" x14ac:dyDescent="0.35">
      <c r="B376" s="9"/>
      <c r="C376" s="2"/>
      <c r="D376" s="2"/>
      <c r="I376" s="9"/>
      <c r="J376" s="2"/>
      <c r="L376" s="9"/>
      <c r="M376" s="2"/>
      <c r="N376" s="9"/>
      <c r="P376" s="3">
        <v>-2425.4094919999998</v>
      </c>
      <c r="S376" s="9"/>
      <c r="T376" s="2"/>
      <c r="U376" s="9"/>
    </row>
    <row r="377" spans="2:21" x14ac:dyDescent="0.35">
      <c r="B377" s="9"/>
      <c r="C377" s="2"/>
      <c r="D377" s="2"/>
      <c r="I377" s="9"/>
      <c r="J377" s="2"/>
      <c r="L377" s="9"/>
      <c r="M377" s="2"/>
      <c r="N377" s="9"/>
      <c r="P377" s="3">
        <v>-1990.649492</v>
      </c>
      <c r="S377" s="9"/>
      <c r="T377" s="2"/>
      <c r="U377" s="9"/>
    </row>
    <row r="378" spans="2:21" x14ac:dyDescent="0.35">
      <c r="B378" s="9"/>
      <c r="C378" s="2"/>
      <c r="D378" s="2"/>
      <c r="I378" s="9"/>
      <c r="J378" s="2"/>
      <c r="L378" s="9"/>
      <c r="M378" s="2"/>
      <c r="N378" s="9"/>
      <c r="P378" s="3">
        <v>-1555.889492</v>
      </c>
      <c r="S378" s="9"/>
      <c r="T378" s="2"/>
      <c r="U378" s="9"/>
    </row>
    <row r="379" spans="2:21" x14ac:dyDescent="0.35">
      <c r="B379" s="9"/>
      <c r="C379" s="2"/>
      <c r="D379" s="2"/>
      <c r="I379" s="9"/>
      <c r="J379" s="2"/>
      <c r="L379" s="9"/>
      <c r="M379" s="2"/>
      <c r="N379" s="9"/>
      <c r="P379" s="3">
        <v>-1121.129492</v>
      </c>
      <c r="S379" s="9"/>
      <c r="T379" s="2"/>
      <c r="U379" s="9"/>
    </row>
    <row r="380" spans="2:21" x14ac:dyDescent="0.35">
      <c r="B380" s="9"/>
      <c r="C380" s="2"/>
      <c r="D380" s="2"/>
      <c r="I380" s="9"/>
      <c r="J380" s="2"/>
      <c r="L380" s="9"/>
      <c r="M380" s="2"/>
      <c r="N380" s="9"/>
      <c r="P380" s="3">
        <v>-686.36949200000004</v>
      </c>
      <c r="S380" s="9"/>
      <c r="T380" s="2"/>
      <c r="U380" s="9"/>
    </row>
    <row r="381" spans="2:21" x14ac:dyDescent="0.35">
      <c r="B381" s="9"/>
      <c r="C381" s="2"/>
      <c r="D381" s="2"/>
      <c r="I381" s="9"/>
      <c r="J381" s="2"/>
      <c r="L381" s="9"/>
      <c r="M381" s="2"/>
      <c r="N381" s="9"/>
      <c r="P381" s="3">
        <v>-251.60949199999999</v>
      </c>
      <c r="S381" s="9"/>
      <c r="T381" s="2"/>
      <c r="U381" s="9"/>
    </row>
    <row r="382" spans="2:21" x14ac:dyDescent="0.35">
      <c r="B382" s="9"/>
      <c r="C382" s="2"/>
      <c r="D382" s="2"/>
      <c r="I382" s="9"/>
      <c r="J382" s="2"/>
      <c r="L382" s="9"/>
      <c r="M382" s="2"/>
      <c r="N382" s="9"/>
      <c r="P382" s="3">
        <v>0</v>
      </c>
      <c r="S382" s="9"/>
      <c r="T382" s="2"/>
      <c r="U382" s="9"/>
    </row>
    <row r="383" spans="2:21" x14ac:dyDescent="0.35">
      <c r="B383" s="9"/>
      <c r="C383" s="2"/>
      <c r="D383" s="2"/>
      <c r="I383" s="9"/>
      <c r="J383" s="2"/>
      <c r="L383" s="9"/>
      <c r="M383" s="2"/>
      <c r="N383" s="9"/>
      <c r="P383" s="3">
        <v>-149.82174182</v>
      </c>
      <c r="S383" s="9"/>
      <c r="T383" s="2"/>
      <c r="U383" s="9"/>
    </row>
    <row r="384" spans="2:21" x14ac:dyDescent="0.35">
      <c r="B384" s="9"/>
      <c r="C384" s="2"/>
      <c r="D384" s="2"/>
      <c r="I384" s="9"/>
      <c r="J384" s="2"/>
      <c r="L384" s="9"/>
      <c r="M384" s="2"/>
      <c r="N384" s="9"/>
      <c r="P384" s="3">
        <v>284.93825817999999</v>
      </c>
      <c r="S384" s="9"/>
      <c r="T384" s="2"/>
      <c r="U384" s="9"/>
    </row>
    <row r="385" spans="2:21" x14ac:dyDescent="0.35">
      <c r="B385" s="9"/>
      <c r="C385" s="2"/>
      <c r="D385" s="2"/>
      <c r="I385" s="9"/>
      <c r="J385" s="2"/>
      <c r="L385" s="9"/>
      <c r="M385" s="2"/>
      <c r="N385" s="9"/>
      <c r="P385" s="3">
        <v>431.74820742000003</v>
      </c>
      <c r="S385" s="9"/>
      <c r="T385" s="2"/>
      <c r="U385" s="9"/>
    </row>
    <row r="386" spans="2:21" x14ac:dyDescent="0.35">
      <c r="B386" s="9"/>
      <c r="C386" s="2"/>
      <c r="D386" s="2"/>
      <c r="I386" s="9"/>
      <c r="J386" s="2"/>
      <c r="L386" s="9"/>
      <c r="M386" s="2"/>
      <c r="N386" s="9"/>
      <c r="P386" s="3">
        <v>497.87598692</v>
      </c>
      <c r="S386" s="9"/>
      <c r="T386" s="2"/>
      <c r="U386" s="9"/>
    </row>
    <row r="387" spans="2:21" x14ac:dyDescent="0.35">
      <c r="B387" s="9"/>
      <c r="C387" s="2"/>
      <c r="D387" s="2"/>
      <c r="I387" s="9"/>
      <c r="J387" s="2"/>
      <c r="L387" s="9"/>
      <c r="M387" s="2"/>
      <c r="N387" s="9"/>
      <c r="P387" s="3">
        <v>578.28049654999995</v>
      </c>
      <c r="S387" s="9"/>
      <c r="T387" s="2"/>
      <c r="U387" s="9"/>
    </row>
    <row r="388" spans="2:21" x14ac:dyDescent="0.35">
      <c r="B388" s="9"/>
      <c r="C388" s="2"/>
      <c r="D388" s="2"/>
      <c r="I388" s="9"/>
      <c r="J388" s="2"/>
      <c r="L388" s="9"/>
      <c r="M388" s="2"/>
      <c r="N388" s="9"/>
      <c r="P388" s="3">
        <v>665.45774629000005</v>
      </c>
      <c r="S388" s="9"/>
      <c r="T388" s="2"/>
      <c r="U388" s="9"/>
    </row>
    <row r="389" spans="2:21" x14ac:dyDescent="0.35">
      <c r="B389" s="9"/>
      <c r="C389" s="2"/>
      <c r="D389" s="2"/>
      <c r="I389" s="9"/>
      <c r="J389" s="2"/>
      <c r="L389" s="9"/>
      <c r="M389" s="2"/>
      <c r="N389" s="9"/>
      <c r="P389" s="3">
        <v>778.72333629000002</v>
      </c>
      <c r="S389" s="9"/>
      <c r="T389" s="2"/>
      <c r="U389" s="9"/>
    </row>
    <row r="390" spans="2:21" x14ac:dyDescent="0.35">
      <c r="B390" s="9"/>
      <c r="C390" s="2"/>
      <c r="D390" s="2"/>
      <c r="I390" s="9"/>
      <c r="J390" s="2"/>
      <c r="L390" s="9"/>
      <c r="M390" s="2"/>
      <c r="N390" s="9"/>
      <c r="P390" s="3">
        <v>768.18571287999998</v>
      </c>
      <c r="S390" s="9"/>
      <c r="T390" s="2"/>
      <c r="U390" s="9"/>
    </row>
    <row r="391" spans="2:21" x14ac:dyDescent="0.35">
      <c r="B391" s="9"/>
      <c r="C391" s="2"/>
      <c r="D391" s="2"/>
      <c r="I391" s="9"/>
      <c r="J391" s="2"/>
      <c r="L391" s="9"/>
      <c r="M391" s="2"/>
      <c r="N391" s="9"/>
      <c r="P391" s="3">
        <v>802.93240288000004</v>
      </c>
      <c r="S391" s="9"/>
      <c r="T391" s="2"/>
      <c r="U391" s="9"/>
    </row>
    <row r="392" spans="2:21" x14ac:dyDescent="0.35">
      <c r="B392" s="9"/>
      <c r="C392" s="2"/>
      <c r="D392" s="2"/>
      <c r="I392" s="9"/>
      <c r="J392" s="2"/>
      <c r="L392" s="9"/>
      <c r="M392" s="2"/>
      <c r="N392" s="9"/>
      <c r="P392" s="3">
        <v>791.98207288000003</v>
      </c>
      <c r="S392" s="9"/>
      <c r="T392" s="2"/>
      <c r="U392" s="9"/>
    </row>
    <row r="393" spans="2:21" x14ac:dyDescent="0.35">
      <c r="B393" s="9"/>
      <c r="C393" s="2"/>
      <c r="D393" s="2"/>
      <c r="I393" s="9"/>
      <c r="J393" s="2"/>
      <c r="L393" s="9"/>
      <c r="M393" s="2"/>
      <c r="N393" s="9"/>
      <c r="P393" s="3">
        <v>696.29111288000001</v>
      </c>
      <c r="S393" s="9"/>
      <c r="T393" s="2"/>
      <c r="U393" s="9"/>
    </row>
    <row r="394" spans="2:21" x14ac:dyDescent="0.35">
      <c r="B394" s="9"/>
      <c r="C394" s="2"/>
      <c r="D394" s="2"/>
      <c r="I394" s="9"/>
      <c r="J394" s="2"/>
      <c r="L394" s="9"/>
      <c r="M394" s="2"/>
      <c r="N394" s="9"/>
      <c r="P394" s="3">
        <v>519.39887288</v>
      </c>
      <c r="S394" s="9"/>
      <c r="T394" s="2"/>
      <c r="U394" s="9"/>
    </row>
    <row r="395" spans="2:21" x14ac:dyDescent="0.35">
      <c r="B395" s="9"/>
      <c r="C395" s="2"/>
      <c r="D395" s="2"/>
      <c r="I395" s="9"/>
      <c r="J395" s="2"/>
      <c r="L395" s="9"/>
      <c r="M395" s="2"/>
      <c r="N395" s="9"/>
      <c r="P395" s="3">
        <v>377.20778935999999</v>
      </c>
      <c r="S395" s="9"/>
      <c r="T395" s="2"/>
      <c r="U395" s="9"/>
    </row>
    <row r="396" spans="2:21" x14ac:dyDescent="0.35">
      <c r="B396" s="9"/>
      <c r="C396" s="2"/>
      <c r="D396" s="2"/>
      <c r="I396" s="9"/>
      <c r="J396" s="2"/>
      <c r="L396" s="9"/>
      <c r="M396" s="2"/>
      <c r="N396" s="9"/>
      <c r="P396" s="3">
        <v>191.27644584000001</v>
      </c>
      <c r="S396" s="9"/>
      <c r="T396" s="2"/>
      <c r="U396" s="9"/>
    </row>
    <row r="397" spans="2:21" x14ac:dyDescent="0.35">
      <c r="B397" s="9"/>
      <c r="C397" s="2"/>
      <c r="D397" s="2"/>
      <c r="I397" s="9"/>
      <c r="J397" s="2"/>
      <c r="L397" s="9"/>
      <c r="M397" s="2"/>
      <c r="N397" s="9"/>
      <c r="P397" s="3">
        <v>-153.43249170999999</v>
      </c>
      <c r="S397" s="9"/>
      <c r="T397" s="2"/>
      <c r="U397" s="9"/>
    </row>
    <row r="398" spans="2:21" x14ac:dyDescent="0.35">
      <c r="B398" s="9"/>
      <c r="C398" s="2"/>
      <c r="D398" s="2"/>
      <c r="I398" s="9"/>
      <c r="J398" s="2"/>
      <c r="L398" s="9"/>
      <c r="M398" s="2"/>
      <c r="N398" s="9"/>
      <c r="P398" s="3">
        <v>-478.04955523000001</v>
      </c>
      <c r="S398" s="9"/>
      <c r="T398" s="2"/>
      <c r="U398" s="9"/>
    </row>
    <row r="399" spans="2:21" x14ac:dyDescent="0.35">
      <c r="B399" s="9"/>
      <c r="C399" s="2"/>
      <c r="D399" s="2"/>
      <c r="I399" s="9"/>
      <c r="J399" s="2"/>
      <c r="L399" s="9"/>
      <c r="M399" s="2"/>
      <c r="N399" s="9"/>
      <c r="P399" s="3">
        <v>-912.80955523</v>
      </c>
      <c r="S399" s="9"/>
      <c r="T399" s="2"/>
      <c r="U399" s="9"/>
    </row>
    <row r="400" spans="2:21" x14ac:dyDescent="0.35">
      <c r="B400" s="9"/>
      <c r="C400" s="2"/>
      <c r="D400" s="2"/>
      <c r="I400" s="9"/>
      <c r="J400" s="2"/>
      <c r="L400" s="9"/>
      <c r="M400" s="2"/>
      <c r="N400" s="9"/>
      <c r="P400" s="3">
        <v>-478.04955523000001</v>
      </c>
      <c r="S400" s="9"/>
      <c r="T400" s="2"/>
      <c r="U400" s="9"/>
    </row>
    <row r="401" spans="2:21" x14ac:dyDescent="0.35">
      <c r="B401" s="9"/>
      <c r="C401" s="2"/>
      <c r="D401" s="2"/>
      <c r="I401" s="9"/>
      <c r="J401" s="2"/>
      <c r="L401" s="9"/>
      <c r="M401" s="2"/>
      <c r="N401" s="9"/>
      <c r="P401" s="3">
        <v>-616.71180715000003</v>
      </c>
      <c r="S401" s="9"/>
      <c r="T401" s="2"/>
      <c r="U401" s="9"/>
    </row>
    <row r="402" spans="2:21" x14ac:dyDescent="0.35">
      <c r="B402" s="9"/>
      <c r="C402" s="2"/>
      <c r="D402" s="2"/>
      <c r="I402" s="9"/>
      <c r="J402" s="2"/>
      <c r="L402" s="9"/>
      <c r="M402" s="2"/>
      <c r="N402" s="9"/>
      <c r="P402" s="3">
        <v>-1051.4718071499999</v>
      </c>
      <c r="S402" s="9"/>
      <c r="T402" s="2"/>
      <c r="U402" s="9"/>
    </row>
    <row r="403" spans="2:21" x14ac:dyDescent="0.35">
      <c r="B403" s="9"/>
      <c r="C403" s="2"/>
      <c r="D403" s="2"/>
      <c r="I403" s="9"/>
      <c r="J403" s="2"/>
      <c r="L403" s="9"/>
      <c r="M403" s="2"/>
      <c r="N403" s="9"/>
      <c r="P403" s="3">
        <v>-1486.2318071499999</v>
      </c>
      <c r="S403" s="9"/>
      <c r="T403" s="2"/>
      <c r="U403" s="9"/>
    </row>
    <row r="404" spans="2:21" x14ac:dyDescent="0.35">
      <c r="B404" s="9"/>
      <c r="C404" s="2"/>
      <c r="D404" s="2"/>
      <c r="I404" s="9"/>
      <c r="J404" s="2"/>
      <c r="L404" s="9"/>
      <c r="M404" s="2"/>
      <c r="N404" s="9"/>
      <c r="P404" s="3">
        <v>-1920.9918071500001</v>
      </c>
      <c r="S404" s="9"/>
      <c r="T404" s="2"/>
      <c r="U404" s="9"/>
    </row>
    <row r="405" spans="2:21" x14ac:dyDescent="0.35">
      <c r="B405" s="9"/>
      <c r="C405" s="2"/>
      <c r="D405" s="2"/>
      <c r="I405" s="9"/>
      <c r="J405" s="2"/>
      <c r="L405" s="9"/>
      <c r="M405" s="2"/>
      <c r="N405" s="9"/>
      <c r="P405" s="3">
        <v>-2355.7518071499999</v>
      </c>
      <c r="S405" s="9"/>
      <c r="T405" s="2"/>
      <c r="U405" s="9"/>
    </row>
    <row r="406" spans="2:21" x14ac:dyDescent="0.35">
      <c r="B406" s="9"/>
      <c r="C406" s="2"/>
      <c r="D406" s="2"/>
      <c r="I406" s="9"/>
      <c r="J406" s="2"/>
      <c r="L406" s="9"/>
      <c r="M406" s="2"/>
      <c r="N406" s="9"/>
      <c r="P406" s="3">
        <v>-2790.5118071500001</v>
      </c>
      <c r="S406" s="9"/>
      <c r="T406" s="2"/>
      <c r="U406" s="9"/>
    </row>
    <row r="407" spans="2:21" x14ac:dyDescent="0.35">
      <c r="B407" s="9"/>
      <c r="C407" s="2"/>
      <c r="D407" s="2"/>
      <c r="I407" s="9"/>
      <c r="J407" s="2"/>
      <c r="L407" s="9"/>
      <c r="M407" s="2"/>
      <c r="N407" s="9"/>
      <c r="P407" s="3">
        <v>-2860.169492</v>
      </c>
      <c r="S407" s="9"/>
      <c r="T407" s="2"/>
      <c r="U407" s="9"/>
    </row>
    <row r="408" spans="2:21" x14ac:dyDescent="0.35">
      <c r="B408" s="9"/>
      <c r="C408" s="2"/>
      <c r="D408" s="2"/>
      <c r="I408" s="9"/>
      <c r="J408" s="2"/>
      <c r="L408" s="9"/>
      <c r="M408" s="2"/>
      <c r="N408" s="9"/>
      <c r="P408" s="3">
        <v>-2860.169492</v>
      </c>
      <c r="S408" s="9"/>
      <c r="T408" s="2"/>
      <c r="U408" s="9"/>
    </row>
    <row r="409" spans="2:21" x14ac:dyDescent="0.35">
      <c r="B409" s="9"/>
      <c r="C409" s="2"/>
      <c r="D409" s="2"/>
      <c r="I409" s="9"/>
      <c r="J409" s="2"/>
      <c r="L409" s="9"/>
      <c r="M409" s="2"/>
      <c r="N409" s="9"/>
      <c r="P409" s="3">
        <v>-2860.169492</v>
      </c>
      <c r="S409" s="9"/>
      <c r="T409" s="2"/>
      <c r="U409" s="9"/>
    </row>
    <row r="410" spans="2:21" x14ac:dyDescent="0.35">
      <c r="B410" s="9"/>
      <c r="C410" s="2"/>
      <c r="D410" s="2"/>
      <c r="I410" s="9"/>
      <c r="J410" s="2"/>
      <c r="L410" s="9"/>
      <c r="M410" s="2"/>
      <c r="N410" s="9"/>
      <c r="P410" s="3">
        <v>-2860.169492</v>
      </c>
      <c r="S410" s="9"/>
      <c r="T410" s="2"/>
      <c r="U410" s="9"/>
    </row>
    <row r="411" spans="2:21" x14ac:dyDescent="0.35">
      <c r="B411" s="9"/>
      <c r="C411" s="2"/>
      <c r="D411" s="2"/>
      <c r="I411" s="9"/>
      <c r="J411" s="2"/>
      <c r="L411" s="9"/>
      <c r="M411" s="2"/>
      <c r="N411" s="9"/>
      <c r="P411" s="3">
        <v>-2860.169492</v>
      </c>
      <c r="S411" s="9"/>
      <c r="T411" s="2"/>
      <c r="U411" s="9"/>
    </row>
    <row r="412" spans="2:21" x14ac:dyDescent="0.35">
      <c r="B412" s="9"/>
      <c r="C412" s="2"/>
      <c r="D412" s="2"/>
      <c r="I412" s="9"/>
      <c r="J412" s="2"/>
      <c r="L412" s="9"/>
      <c r="M412" s="2"/>
      <c r="N412" s="9"/>
      <c r="P412" s="3">
        <v>-2860.169492</v>
      </c>
      <c r="S412" s="9"/>
      <c r="T412" s="2"/>
      <c r="U412" s="9"/>
    </row>
    <row r="413" spans="2:21" x14ac:dyDescent="0.35">
      <c r="B413" s="9"/>
      <c r="C413" s="2"/>
      <c r="D413" s="2"/>
      <c r="I413" s="9"/>
      <c r="J413" s="2"/>
      <c r="L413" s="9"/>
      <c r="M413" s="2"/>
      <c r="N413" s="9"/>
      <c r="P413" s="3">
        <v>-2860.169492</v>
      </c>
      <c r="S413" s="9"/>
      <c r="T413" s="2"/>
      <c r="U413" s="9"/>
    </row>
    <row r="414" spans="2:21" x14ac:dyDescent="0.35">
      <c r="B414" s="9"/>
      <c r="C414" s="2"/>
      <c r="D414" s="2"/>
      <c r="I414" s="9"/>
      <c r="J414" s="2"/>
      <c r="L414" s="9"/>
      <c r="M414" s="2"/>
      <c r="N414" s="9"/>
      <c r="P414" s="3">
        <v>-2860.169492</v>
      </c>
      <c r="S414" s="9"/>
      <c r="T414" s="2"/>
      <c r="U414" s="9"/>
    </row>
    <row r="415" spans="2:21" x14ac:dyDescent="0.35">
      <c r="B415" s="9"/>
      <c r="C415" s="2"/>
      <c r="D415" s="2"/>
      <c r="I415" s="9"/>
      <c r="J415" s="2"/>
      <c r="L415" s="9"/>
      <c r="M415" s="2"/>
      <c r="N415" s="9"/>
      <c r="P415" s="3">
        <v>-2860.169492</v>
      </c>
      <c r="S415" s="9"/>
      <c r="T415" s="2"/>
      <c r="U415" s="9"/>
    </row>
    <row r="416" spans="2:21" x14ac:dyDescent="0.35">
      <c r="B416" s="9"/>
      <c r="C416" s="2"/>
      <c r="D416" s="2"/>
      <c r="I416" s="9"/>
      <c r="J416" s="2"/>
      <c r="L416" s="9"/>
      <c r="M416" s="2"/>
      <c r="N416" s="9"/>
      <c r="P416" s="3">
        <v>-2860.169492</v>
      </c>
      <c r="S416" s="9"/>
      <c r="T416" s="2"/>
      <c r="U416" s="9"/>
    </row>
    <row r="417" spans="2:21" x14ac:dyDescent="0.35">
      <c r="B417" s="9"/>
      <c r="C417" s="2"/>
      <c r="D417" s="2"/>
      <c r="I417" s="9"/>
      <c r="J417" s="2"/>
      <c r="L417" s="9"/>
      <c r="M417" s="2"/>
      <c r="N417" s="9"/>
      <c r="P417" s="3">
        <v>-2860.169492</v>
      </c>
      <c r="S417" s="9"/>
      <c r="T417" s="2"/>
      <c r="U417" s="9"/>
    </row>
    <row r="418" spans="2:21" x14ac:dyDescent="0.35">
      <c r="B418" s="9"/>
      <c r="C418" s="2"/>
      <c r="D418" s="2"/>
      <c r="I418" s="9"/>
      <c r="J418" s="2"/>
      <c r="L418" s="9"/>
      <c r="M418" s="2"/>
      <c r="N418" s="9"/>
      <c r="P418" s="3">
        <v>-2860.169492</v>
      </c>
      <c r="S418" s="9"/>
      <c r="T418" s="2"/>
      <c r="U418" s="9"/>
    </row>
    <row r="419" spans="2:21" x14ac:dyDescent="0.35">
      <c r="B419" s="9"/>
      <c r="C419" s="2"/>
      <c r="D419" s="2"/>
      <c r="I419" s="9"/>
      <c r="J419" s="2"/>
      <c r="L419" s="9"/>
      <c r="M419" s="2"/>
      <c r="N419" s="9"/>
      <c r="P419" s="3">
        <v>-2426.0184218499999</v>
      </c>
      <c r="S419" s="9"/>
      <c r="T419" s="2"/>
      <c r="U419" s="9"/>
    </row>
    <row r="420" spans="2:21" x14ac:dyDescent="0.35">
      <c r="B420" s="9"/>
      <c r="C420" s="2"/>
      <c r="D420" s="2"/>
      <c r="I420" s="9"/>
      <c r="J420" s="2"/>
      <c r="L420" s="9"/>
      <c r="M420" s="2"/>
      <c r="N420" s="9"/>
      <c r="P420" s="3">
        <v>-1991.2584218500001</v>
      </c>
      <c r="S420" s="9"/>
      <c r="T420" s="2"/>
      <c r="U420" s="9"/>
    </row>
    <row r="421" spans="2:21" x14ac:dyDescent="0.35">
      <c r="B421" s="9"/>
      <c r="C421" s="2"/>
      <c r="D421" s="2"/>
      <c r="I421" s="9"/>
      <c r="J421" s="2"/>
      <c r="L421" s="9"/>
      <c r="M421" s="2"/>
      <c r="N421" s="9"/>
      <c r="P421" s="3">
        <v>-1556.4984218500001</v>
      </c>
      <c r="S421" s="9"/>
      <c r="T421" s="2"/>
      <c r="U421" s="9"/>
    </row>
    <row r="422" spans="2:21" x14ac:dyDescent="0.35">
      <c r="B422" s="9"/>
      <c r="C422" s="2"/>
      <c r="D422" s="2"/>
      <c r="I422" s="9"/>
      <c r="J422" s="2"/>
      <c r="L422" s="9"/>
      <c r="M422" s="2"/>
      <c r="N422" s="9"/>
      <c r="P422" s="3">
        <v>-1121.7384218499999</v>
      </c>
      <c r="S422" s="9"/>
      <c r="T422" s="2"/>
      <c r="U422" s="9"/>
    </row>
    <row r="423" spans="2:21" x14ac:dyDescent="0.35">
      <c r="B423" s="9"/>
      <c r="C423" s="2"/>
      <c r="D423" s="2"/>
      <c r="I423" s="9"/>
      <c r="J423" s="2"/>
      <c r="L423" s="9"/>
      <c r="M423" s="2"/>
      <c r="N423" s="9"/>
      <c r="P423" s="3">
        <v>-686.97842185000002</v>
      </c>
      <c r="S423" s="9"/>
      <c r="T423" s="2"/>
      <c r="U423" s="9"/>
    </row>
    <row r="424" spans="2:21" x14ac:dyDescent="0.35">
      <c r="B424" s="9"/>
      <c r="C424" s="2"/>
      <c r="D424" s="2"/>
      <c r="I424" s="9"/>
      <c r="J424" s="2"/>
      <c r="L424" s="9"/>
      <c r="M424" s="2"/>
      <c r="N424" s="9"/>
      <c r="P424" s="3">
        <v>-551.84189160000005</v>
      </c>
      <c r="S424" s="9"/>
      <c r="T424" s="2"/>
      <c r="U424" s="9"/>
    </row>
    <row r="425" spans="2:21" x14ac:dyDescent="0.35">
      <c r="B425" s="9"/>
      <c r="C425" s="2"/>
      <c r="D425" s="2"/>
      <c r="I425" s="9"/>
      <c r="J425" s="2"/>
      <c r="L425" s="9"/>
      <c r="M425" s="2"/>
      <c r="N425" s="9"/>
      <c r="P425" s="3">
        <v>-842.64085160000002</v>
      </c>
      <c r="S425" s="9"/>
      <c r="T425" s="2"/>
      <c r="U425" s="9"/>
    </row>
    <row r="426" spans="2:21" x14ac:dyDescent="0.35">
      <c r="B426" s="9"/>
      <c r="C426" s="2"/>
      <c r="D426" s="2"/>
      <c r="I426" s="9"/>
      <c r="J426" s="2"/>
      <c r="L426" s="9"/>
      <c r="M426" s="2"/>
      <c r="N426" s="9"/>
      <c r="P426" s="3">
        <v>-1277.4008515999999</v>
      </c>
      <c r="S426" s="9"/>
      <c r="T426" s="2"/>
      <c r="U426" s="9"/>
    </row>
    <row r="427" spans="2:21" x14ac:dyDescent="0.35">
      <c r="B427" s="9"/>
      <c r="C427" s="2"/>
      <c r="D427" s="2"/>
      <c r="I427" s="9"/>
      <c r="J427" s="2"/>
      <c r="L427" s="9"/>
      <c r="M427" s="2"/>
      <c r="N427" s="9"/>
      <c r="P427" s="3">
        <v>-1712.1608515999999</v>
      </c>
      <c r="S427" s="9"/>
      <c r="T427" s="2"/>
      <c r="U427" s="9"/>
    </row>
    <row r="428" spans="2:21" x14ac:dyDescent="0.35">
      <c r="B428" s="9"/>
      <c r="C428" s="2"/>
      <c r="D428" s="2"/>
      <c r="I428" s="9"/>
      <c r="J428" s="2"/>
      <c r="L428" s="9"/>
      <c r="M428" s="2"/>
      <c r="N428" s="9"/>
      <c r="P428" s="3">
        <v>-2146.9208515999999</v>
      </c>
      <c r="S428" s="9"/>
      <c r="T428" s="2"/>
      <c r="U428" s="9"/>
    </row>
    <row r="429" spans="2:21" x14ac:dyDescent="0.35">
      <c r="B429" s="9"/>
      <c r="C429" s="2"/>
      <c r="D429" s="2"/>
      <c r="I429" s="9"/>
      <c r="J429" s="2"/>
      <c r="L429" s="9"/>
      <c r="M429" s="2"/>
      <c r="N429" s="9"/>
      <c r="P429" s="3">
        <v>-2581.6808516000001</v>
      </c>
      <c r="S429" s="9"/>
      <c r="T429" s="2"/>
      <c r="U429" s="9"/>
    </row>
    <row r="430" spans="2:21" x14ac:dyDescent="0.35">
      <c r="B430" s="9"/>
      <c r="C430" s="2"/>
      <c r="D430" s="2"/>
      <c r="I430" s="9"/>
      <c r="J430" s="2"/>
      <c r="L430" s="9"/>
      <c r="M430" s="2"/>
      <c r="N430" s="9"/>
      <c r="P430" s="3">
        <v>-2792.3442618499998</v>
      </c>
      <c r="S430" s="9"/>
      <c r="T430" s="2"/>
      <c r="U430" s="9"/>
    </row>
    <row r="431" spans="2:21" x14ac:dyDescent="0.35">
      <c r="B431" s="9"/>
      <c r="C431" s="2"/>
      <c r="D431" s="2"/>
      <c r="I431" s="9"/>
      <c r="J431" s="2"/>
      <c r="L431" s="9"/>
      <c r="M431" s="2"/>
      <c r="N431" s="9"/>
      <c r="P431" s="3">
        <v>-2674.8676618499999</v>
      </c>
      <c r="S431" s="9"/>
      <c r="T431" s="2"/>
      <c r="U431" s="9"/>
    </row>
    <row r="432" spans="2:21" x14ac:dyDescent="0.35">
      <c r="B432" s="9"/>
      <c r="C432" s="2"/>
      <c r="D432" s="2"/>
      <c r="I432" s="9"/>
      <c r="J432" s="2"/>
      <c r="L432" s="9"/>
      <c r="M432" s="2"/>
      <c r="N432" s="9"/>
      <c r="P432" s="3">
        <v>-2690.1759718500002</v>
      </c>
      <c r="S432" s="9"/>
      <c r="T432" s="2"/>
      <c r="U432" s="9"/>
    </row>
    <row r="433" spans="2:21" x14ac:dyDescent="0.35">
      <c r="B433" s="9"/>
      <c r="C433" s="2"/>
      <c r="D433" s="2"/>
      <c r="I433" s="9"/>
      <c r="J433" s="2"/>
      <c r="L433" s="9"/>
      <c r="M433" s="2"/>
      <c r="N433" s="9"/>
      <c r="P433" s="3">
        <v>-2860.169492</v>
      </c>
      <c r="S433" s="9"/>
      <c r="T433" s="2"/>
      <c r="U433" s="9"/>
    </row>
    <row r="434" spans="2:21" x14ac:dyDescent="0.35">
      <c r="B434" s="9"/>
      <c r="C434" s="2"/>
      <c r="D434" s="2"/>
      <c r="I434" s="9"/>
      <c r="J434" s="2"/>
      <c r="L434" s="9"/>
      <c r="M434" s="2"/>
      <c r="N434" s="9"/>
      <c r="P434" s="3">
        <v>-2860.169492</v>
      </c>
      <c r="S434" s="9"/>
      <c r="T434" s="2"/>
      <c r="U434" s="9"/>
    </row>
    <row r="435" spans="2:21" x14ac:dyDescent="0.35">
      <c r="B435" s="9"/>
      <c r="C435" s="2"/>
      <c r="D435" s="2"/>
      <c r="I435" s="9"/>
      <c r="J435" s="2"/>
      <c r="L435" s="9"/>
      <c r="M435" s="2"/>
      <c r="N435" s="9"/>
      <c r="P435" s="3">
        <v>-2860.169492</v>
      </c>
      <c r="S435" s="9"/>
      <c r="T435" s="2"/>
      <c r="U435" s="9"/>
    </row>
    <row r="436" spans="2:21" x14ac:dyDescent="0.35">
      <c r="B436" s="9"/>
      <c r="C436" s="2"/>
      <c r="D436" s="2"/>
      <c r="I436" s="9"/>
      <c r="J436" s="2"/>
      <c r="L436" s="9"/>
      <c r="M436" s="2"/>
      <c r="N436" s="9"/>
      <c r="P436" s="3">
        <v>-2860.169492</v>
      </c>
      <c r="S436" s="9"/>
      <c r="T436" s="2"/>
      <c r="U436" s="9"/>
    </row>
    <row r="437" spans="2:21" x14ac:dyDescent="0.35">
      <c r="B437" s="9"/>
      <c r="C437" s="2"/>
      <c r="D437" s="2"/>
      <c r="I437" s="9"/>
      <c r="J437" s="2"/>
      <c r="L437" s="9"/>
      <c r="M437" s="2"/>
      <c r="N437" s="9"/>
      <c r="P437" s="3">
        <v>-2860.169492</v>
      </c>
      <c r="S437" s="9"/>
      <c r="T437" s="2"/>
      <c r="U437" s="9"/>
    </row>
    <row r="438" spans="2:21" x14ac:dyDescent="0.35">
      <c r="B438" s="9"/>
      <c r="C438" s="2"/>
      <c r="D438" s="2"/>
      <c r="I438" s="9"/>
      <c r="J438" s="2"/>
      <c r="L438" s="9"/>
      <c r="M438" s="2"/>
      <c r="N438" s="9"/>
      <c r="P438" s="3">
        <v>-2860.169492</v>
      </c>
      <c r="S438" s="9"/>
      <c r="T438" s="2"/>
      <c r="U438" s="9"/>
    </row>
    <row r="439" spans="2:21" x14ac:dyDescent="0.35">
      <c r="B439" s="9"/>
      <c r="C439" s="2"/>
      <c r="D439" s="2"/>
      <c r="I439" s="9"/>
      <c r="J439" s="2"/>
      <c r="L439" s="9"/>
      <c r="M439" s="2"/>
      <c r="N439" s="9"/>
      <c r="P439" s="3">
        <v>-2860.169492</v>
      </c>
      <c r="S439" s="9"/>
      <c r="T439" s="2"/>
      <c r="U439" s="9"/>
    </row>
    <row r="440" spans="2:21" x14ac:dyDescent="0.35">
      <c r="B440" s="9"/>
      <c r="C440" s="2"/>
      <c r="D440" s="2"/>
      <c r="I440" s="9"/>
      <c r="J440" s="2"/>
      <c r="L440" s="9"/>
      <c r="M440" s="2"/>
      <c r="N440" s="9"/>
      <c r="P440" s="3">
        <v>-2860.169492</v>
      </c>
      <c r="S440" s="9"/>
      <c r="T440" s="2"/>
      <c r="U440" s="9"/>
    </row>
    <row r="441" spans="2:21" x14ac:dyDescent="0.35">
      <c r="B441" s="9"/>
      <c r="C441" s="2"/>
      <c r="D441" s="2"/>
      <c r="I441" s="9"/>
      <c r="J441" s="2"/>
      <c r="L441" s="9"/>
      <c r="M441" s="2"/>
      <c r="N441" s="9"/>
      <c r="P441" s="3">
        <v>-2758.5710272199999</v>
      </c>
      <c r="S441" s="9"/>
      <c r="T441" s="2"/>
      <c r="U441" s="9"/>
    </row>
    <row r="442" spans="2:21" x14ac:dyDescent="0.35">
      <c r="B442" s="9"/>
      <c r="C442" s="2"/>
      <c r="D442" s="2"/>
      <c r="I442" s="9"/>
      <c r="J442" s="2"/>
      <c r="L442" s="9"/>
      <c r="M442" s="2"/>
      <c r="N442" s="9"/>
      <c r="P442" s="3">
        <v>-2573.29502869</v>
      </c>
      <c r="S442" s="9"/>
      <c r="T442" s="2"/>
      <c r="U442" s="9"/>
    </row>
    <row r="443" spans="2:21" x14ac:dyDescent="0.35">
      <c r="B443" s="9"/>
      <c r="C443" s="2"/>
      <c r="D443" s="2"/>
      <c r="I443" s="9"/>
      <c r="J443" s="2"/>
      <c r="L443" s="9"/>
      <c r="M443" s="2"/>
      <c r="N443" s="9"/>
      <c r="P443" s="3">
        <v>-2553.1297046200002</v>
      </c>
      <c r="S443" s="9"/>
      <c r="T443" s="2"/>
      <c r="U443" s="9"/>
    </row>
    <row r="444" spans="2:21" x14ac:dyDescent="0.35">
      <c r="B444" s="9"/>
      <c r="C444" s="2"/>
      <c r="D444" s="2"/>
      <c r="I444" s="9"/>
      <c r="J444" s="2"/>
      <c r="L444" s="9"/>
      <c r="M444" s="2"/>
      <c r="N444" s="9"/>
      <c r="P444" s="3">
        <v>-2718.4757934600002</v>
      </c>
      <c r="S444" s="9"/>
      <c r="T444" s="2"/>
      <c r="U444" s="9"/>
    </row>
    <row r="445" spans="2:21" x14ac:dyDescent="0.35">
      <c r="B445" s="9"/>
      <c r="C445" s="2"/>
      <c r="D445" s="2"/>
      <c r="I445" s="9"/>
      <c r="J445" s="2"/>
      <c r="L445" s="9"/>
      <c r="M445" s="2"/>
      <c r="N445" s="9"/>
      <c r="P445" s="3">
        <v>-2283.71579346</v>
      </c>
      <c r="S445" s="9"/>
      <c r="T445" s="2"/>
      <c r="U445" s="9"/>
    </row>
    <row r="446" spans="2:21" x14ac:dyDescent="0.35">
      <c r="B446" s="9"/>
      <c r="C446" s="2"/>
      <c r="D446" s="2"/>
      <c r="I446" s="9"/>
      <c r="J446" s="2"/>
      <c r="L446" s="9"/>
      <c r="M446" s="2"/>
      <c r="N446" s="9"/>
      <c r="P446" s="3">
        <v>-1848.95579346</v>
      </c>
      <c r="S446" s="9"/>
      <c r="T446" s="2"/>
      <c r="U446" s="9"/>
    </row>
    <row r="447" spans="2:21" x14ac:dyDescent="0.35">
      <c r="B447" s="9"/>
      <c r="C447" s="2"/>
      <c r="D447" s="2"/>
      <c r="I447" s="9"/>
      <c r="J447" s="2"/>
      <c r="L447" s="9"/>
      <c r="M447" s="2"/>
      <c r="N447" s="9"/>
      <c r="P447" s="3">
        <v>-1414.19579346</v>
      </c>
      <c r="S447" s="9"/>
      <c r="T447" s="2"/>
      <c r="U447" s="9"/>
    </row>
    <row r="448" spans="2:21" x14ac:dyDescent="0.35">
      <c r="B448" s="9"/>
      <c r="C448" s="2"/>
      <c r="D448" s="2"/>
      <c r="I448" s="9"/>
      <c r="J448" s="2"/>
      <c r="L448" s="9"/>
      <c r="M448" s="2"/>
      <c r="N448" s="9"/>
      <c r="P448" s="3">
        <v>-979.43579346000001</v>
      </c>
      <c r="S448" s="9"/>
      <c r="T448" s="2"/>
      <c r="U448" s="9"/>
    </row>
    <row r="449" spans="2:21" x14ac:dyDescent="0.35">
      <c r="B449" s="9"/>
      <c r="C449" s="2"/>
      <c r="D449" s="2"/>
      <c r="I449" s="9"/>
      <c r="J449" s="2"/>
      <c r="L449" s="9"/>
      <c r="M449" s="2"/>
      <c r="N449" s="9"/>
      <c r="P449" s="3">
        <v>-544.67579346000002</v>
      </c>
      <c r="S449" s="9"/>
      <c r="T449" s="2"/>
      <c r="U449" s="9"/>
    </row>
    <row r="450" spans="2:21" x14ac:dyDescent="0.35">
      <c r="B450" s="9"/>
      <c r="C450" s="2"/>
      <c r="D450" s="2"/>
      <c r="I450" s="9"/>
      <c r="J450" s="2"/>
      <c r="L450" s="9"/>
      <c r="M450" s="2"/>
      <c r="N450" s="9"/>
      <c r="P450" s="3">
        <v>-109.91579346</v>
      </c>
      <c r="S450" s="9"/>
      <c r="T450" s="2"/>
      <c r="U450" s="9"/>
    </row>
    <row r="451" spans="2:21" x14ac:dyDescent="0.35">
      <c r="B451" s="9"/>
      <c r="C451" s="2"/>
      <c r="D451" s="2"/>
      <c r="I451" s="9"/>
      <c r="J451" s="2"/>
      <c r="L451" s="9"/>
      <c r="M451" s="2"/>
      <c r="N451" s="9"/>
      <c r="P451" s="3">
        <v>0</v>
      </c>
      <c r="S451" s="9"/>
      <c r="T451" s="2"/>
      <c r="U451" s="9"/>
    </row>
    <row r="452" spans="2:21" x14ac:dyDescent="0.35">
      <c r="B452" s="9"/>
      <c r="C452" s="2"/>
      <c r="D452" s="2"/>
      <c r="I452" s="9"/>
      <c r="J452" s="2"/>
      <c r="L452" s="9"/>
      <c r="M452" s="2"/>
      <c r="N452" s="9"/>
      <c r="P452" s="3">
        <v>0</v>
      </c>
      <c r="S452" s="9"/>
      <c r="T452" s="2"/>
      <c r="U452" s="9"/>
    </row>
    <row r="453" spans="2:21" x14ac:dyDescent="0.35">
      <c r="B453" s="9"/>
      <c r="C453" s="2"/>
      <c r="D453" s="2"/>
      <c r="I453" s="9"/>
      <c r="J453" s="2"/>
      <c r="L453" s="9"/>
      <c r="M453" s="2"/>
      <c r="N453" s="9"/>
      <c r="P453" s="3">
        <v>0</v>
      </c>
      <c r="S453" s="9"/>
      <c r="T453" s="2"/>
      <c r="U453" s="9"/>
    </row>
    <row r="454" spans="2:21" x14ac:dyDescent="0.35">
      <c r="B454" s="9"/>
      <c r="C454" s="2"/>
      <c r="D454" s="2"/>
      <c r="I454" s="9"/>
      <c r="J454" s="2"/>
      <c r="L454" s="9"/>
      <c r="M454" s="2"/>
      <c r="N454" s="9"/>
      <c r="P454" s="3">
        <v>-434.76</v>
      </c>
      <c r="S454" s="9"/>
      <c r="T454" s="2"/>
      <c r="U454" s="9"/>
    </row>
    <row r="455" spans="2:21" x14ac:dyDescent="0.35">
      <c r="B455" s="9"/>
      <c r="C455" s="2"/>
      <c r="D455" s="2"/>
      <c r="I455" s="9"/>
      <c r="J455" s="2"/>
      <c r="L455" s="9"/>
      <c r="M455" s="2"/>
      <c r="N455" s="9"/>
      <c r="P455" s="3">
        <v>-869.52</v>
      </c>
      <c r="S455" s="9"/>
      <c r="T455" s="2"/>
      <c r="U455" s="9"/>
    </row>
    <row r="456" spans="2:21" x14ac:dyDescent="0.35">
      <c r="B456" s="9"/>
      <c r="C456" s="2"/>
      <c r="D456" s="2"/>
      <c r="I456" s="9"/>
      <c r="J456" s="2"/>
      <c r="L456" s="9"/>
      <c r="M456" s="2"/>
      <c r="N456" s="9"/>
      <c r="P456" s="3">
        <v>-1304.28</v>
      </c>
      <c r="S456" s="9"/>
      <c r="T456" s="2"/>
      <c r="U456" s="9"/>
    </row>
    <row r="457" spans="2:21" x14ac:dyDescent="0.35">
      <c r="B457" s="9"/>
      <c r="C457" s="2"/>
      <c r="D457" s="2"/>
      <c r="I457" s="9"/>
      <c r="J457" s="2"/>
      <c r="L457" s="9"/>
      <c r="M457" s="2"/>
      <c r="N457" s="9"/>
      <c r="P457" s="3">
        <v>-1739.04</v>
      </c>
      <c r="S457" s="9"/>
      <c r="T457" s="2"/>
      <c r="U457" s="9"/>
    </row>
    <row r="458" spans="2:21" x14ac:dyDescent="0.35">
      <c r="B458" s="9"/>
      <c r="C458" s="2"/>
      <c r="D458" s="2"/>
      <c r="I458" s="9"/>
      <c r="J458" s="2"/>
      <c r="L458" s="9"/>
      <c r="M458" s="2"/>
      <c r="N458" s="9"/>
      <c r="P458" s="3">
        <v>-2173.8000000000002</v>
      </c>
      <c r="S458" s="9"/>
      <c r="T458" s="2"/>
      <c r="U458" s="9"/>
    </row>
    <row r="459" spans="2:21" x14ac:dyDescent="0.35">
      <c r="B459" s="9"/>
      <c r="C459" s="2"/>
      <c r="D459" s="2"/>
      <c r="I459" s="9"/>
      <c r="J459" s="2"/>
      <c r="L459" s="9"/>
      <c r="M459" s="2"/>
      <c r="N459" s="9"/>
      <c r="P459" s="3">
        <v>-2348.2958948599999</v>
      </c>
      <c r="S459" s="9"/>
      <c r="T459" s="2"/>
      <c r="U459" s="9"/>
    </row>
    <row r="460" spans="2:21" x14ac:dyDescent="0.35">
      <c r="B460" s="9"/>
      <c r="C460" s="2"/>
      <c r="D460" s="2"/>
      <c r="I460" s="9"/>
      <c r="J460" s="2"/>
      <c r="L460" s="9"/>
      <c r="M460" s="2"/>
      <c r="N460" s="9"/>
      <c r="P460" s="3">
        <v>-2585.7087625700001</v>
      </c>
      <c r="S460" s="9"/>
      <c r="T460" s="2"/>
      <c r="U460" s="9"/>
    </row>
    <row r="461" spans="2:21" x14ac:dyDescent="0.35">
      <c r="B461" s="9"/>
      <c r="C461" s="2"/>
      <c r="D461" s="2"/>
      <c r="I461" s="9"/>
      <c r="J461" s="2"/>
      <c r="L461" s="9"/>
      <c r="M461" s="2"/>
      <c r="N461" s="9"/>
      <c r="P461" s="3">
        <v>-2804.6430916700001</v>
      </c>
      <c r="S461" s="9"/>
      <c r="T461" s="2"/>
      <c r="U461" s="9"/>
    </row>
    <row r="462" spans="2:21" x14ac:dyDescent="0.35">
      <c r="B462" s="9"/>
      <c r="C462" s="2"/>
      <c r="D462" s="2"/>
      <c r="I462" s="9"/>
      <c r="J462" s="2"/>
      <c r="L462" s="9"/>
      <c r="M462" s="2"/>
      <c r="N462" s="9"/>
      <c r="P462" s="3">
        <v>-2860.169492</v>
      </c>
      <c r="S462" s="9"/>
      <c r="T462" s="2"/>
      <c r="U462" s="9"/>
    </row>
    <row r="463" spans="2:21" x14ac:dyDescent="0.35">
      <c r="B463" s="9"/>
      <c r="C463" s="2"/>
      <c r="D463" s="2"/>
      <c r="I463" s="9"/>
      <c r="J463" s="2"/>
      <c r="L463" s="9"/>
      <c r="M463" s="2"/>
      <c r="N463" s="9"/>
      <c r="P463" s="3">
        <v>-2860.169492</v>
      </c>
      <c r="S463" s="9"/>
      <c r="T463" s="2"/>
      <c r="U463" s="9"/>
    </row>
    <row r="464" spans="2:21" x14ac:dyDescent="0.35">
      <c r="B464" s="9"/>
      <c r="C464" s="2"/>
      <c r="D464" s="2"/>
      <c r="I464" s="9"/>
      <c r="J464" s="2"/>
      <c r="L464" s="9"/>
      <c r="M464" s="2"/>
      <c r="N464" s="9"/>
      <c r="P464" s="3">
        <v>-2860.169492</v>
      </c>
      <c r="S464" s="9"/>
      <c r="T464" s="2"/>
      <c r="U464" s="9"/>
    </row>
    <row r="465" spans="2:21" x14ac:dyDescent="0.35">
      <c r="B465" s="9"/>
      <c r="C465" s="2"/>
      <c r="D465" s="2"/>
      <c r="I465" s="9"/>
      <c r="J465" s="2"/>
      <c r="L465" s="9"/>
      <c r="M465" s="2"/>
      <c r="N465" s="9"/>
      <c r="P465" s="3">
        <v>-2860.169492</v>
      </c>
      <c r="S465" s="9"/>
      <c r="T465" s="2"/>
      <c r="U465" s="9"/>
    </row>
    <row r="466" spans="2:21" x14ac:dyDescent="0.35">
      <c r="B466" s="9"/>
      <c r="C466" s="2"/>
      <c r="D466" s="2"/>
      <c r="I466" s="9"/>
      <c r="J466" s="2"/>
      <c r="L466" s="9"/>
      <c r="M466" s="2"/>
      <c r="N466" s="9"/>
      <c r="P466" s="3">
        <v>-2860.169492</v>
      </c>
      <c r="S466" s="9"/>
      <c r="T466" s="2"/>
      <c r="U466" s="9"/>
    </row>
    <row r="467" spans="2:21" x14ac:dyDescent="0.35">
      <c r="B467" s="9"/>
      <c r="C467" s="2"/>
      <c r="D467" s="2"/>
      <c r="I467" s="9"/>
      <c r="J467" s="2"/>
      <c r="L467" s="9"/>
      <c r="M467" s="2"/>
      <c r="N467" s="9"/>
      <c r="P467" s="3">
        <v>-2860.169492</v>
      </c>
      <c r="S467" s="9"/>
      <c r="T467" s="2"/>
      <c r="U467" s="9"/>
    </row>
    <row r="468" spans="2:21" x14ac:dyDescent="0.35">
      <c r="B468" s="9"/>
      <c r="C468" s="2"/>
      <c r="D468" s="2"/>
      <c r="I468" s="9"/>
      <c r="J468" s="2"/>
      <c r="L468" s="9"/>
      <c r="M468" s="2"/>
      <c r="N468" s="9"/>
      <c r="P468" s="3">
        <v>-2860.169492</v>
      </c>
      <c r="S468" s="9"/>
      <c r="T468" s="2"/>
      <c r="U468" s="9"/>
    </row>
    <row r="469" spans="2:21" x14ac:dyDescent="0.35">
      <c r="B469" s="9"/>
      <c r="C469" s="2"/>
      <c r="D469" s="2"/>
      <c r="I469" s="9"/>
      <c r="J469" s="2"/>
      <c r="L469" s="9"/>
      <c r="M469" s="2"/>
      <c r="N469" s="9"/>
      <c r="P469" s="3">
        <v>-2860.169492</v>
      </c>
      <c r="S469" s="9"/>
      <c r="T469" s="2"/>
      <c r="U469" s="9"/>
    </row>
    <row r="470" spans="2:21" x14ac:dyDescent="0.35">
      <c r="B470" s="9"/>
      <c r="C470" s="2"/>
      <c r="D470" s="2"/>
      <c r="I470" s="9"/>
      <c r="J470" s="2"/>
      <c r="L470" s="9"/>
      <c r="M470" s="2"/>
      <c r="N470" s="9"/>
      <c r="P470" s="3">
        <v>-2860.169492</v>
      </c>
      <c r="S470" s="9"/>
      <c r="T470" s="2"/>
      <c r="U470" s="9"/>
    </row>
    <row r="471" spans="2:21" x14ac:dyDescent="0.35">
      <c r="B471" s="9"/>
      <c r="C471" s="2"/>
      <c r="D471" s="2"/>
      <c r="I471" s="9"/>
      <c r="J471" s="2"/>
      <c r="L471" s="9"/>
      <c r="M471" s="2"/>
      <c r="N471" s="9"/>
      <c r="P471" s="3">
        <v>-2860.169492</v>
      </c>
      <c r="S471" s="9"/>
      <c r="T471" s="2"/>
      <c r="U471" s="9"/>
    </row>
    <row r="472" spans="2:21" x14ac:dyDescent="0.35">
      <c r="B472" s="9"/>
      <c r="C472" s="2"/>
      <c r="D472" s="2"/>
      <c r="I472" s="9"/>
      <c r="J472" s="2"/>
      <c r="L472" s="9"/>
      <c r="M472" s="2"/>
      <c r="N472" s="9"/>
      <c r="P472" s="3">
        <v>-2860.169492</v>
      </c>
      <c r="S472" s="9"/>
      <c r="T472" s="2"/>
      <c r="U472" s="9"/>
    </row>
    <row r="473" spans="2:21" x14ac:dyDescent="0.35">
      <c r="B473" s="9"/>
      <c r="C473" s="2"/>
      <c r="D473" s="2"/>
      <c r="I473" s="9"/>
      <c r="J473" s="2"/>
      <c r="L473" s="9"/>
      <c r="M473" s="2"/>
      <c r="N473" s="9"/>
      <c r="P473" s="3">
        <v>-2860.169492</v>
      </c>
      <c r="S473" s="9"/>
      <c r="T473" s="2"/>
      <c r="U473" s="9"/>
    </row>
    <row r="474" spans="2:21" x14ac:dyDescent="0.35">
      <c r="B474" s="9"/>
      <c r="C474" s="2"/>
      <c r="D474" s="2"/>
      <c r="I474" s="9"/>
      <c r="J474" s="2"/>
      <c r="L474" s="9"/>
      <c r="M474" s="2"/>
      <c r="N474" s="9"/>
      <c r="P474" s="3">
        <v>-2860.169492</v>
      </c>
      <c r="S474" s="9"/>
      <c r="T474" s="2"/>
      <c r="U474" s="9"/>
    </row>
    <row r="475" spans="2:21" x14ac:dyDescent="0.35">
      <c r="B475" s="9"/>
      <c r="C475" s="2"/>
      <c r="D475" s="2"/>
      <c r="I475" s="9"/>
      <c r="J475" s="2"/>
      <c r="L475" s="9"/>
      <c r="M475" s="2"/>
      <c r="N475" s="9"/>
      <c r="P475" s="3">
        <v>-2567.5460723699998</v>
      </c>
      <c r="S475" s="9"/>
      <c r="T475" s="2"/>
      <c r="U475" s="9"/>
    </row>
    <row r="476" spans="2:21" x14ac:dyDescent="0.35">
      <c r="B476" s="9"/>
      <c r="C476" s="2"/>
      <c r="D476" s="2"/>
      <c r="I476" s="9"/>
      <c r="J476" s="2"/>
      <c r="L476" s="9"/>
      <c r="M476" s="2"/>
      <c r="N476" s="9"/>
      <c r="P476" s="3">
        <v>-2860.169492</v>
      </c>
      <c r="S476" s="9"/>
      <c r="T476" s="2"/>
      <c r="U476" s="9"/>
    </row>
    <row r="477" spans="2:21" x14ac:dyDescent="0.35">
      <c r="B477" s="9"/>
      <c r="C477" s="2"/>
      <c r="D477" s="2"/>
      <c r="I477" s="9"/>
      <c r="J477" s="2"/>
      <c r="L477" s="9"/>
      <c r="M477" s="2"/>
      <c r="N477" s="9"/>
      <c r="P477" s="3">
        <v>-2860.169492</v>
      </c>
      <c r="S477" s="9"/>
      <c r="T477" s="2"/>
      <c r="U477" s="9"/>
    </row>
    <row r="478" spans="2:21" x14ac:dyDescent="0.35">
      <c r="B478" s="9"/>
      <c r="C478" s="2"/>
      <c r="D478" s="2"/>
      <c r="I478" s="9"/>
      <c r="J478" s="2"/>
      <c r="L478" s="9"/>
      <c r="M478" s="2"/>
      <c r="N478" s="9"/>
      <c r="P478" s="3">
        <v>-2860.169492</v>
      </c>
      <c r="S478" s="9"/>
      <c r="T478" s="2"/>
      <c r="U478" s="9"/>
    </row>
    <row r="479" spans="2:21" x14ac:dyDescent="0.35">
      <c r="B479" s="9"/>
      <c r="C479" s="2"/>
      <c r="D479" s="2"/>
      <c r="I479" s="9"/>
      <c r="J479" s="2"/>
      <c r="L479" s="9"/>
      <c r="M479" s="2"/>
      <c r="N479" s="9"/>
      <c r="P479" s="3">
        <v>-2860.169492</v>
      </c>
      <c r="S479" s="9"/>
      <c r="T479" s="2"/>
      <c r="U479" s="9"/>
    </row>
    <row r="480" spans="2:21" x14ac:dyDescent="0.35">
      <c r="B480" s="9"/>
      <c r="C480" s="2"/>
      <c r="D480" s="2"/>
      <c r="I480" s="9"/>
      <c r="J480" s="2"/>
      <c r="L480" s="9"/>
      <c r="M480" s="2"/>
      <c r="N480" s="9"/>
      <c r="P480" s="3">
        <v>-2860.169492</v>
      </c>
      <c r="S480" s="9"/>
      <c r="T480" s="2"/>
      <c r="U480" s="9"/>
    </row>
    <row r="481" spans="2:21" x14ac:dyDescent="0.35">
      <c r="B481" s="9"/>
      <c r="C481" s="2"/>
      <c r="D481" s="2"/>
      <c r="I481" s="9"/>
      <c r="J481" s="2"/>
      <c r="L481" s="9"/>
      <c r="M481" s="2"/>
      <c r="N481" s="9"/>
      <c r="P481" s="3">
        <v>-2860.169492</v>
      </c>
      <c r="S481" s="9"/>
      <c r="T481" s="2"/>
      <c r="U481" s="9"/>
    </row>
    <row r="482" spans="2:21" x14ac:dyDescent="0.35">
      <c r="B482" s="9"/>
      <c r="C482" s="2"/>
      <c r="D482" s="2"/>
      <c r="I482" s="9"/>
      <c r="J482" s="2"/>
      <c r="L482" s="9"/>
      <c r="M482" s="2"/>
      <c r="N482" s="9"/>
      <c r="P482" s="3">
        <v>-2860.169492</v>
      </c>
      <c r="S482" s="9"/>
      <c r="T482" s="2"/>
      <c r="U482" s="9"/>
    </row>
    <row r="483" spans="2:21" x14ac:dyDescent="0.35">
      <c r="B483" s="9"/>
      <c r="C483" s="2"/>
      <c r="D483" s="2"/>
      <c r="I483" s="9"/>
      <c r="J483" s="2"/>
      <c r="L483" s="9"/>
      <c r="M483" s="2"/>
      <c r="N483" s="9"/>
      <c r="P483" s="3">
        <v>-2860.169492</v>
      </c>
      <c r="S483" s="9"/>
      <c r="T483" s="2"/>
      <c r="U483" s="9"/>
    </row>
    <row r="484" spans="2:21" x14ac:dyDescent="0.35">
      <c r="B484" s="9"/>
      <c r="C484" s="2"/>
      <c r="D484" s="2"/>
      <c r="I484" s="9"/>
      <c r="J484" s="2"/>
      <c r="L484" s="9"/>
      <c r="M484" s="2"/>
      <c r="N484" s="9"/>
      <c r="P484" s="3">
        <v>-2860.169492</v>
      </c>
      <c r="S484" s="9"/>
      <c r="T484" s="2"/>
      <c r="U484" s="9"/>
    </row>
    <row r="485" spans="2:21" x14ac:dyDescent="0.35">
      <c r="B485" s="9"/>
      <c r="C485" s="2"/>
      <c r="D485" s="2"/>
      <c r="I485" s="9"/>
      <c r="J485" s="2"/>
      <c r="L485" s="9"/>
      <c r="M485" s="2"/>
      <c r="N485" s="9"/>
      <c r="P485" s="3">
        <v>-2860.169492</v>
      </c>
      <c r="S485" s="9"/>
      <c r="T485" s="2"/>
      <c r="U485" s="9"/>
    </row>
    <row r="486" spans="2:21" x14ac:dyDescent="0.35">
      <c r="B486" s="9"/>
      <c r="C486" s="2"/>
      <c r="D486" s="2"/>
      <c r="I486" s="9"/>
      <c r="J486" s="2"/>
      <c r="L486" s="9"/>
      <c r="M486" s="2"/>
      <c r="N486" s="9"/>
      <c r="P486" s="3">
        <v>-2860.169492</v>
      </c>
      <c r="S486" s="9"/>
      <c r="T486" s="2"/>
      <c r="U486" s="9"/>
    </row>
    <row r="487" spans="2:21" x14ac:dyDescent="0.35">
      <c r="B487" s="9"/>
      <c r="C487" s="2"/>
      <c r="D487" s="2"/>
      <c r="I487" s="9"/>
      <c r="J487" s="2"/>
      <c r="L487" s="9"/>
      <c r="M487" s="2"/>
      <c r="N487" s="9"/>
      <c r="P487" s="3">
        <v>-2860.169492</v>
      </c>
      <c r="S487" s="9"/>
      <c r="T487" s="2"/>
      <c r="U487" s="9"/>
    </row>
    <row r="488" spans="2:21" x14ac:dyDescent="0.35">
      <c r="B488" s="9"/>
      <c r="C488" s="2"/>
      <c r="D488" s="2"/>
      <c r="I488" s="9"/>
      <c r="J488" s="2"/>
      <c r="L488" s="9"/>
      <c r="M488" s="2"/>
      <c r="N488" s="9"/>
      <c r="P488" s="3">
        <v>-2860.169492</v>
      </c>
      <c r="S488" s="9"/>
      <c r="T488" s="2"/>
      <c r="U488" s="9"/>
    </row>
    <row r="489" spans="2:21" x14ac:dyDescent="0.35">
      <c r="B489" s="9"/>
      <c r="C489" s="2"/>
      <c r="D489" s="2"/>
      <c r="I489" s="9"/>
      <c r="J489" s="2"/>
      <c r="L489" s="9"/>
      <c r="M489" s="2"/>
      <c r="N489" s="9"/>
      <c r="P489" s="3">
        <v>-2860.169492</v>
      </c>
      <c r="S489" s="9"/>
      <c r="T489" s="2"/>
      <c r="U489" s="9"/>
    </row>
    <row r="490" spans="2:21" x14ac:dyDescent="0.35">
      <c r="B490" s="9"/>
      <c r="C490" s="2"/>
      <c r="D490" s="2"/>
      <c r="I490" s="9"/>
      <c r="J490" s="2"/>
      <c r="L490" s="9"/>
      <c r="M490" s="2"/>
      <c r="N490" s="9"/>
      <c r="P490" s="3">
        <v>-2860.169492</v>
      </c>
      <c r="S490" s="9"/>
      <c r="T490" s="2"/>
      <c r="U490" s="9"/>
    </row>
    <row r="491" spans="2:21" x14ac:dyDescent="0.35">
      <c r="B491" s="9"/>
      <c r="C491" s="2"/>
      <c r="D491" s="2"/>
      <c r="I491" s="9"/>
      <c r="J491" s="2"/>
      <c r="L491" s="9"/>
      <c r="M491" s="2"/>
      <c r="N491" s="9"/>
      <c r="P491" s="3">
        <v>-2860.169492</v>
      </c>
      <c r="S491" s="9"/>
      <c r="T491" s="2"/>
      <c r="U491" s="9"/>
    </row>
    <row r="492" spans="2:21" x14ac:dyDescent="0.35">
      <c r="B492" s="9"/>
      <c r="C492" s="2"/>
      <c r="D492" s="2"/>
      <c r="I492" s="9"/>
      <c r="J492" s="2"/>
      <c r="L492" s="9"/>
      <c r="M492" s="2"/>
      <c r="N492" s="9"/>
      <c r="P492" s="3">
        <v>-2860.169492</v>
      </c>
      <c r="S492" s="9"/>
      <c r="T492" s="2"/>
      <c r="U492" s="9"/>
    </row>
    <row r="493" spans="2:21" x14ac:dyDescent="0.35">
      <c r="B493" s="9"/>
      <c r="C493" s="2"/>
      <c r="D493" s="2"/>
      <c r="I493" s="9"/>
      <c r="J493" s="2"/>
      <c r="L493" s="9"/>
      <c r="M493" s="2"/>
      <c r="N493" s="9"/>
      <c r="P493" s="3">
        <v>-2565.63624359</v>
      </c>
      <c r="S493" s="9"/>
      <c r="T493" s="2"/>
      <c r="U493" s="9"/>
    </row>
    <row r="494" spans="2:21" x14ac:dyDescent="0.35">
      <c r="B494" s="9"/>
      <c r="C494" s="2"/>
      <c r="D494" s="2"/>
      <c r="I494" s="9"/>
      <c r="J494" s="2"/>
      <c r="L494" s="9"/>
      <c r="M494" s="2"/>
      <c r="N494" s="9"/>
      <c r="P494" s="3">
        <v>-2213.9341935900002</v>
      </c>
      <c r="S494" s="9"/>
      <c r="T494" s="2"/>
      <c r="U494" s="9"/>
    </row>
    <row r="495" spans="2:21" x14ac:dyDescent="0.35">
      <c r="B495" s="9"/>
      <c r="C495" s="2"/>
      <c r="D495" s="2"/>
      <c r="I495" s="9"/>
      <c r="J495" s="2"/>
      <c r="L495" s="9"/>
      <c r="M495" s="2"/>
      <c r="N495" s="9"/>
      <c r="P495" s="3">
        <v>-2136.5150835899999</v>
      </c>
      <c r="S495" s="9"/>
      <c r="T495" s="2"/>
      <c r="U495" s="9"/>
    </row>
    <row r="496" spans="2:21" x14ac:dyDescent="0.35">
      <c r="B496" s="9"/>
      <c r="C496" s="2"/>
      <c r="D496" s="2"/>
      <c r="I496" s="9"/>
      <c r="J496" s="2"/>
      <c r="L496" s="9"/>
      <c r="M496" s="2"/>
      <c r="N496" s="9"/>
      <c r="P496" s="3">
        <v>-2277.4343798499999</v>
      </c>
      <c r="S496" s="9"/>
      <c r="T496" s="2"/>
      <c r="U496" s="9"/>
    </row>
    <row r="497" spans="2:21" x14ac:dyDescent="0.35">
      <c r="B497" s="9"/>
      <c r="C497" s="2"/>
      <c r="D497" s="2"/>
      <c r="I497" s="9"/>
      <c r="J497" s="2"/>
      <c r="L497" s="9"/>
      <c r="M497" s="2"/>
      <c r="N497" s="9"/>
      <c r="P497" s="3">
        <v>-1842.6743798499999</v>
      </c>
      <c r="S497" s="9"/>
      <c r="T497" s="2"/>
      <c r="U497" s="9"/>
    </row>
    <row r="498" spans="2:21" x14ac:dyDescent="0.35">
      <c r="B498" s="9"/>
      <c r="C498" s="2"/>
      <c r="D498" s="2"/>
      <c r="I498" s="9"/>
      <c r="J498" s="2"/>
      <c r="L498" s="9"/>
      <c r="M498" s="2"/>
      <c r="N498" s="9"/>
      <c r="P498" s="3">
        <v>-1407.9143798499999</v>
      </c>
      <c r="S498" s="9"/>
      <c r="T498" s="2"/>
      <c r="U498" s="9"/>
    </row>
    <row r="499" spans="2:21" x14ac:dyDescent="0.35">
      <c r="B499" s="9"/>
      <c r="C499" s="2"/>
      <c r="D499" s="2"/>
      <c r="I499" s="9"/>
      <c r="J499" s="2"/>
      <c r="L499" s="9"/>
      <c r="M499" s="2"/>
      <c r="N499" s="9"/>
      <c r="P499" s="3">
        <v>-1468.3489335899999</v>
      </c>
      <c r="S499" s="9"/>
      <c r="T499" s="2"/>
      <c r="U499" s="9"/>
    </row>
    <row r="500" spans="2:21" x14ac:dyDescent="0.35">
      <c r="B500" s="9"/>
      <c r="C500" s="2"/>
      <c r="D500" s="2"/>
      <c r="I500" s="9"/>
      <c r="J500" s="2"/>
      <c r="L500" s="9"/>
      <c r="M500" s="2"/>
      <c r="N500" s="9"/>
      <c r="P500" s="3">
        <v>-1903.1089335900001</v>
      </c>
      <c r="S500" s="9"/>
      <c r="T500" s="2"/>
      <c r="U500" s="9"/>
    </row>
    <row r="501" spans="2:21" x14ac:dyDescent="0.35">
      <c r="B501" s="9"/>
      <c r="C501" s="2"/>
      <c r="D501" s="2"/>
      <c r="I501" s="9"/>
      <c r="J501" s="2"/>
      <c r="L501" s="9"/>
      <c r="M501" s="2"/>
      <c r="N501" s="9"/>
      <c r="P501" s="3">
        <v>-2337.8689335899999</v>
      </c>
      <c r="S501" s="9"/>
      <c r="T501" s="2"/>
      <c r="U501" s="9"/>
    </row>
    <row r="502" spans="2:21" x14ac:dyDescent="0.35">
      <c r="B502" s="9"/>
      <c r="C502" s="2"/>
      <c r="D502" s="2"/>
      <c r="I502" s="9"/>
      <c r="J502" s="2"/>
      <c r="L502" s="9"/>
      <c r="M502" s="2"/>
      <c r="N502" s="9"/>
      <c r="P502" s="3">
        <v>-2772.6289335900001</v>
      </c>
      <c r="S502" s="9"/>
      <c r="T502" s="2"/>
      <c r="U502" s="9"/>
    </row>
    <row r="503" spans="2:21" x14ac:dyDescent="0.35">
      <c r="B503" s="9"/>
      <c r="C503" s="2"/>
      <c r="D503" s="2"/>
      <c r="I503" s="9"/>
      <c r="J503" s="2"/>
      <c r="L503" s="9"/>
      <c r="M503" s="2"/>
      <c r="N503" s="9"/>
      <c r="P503" s="3">
        <v>-2860.169492</v>
      </c>
      <c r="S503" s="9"/>
      <c r="T503" s="2"/>
      <c r="U503" s="9"/>
    </row>
    <row r="504" spans="2:21" x14ac:dyDescent="0.35">
      <c r="B504" s="9"/>
      <c r="C504" s="2"/>
      <c r="D504" s="2"/>
      <c r="I504" s="9"/>
      <c r="J504" s="2"/>
      <c r="L504" s="9"/>
      <c r="M504" s="2"/>
      <c r="N504" s="9"/>
      <c r="P504" s="3">
        <v>-2860.169492</v>
      </c>
      <c r="S504" s="9"/>
      <c r="T504" s="2"/>
      <c r="U504" s="9"/>
    </row>
    <row r="505" spans="2:21" x14ac:dyDescent="0.35">
      <c r="B505" s="9"/>
      <c r="C505" s="2"/>
      <c r="D505" s="2"/>
      <c r="I505" s="9"/>
      <c r="J505" s="2"/>
      <c r="L505" s="9"/>
      <c r="M505" s="2"/>
      <c r="N505" s="9"/>
      <c r="P505" s="3">
        <v>-2860.169492</v>
      </c>
      <c r="S505" s="9"/>
      <c r="T505" s="2"/>
      <c r="U505" s="9"/>
    </row>
    <row r="506" spans="2:21" x14ac:dyDescent="0.35">
      <c r="B506" s="9"/>
      <c r="C506" s="2"/>
      <c r="D506" s="2"/>
      <c r="I506" s="9"/>
      <c r="J506" s="2"/>
      <c r="L506" s="9"/>
      <c r="M506" s="2"/>
      <c r="N506" s="9"/>
      <c r="P506" s="3">
        <v>-2860.169492</v>
      </c>
      <c r="S506" s="9"/>
      <c r="T506" s="2"/>
      <c r="U506" s="9"/>
    </row>
    <row r="507" spans="2:21" x14ac:dyDescent="0.35">
      <c r="B507" s="9"/>
      <c r="C507" s="2"/>
      <c r="D507" s="2"/>
      <c r="I507" s="9"/>
      <c r="J507" s="2"/>
      <c r="L507" s="9"/>
      <c r="M507" s="2"/>
      <c r="N507" s="9"/>
      <c r="P507" s="3">
        <v>-2860.169492</v>
      </c>
      <c r="S507" s="9"/>
      <c r="T507" s="2"/>
      <c r="U507" s="9"/>
    </row>
    <row r="508" spans="2:21" x14ac:dyDescent="0.35">
      <c r="B508" s="9"/>
      <c r="C508" s="2"/>
      <c r="D508" s="2"/>
      <c r="I508" s="9"/>
      <c r="J508" s="2"/>
      <c r="L508" s="9"/>
      <c r="M508" s="2"/>
      <c r="N508" s="9"/>
      <c r="P508" s="3">
        <v>-2860.169492</v>
      </c>
      <c r="S508" s="9"/>
      <c r="T508" s="2"/>
      <c r="U508" s="9"/>
    </row>
    <row r="509" spans="2:21" x14ac:dyDescent="0.35">
      <c r="B509" s="9"/>
      <c r="C509" s="2"/>
      <c r="D509" s="2"/>
      <c r="I509" s="9"/>
      <c r="J509" s="2"/>
      <c r="L509" s="9"/>
      <c r="M509" s="2"/>
      <c r="N509" s="9"/>
      <c r="P509" s="3">
        <v>-2860.169492</v>
      </c>
      <c r="S509" s="9"/>
      <c r="T509" s="2"/>
      <c r="U509" s="9"/>
    </row>
    <row r="510" spans="2:21" x14ac:dyDescent="0.35">
      <c r="B510" s="9"/>
      <c r="C510" s="2"/>
      <c r="D510" s="2"/>
      <c r="I510" s="9"/>
      <c r="J510" s="2"/>
      <c r="L510" s="9"/>
      <c r="M510" s="2"/>
      <c r="N510" s="9"/>
      <c r="P510" s="3">
        <v>-2860.169492</v>
      </c>
      <c r="S510" s="9"/>
      <c r="T510" s="2"/>
      <c r="U510" s="9"/>
    </row>
    <row r="511" spans="2:21" x14ac:dyDescent="0.35">
      <c r="B511" s="9"/>
      <c r="C511" s="2"/>
      <c r="D511" s="2"/>
      <c r="I511" s="9"/>
      <c r="J511" s="2"/>
      <c r="L511" s="9"/>
      <c r="M511" s="2"/>
      <c r="N511" s="9"/>
      <c r="P511" s="3">
        <v>-2860.169492</v>
      </c>
      <c r="S511" s="9"/>
      <c r="T511" s="2"/>
      <c r="U511" s="9"/>
    </row>
    <row r="512" spans="2:21" x14ac:dyDescent="0.35">
      <c r="B512" s="9"/>
      <c r="C512" s="2"/>
      <c r="D512" s="2"/>
      <c r="I512" s="9"/>
      <c r="J512" s="2"/>
      <c r="L512" s="9"/>
      <c r="M512" s="2"/>
      <c r="N512" s="9"/>
      <c r="P512" s="3">
        <v>-2860.169492</v>
      </c>
      <c r="S512" s="9"/>
      <c r="T512" s="2"/>
      <c r="U512" s="9"/>
    </row>
    <row r="513" spans="2:21" x14ac:dyDescent="0.35">
      <c r="B513" s="9"/>
      <c r="C513" s="2"/>
      <c r="D513" s="2"/>
      <c r="I513" s="9"/>
      <c r="J513" s="2"/>
      <c r="L513" s="9"/>
      <c r="M513" s="2"/>
      <c r="N513" s="9"/>
      <c r="P513" s="3">
        <v>-2860.169492</v>
      </c>
      <c r="S513" s="9"/>
      <c r="T513" s="2"/>
      <c r="U513" s="9"/>
    </row>
    <row r="514" spans="2:21" x14ac:dyDescent="0.35">
      <c r="B514" s="9"/>
      <c r="C514" s="2"/>
      <c r="D514" s="2"/>
      <c r="I514" s="9"/>
      <c r="J514" s="2"/>
      <c r="L514" s="9"/>
      <c r="M514" s="2"/>
      <c r="N514" s="9"/>
      <c r="P514" s="3">
        <v>-2860.169492</v>
      </c>
      <c r="S514" s="9"/>
      <c r="T514" s="2"/>
      <c r="U514" s="9"/>
    </row>
    <row r="515" spans="2:21" x14ac:dyDescent="0.35">
      <c r="B515" s="9"/>
      <c r="C515" s="2"/>
      <c r="D515" s="2"/>
      <c r="I515" s="9"/>
      <c r="J515" s="2"/>
      <c r="L515" s="9"/>
      <c r="M515" s="2"/>
      <c r="N515" s="9"/>
      <c r="P515" s="3">
        <v>-2860.169492</v>
      </c>
      <c r="S515" s="9"/>
      <c r="T515" s="2"/>
      <c r="U515" s="9"/>
    </row>
    <row r="516" spans="2:21" x14ac:dyDescent="0.35">
      <c r="B516" s="9"/>
      <c r="C516" s="2"/>
      <c r="D516" s="2"/>
      <c r="I516" s="9"/>
      <c r="J516" s="2"/>
      <c r="L516" s="9"/>
      <c r="M516" s="2"/>
      <c r="N516" s="9"/>
      <c r="P516" s="3">
        <v>-2860.169492</v>
      </c>
      <c r="S516" s="9"/>
      <c r="T516" s="2"/>
      <c r="U516" s="9"/>
    </row>
    <row r="517" spans="2:21" x14ac:dyDescent="0.35">
      <c r="B517" s="9"/>
      <c r="C517" s="2"/>
      <c r="D517" s="2"/>
      <c r="I517" s="9"/>
      <c r="J517" s="2"/>
      <c r="L517" s="9"/>
      <c r="M517" s="2"/>
      <c r="N517" s="9"/>
      <c r="P517" s="3">
        <v>-2860.169492</v>
      </c>
      <c r="S517" s="9"/>
      <c r="T517" s="2"/>
      <c r="U517" s="9"/>
    </row>
    <row r="518" spans="2:21" x14ac:dyDescent="0.35">
      <c r="B518" s="9"/>
      <c r="C518" s="2"/>
      <c r="D518" s="2"/>
      <c r="I518" s="9"/>
      <c r="J518" s="2"/>
      <c r="L518" s="9"/>
      <c r="M518" s="2"/>
      <c r="N518" s="9"/>
      <c r="P518" s="3">
        <v>-2860.169492</v>
      </c>
      <c r="S518" s="9"/>
      <c r="T518" s="2"/>
      <c r="U518" s="9"/>
    </row>
    <row r="519" spans="2:21" x14ac:dyDescent="0.35">
      <c r="B519" s="9"/>
      <c r="C519" s="2"/>
      <c r="D519" s="2"/>
      <c r="I519" s="9"/>
      <c r="J519" s="2"/>
      <c r="L519" s="9"/>
      <c r="M519" s="2"/>
      <c r="N519" s="9"/>
      <c r="P519" s="3">
        <v>-2860.169492</v>
      </c>
      <c r="S519" s="9"/>
      <c r="T519" s="2"/>
      <c r="U519" s="9"/>
    </row>
    <row r="520" spans="2:21" x14ac:dyDescent="0.35">
      <c r="B520" s="9"/>
      <c r="C520" s="2"/>
      <c r="D520" s="2"/>
      <c r="I520" s="9"/>
      <c r="J520" s="2"/>
      <c r="L520" s="9"/>
      <c r="M520" s="2"/>
      <c r="N520" s="9"/>
      <c r="P520" s="3">
        <v>-2793.2636110899998</v>
      </c>
      <c r="S520" s="9"/>
      <c r="T520" s="2"/>
      <c r="U520" s="9"/>
    </row>
    <row r="521" spans="2:21" x14ac:dyDescent="0.35">
      <c r="B521" s="9"/>
      <c r="C521" s="2"/>
      <c r="D521" s="2"/>
      <c r="I521" s="9"/>
      <c r="J521" s="2"/>
      <c r="L521" s="9"/>
      <c r="M521" s="2"/>
      <c r="N521" s="9"/>
      <c r="P521" s="3">
        <v>-2358.50361109</v>
      </c>
      <c r="S521" s="9"/>
      <c r="T521" s="2"/>
      <c r="U521" s="9"/>
    </row>
    <row r="522" spans="2:21" x14ac:dyDescent="0.35">
      <c r="B522" s="9"/>
      <c r="C522" s="2"/>
      <c r="D522" s="2"/>
      <c r="I522" s="9"/>
      <c r="J522" s="2"/>
      <c r="L522" s="9"/>
      <c r="M522" s="2"/>
      <c r="N522" s="9"/>
      <c r="P522" s="3">
        <v>-1923.7436110900001</v>
      </c>
      <c r="S522" s="9"/>
      <c r="T522" s="2"/>
      <c r="U522" s="9"/>
    </row>
    <row r="523" spans="2:21" x14ac:dyDescent="0.35">
      <c r="B523" s="9"/>
      <c r="C523" s="2"/>
      <c r="D523" s="2"/>
      <c r="I523" s="9"/>
      <c r="J523" s="2"/>
      <c r="L523" s="9"/>
      <c r="M523" s="2"/>
      <c r="N523" s="9"/>
      <c r="P523" s="3">
        <v>-1488.9836110900001</v>
      </c>
      <c r="S523" s="9"/>
      <c r="T523" s="2"/>
      <c r="U523" s="9"/>
    </row>
    <row r="524" spans="2:21" x14ac:dyDescent="0.35">
      <c r="B524" s="9"/>
      <c r="C524" s="2"/>
      <c r="D524" s="2"/>
      <c r="I524" s="9"/>
      <c r="J524" s="2"/>
      <c r="L524" s="9"/>
      <c r="M524" s="2"/>
      <c r="N524" s="9"/>
      <c r="P524" s="3">
        <v>-1054.2236110900001</v>
      </c>
      <c r="S524" s="9"/>
      <c r="T524" s="2"/>
      <c r="U524" s="9"/>
    </row>
    <row r="525" spans="2:21" x14ac:dyDescent="0.35">
      <c r="B525" s="9"/>
      <c r="C525" s="2"/>
      <c r="D525" s="2"/>
      <c r="I525" s="9"/>
      <c r="J525" s="2"/>
      <c r="L525" s="9"/>
      <c r="M525" s="2"/>
      <c r="N525" s="9"/>
      <c r="P525" s="3">
        <v>-619.46361108999997</v>
      </c>
      <c r="S525" s="9"/>
      <c r="T525" s="2"/>
      <c r="U525" s="9"/>
    </row>
    <row r="526" spans="2:21" x14ac:dyDescent="0.35">
      <c r="B526" s="9"/>
      <c r="C526" s="2"/>
      <c r="D526" s="2"/>
      <c r="I526" s="9"/>
      <c r="J526" s="2"/>
      <c r="L526" s="9"/>
      <c r="M526" s="2"/>
      <c r="N526" s="9"/>
      <c r="P526" s="3">
        <v>-887.16636905999997</v>
      </c>
      <c r="S526" s="9"/>
      <c r="T526" s="2"/>
      <c r="U526" s="9"/>
    </row>
    <row r="527" spans="2:21" x14ac:dyDescent="0.35">
      <c r="B527" s="9"/>
      <c r="C527" s="2"/>
      <c r="D527" s="2"/>
      <c r="I527" s="9"/>
      <c r="J527" s="2"/>
      <c r="L527" s="9"/>
      <c r="M527" s="2"/>
      <c r="N527" s="9"/>
      <c r="P527" s="3">
        <v>-1321.9263690600001</v>
      </c>
      <c r="S527" s="9"/>
      <c r="T527" s="2"/>
      <c r="U527" s="9"/>
    </row>
    <row r="528" spans="2:21" x14ac:dyDescent="0.35">
      <c r="B528" s="9"/>
      <c r="C528" s="2"/>
      <c r="D528" s="2"/>
      <c r="I528" s="9"/>
      <c r="J528" s="2"/>
      <c r="L528" s="9"/>
      <c r="M528" s="2"/>
      <c r="N528" s="9"/>
      <c r="P528" s="3">
        <v>-887.16636905999997</v>
      </c>
      <c r="S528" s="9"/>
      <c r="T528" s="2"/>
      <c r="U528" s="9"/>
    </row>
    <row r="529" spans="2:21" x14ac:dyDescent="0.35">
      <c r="B529" s="9"/>
      <c r="C529" s="2"/>
      <c r="D529" s="2"/>
      <c r="I529" s="9"/>
      <c r="J529" s="2"/>
      <c r="L529" s="9"/>
      <c r="M529" s="2"/>
      <c r="N529" s="9"/>
      <c r="P529" s="3">
        <v>-623.18085981000002</v>
      </c>
      <c r="S529" s="9"/>
      <c r="T529" s="2"/>
      <c r="U529" s="9"/>
    </row>
    <row r="530" spans="2:21" x14ac:dyDescent="0.35">
      <c r="B530" s="9"/>
      <c r="C530" s="2"/>
      <c r="D530" s="2"/>
      <c r="I530" s="9"/>
      <c r="J530" s="2"/>
      <c r="L530" s="9"/>
      <c r="M530" s="2"/>
      <c r="N530" s="9"/>
      <c r="P530" s="3">
        <v>-439.98970030999999</v>
      </c>
      <c r="S530" s="9"/>
      <c r="T530" s="2"/>
      <c r="U530" s="9"/>
    </row>
    <row r="531" spans="2:21" x14ac:dyDescent="0.35">
      <c r="B531" s="9"/>
      <c r="C531" s="2"/>
      <c r="D531" s="2"/>
      <c r="I531" s="9"/>
      <c r="J531" s="2"/>
      <c r="L531" s="9"/>
      <c r="M531" s="2"/>
      <c r="N531" s="9"/>
      <c r="P531" s="3">
        <v>-315.44946069000002</v>
      </c>
      <c r="S531" s="9"/>
      <c r="T531" s="2"/>
      <c r="U531" s="9"/>
    </row>
    <row r="532" spans="2:21" x14ac:dyDescent="0.35">
      <c r="B532" s="9"/>
      <c r="C532" s="2"/>
      <c r="D532" s="2"/>
      <c r="I532" s="9"/>
      <c r="J532" s="2"/>
      <c r="L532" s="9"/>
      <c r="M532" s="2"/>
      <c r="N532" s="9"/>
      <c r="P532" s="3">
        <v>-213.38777094</v>
      </c>
      <c r="S532" s="9"/>
      <c r="T532" s="2"/>
      <c r="U532" s="9"/>
    </row>
    <row r="533" spans="2:21" x14ac:dyDescent="0.35">
      <c r="B533" s="9"/>
      <c r="C533" s="2"/>
      <c r="D533" s="2"/>
      <c r="I533" s="9"/>
      <c r="J533" s="2"/>
      <c r="L533" s="9"/>
      <c r="M533" s="2"/>
      <c r="N533" s="9"/>
      <c r="P533" s="3">
        <v>-176.09289093999999</v>
      </c>
      <c r="S533" s="9"/>
      <c r="T533" s="2"/>
      <c r="U533" s="9"/>
    </row>
    <row r="534" spans="2:21" x14ac:dyDescent="0.35">
      <c r="B534" s="9"/>
      <c r="C534" s="2"/>
      <c r="D534" s="2"/>
      <c r="I534" s="9"/>
      <c r="J534" s="2"/>
      <c r="L534" s="9"/>
      <c r="M534" s="2"/>
      <c r="N534" s="9"/>
      <c r="P534" s="3">
        <v>-171.59482212</v>
      </c>
      <c r="S534" s="9"/>
      <c r="T534" s="2"/>
      <c r="U534" s="9"/>
    </row>
    <row r="535" spans="2:21" x14ac:dyDescent="0.35">
      <c r="B535" s="9"/>
      <c r="C535" s="2"/>
      <c r="D535" s="2"/>
      <c r="I535" s="9"/>
      <c r="J535" s="2"/>
      <c r="L535" s="9"/>
      <c r="M535" s="2"/>
      <c r="N535" s="9"/>
      <c r="P535" s="3">
        <v>-139.01292212000001</v>
      </c>
      <c r="S535" s="9"/>
      <c r="T535" s="2"/>
      <c r="U535" s="9"/>
    </row>
    <row r="536" spans="2:21" x14ac:dyDescent="0.35">
      <c r="B536" s="9"/>
      <c r="C536" s="2"/>
      <c r="D536" s="2"/>
      <c r="I536" s="9"/>
      <c r="J536" s="2"/>
      <c r="L536" s="9"/>
      <c r="M536" s="2"/>
      <c r="N536" s="9"/>
      <c r="P536" s="3">
        <v>-123.61515212</v>
      </c>
      <c r="S536" s="9"/>
      <c r="T536" s="2"/>
      <c r="U536" s="9"/>
    </row>
    <row r="537" spans="2:21" x14ac:dyDescent="0.35">
      <c r="B537" s="9"/>
      <c r="C537" s="2"/>
      <c r="D537" s="2"/>
      <c r="I537" s="9"/>
      <c r="J537" s="2"/>
      <c r="L537" s="9"/>
      <c r="M537" s="2"/>
      <c r="N537" s="9"/>
      <c r="P537" s="3">
        <v>-50.000222119999997</v>
      </c>
      <c r="S537" s="9"/>
      <c r="T537" s="2"/>
      <c r="U537" s="9"/>
    </row>
    <row r="538" spans="2:21" x14ac:dyDescent="0.35">
      <c r="B538" s="9"/>
      <c r="C538" s="2"/>
      <c r="D538" s="2"/>
      <c r="I538" s="9"/>
      <c r="J538" s="2"/>
      <c r="L538" s="9"/>
      <c r="M538" s="2"/>
      <c r="N538" s="9"/>
      <c r="P538" s="3">
        <v>83.02821788</v>
      </c>
      <c r="S538" s="9"/>
      <c r="T538" s="2"/>
      <c r="U538" s="9"/>
    </row>
    <row r="539" spans="2:21" x14ac:dyDescent="0.35">
      <c r="B539" s="9"/>
      <c r="C539" s="2"/>
      <c r="D539" s="2"/>
      <c r="I539" s="9"/>
      <c r="J539" s="2"/>
      <c r="L539" s="9"/>
      <c r="M539" s="2"/>
      <c r="N539" s="9"/>
      <c r="P539" s="3">
        <v>325.66068435</v>
      </c>
      <c r="S539" s="9"/>
      <c r="T539" s="2"/>
      <c r="U539" s="9"/>
    </row>
    <row r="540" spans="2:21" x14ac:dyDescent="0.35">
      <c r="B540" s="9"/>
      <c r="C540" s="2"/>
      <c r="D540" s="2"/>
      <c r="I540" s="9"/>
      <c r="J540" s="2"/>
      <c r="L540" s="9"/>
      <c r="M540" s="2"/>
      <c r="N540" s="9"/>
      <c r="P540" s="3">
        <v>563.17547082999999</v>
      </c>
      <c r="S540" s="9"/>
      <c r="T540" s="2"/>
      <c r="U540" s="9"/>
    </row>
    <row r="541" spans="2:21" x14ac:dyDescent="0.35">
      <c r="B541" s="9"/>
      <c r="C541" s="2"/>
      <c r="D541" s="2"/>
      <c r="I541" s="9"/>
      <c r="J541" s="2"/>
      <c r="L541" s="9"/>
      <c r="M541" s="2"/>
      <c r="N541" s="9"/>
      <c r="P541" s="3">
        <v>777.80808328000001</v>
      </c>
      <c r="S541" s="9"/>
      <c r="T541" s="2"/>
      <c r="U541" s="9"/>
    </row>
    <row r="542" spans="2:21" x14ac:dyDescent="0.35">
      <c r="B542" s="9"/>
      <c r="C542" s="2"/>
      <c r="D542" s="2"/>
      <c r="I542" s="9"/>
      <c r="J542" s="2"/>
      <c r="L542" s="9"/>
      <c r="M542" s="2"/>
      <c r="N542" s="9"/>
      <c r="P542" s="3">
        <v>982.99372975999995</v>
      </c>
      <c r="S542" s="9"/>
      <c r="T542" s="2"/>
      <c r="U542" s="9"/>
    </row>
    <row r="543" spans="2:21" x14ac:dyDescent="0.35">
      <c r="B543" s="9"/>
      <c r="C543" s="2"/>
      <c r="D543" s="2"/>
      <c r="I543" s="9"/>
      <c r="J543" s="2"/>
      <c r="L543" s="9"/>
      <c r="M543" s="2"/>
      <c r="N543" s="9"/>
      <c r="P543" s="3">
        <v>609.41586975999996</v>
      </c>
      <c r="S543" s="9"/>
      <c r="T543" s="2"/>
      <c r="U543" s="9"/>
    </row>
    <row r="544" spans="2:21" x14ac:dyDescent="0.35">
      <c r="B544" s="9"/>
      <c r="C544" s="2"/>
      <c r="D544" s="2"/>
      <c r="I544" s="9"/>
      <c r="J544" s="2"/>
      <c r="L544" s="9"/>
      <c r="M544" s="2"/>
      <c r="N544" s="9"/>
      <c r="P544" s="3">
        <v>174.65586976</v>
      </c>
      <c r="S544" s="9"/>
      <c r="T544" s="2"/>
      <c r="U544" s="9"/>
    </row>
    <row r="545" spans="2:21" x14ac:dyDescent="0.35">
      <c r="B545" s="9"/>
      <c r="C545" s="2"/>
      <c r="D545" s="2"/>
      <c r="I545" s="9"/>
      <c r="J545" s="2"/>
      <c r="L545" s="9"/>
      <c r="M545" s="2"/>
      <c r="N545" s="9"/>
      <c r="P545" s="3">
        <v>-260.10413024000002</v>
      </c>
      <c r="S545" s="9"/>
      <c r="T545" s="2"/>
      <c r="U545" s="9"/>
    </row>
    <row r="546" spans="2:21" x14ac:dyDescent="0.35">
      <c r="B546" s="9"/>
      <c r="C546" s="2"/>
      <c r="D546" s="2"/>
      <c r="I546" s="9"/>
      <c r="J546" s="2"/>
      <c r="L546" s="9"/>
      <c r="M546" s="2"/>
      <c r="N546" s="9"/>
      <c r="P546" s="3">
        <v>-694.86413024000001</v>
      </c>
      <c r="S546" s="9"/>
      <c r="T546" s="2"/>
      <c r="U546" s="9"/>
    </row>
    <row r="547" spans="2:21" x14ac:dyDescent="0.35">
      <c r="B547" s="9"/>
      <c r="C547" s="2"/>
      <c r="D547" s="2"/>
      <c r="I547" s="9"/>
      <c r="J547" s="2"/>
      <c r="L547" s="9"/>
      <c r="M547" s="2"/>
      <c r="N547" s="9"/>
      <c r="P547" s="3">
        <v>-1129.6241302400001</v>
      </c>
      <c r="S547" s="9"/>
      <c r="T547" s="2"/>
      <c r="U547" s="9"/>
    </row>
    <row r="548" spans="2:21" x14ac:dyDescent="0.35">
      <c r="B548" s="9"/>
      <c r="C548" s="2"/>
      <c r="D548" s="2"/>
      <c r="I548" s="9"/>
      <c r="J548" s="2"/>
      <c r="L548" s="9"/>
      <c r="M548" s="2"/>
      <c r="N548" s="9"/>
      <c r="P548" s="3">
        <v>-924.15295024</v>
      </c>
      <c r="S548" s="9"/>
      <c r="T548" s="2"/>
      <c r="U548" s="9"/>
    </row>
    <row r="549" spans="2:21" x14ac:dyDescent="0.35">
      <c r="B549" s="9"/>
      <c r="C549" s="2"/>
      <c r="D549" s="2"/>
      <c r="I549" s="9"/>
      <c r="J549" s="2"/>
      <c r="L549" s="9"/>
      <c r="M549" s="2"/>
      <c r="N549" s="9"/>
      <c r="P549" s="3">
        <v>-489.39295024</v>
      </c>
      <c r="S549" s="9"/>
      <c r="T549" s="2"/>
      <c r="U549" s="9"/>
    </row>
    <row r="550" spans="2:21" x14ac:dyDescent="0.35">
      <c r="B550" s="9"/>
      <c r="C550" s="2"/>
      <c r="D550" s="2"/>
      <c r="I550" s="9"/>
      <c r="J550" s="2"/>
      <c r="L550" s="9"/>
      <c r="M550" s="2"/>
      <c r="N550" s="9"/>
      <c r="P550" s="3">
        <v>-54.63295024</v>
      </c>
      <c r="S550" s="9"/>
      <c r="T550" s="2"/>
      <c r="U550" s="9"/>
    </row>
    <row r="551" spans="2:21" x14ac:dyDescent="0.35">
      <c r="B551" s="9"/>
      <c r="C551" s="2"/>
      <c r="D551" s="2"/>
      <c r="I551" s="9"/>
      <c r="J551" s="2"/>
      <c r="L551" s="9"/>
      <c r="M551" s="2"/>
      <c r="N551" s="9"/>
      <c r="P551" s="3">
        <v>380.12704975999998</v>
      </c>
      <c r="S551" s="9"/>
      <c r="T551" s="2"/>
      <c r="U551" s="9"/>
    </row>
    <row r="552" spans="2:21" x14ac:dyDescent="0.35">
      <c r="B552" s="9"/>
      <c r="C552" s="2"/>
      <c r="D552" s="2"/>
      <c r="I552" s="9"/>
      <c r="J552" s="2"/>
      <c r="L552" s="9"/>
      <c r="M552" s="2"/>
      <c r="N552" s="9"/>
      <c r="P552" s="3">
        <v>790.09950976000005</v>
      </c>
      <c r="S552" s="9"/>
      <c r="T552" s="2"/>
      <c r="U552" s="9"/>
    </row>
    <row r="553" spans="2:21" x14ac:dyDescent="0.35">
      <c r="B553" s="9"/>
      <c r="C553" s="2"/>
      <c r="D553" s="2"/>
      <c r="I553" s="9"/>
      <c r="J553" s="2"/>
      <c r="L553" s="9"/>
      <c r="M553" s="2"/>
      <c r="N553" s="9"/>
      <c r="P553" s="3">
        <v>744.65139900999998</v>
      </c>
      <c r="S553" s="9"/>
      <c r="T553" s="2"/>
      <c r="U553" s="9"/>
    </row>
    <row r="554" spans="2:21" x14ac:dyDescent="0.35">
      <c r="B554" s="9"/>
      <c r="C554" s="2"/>
      <c r="D554" s="2"/>
      <c r="I554" s="9"/>
      <c r="J554" s="2"/>
      <c r="L554" s="9"/>
      <c r="M554" s="2"/>
      <c r="N554" s="9"/>
      <c r="P554" s="3">
        <v>659.24458849999996</v>
      </c>
      <c r="S554" s="9"/>
      <c r="T554" s="2"/>
      <c r="U554" s="9"/>
    </row>
    <row r="555" spans="2:21" x14ac:dyDescent="0.35">
      <c r="B555" s="9"/>
      <c r="C555" s="2"/>
      <c r="D555" s="2"/>
      <c r="I555" s="9"/>
      <c r="J555" s="2"/>
      <c r="L555" s="9"/>
      <c r="M555" s="2"/>
      <c r="N555" s="9"/>
      <c r="P555" s="3">
        <v>564.66320813000004</v>
      </c>
      <c r="S555" s="9"/>
      <c r="T555" s="2"/>
      <c r="U555" s="9"/>
    </row>
    <row r="556" spans="2:21" x14ac:dyDescent="0.35">
      <c r="B556" s="9"/>
      <c r="C556" s="2"/>
      <c r="D556" s="2"/>
      <c r="I556" s="9"/>
      <c r="J556" s="2"/>
      <c r="L556" s="9"/>
      <c r="M556" s="2"/>
      <c r="N556" s="9"/>
      <c r="P556" s="3">
        <v>443.98014788</v>
      </c>
      <c r="S556" s="9"/>
      <c r="T556" s="2"/>
      <c r="U556" s="9"/>
    </row>
    <row r="557" spans="2:21" x14ac:dyDescent="0.35">
      <c r="B557" s="9"/>
      <c r="C557" s="2"/>
      <c r="D557" s="2"/>
      <c r="I557" s="9"/>
      <c r="J557" s="2"/>
      <c r="L557" s="9"/>
      <c r="M557" s="2"/>
      <c r="N557" s="9"/>
      <c r="P557" s="3">
        <v>384.58012788000002</v>
      </c>
      <c r="S557" s="9"/>
      <c r="T557" s="2"/>
      <c r="U557" s="9"/>
    </row>
    <row r="558" spans="2:21" x14ac:dyDescent="0.35">
      <c r="B558" s="9"/>
      <c r="C558" s="2"/>
      <c r="D558" s="2"/>
      <c r="I558" s="9"/>
      <c r="J558" s="2"/>
      <c r="L558" s="9"/>
      <c r="M558" s="2"/>
      <c r="N558" s="9"/>
      <c r="P558" s="3">
        <v>345.55156677999997</v>
      </c>
      <c r="S558" s="9"/>
      <c r="T558" s="2"/>
      <c r="U558" s="9"/>
    </row>
    <row r="559" spans="2:21" x14ac:dyDescent="0.35">
      <c r="B559" s="9"/>
      <c r="C559" s="2"/>
      <c r="D559" s="2"/>
      <c r="I559" s="9"/>
      <c r="J559" s="2"/>
      <c r="L559" s="9"/>
      <c r="M559" s="2"/>
      <c r="N559" s="9"/>
      <c r="P559" s="3">
        <v>352.76871677999998</v>
      </c>
      <c r="S559" s="9"/>
      <c r="T559" s="2"/>
      <c r="U559" s="9"/>
    </row>
    <row r="560" spans="2:21" x14ac:dyDescent="0.35">
      <c r="B560" s="9"/>
      <c r="C560" s="2"/>
      <c r="D560" s="2"/>
      <c r="I560" s="9"/>
      <c r="J560" s="2"/>
      <c r="L560" s="9"/>
      <c r="M560" s="2"/>
      <c r="N560" s="9"/>
      <c r="P560" s="3">
        <v>397.19128677999998</v>
      </c>
      <c r="S560" s="9"/>
      <c r="T560" s="2"/>
      <c r="U560" s="9"/>
    </row>
    <row r="561" spans="2:21" x14ac:dyDescent="0.35">
      <c r="B561" s="9"/>
      <c r="C561" s="2"/>
      <c r="D561" s="2"/>
      <c r="I561" s="9"/>
      <c r="J561" s="2"/>
      <c r="L561" s="9"/>
      <c r="M561" s="2"/>
      <c r="N561" s="9"/>
      <c r="P561" s="3">
        <v>448.12597677999997</v>
      </c>
      <c r="S561" s="9"/>
      <c r="T561" s="2"/>
      <c r="U561" s="9"/>
    </row>
    <row r="562" spans="2:21" x14ac:dyDescent="0.35">
      <c r="B562" s="9"/>
      <c r="C562" s="2"/>
      <c r="D562" s="2"/>
      <c r="I562" s="9"/>
      <c r="J562" s="2"/>
      <c r="L562" s="9"/>
      <c r="M562" s="2"/>
      <c r="N562" s="9"/>
      <c r="P562" s="3">
        <v>504.34519677999998</v>
      </c>
      <c r="S562" s="9"/>
      <c r="T562" s="2"/>
      <c r="U562" s="9"/>
    </row>
    <row r="563" spans="2:21" x14ac:dyDescent="0.35">
      <c r="B563" s="9"/>
      <c r="C563" s="2"/>
      <c r="D563" s="2"/>
      <c r="I563" s="9"/>
      <c r="J563" s="2"/>
      <c r="L563" s="9"/>
      <c r="M563" s="2"/>
      <c r="N563" s="9"/>
      <c r="P563" s="3">
        <v>694.65776326000002</v>
      </c>
      <c r="S563" s="9"/>
      <c r="T563" s="2"/>
      <c r="U563" s="9"/>
    </row>
    <row r="564" spans="2:21" x14ac:dyDescent="0.35">
      <c r="B564" s="9"/>
      <c r="C564" s="2"/>
      <c r="D564" s="2"/>
      <c r="I564" s="9"/>
      <c r="J564" s="2"/>
      <c r="L564" s="9"/>
      <c r="M564" s="2"/>
      <c r="N564" s="9"/>
      <c r="P564" s="3">
        <v>848.66944973</v>
      </c>
      <c r="S564" s="9"/>
      <c r="T564" s="2"/>
      <c r="U564" s="9"/>
    </row>
    <row r="565" spans="2:21" x14ac:dyDescent="0.35">
      <c r="B565" s="9"/>
      <c r="C565" s="2"/>
      <c r="D565" s="2"/>
      <c r="I565" s="9"/>
      <c r="J565" s="2"/>
      <c r="L565" s="9"/>
      <c r="M565" s="2"/>
      <c r="N565" s="9"/>
      <c r="P565" s="3">
        <v>993.80939218000003</v>
      </c>
      <c r="S565" s="9"/>
      <c r="T565" s="2"/>
      <c r="U565" s="9"/>
    </row>
    <row r="566" spans="2:21" x14ac:dyDescent="0.35">
      <c r="B566" s="9"/>
      <c r="C566" s="2"/>
      <c r="D566" s="2"/>
      <c r="I566" s="9"/>
      <c r="J566" s="2"/>
      <c r="L566" s="9"/>
      <c r="M566" s="2"/>
      <c r="N566" s="9"/>
      <c r="P566" s="3">
        <v>1123.2344886599999</v>
      </c>
      <c r="S566" s="9"/>
      <c r="T566" s="2"/>
      <c r="U566" s="9"/>
    </row>
    <row r="567" spans="2:21" x14ac:dyDescent="0.35">
      <c r="B567" s="9"/>
      <c r="C567" s="2"/>
      <c r="D567" s="2"/>
      <c r="I567" s="9"/>
      <c r="J567" s="2"/>
      <c r="L567" s="9"/>
      <c r="M567" s="2"/>
      <c r="N567" s="9"/>
      <c r="P567" s="3">
        <v>912.42554866</v>
      </c>
      <c r="S567" s="9"/>
      <c r="T567" s="2"/>
      <c r="U567" s="9"/>
    </row>
    <row r="568" spans="2:21" x14ac:dyDescent="0.35">
      <c r="B568" s="9"/>
      <c r="C568" s="2"/>
      <c r="D568" s="2"/>
      <c r="I568" s="9"/>
      <c r="J568" s="2"/>
      <c r="L568" s="9"/>
      <c r="M568" s="2"/>
      <c r="N568" s="9"/>
      <c r="P568" s="3">
        <v>477.66554866000001</v>
      </c>
      <c r="S568" s="9"/>
      <c r="T568" s="2"/>
      <c r="U568" s="9"/>
    </row>
    <row r="569" spans="2:21" x14ac:dyDescent="0.35">
      <c r="B569" s="9"/>
      <c r="C569" s="2"/>
      <c r="D569" s="2"/>
      <c r="I569" s="9"/>
      <c r="J569" s="2"/>
      <c r="L569" s="9"/>
      <c r="M569" s="2"/>
      <c r="N569" s="9"/>
      <c r="P569" s="3">
        <v>42.905548660000001</v>
      </c>
      <c r="S569" s="9"/>
      <c r="T569" s="2"/>
      <c r="U569" s="9"/>
    </row>
    <row r="570" spans="2:21" x14ac:dyDescent="0.35">
      <c r="B570" s="9"/>
      <c r="C570" s="2"/>
      <c r="D570" s="2"/>
      <c r="I570" s="9"/>
      <c r="J570" s="2"/>
      <c r="L570" s="9"/>
      <c r="M570" s="2"/>
      <c r="N570" s="9"/>
      <c r="P570" s="3">
        <v>-391.85445134000003</v>
      </c>
      <c r="S570" s="9"/>
      <c r="T570" s="2"/>
      <c r="U570" s="9"/>
    </row>
    <row r="571" spans="2:21" x14ac:dyDescent="0.35">
      <c r="B571" s="9"/>
      <c r="C571" s="2"/>
      <c r="D571" s="2"/>
      <c r="I571" s="9"/>
      <c r="J571" s="2"/>
      <c r="L571" s="9"/>
      <c r="M571" s="2"/>
      <c r="N571" s="9"/>
      <c r="P571" s="3">
        <v>-826.61445133999996</v>
      </c>
      <c r="S571" s="9"/>
      <c r="T571" s="2"/>
      <c r="U571" s="9"/>
    </row>
    <row r="572" spans="2:21" x14ac:dyDescent="0.35">
      <c r="B572" s="9"/>
      <c r="C572" s="2"/>
      <c r="D572" s="2"/>
      <c r="I572" s="9"/>
      <c r="J572" s="2"/>
      <c r="L572" s="9"/>
      <c r="M572" s="2"/>
      <c r="N572" s="9"/>
      <c r="P572" s="3">
        <v>-1261.37445134</v>
      </c>
      <c r="S572" s="9"/>
      <c r="T572" s="2"/>
      <c r="U572" s="9"/>
    </row>
    <row r="573" spans="2:21" x14ac:dyDescent="0.35">
      <c r="B573" s="9"/>
      <c r="C573" s="2"/>
      <c r="D573" s="2"/>
      <c r="I573" s="9"/>
      <c r="J573" s="2"/>
      <c r="L573" s="9"/>
      <c r="M573" s="2"/>
      <c r="N573" s="9"/>
      <c r="P573" s="3">
        <v>-1231.94982134</v>
      </c>
      <c r="S573" s="9"/>
      <c r="T573" s="2"/>
      <c r="U573" s="9"/>
    </row>
    <row r="574" spans="2:21" x14ac:dyDescent="0.35">
      <c r="B574" s="9"/>
      <c r="C574" s="2"/>
      <c r="D574" s="2"/>
      <c r="I574" s="9"/>
      <c r="J574" s="2"/>
      <c r="L574" s="9"/>
      <c r="M574" s="2"/>
      <c r="N574" s="9"/>
      <c r="P574" s="3">
        <v>-1113.0766513399999</v>
      </c>
      <c r="S574" s="9"/>
      <c r="T574" s="2"/>
      <c r="U574" s="9"/>
    </row>
    <row r="575" spans="2:21" x14ac:dyDescent="0.35">
      <c r="B575" s="9"/>
      <c r="C575" s="2"/>
      <c r="D575" s="2"/>
      <c r="I575" s="9"/>
      <c r="J575" s="2"/>
      <c r="L575" s="9"/>
      <c r="M575" s="2"/>
      <c r="N575" s="9"/>
      <c r="P575" s="3">
        <v>-1165.8623113399999</v>
      </c>
      <c r="S575" s="9"/>
      <c r="T575" s="2"/>
      <c r="U575" s="9"/>
    </row>
    <row r="576" spans="2:21" x14ac:dyDescent="0.35">
      <c r="B576" s="9"/>
      <c r="C576" s="2"/>
      <c r="D576" s="2"/>
      <c r="I576" s="9"/>
      <c r="J576" s="2"/>
      <c r="L576" s="9"/>
      <c r="M576" s="2"/>
      <c r="N576" s="9"/>
      <c r="P576" s="3">
        <v>-1495.78724134</v>
      </c>
      <c r="S576" s="9"/>
      <c r="T576" s="2"/>
      <c r="U576" s="9"/>
    </row>
    <row r="577" spans="2:21" x14ac:dyDescent="0.35">
      <c r="B577" s="9"/>
      <c r="C577" s="2"/>
      <c r="D577" s="2"/>
      <c r="I577" s="9"/>
      <c r="J577" s="2"/>
      <c r="L577" s="9"/>
      <c r="M577" s="2"/>
      <c r="N577" s="9"/>
      <c r="P577" s="3">
        <v>-1930.54724134</v>
      </c>
      <c r="S577" s="9"/>
      <c r="T577" s="2"/>
      <c r="U577" s="9"/>
    </row>
    <row r="578" spans="2:21" x14ac:dyDescent="0.35">
      <c r="B578" s="9"/>
      <c r="C578" s="2"/>
      <c r="D578" s="2"/>
      <c r="I578" s="9"/>
      <c r="J578" s="2"/>
      <c r="L578" s="9"/>
      <c r="M578" s="2"/>
      <c r="N578" s="9"/>
      <c r="P578" s="3">
        <v>-2278.68060259</v>
      </c>
      <c r="S578" s="9"/>
      <c r="T578" s="2"/>
      <c r="U578" s="9"/>
    </row>
    <row r="579" spans="2:21" x14ac:dyDescent="0.35">
      <c r="B579" s="9"/>
      <c r="C579" s="2"/>
      <c r="D579" s="2"/>
      <c r="I579" s="9"/>
      <c r="J579" s="2"/>
      <c r="L579" s="9"/>
      <c r="M579" s="2"/>
      <c r="N579" s="9"/>
      <c r="P579" s="3">
        <v>-2475.44873297</v>
      </c>
      <c r="S579" s="9"/>
      <c r="T579" s="2"/>
      <c r="U579" s="9"/>
    </row>
    <row r="580" spans="2:21" x14ac:dyDescent="0.35">
      <c r="B580" s="9"/>
      <c r="C580" s="2"/>
      <c r="D580" s="2"/>
      <c r="I580" s="9"/>
      <c r="J580" s="2"/>
      <c r="L580" s="9"/>
      <c r="M580" s="2"/>
      <c r="N580" s="9"/>
      <c r="P580" s="3">
        <v>-2564.0334032199999</v>
      </c>
      <c r="S580" s="9"/>
      <c r="T580" s="2"/>
      <c r="U580" s="9"/>
    </row>
    <row r="581" spans="2:21" x14ac:dyDescent="0.35">
      <c r="B581" s="9"/>
      <c r="C581" s="2"/>
      <c r="D581" s="2"/>
      <c r="I581" s="9"/>
      <c r="J581" s="2"/>
      <c r="L581" s="9"/>
      <c r="M581" s="2"/>
      <c r="N581" s="9"/>
      <c r="P581" s="3">
        <v>-2669.19931322</v>
      </c>
      <c r="S581" s="9"/>
      <c r="T581" s="2"/>
      <c r="U581" s="9"/>
    </row>
    <row r="582" spans="2:21" x14ac:dyDescent="0.35">
      <c r="B582" s="9"/>
      <c r="C582" s="2"/>
      <c r="D582" s="2"/>
      <c r="I582" s="9"/>
      <c r="J582" s="2"/>
      <c r="L582" s="9"/>
      <c r="M582" s="2"/>
      <c r="N582" s="9"/>
      <c r="P582" s="3">
        <v>-2739.8485737400001</v>
      </c>
      <c r="S582" s="9"/>
      <c r="T582" s="2"/>
      <c r="U582" s="9"/>
    </row>
    <row r="583" spans="2:21" x14ac:dyDescent="0.35">
      <c r="B583" s="9"/>
      <c r="C583" s="2"/>
      <c r="D583" s="2"/>
      <c r="I583" s="9"/>
      <c r="J583" s="2"/>
      <c r="L583" s="9"/>
      <c r="M583" s="2"/>
      <c r="N583" s="9"/>
      <c r="P583" s="3">
        <v>-2860.169492</v>
      </c>
      <c r="S583" s="9"/>
      <c r="T583" s="2"/>
      <c r="U583" s="9"/>
    </row>
    <row r="584" spans="2:21" x14ac:dyDescent="0.35">
      <c r="B584" s="9"/>
      <c r="C584" s="2"/>
      <c r="D584" s="2"/>
      <c r="I584" s="9"/>
      <c r="J584" s="2"/>
      <c r="L584" s="9"/>
      <c r="M584" s="2"/>
      <c r="N584" s="9"/>
      <c r="P584" s="3">
        <v>-2860.169492</v>
      </c>
      <c r="S584" s="9"/>
      <c r="T584" s="2"/>
      <c r="U584" s="9"/>
    </row>
    <row r="585" spans="2:21" x14ac:dyDescent="0.35">
      <c r="B585" s="9"/>
      <c r="C585" s="2"/>
      <c r="D585" s="2"/>
      <c r="I585" s="9"/>
      <c r="J585" s="2"/>
      <c r="L585" s="9"/>
      <c r="M585" s="2"/>
      <c r="N585" s="9"/>
      <c r="P585" s="3">
        <v>-2860.169492</v>
      </c>
      <c r="S585" s="9"/>
      <c r="T585" s="2"/>
      <c r="U585" s="9"/>
    </row>
    <row r="586" spans="2:21" x14ac:dyDescent="0.35">
      <c r="B586" s="9"/>
      <c r="C586" s="2"/>
      <c r="D586" s="2"/>
      <c r="I586" s="9"/>
      <c r="J586" s="2"/>
      <c r="L586" s="9"/>
      <c r="M586" s="2"/>
      <c r="N586" s="9"/>
      <c r="P586" s="3">
        <v>-2860.169492</v>
      </c>
      <c r="S586" s="9"/>
      <c r="T586" s="2"/>
      <c r="U586" s="9"/>
    </row>
    <row r="587" spans="2:21" x14ac:dyDescent="0.35">
      <c r="B587" s="9"/>
      <c r="C587" s="2"/>
      <c r="D587" s="2"/>
      <c r="I587" s="9"/>
      <c r="J587" s="2"/>
      <c r="L587" s="9"/>
      <c r="M587" s="2"/>
      <c r="N587" s="9"/>
      <c r="P587" s="3">
        <v>-2860.169492</v>
      </c>
      <c r="S587" s="9"/>
      <c r="T587" s="2"/>
      <c r="U587" s="9"/>
    </row>
    <row r="588" spans="2:21" x14ac:dyDescent="0.35">
      <c r="B588" s="9"/>
      <c r="C588" s="2"/>
      <c r="D588" s="2"/>
      <c r="I588" s="9"/>
      <c r="J588" s="2"/>
      <c r="L588" s="9"/>
      <c r="M588" s="2"/>
      <c r="N588" s="9"/>
      <c r="P588" s="3">
        <v>-2860.169492</v>
      </c>
      <c r="S588" s="9"/>
      <c r="T588" s="2"/>
      <c r="U588" s="9"/>
    </row>
    <row r="589" spans="2:21" x14ac:dyDescent="0.35">
      <c r="B589" s="9"/>
      <c r="C589" s="2"/>
      <c r="D589" s="2"/>
      <c r="I589" s="9"/>
      <c r="J589" s="2"/>
      <c r="L589" s="9"/>
      <c r="M589" s="2"/>
      <c r="N589" s="9"/>
      <c r="P589" s="3">
        <v>-2860.169492</v>
      </c>
      <c r="S589" s="9"/>
      <c r="T589" s="2"/>
      <c r="U589" s="9"/>
    </row>
    <row r="590" spans="2:21" x14ac:dyDescent="0.35">
      <c r="B590" s="9"/>
      <c r="C590" s="2"/>
      <c r="D590" s="2"/>
      <c r="I590" s="9"/>
      <c r="J590" s="2"/>
      <c r="L590" s="9"/>
      <c r="M590" s="2"/>
      <c r="N590" s="9"/>
      <c r="P590" s="3">
        <v>-2860.169492</v>
      </c>
      <c r="S590" s="9"/>
      <c r="T590" s="2"/>
      <c r="U590" s="9"/>
    </row>
    <row r="591" spans="2:21" x14ac:dyDescent="0.35">
      <c r="B591" s="9"/>
      <c r="C591" s="2"/>
      <c r="D591" s="2"/>
      <c r="I591" s="9"/>
      <c r="J591" s="2"/>
      <c r="L591" s="9"/>
      <c r="M591" s="2"/>
      <c r="N591" s="9"/>
      <c r="P591" s="3">
        <v>-2860.169492</v>
      </c>
      <c r="S591" s="9"/>
      <c r="T591" s="2"/>
      <c r="U591" s="9"/>
    </row>
    <row r="592" spans="2:21" x14ac:dyDescent="0.35">
      <c r="B592" s="9"/>
      <c r="C592" s="2"/>
      <c r="D592" s="2"/>
      <c r="I592" s="9"/>
      <c r="J592" s="2"/>
      <c r="L592" s="9"/>
      <c r="M592" s="2"/>
      <c r="N592" s="9"/>
      <c r="P592" s="3">
        <v>-2860.169492</v>
      </c>
      <c r="S592" s="9"/>
      <c r="T592" s="2"/>
      <c r="U592" s="9"/>
    </row>
    <row r="593" spans="2:21" x14ac:dyDescent="0.35">
      <c r="B593" s="9"/>
      <c r="C593" s="2"/>
      <c r="D593" s="2"/>
      <c r="I593" s="9"/>
      <c r="J593" s="2"/>
      <c r="L593" s="9"/>
      <c r="M593" s="2"/>
      <c r="N593" s="9"/>
      <c r="P593" s="3">
        <v>-2860.169492</v>
      </c>
      <c r="S593" s="9"/>
      <c r="T593" s="2"/>
      <c r="U593" s="9"/>
    </row>
    <row r="594" spans="2:21" x14ac:dyDescent="0.35">
      <c r="B594" s="9"/>
      <c r="C594" s="2"/>
      <c r="D594" s="2"/>
      <c r="I594" s="9"/>
      <c r="J594" s="2"/>
      <c r="L594" s="9"/>
      <c r="M594" s="2"/>
      <c r="N594" s="9"/>
      <c r="P594" s="3">
        <v>-2860.169492</v>
      </c>
      <c r="S594" s="9"/>
      <c r="T594" s="2"/>
      <c r="U594" s="9"/>
    </row>
    <row r="595" spans="2:21" x14ac:dyDescent="0.35">
      <c r="B595" s="9"/>
      <c r="C595" s="2"/>
      <c r="D595" s="2"/>
      <c r="I595" s="9"/>
      <c r="J595" s="2"/>
      <c r="L595" s="9"/>
      <c r="M595" s="2"/>
      <c r="N595" s="9"/>
      <c r="P595" s="3">
        <v>-2860.169492</v>
      </c>
      <c r="S595" s="9"/>
      <c r="T595" s="2"/>
      <c r="U595" s="9"/>
    </row>
    <row r="596" spans="2:21" x14ac:dyDescent="0.35">
      <c r="B596" s="9"/>
      <c r="C596" s="2"/>
      <c r="D596" s="2"/>
      <c r="I596" s="9"/>
      <c r="J596" s="2"/>
      <c r="L596" s="9"/>
      <c r="M596" s="2"/>
      <c r="N596" s="9"/>
      <c r="P596" s="3">
        <v>-2860.169492</v>
      </c>
      <c r="S596" s="9"/>
      <c r="T596" s="2"/>
      <c r="U596" s="9"/>
    </row>
    <row r="597" spans="2:21" x14ac:dyDescent="0.35">
      <c r="B597" s="9"/>
      <c r="C597" s="2"/>
      <c r="D597" s="2"/>
      <c r="I597" s="9"/>
      <c r="J597" s="2"/>
      <c r="L597" s="9"/>
      <c r="M597" s="2"/>
      <c r="N597" s="9"/>
      <c r="P597" s="3">
        <v>-2860.169492</v>
      </c>
      <c r="S597" s="9"/>
      <c r="T597" s="2"/>
      <c r="U597" s="9"/>
    </row>
    <row r="598" spans="2:21" x14ac:dyDescent="0.35">
      <c r="B598" s="9"/>
      <c r="C598" s="2"/>
      <c r="D598" s="2"/>
      <c r="I598" s="9"/>
      <c r="J598" s="2"/>
      <c r="L598" s="9"/>
      <c r="M598" s="2"/>
      <c r="N598" s="9"/>
      <c r="P598" s="3">
        <v>-2860.169492</v>
      </c>
      <c r="S598" s="9"/>
      <c r="T598" s="2"/>
      <c r="U598" s="9"/>
    </row>
    <row r="599" spans="2:21" x14ac:dyDescent="0.35">
      <c r="B599" s="9"/>
      <c r="C599" s="2"/>
      <c r="D599" s="2"/>
      <c r="I599" s="9"/>
      <c r="J599" s="2"/>
      <c r="L599" s="9"/>
      <c r="M599" s="2"/>
      <c r="N599" s="9"/>
      <c r="P599" s="3">
        <v>-2860.169492</v>
      </c>
      <c r="S599" s="9"/>
      <c r="T599" s="2"/>
      <c r="U599" s="9"/>
    </row>
    <row r="600" spans="2:21" x14ac:dyDescent="0.35">
      <c r="B600" s="9"/>
      <c r="C600" s="2"/>
      <c r="D600" s="2"/>
      <c r="I600" s="9"/>
      <c r="J600" s="2"/>
      <c r="L600" s="9"/>
      <c r="M600" s="2"/>
      <c r="N600" s="9"/>
      <c r="P600" s="3">
        <v>-2860.169492</v>
      </c>
      <c r="S600" s="9"/>
      <c r="T600" s="2"/>
      <c r="U600" s="9"/>
    </row>
    <row r="601" spans="2:21" x14ac:dyDescent="0.35">
      <c r="B601" s="9"/>
      <c r="C601" s="2"/>
      <c r="D601" s="2"/>
      <c r="I601" s="9"/>
      <c r="J601" s="2"/>
      <c r="L601" s="9"/>
      <c r="M601" s="2"/>
      <c r="N601" s="9"/>
      <c r="P601" s="3">
        <v>-2860.169492</v>
      </c>
      <c r="S601" s="9"/>
      <c r="T601" s="2"/>
      <c r="U601" s="9"/>
    </row>
    <row r="602" spans="2:21" x14ac:dyDescent="0.35">
      <c r="B602" s="9"/>
      <c r="C602" s="2"/>
      <c r="D602" s="2"/>
      <c r="I602" s="9"/>
      <c r="J602" s="2"/>
      <c r="L602" s="9"/>
      <c r="M602" s="2"/>
      <c r="N602" s="9"/>
      <c r="P602" s="3">
        <v>-2860.169492</v>
      </c>
      <c r="S602" s="9"/>
      <c r="T602" s="2"/>
      <c r="U602" s="9"/>
    </row>
    <row r="603" spans="2:21" x14ac:dyDescent="0.35">
      <c r="B603" s="9"/>
      <c r="C603" s="2"/>
      <c r="D603" s="2"/>
      <c r="I603" s="9"/>
      <c r="J603" s="2"/>
      <c r="L603" s="9"/>
      <c r="M603" s="2"/>
      <c r="N603" s="9"/>
      <c r="P603" s="3">
        <v>-2860.169492</v>
      </c>
      <c r="S603" s="9"/>
      <c r="T603" s="2"/>
      <c r="U603" s="9"/>
    </row>
    <row r="604" spans="2:21" x14ac:dyDescent="0.35">
      <c r="B604" s="9"/>
      <c r="C604" s="2"/>
      <c r="D604" s="2"/>
      <c r="I604" s="9"/>
      <c r="J604" s="2"/>
      <c r="L604" s="9"/>
      <c r="M604" s="2"/>
      <c r="N604" s="9"/>
      <c r="P604" s="3">
        <v>-2860.169492</v>
      </c>
      <c r="S604" s="9"/>
      <c r="T604" s="2"/>
      <c r="U604" s="9"/>
    </row>
    <row r="605" spans="2:21" x14ac:dyDescent="0.35">
      <c r="B605" s="9"/>
      <c r="C605" s="2"/>
      <c r="D605" s="2"/>
      <c r="I605" s="9"/>
      <c r="J605" s="2"/>
      <c r="L605" s="9"/>
      <c r="M605" s="2"/>
      <c r="N605" s="9"/>
      <c r="P605" s="3">
        <v>-2860.169492</v>
      </c>
      <c r="S605" s="9"/>
      <c r="T605" s="2"/>
      <c r="U605" s="9"/>
    </row>
    <row r="606" spans="2:21" x14ac:dyDescent="0.35">
      <c r="B606" s="9"/>
      <c r="C606" s="2"/>
      <c r="D606" s="2"/>
      <c r="I606" s="9"/>
      <c r="J606" s="2"/>
      <c r="L606" s="9"/>
      <c r="M606" s="2"/>
      <c r="N606" s="9"/>
      <c r="P606" s="3">
        <v>-2860.169492</v>
      </c>
      <c r="S606" s="9"/>
      <c r="T606" s="2"/>
      <c r="U606" s="9"/>
    </row>
    <row r="607" spans="2:21" x14ac:dyDescent="0.35">
      <c r="B607" s="9"/>
      <c r="C607" s="2"/>
      <c r="D607" s="2"/>
      <c r="I607" s="9"/>
      <c r="J607" s="2"/>
      <c r="L607" s="9"/>
      <c r="M607" s="2"/>
      <c r="N607" s="9"/>
      <c r="P607" s="3">
        <v>-2860.169492</v>
      </c>
      <c r="S607" s="9"/>
      <c r="T607" s="2"/>
      <c r="U607" s="9"/>
    </row>
    <row r="608" spans="2:21" x14ac:dyDescent="0.35">
      <c r="B608" s="9"/>
      <c r="C608" s="2"/>
      <c r="D608" s="2"/>
      <c r="I608" s="9"/>
      <c r="J608" s="2"/>
      <c r="L608" s="9"/>
      <c r="M608" s="2"/>
      <c r="N608" s="9"/>
      <c r="P608" s="3">
        <v>-2860.169492</v>
      </c>
      <c r="S608" s="9"/>
      <c r="T608" s="2"/>
      <c r="U608" s="9"/>
    </row>
    <row r="609" spans="2:21" x14ac:dyDescent="0.35">
      <c r="B609" s="9"/>
      <c r="C609" s="2"/>
      <c r="D609" s="2"/>
      <c r="I609" s="9"/>
      <c r="J609" s="2"/>
      <c r="L609" s="9"/>
      <c r="M609" s="2"/>
      <c r="N609" s="9"/>
      <c r="P609" s="3">
        <v>-2860.169492</v>
      </c>
      <c r="S609" s="9"/>
      <c r="T609" s="2"/>
      <c r="U609" s="9"/>
    </row>
    <row r="610" spans="2:21" x14ac:dyDescent="0.35">
      <c r="B610" s="9"/>
      <c r="C610" s="2"/>
      <c r="D610" s="2"/>
      <c r="I610" s="9"/>
      <c r="J610" s="2"/>
      <c r="L610" s="9"/>
      <c r="M610" s="2"/>
      <c r="N610" s="9"/>
      <c r="P610" s="3">
        <v>-2860.169492</v>
      </c>
      <c r="S610" s="9"/>
      <c r="T610" s="2"/>
      <c r="U610" s="9"/>
    </row>
    <row r="611" spans="2:21" x14ac:dyDescent="0.35">
      <c r="B611" s="9"/>
      <c r="C611" s="2"/>
      <c r="D611" s="2"/>
      <c r="I611" s="9"/>
      <c r="J611" s="2"/>
      <c r="L611" s="9"/>
      <c r="M611" s="2"/>
      <c r="N611" s="9"/>
      <c r="P611" s="3">
        <v>-2860.169492</v>
      </c>
      <c r="S611" s="9"/>
      <c r="T611" s="2"/>
      <c r="U611" s="9"/>
    </row>
    <row r="612" spans="2:21" x14ac:dyDescent="0.35">
      <c r="B612" s="9"/>
      <c r="C612" s="2"/>
      <c r="D612" s="2"/>
      <c r="I612" s="9"/>
      <c r="J612" s="2"/>
      <c r="L612" s="9"/>
      <c r="M612" s="2"/>
      <c r="N612" s="9"/>
      <c r="P612" s="3">
        <v>-2860.169492</v>
      </c>
      <c r="S612" s="9"/>
      <c r="T612" s="2"/>
      <c r="U612" s="9"/>
    </row>
    <row r="613" spans="2:21" x14ac:dyDescent="0.35">
      <c r="B613" s="9"/>
      <c r="C613" s="2"/>
      <c r="D613" s="2"/>
      <c r="I613" s="9"/>
      <c r="J613" s="2"/>
      <c r="L613" s="9"/>
      <c r="M613" s="2"/>
      <c r="N613" s="9"/>
      <c r="P613" s="3">
        <v>-2860.169492</v>
      </c>
      <c r="S613" s="9"/>
      <c r="T613" s="2"/>
      <c r="U613" s="9"/>
    </row>
    <row r="614" spans="2:21" x14ac:dyDescent="0.35">
      <c r="B614" s="9"/>
      <c r="C614" s="2"/>
      <c r="D614" s="2"/>
      <c r="I614" s="9"/>
      <c r="J614" s="2"/>
      <c r="L614" s="9"/>
      <c r="M614" s="2"/>
      <c r="N614" s="9"/>
      <c r="P614" s="3">
        <v>-2860.169492</v>
      </c>
      <c r="S614" s="9"/>
      <c r="T614" s="2"/>
      <c r="U614" s="9"/>
    </row>
    <row r="615" spans="2:21" x14ac:dyDescent="0.35">
      <c r="B615" s="9"/>
      <c r="C615" s="2"/>
      <c r="D615" s="2"/>
      <c r="I615" s="9"/>
      <c r="J615" s="2"/>
      <c r="L615" s="9"/>
      <c r="M615" s="2"/>
      <c r="N615" s="9"/>
      <c r="P615" s="3">
        <v>-2860.169492</v>
      </c>
      <c r="S615" s="9"/>
      <c r="T615" s="2"/>
      <c r="U615" s="9"/>
    </row>
    <row r="616" spans="2:21" x14ac:dyDescent="0.35">
      <c r="B616" s="9"/>
      <c r="C616" s="2"/>
      <c r="D616" s="2"/>
      <c r="I616" s="9"/>
      <c r="J616" s="2"/>
      <c r="L616" s="9"/>
      <c r="M616" s="2"/>
      <c r="N616" s="9"/>
      <c r="P616" s="3">
        <v>-2860.169492</v>
      </c>
      <c r="S616" s="9"/>
      <c r="T616" s="2"/>
      <c r="U616" s="9"/>
    </row>
    <row r="617" spans="2:21" x14ac:dyDescent="0.35">
      <c r="B617" s="9"/>
      <c r="C617" s="2"/>
      <c r="D617" s="2"/>
      <c r="I617" s="9"/>
      <c r="J617" s="2"/>
      <c r="L617" s="9"/>
      <c r="M617" s="2"/>
      <c r="N617" s="9"/>
      <c r="P617" s="3">
        <v>-2860.169492</v>
      </c>
      <c r="S617" s="9"/>
      <c r="T617" s="2"/>
      <c r="U617" s="9"/>
    </row>
    <row r="618" spans="2:21" x14ac:dyDescent="0.35">
      <c r="B618" s="9"/>
      <c r="C618" s="2"/>
      <c r="D618" s="2"/>
      <c r="I618" s="9"/>
      <c r="J618" s="2"/>
      <c r="L618" s="9"/>
      <c r="M618" s="2"/>
      <c r="N618" s="9"/>
      <c r="P618" s="3">
        <v>-2425.4094919999998</v>
      </c>
      <c r="S618" s="9"/>
      <c r="T618" s="2"/>
      <c r="U618" s="9"/>
    </row>
    <row r="619" spans="2:21" x14ac:dyDescent="0.35">
      <c r="B619" s="9"/>
      <c r="C619" s="2"/>
      <c r="D619" s="2"/>
      <c r="I619" s="9"/>
      <c r="J619" s="2"/>
      <c r="L619" s="9"/>
      <c r="M619" s="2"/>
      <c r="N619" s="9"/>
      <c r="P619" s="3">
        <v>-1990.649492</v>
      </c>
      <c r="S619" s="9"/>
      <c r="T619" s="2"/>
      <c r="U619" s="9"/>
    </row>
    <row r="620" spans="2:21" x14ac:dyDescent="0.35">
      <c r="B620" s="9"/>
      <c r="C620" s="2"/>
      <c r="D620" s="2"/>
      <c r="I620" s="9"/>
      <c r="J620" s="2"/>
      <c r="L620" s="9"/>
      <c r="M620" s="2"/>
      <c r="N620" s="9"/>
      <c r="P620" s="3">
        <v>-2425.4094919999998</v>
      </c>
      <c r="S620" s="9"/>
      <c r="T620" s="2"/>
      <c r="U620" s="9"/>
    </row>
    <row r="621" spans="2:21" x14ac:dyDescent="0.35">
      <c r="B621" s="9"/>
      <c r="C621" s="2"/>
      <c r="D621" s="2"/>
      <c r="I621" s="9"/>
      <c r="J621" s="2"/>
      <c r="L621" s="9"/>
      <c r="M621" s="2"/>
      <c r="N621" s="9"/>
      <c r="P621" s="3">
        <v>-2860.169492</v>
      </c>
      <c r="S621" s="9"/>
      <c r="T621" s="2"/>
      <c r="U621" s="9"/>
    </row>
    <row r="622" spans="2:21" x14ac:dyDescent="0.35">
      <c r="B622" s="9"/>
      <c r="C622" s="2"/>
      <c r="D622" s="2"/>
      <c r="I622" s="9"/>
      <c r="J622" s="2"/>
      <c r="L622" s="9"/>
      <c r="M622" s="2"/>
      <c r="N622" s="9"/>
      <c r="P622" s="3">
        <v>-2860.169492</v>
      </c>
      <c r="S622" s="9"/>
      <c r="T622" s="2"/>
      <c r="U622" s="9"/>
    </row>
    <row r="623" spans="2:21" x14ac:dyDescent="0.35">
      <c r="B623" s="9"/>
      <c r="C623" s="2"/>
      <c r="D623" s="2"/>
      <c r="I623" s="9"/>
      <c r="J623" s="2"/>
      <c r="L623" s="9"/>
      <c r="M623" s="2"/>
      <c r="N623" s="9"/>
      <c r="P623" s="3">
        <v>-2480.49368925</v>
      </c>
      <c r="S623" s="9"/>
      <c r="T623" s="2"/>
      <c r="U623" s="9"/>
    </row>
    <row r="624" spans="2:21" x14ac:dyDescent="0.35">
      <c r="B624" s="9"/>
      <c r="C624" s="2"/>
      <c r="D624" s="2"/>
      <c r="I624" s="9"/>
      <c r="J624" s="2"/>
      <c r="L624" s="9"/>
      <c r="M624" s="2"/>
      <c r="N624" s="9"/>
      <c r="P624" s="3">
        <v>-2045.73368925</v>
      </c>
      <c r="S624" s="9"/>
      <c r="T624" s="2"/>
      <c r="U624" s="9"/>
    </row>
    <row r="625" spans="2:21" x14ac:dyDescent="0.35">
      <c r="B625" s="9"/>
      <c r="C625" s="2"/>
      <c r="D625" s="2"/>
      <c r="I625" s="9"/>
      <c r="J625" s="2"/>
      <c r="L625" s="9"/>
      <c r="M625" s="2"/>
      <c r="N625" s="9"/>
      <c r="P625" s="3">
        <v>-2033.828</v>
      </c>
      <c r="S625" s="9"/>
      <c r="T625" s="2"/>
      <c r="U625" s="9"/>
    </row>
    <row r="626" spans="2:21" x14ac:dyDescent="0.35">
      <c r="B626" s="9"/>
      <c r="C626" s="2"/>
      <c r="D626" s="2"/>
      <c r="I626" s="9"/>
      <c r="J626" s="2"/>
      <c r="L626" s="9"/>
      <c r="M626" s="2"/>
      <c r="N626" s="9"/>
      <c r="P626" s="3">
        <v>-1914.9635505000001</v>
      </c>
      <c r="S626" s="9"/>
      <c r="T626" s="2"/>
      <c r="U626" s="9"/>
    </row>
    <row r="627" spans="2:21" x14ac:dyDescent="0.35">
      <c r="B627" s="9"/>
      <c r="C627" s="2"/>
      <c r="D627" s="2"/>
      <c r="I627" s="9"/>
      <c r="J627" s="2"/>
      <c r="L627" s="9"/>
      <c r="M627" s="2"/>
      <c r="N627" s="9"/>
      <c r="P627" s="3">
        <v>-1549.0325408799999</v>
      </c>
      <c r="S627" s="9"/>
      <c r="T627" s="2"/>
      <c r="U627" s="9"/>
    </row>
    <row r="628" spans="2:21" x14ac:dyDescent="0.35">
      <c r="B628" s="9"/>
      <c r="C628" s="2"/>
      <c r="D628" s="2"/>
      <c r="I628" s="9"/>
      <c r="J628" s="2"/>
      <c r="L628" s="9"/>
      <c r="M628" s="2"/>
      <c r="N628" s="9"/>
      <c r="P628" s="3">
        <v>-1291.7108911299999</v>
      </c>
      <c r="S628" s="9"/>
      <c r="T628" s="2"/>
      <c r="U628" s="9"/>
    </row>
    <row r="629" spans="2:21" x14ac:dyDescent="0.35">
      <c r="B629" s="9"/>
      <c r="C629" s="2"/>
      <c r="D629" s="2"/>
      <c r="I629" s="9"/>
      <c r="J629" s="2"/>
      <c r="L629" s="9"/>
      <c r="M629" s="2"/>
      <c r="N629" s="9"/>
      <c r="P629" s="3">
        <v>-955.90417623999997</v>
      </c>
      <c r="S629" s="9"/>
      <c r="T629" s="2"/>
      <c r="U629" s="9"/>
    </row>
    <row r="630" spans="2:21" x14ac:dyDescent="0.35">
      <c r="B630" s="9"/>
      <c r="C630" s="2"/>
      <c r="D630" s="2"/>
      <c r="I630" s="9"/>
      <c r="J630" s="2"/>
      <c r="L630" s="9"/>
      <c r="M630" s="2"/>
      <c r="N630" s="9"/>
      <c r="P630" s="3">
        <v>-521.14417623999998</v>
      </c>
      <c r="S630" s="9"/>
      <c r="T630" s="2"/>
      <c r="U630" s="9"/>
    </row>
    <row r="631" spans="2:21" x14ac:dyDescent="0.35">
      <c r="B631" s="9"/>
      <c r="C631" s="2"/>
      <c r="D631" s="2"/>
      <c r="I631" s="9"/>
      <c r="J631" s="2"/>
      <c r="L631" s="9"/>
      <c r="M631" s="2"/>
      <c r="N631" s="9"/>
      <c r="P631" s="3">
        <v>-340.06151624</v>
      </c>
      <c r="S631" s="9"/>
      <c r="T631" s="2"/>
      <c r="U631" s="9"/>
    </row>
    <row r="632" spans="2:21" x14ac:dyDescent="0.35">
      <c r="B632" s="9"/>
      <c r="C632" s="2"/>
      <c r="D632" s="2"/>
      <c r="I632" s="9"/>
      <c r="J632" s="2"/>
      <c r="L632" s="9"/>
      <c r="M632" s="2"/>
      <c r="N632" s="9"/>
      <c r="P632" s="3">
        <v>-220.86742623999999</v>
      </c>
      <c r="S632" s="9"/>
      <c r="T632" s="2"/>
      <c r="U632" s="9"/>
    </row>
    <row r="633" spans="2:21" x14ac:dyDescent="0.35">
      <c r="B633" s="9"/>
      <c r="C633" s="2"/>
      <c r="D633" s="2"/>
      <c r="I633" s="9"/>
      <c r="J633" s="2"/>
      <c r="L633" s="9"/>
      <c r="M633" s="2"/>
      <c r="N633" s="9"/>
      <c r="P633" s="3">
        <v>-190.12655624000001</v>
      </c>
      <c r="S633" s="9"/>
      <c r="T633" s="2"/>
      <c r="U633" s="9"/>
    </row>
    <row r="634" spans="2:21" x14ac:dyDescent="0.35">
      <c r="B634" s="9"/>
      <c r="C634" s="2"/>
      <c r="D634" s="2"/>
      <c r="I634" s="9"/>
      <c r="J634" s="2"/>
      <c r="L634" s="9"/>
      <c r="M634" s="2"/>
      <c r="N634" s="9"/>
      <c r="P634" s="3">
        <v>-122.80861624000001</v>
      </c>
      <c r="S634" s="9"/>
      <c r="T634" s="2"/>
      <c r="U634" s="9"/>
    </row>
    <row r="635" spans="2:21" x14ac:dyDescent="0.35">
      <c r="B635" s="9"/>
      <c r="C635" s="2"/>
      <c r="D635" s="2"/>
      <c r="I635" s="9"/>
      <c r="J635" s="2"/>
      <c r="L635" s="9"/>
      <c r="M635" s="2"/>
      <c r="N635" s="9"/>
      <c r="P635" s="3">
        <v>-59.377216240000003</v>
      </c>
      <c r="S635" s="9"/>
      <c r="T635" s="2"/>
      <c r="U635" s="9"/>
    </row>
    <row r="636" spans="2:21" x14ac:dyDescent="0.35">
      <c r="B636" s="9"/>
      <c r="C636" s="2"/>
      <c r="D636" s="2"/>
      <c r="I636" s="9"/>
      <c r="J636" s="2"/>
      <c r="L636" s="9"/>
      <c r="M636" s="2"/>
      <c r="N636" s="9"/>
      <c r="P636" s="3">
        <v>-39.375096239999998</v>
      </c>
      <c r="S636" s="9"/>
      <c r="T636" s="2"/>
      <c r="U636" s="9"/>
    </row>
    <row r="637" spans="2:21" x14ac:dyDescent="0.35">
      <c r="B637" s="9"/>
      <c r="C637" s="2"/>
      <c r="D637" s="2"/>
      <c r="I637" s="9"/>
      <c r="J637" s="2"/>
      <c r="L637" s="9"/>
      <c r="M637" s="2"/>
      <c r="N637" s="9"/>
      <c r="P637" s="3">
        <v>-43.704676239999998</v>
      </c>
      <c r="S637" s="9"/>
      <c r="T637" s="2"/>
      <c r="U637" s="9"/>
    </row>
    <row r="638" spans="2:21" x14ac:dyDescent="0.35">
      <c r="B638" s="9"/>
      <c r="C638" s="2"/>
      <c r="D638" s="2"/>
      <c r="I638" s="9"/>
      <c r="J638" s="2"/>
      <c r="L638" s="9"/>
      <c r="M638" s="2"/>
      <c r="N638" s="9"/>
      <c r="P638" s="3">
        <v>-57.457376240000002</v>
      </c>
      <c r="S638" s="9"/>
      <c r="T638" s="2"/>
      <c r="U638" s="9"/>
    </row>
    <row r="639" spans="2:21" x14ac:dyDescent="0.35">
      <c r="B639" s="9"/>
      <c r="C639" s="2"/>
      <c r="D639" s="2"/>
      <c r="I639" s="9"/>
      <c r="J639" s="2"/>
      <c r="L639" s="9"/>
      <c r="M639" s="2"/>
      <c r="N639" s="9"/>
      <c r="P639" s="3">
        <v>-492.21737624000002</v>
      </c>
      <c r="S639" s="9"/>
      <c r="T639" s="2"/>
      <c r="U639" s="9"/>
    </row>
    <row r="640" spans="2:21" x14ac:dyDescent="0.35">
      <c r="B640" s="9"/>
      <c r="C640" s="2"/>
      <c r="D640" s="2"/>
      <c r="I640" s="9"/>
      <c r="J640" s="2"/>
      <c r="L640" s="9"/>
      <c r="M640" s="2"/>
      <c r="N640" s="9"/>
      <c r="P640" s="3">
        <v>-926.97737624000001</v>
      </c>
      <c r="S640" s="9"/>
      <c r="T640" s="2"/>
      <c r="U640" s="9"/>
    </row>
    <row r="641" spans="2:21" x14ac:dyDescent="0.35">
      <c r="B641" s="9"/>
      <c r="C641" s="2"/>
      <c r="D641" s="2"/>
      <c r="I641" s="9"/>
      <c r="J641" s="2"/>
      <c r="L641" s="9"/>
      <c r="M641" s="2"/>
      <c r="N641" s="9"/>
      <c r="P641" s="3">
        <v>-1361.73737624</v>
      </c>
      <c r="S641" s="9"/>
      <c r="T641" s="2"/>
      <c r="U641" s="9"/>
    </row>
    <row r="642" spans="2:21" x14ac:dyDescent="0.35">
      <c r="B642" s="9"/>
      <c r="C642" s="2"/>
      <c r="D642" s="2"/>
      <c r="I642" s="9"/>
      <c r="J642" s="2"/>
      <c r="L642" s="9"/>
      <c r="M642" s="2"/>
      <c r="N642" s="9"/>
      <c r="P642" s="3">
        <v>-1796.49737624</v>
      </c>
      <c r="S642" s="9"/>
      <c r="T642" s="2"/>
      <c r="U642" s="9"/>
    </row>
    <row r="643" spans="2:21" x14ac:dyDescent="0.35">
      <c r="B643" s="9"/>
      <c r="C643" s="2"/>
      <c r="D643" s="2"/>
      <c r="I643" s="9"/>
      <c r="J643" s="2"/>
      <c r="L643" s="9"/>
      <c r="M643" s="2"/>
      <c r="N643" s="9"/>
      <c r="P643" s="3">
        <v>-2231.2573762400002</v>
      </c>
      <c r="S643" s="9"/>
      <c r="T643" s="2"/>
      <c r="U643" s="9"/>
    </row>
    <row r="644" spans="2:21" x14ac:dyDescent="0.35">
      <c r="B644" s="9"/>
      <c r="C644" s="2"/>
      <c r="D644" s="2"/>
      <c r="I644" s="9"/>
      <c r="J644" s="2"/>
      <c r="L644" s="9"/>
      <c r="M644" s="2"/>
      <c r="N644" s="9"/>
      <c r="P644" s="3">
        <v>-2521.8000062400001</v>
      </c>
      <c r="S644" s="9"/>
      <c r="T644" s="2"/>
      <c r="U644" s="9"/>
    </row>
    <row r="645" spans="2:21" x14ac:dyDescent="0.35">
      <c r="B645" s="9"/>
      <c r="C645" s="2"/>
      <c r="D645" s="2"/>
      <c r="I645" s="9"/>
      <c r="J645" s="2"/>
      <c r="L645" s="9"/>
      <c r="M645" s="2"/>
      <c r="N645" s="9"/>
      <c r="P645" s="3">
        <v>-2087.0400062399999</v>
      </c>
      <c r="S645" s="9"/>
      <c r="T645" s="2"/>
      <c r="U645" s="9"/>
    </row>
    <row r="646" spans="2:21" x14ac:dyDescent="0.35">
      <c r="B646" s="9"/>
      <c r="C646" s="2"/>
      <c r="D646" s="2"/>
      <c r="I646" s="9"/>
      <c r="J646" s="2"/>
      <c r="L646" s="9"/>
      <c r="M646" s="2"/>
      <c r="N646" s="9"/>
      <c r="P646" s="3">
        <v>-1652.2800062399999</v>
      </c>
      <c r="S646" s="9"/>
      <c r="T646" s="2"/>
      <c r="U646" s="9"/>
    </row>
    <row r="647" spans="2:21" x14ac:dyDescent="0.35">
      <c r="B647" s="9"/>
      <c r="C647" s="2"/>
      <c r="D647" s="2"/>
      <c r="I647" s="9"/>
      <c r="J647" s="2"/>
      <c r="L647" s="9"/>
      <c r="M647" s="2"/>
      <c r="N647" s="9"/>
      <c r="P647" s="3">
        <v>-1217.5200062399999</v>
      </c>
      <c r="S647" s="9"/>
      <c r="T647" s="2"/>
      <c r="U647" s="9"/>
    </row>
    <row r="648" spans="2:21" x14ac:dyDescent="0.35">
      <c r="B648" s="9"/>
      <c r="C648" s="2"/>
      <c r="D648" s="2"/>
      <c r="I648" s="9"/>
      <c r="J648" s="2"/>
      <c r="L648" s="9"/>
      <c r="M648" s="2"/>
      <c r="N648" s="9"/>
      <c r="P648" s="3">
        <v>-782.76000624000005</v>
      </c>
      <c r="S648" s="9"/>
      <c r="T648" s="2"/>
      <c r="U648" s="9"/>
    </row>
    <row r="649" spans="2:21" x14ac:dyDescent="0.35">
      <c r="B649" s="9"/>
      <c r="C649" s="2"/>
      <c r="D649" s="2"/>
      <c r="I649" s="9"/>
      <c r="J649" s="2"/>
      <c r="L649" s="9"/>
      <c r="M649" s="2"/>
      <c r="N649" s="9"/>
      <c r="P649" s="3">
        <v>-950.76659624000001</v>
      </c>
      <c r="S649" s="9"/>
      <c r="T649" s="2"/>
      <c r="U649" s="9"/>
    </row>
    <row r="650" spans="2:21" x14ac:dyDescent="0.35">
      <c r="B650" s="9"/>
      <c r="C650" s="2"/>
      <c r="D650" s="2"/>
      <c r="I650" s="9"/>
      <c r="J650" s="2"/>
      <c r="L650" s="9"/>
      <c r="M650" s="2"/>
      <c r="N650" s="9"/>
      <c r="P650" s="3">
        <v>-1077.11038624</v>
      </c>
      <c r="S650" s="9"/>
      <c r="T650" s="2"/>
      <c r="U650" s="9"/>
    </row>
    <row r="651" spans="2:21" x14ac:dyDescent="0.35">
      <c r="B651" s="9"/>
      <c r="C651" s="2"/>
      <c r="D651" s="2"/>
      <c r="I651" s="9"/>
      <c r="J651" s="2"/>
      <c r="L651" s="9"/>
      <c r="M651" s="2"/>
      <c r="N651" s="9"/>
      <c r="P651" s="3">
        <v>-1257.67758624</v>
      </c>
      <c r="S651" s="9"/>
      <c r="T651" s="2"/>
      <c r="U651" s="9"/>
    </row>
    <row r="652" spans="2:21" x14ac:dyDescent="0.35">
      <c r="B652" s="9"/>
      <c r="C652" s="2"/>
      <c r="D652" s="2"/>
      <c r="I652" s="9"/>
      <c r="J652" s="2"/>
      <c r="L652" s="9"/>
      <c r="M652" s="2"/>
      <c r="N652" s="9"/>
      <c r="P652" s="3">
        <v>-1508.6448362399999</v>
      </c>
      <c r="S652" s="9"/>
      <c r="T652" s="2"/>
      <c r="U652" s="9"/>
    </row>
    <row r="653" spans="2:21" x14ac:dyDescent="0.35">
      <c r="B653" s="9"/>
      <c r="C653" s="2"/>
      <c r="D653" s="2"/>
      <c r="I653" s="9"/>
      <c r="J653" s="2"/>
      <c r="L653" s="9"/>
      <c r="M653" s="2"/>
      <c r="N653" s="9"/>
      <c r="P653" s="3">
        <v>-1711.4854462400001</v>
      </c>
      <c r="S653" s="9"/>
      <c r="T653" s="2"/>
      <c r="U653" s="9"/>
    </row>
    <row r="654" spans="2:21" x14ac:dyDescent="0.35">
      <c r="B654" s="9"/>
      <c r="C654" s="2"/>
      <c r="D654" s="2"/>
      <c r="I654" s="9"/>
      <c r="J654" s="2"/>
      <c r="L654" s="9"/>
      <c r="M654" s="2"/>
      <c r="N654" s="9"/>
      <c r="P654" s="3">
        <v>-1929.15934655</v>
      </c>
      <c r="S654" s="9"/>
      <c r="T654" s="2"/>
      <c r="U654" s="9"/>
    </row>
    <row r="655" spans="2:21" x14ac:dyDescent="0.35">
      <c r="B655" s="9"/>
      <c r="C655" s="2"/>
      <c r="D655" s="2"/>
      <c r="I655" s="9"/>
      <c r="J655" s="2"/>
      <c r="L655" s="9"/>
      <c r="M655" s="2"/>
      <c r="N655" s="9"/>
      <c r="P655" s="3">
        <v>-2141.0986065500001</v>
      </c>
      <c r="S655" s="9"/>
      <c r="T655" s="2"/>
      <c r="U655" s="9"/>
    </row>
    <row r="656" spans="2:21" x14ac:dyDescent="0.35">
      <c r="B656" s="9"/>
      <c r="C656" s="2"/>
      <c r="D656" s="2"/>
      <c r="I656" s="9"/>
      <c r="J656" s="2"/>
      <c r="L656" s="9"/>
      <c r="M656" s="2"/>
      <c r="N656" s="9"/>
      <c r="P656" s="3">
        <v>-2308.8936165499999</v>
      </c>
      <c r="S656" s="9"/>
      <c r="T656" s="2"/>
      <c r="U656" s="9"/>
    </row>
    <row r="657" spans="2:21" x14ac:dyDescent="0.35">
      <c r="B657" s="9"/>
      <c r="C657" s="2"/>
      <c r="D657" s="2"/>
      <c r="I657" s="9"/>
      <c r="J657" s="2"/>
      <c r="L657" s="9"/>
      <c r="M657" s="2"/>
      <c r="N657" s="9"/>
      <c r="P657" s="3">
        <v>-2443.3619365499999</v>
      </c>
      <c r="S657" s="9"/>
      <c r="T657" s="2"/>
      <c r="U657" s="9"/>
    </row>
    <row r="658" spans="2:21" x14ac:dyDescent="0.35">
      <c r="B658" s="9"/>
      <c r="C658" s="2"/>
      <c r="D658" s="2"/>
      <c r="I658" s="9"/>
      <c r="J658" s="2"/>
      <c r="L658" s="9"/>
      <c r="M658" s="2"/>
      <c r="N658" s="9"/>
      <c r="P658" s="3">
        <v>-2599.0791365499999</v>
      </c>
      <c r="S658" s="9"/>
      <c r="T658" s="2"/>
      <c r="U658" s="9"/>
    </row>
    <row r="659" spans="2:21" x14ac:dyDescent="0.35">
      <c r="B659" s="9"/>
      <c r="C659" s="2"/>
      <c r="D659" s="2"/>
      <c r="I659" s="9"/>
      <c r="J659" s="2"/>
      <c r="L659" s="9"/>
      <c r="M659" s="2"/>
      <c r="N659" s="9"/>
      <c r="P659" s="3">
        <v>-2739.5363065500001</v>
      </c>
      <c r="S659" s="9"/>
      <c r="T659" s="2"/>
      <c r="U659" s="9"/>
    </row>
    <row r="660" spans="2:21" x14ac:dyDescent="0.35">
      <c r="B660" s="9"/>
      <c r="C660" s="2"/>
      <c r="D660" s="2"/>
      <c r="I660" s="9"/>
      <c r="J660" s="2"/>
      <c r="L660" s="9"/>
      <c r="M660" s="2"/>
      <c r="N660" s="9"/>
      <c r="P660" s="3">
        <v>-2860.169492</v>
      </c>
      <c r="S660" s="9"/>
      <c r="T660" s="2"/>
      <c r="U660" s="9"/>
    </row>
    <row r="661" spans="2:21" x14ac:dyDescent="0.35">
      <c r="B661" s="9"/>
      <c r="C661" s="2"/>
      <c r="D661" s="2"/>
      <c r="I661" s="9"/>
      <c r="J661" s="2"/>
      <c r="L661" s="9"/>
      <c r="M661" s="2"/>
      <c r="N661" s="9"/>
      <c r="P661" s="3">
        <v>-2860.169492</v>
      </c>
      <c r="S661" s="9"/>
      <c r="T661" s="2"/>
      <c r="U661" s="9"/>
    </row>
    <row r="662" spans="2:21" x14ac:dyDescent="0.35">
      <c r="B662" s="9"/>
      <c r="C662" s="2"/>
      <c r="D662" s="2"/>
      <c r="I662" s="9"/>
      <c r="J662" s="2"/>
      <c r="L662" s="9"/>
      <c r="M662" s="2"/>
      <c r="N662" s="9"/>
      <c r="P662" s="3">
        <v>-2860.169492</v>
      </c>
      <c r="S662" s="9"/>
      <c r="T662" s="2"/>
      <c r="U662" s="9"/>
    </row>
    <row r="663" spans="2:21" x14ac:dyDescent="0.35">
      <c r="B663" s="9"/>
      <c r="C663" s="2"/>
      <c r="D663" s="2"/>
      <c r="I663" s="9"/>
      <c r="J663" s="2"/>
      <c r="L663" s="9"/>
      <c r="M663" s="2"/>
      <c r="N663" s="9"/>
      <c r="P663" s="3">
        <v>-2425.4094919999998</v>
      </c>
      <c r="S663" s="9"/>
      <c r="T663" s="2"/>
      <c r="U663" s="9"/>
    </row>
    <row r="664" spans="2:21" x14ac:dyDescent="0.35">
      <c r="B664" s="9"/>
      <c r="C664" s="2"/>
      <c r="D664" s="2"/>
      <c r="I664" s="9"/>
      <c r="J664" s="2"/>
      <c r="L664" s="9"/>
      <c r="M664" s="2"/>
      <c r="N664" s="9"/>
      <c r="P664" s="3">
        <v>-1990.649492</v>
      </c>
      <c r="S664" s="9"/>
      <c r="T664" s="2"/>
      <c r="U664" s="9"/>
    </row>
    <row r="665" spans="2:21" x14ac:dyDescent="0.35">
      <c r="B665" s="9"/>
      <c r="C665" s="2"/>
      <c r="D665" s="2"/>
      <c r="I665" s="9"/>
      <c r="J665" s="2"/>
      <c r="L665" s="9"/>
      <c r="M665" s="2"/>
      <c r="N665" s="9"/>
      <c r="P665" s="3">
        <v>-1555.889492</v>
      </c>
      <c r="S665" s="9"/>
      <c r="T665" s="2"/>
      <c r="U665" s="9"/>
    </row>
    <row r="666" spans="2:21" x14ac:dyDescent="0.35">
      <c r="B666" s="9"/>
      <c r="C666" s="2"/>
      <c r="D666" s="2"/>
      <c r="I666" s="9"/>
      <c r="J666" s="2"/>
      <c r="L666" s="9"/>
      <c r="M666" s="2"/>
      <c r="N666" s="9"/>
      <c r="P666" s="3">
        <v>-1121.129492</v>
      </c>
      <c r="S666" s="9"/>
      <c r="T666" s="2"/>
      <c r="U666" s="9"/>
    </row>
    <row r="667" spans="2:21" x14ac:dyDescent="0.35">
      <c r="B667" s="9"/>
      <c r="C667" s="2"/>
      <c r="D667" s="2"/>
      <c r="I667" s="9"/>
      <c r="J667" s="2"/>
      <c r="L667" s="9"/>
      <c r="M667" s="2"/>
      <c r="N667" s="9"/>
      <c r="P667" s="3">
        <v>-686.36949200000004</v>
      </c>
      <c r="S667" s="9"/>
      <c r="T667" s="2"/>
      <c r="U667" s="9"/>
    </row>
    <row r="668" spans="2:21" x14ac:dyDescent="0.35">
      <c r="B668" s="9"/>
      <c r="C668" s="2"/>
      <c r="D668" s="2"/>
      <c r="I668" s="9"/>
      <c r="J668" s="2"/>
      <c r="L668" s="9"/>
      <c r="M668" s="2"/>
      <c r="N668" s="9"/>
      <c r="P668" s="3">
        <v>-1121.129492</v>
      </c>
      <c r="S668" s="9"/>
      <c r="T668" s="2"/>
      <c r="U668" s="9"/>
    </row>
    <row r="669" spans="2:21" x14ac:dyDescent="0.35">
      <c r="B669" s="9"/>
      <c r="C669" s="2"/>
      <c r="D669" s="2"/>
      <c r="I669" s="9"/>
      <c r="J669" s="2"/>
      <c r="L669" s="9"/>
      <c r="M669" s="2"/>
      <c r="N669" s="9"/>
      <c r="P669" s="3">
        <v>-1555.889492</v>
      </c>
      <c r="S669" s="9"/>
      <c r="T669" s="2"/>
      <c r="U669" s="9"/>
    </row>
    <row r="670" spans="2:21" x14ac:dyDescent="0.35">
      <c r="B670" s="9"/>
      <c r="C670" s="2"/>
      <c r="D670" s="2"/>
      <c r="I670" s="9"/>
      <c r="J670" s="2"/>
      <c r="L670" s="9"/>
      <c r="M670" s="2"/>
      <c r="N670" s="9"/>
      <c r="P670" s="3">
        <v>-1990.649492</v>
      </c>
      <c r="S670" s="9"/>
      <c r="T670" s="2"/>
      <c r="U670" s="9"/>
    </row>
    <row r="671" spans="2:21" x14ac:dyDescent="0.35">
      <c r="B671" s="9"/>
      <c r="C671" s="2"/>
      <c r="D671" s="2"/>
      <c r="I671" s="9"/>
      <c r="J671" s="2"/>
      <c r="L671" s="9"/>
      <c r="M671" s="2"/>
      <c r="N671" s="9"/>
      <c r="P671" s="3">
        <v>-2425.4094919999998</v>
      </c>
      <c r="S671" s="9"/>
      <c r="T671" s="2"/>
      <c r="U671" s="9"/>
    </row>
    <row r="672" spans="2:21" x14ac:dyDescent="0.35">
      <c r="B672" s="9"/>
      <c r="C672" s="2"/>
      <c r="D672" s="2"/>
      <c r="I672" s="9"/>
      <c r="J672" s="2"/>
      <c r="L672" s="9"/>
      <c r="M672" s="2"/>
      <c r="N672" s="9"/>
      <c r="P672" s="3">
        <v>-2860.169492</v>
      </c>
      <c r="S672" s="9"/>
      <c r="T672" s="2"/>
      <c r="U672" s="9"/>
    </row>
    <row r="673" spans="2:21" x14ac:dyDescent="0.35">
      <c r="B673" s="9"/>
      <c r="C673" s="2"/>
      <c r="D673" s="2"/>
      <c r="I673" s="9"/>
      <c r="J673" s="2"/>
      <c r="L673" s="9"/>
      <c r="M673" s="2"/>
      <c r="N673" s="9"/>
      <c r="P673" s="3">
        <v>-2860.169492</v>
      </c>
      <c r="S673" s="9"/>
      <c r="T673" s="2"/>
      <c r="U673" s="9"/>
    </row>
    <row r="674" spans="2:21" x14ac:dyDescent="0.35">
      <c r="B674" s="9"/>
      <c r="C674" s="2"/>
      <c r="D674" s="2"/>
      <c r="I674" s="9"/>
      <c r="J674" s="2"/>
      <c r="L674" s="9"/>
      <c r="M674" s="2"/>
      <c r="N674" s="9"/>
      <c r="P674" s="3">
        <v>-2860.169492</v>
      </c>
      <c r="S674" s="9"/>
      <c r="T674" s="2"/>
      <c r="U674" s="9"/>
    </row>
    <row r="675" spans="2:21" x14ac:dyDescent="0.35">
      <c r="B675" s="9"/>
      <c r="C675" s="2"/>
      <c r="D675" s="2"/>
      <c r="I675" s="9"/>
      <c r="J675" s="2"/>
      <c r="L675" s="9"/>
      <c r="M675" s="2"/>
      <c r="N675" s="9"/>
      <c r="P675" s="3">
        <v>-2860.169492</v>
      </c>
      <c r="S675" s="9"/>
      <c r="T675" s="2"/>
      <c r="U675" s="9"/>
    </row>
    <row r="676" spans="2:21" x14ac:dyDescent="0.35">
      <c r="B676" s="9"/>
      <c r="C676" s="2"/>
      <c r="D676" s="2"/>
      <c r="I676" s="9"/>
      <c r="J676" s="2"/>
      <c r="L676" s="9"/>
      <c r="M676" s="2"/>
      <c r="N676" s="9"/>
      <c r="P676" s="3">
        <v>-2860.169492</v>
      </c>
      <c r="S676" s="9"/>
      <c r="T676" s="2"/>
      <c r="U676" s="9"/>
    </row>
    <row r="677" spans="2:21" x14ac:dyDescent="0.35">
      <c r="B677" s="9"/>
      <c r="C677" s="2"/>
      <c r="D677" s="2"/>
      <c r="I677" s="9"/>
      <c r="J677" s="2"/>
      <c r="L677" s="9"/>
      <c r="M677" s="2"/>
      <c r="N677" s="9"/>
      <c r="P677" s="3">
        <v>-2860.169492</v>
      </c>
      <c r="S677" s="9"/>
      <c r="T677" s="2"/>
      <c r="U677" s="9"/>
    </row>
    <row r="678" spans="2:21" x14ac:dyDescent="0.35">
      <c r="B678" s="9"/>
      <c r="C678" s="2"/>
      <c r="D678" s="2"/>
      <c r="I678" s="9"/>
      <c r="J678" s="2"/>
      <c r="L678" s="9"/>
      <c r="M678" s="2"/>
      <c r="N678" s="9"/>
      <c r="P678" s="3">
        <v>-2860.169492</v>
      </c>
      <c r="S678" s="9"/>
      <c r="T678" s="2"/>
      <c r="U678" s="9"/>
    </row>
    <row r="679" spans="2:21" x14ac:dyDescent="0.35">
      <c r="B679" s="9"/>
      <c r="C679" s="2"/>
      <c r="D679" s="2"/>
      <c r="I679" s="9"/>
      <c r="J679" s="2"/>
      <c r="L679" s="9"/>
      <c r="M679" s="2"/>
      <c r="N679" s="9"/>
      <c r="P679" s="3">
        <v>-2860.169492</v>
      </c>
      <c r="S679" s="9"/>
      <c r="T679" s="2"/>
      <c r="U679" s="9"/>
    </row>
    <row r="680" spans="2:21" x14ac:dyDescent="0.35">
      <c r="B680" s="9"/>
      <c r="C680" s="2"/>
      <c r="D680" s="2"/>
      <c r="I680" s="9"/>
      <c r="J680" s="2"/>
      <c r="L680" s="9"/>
      <c r="M680" s="2"/>
      <c r="N680" s="9"/>
      <c r="P680" s="3">
        <v>-2729.8659611899998</v>
      </c>
      <c r="S680" s="9"/>
      <c r="T680" s="2"/>
      <c r="U680" s="9"/>
    </row>
    <row r="681" spans="2:21" x14ac:dyDescent="0.35">
      <c r="B681" s="9"/>
      <c r="C681" s="2"/>
      <c r="D681" s="2"/>
      <c r="I681" s="9"/>
      <c r="J681" s="2"/>
      <c r="L681" s="9"/>
      <c r="M681" s="2"/>
      <c r="N681" s="9"/>
      <c r="P681" s="3">
        <v>-2362.8406911900001</v>
      </c>
      <c r="S681" s="9"/>
      <c r="T681" s="2"/>
      <c r="U681" s="9"/>
    </row>
    <row r="682" spans="2:21" x14ac:dyDescent="0.35">
      <c r="B682" s="9"/>
      <c r="C682" s="2"/>
      <c r="D682" s="2"/>
      <c r="I682" s="9"/>
      <c r="J682" s="2"/>
      <c r="L682" s="9"/>
      <c r="M682" s="2"/>
      <c r="N682" s="9"/>
      <c r="P682" s="3">
        <v>-2009.1648411900001</v>
      </c>
      <c r="S682" s="9"/>
      <c r="T682" s="2"/>
      <c r="U682" s="9"/>
    </row>
    <row r="683" spans="2:21" x14ac:dyDescent="0.35">
      <c r="B683" s="9"/>
      <c r="C683" s="2"/>
      <c r="D683" s="2"/>
      <c r="I683" s="9"/>
      <c r="J683" s="2"/>
      <c r="L683" s="9"/>
      <c r="M683" s="2"/>
      <c r="N683" s="9"/>
      <c r="P683" s="3">
        <v>-1579.6546947100001</v>
      </c>
      <c r="S683" s="9"/>
      <c r="T683" s="2"/>
      <c r="U683" s="9"/>
    </row>
    <row r="684" spans="2:21" x14ac:dyDescent="0.35">
      <c r="B684" s="9"/>
      <c r="C684" s="2"/>
      <c r="D684" s="2"/>
      <c r="I684" s="9"/>
      <c r="J684" s="2"/>
      <c r="L684" s="9"/>
      <c r="M684" s="2"/>
      <c r="N684" s="9"/>
      <c r="P684" s="3">
        <v>-1172.51806824</v>
      </c>
      <c r="S684" s="9"/>
      <c r="T684" s="2"/>
      <c r="U684" s="9"/>
    </row>
    <row r="685" spans="2:21" x14ac:dyDescent="0.35">
      <c r="B685" s="9"/>
      <c r="C685" s="2"/>
      <c r="D685" s="2"/>
      <c r="I685" s="9"/>
      <c r="J685" s="2"/>
      <c r="L685" s="9"/>
      <c r="M685" s="2"/>
      <c r="N685" s="9"/>
      <c r="P685" s="3">
        <v>-801.23602578999999</v>
      </c>
      <c r="S685" s="9"/>
      <c r="T685" s="2"/>
      <c r="U685" s="9"/>
    </row>
    <row r="686" spans="2:21" x14ac:dyDescent="0.35">
      <c r="B686" s="9"/>
      <c r="C686" s="2"/>
      <c r="D686" s="2"/>
      <c r="I686" s="9"/>
      <c r="J686" s="2"/>
      <c r="L686" s="9"/>
      <c r="M686" s="2"/>
      <c r="N686" s="9"/>
      <c r="P686" s="3">
        <v>-490.37255930999999</v>
      </c>
      <c r="S686" s="9"/>
      <c r="T686" s="2"/>
      <c r="U686" s="9"/>
    </row>
    <row r="687" spans="2:21" x14ac:dyDescent="0.35">
      <c r="B687" s="9"/>
      <c r="C687" s="2"/>
      <c r="D687" s="2"/>
      <c r="I687" s="9"/>
      <c r="J687" s="2"/>
      <c r="L687" s="9"/>
      <c r="M687" s="2"/>
      <c r="N687" s="9"/>
      <c r="P687" s="3">
        <v>-925.13255931000003</v>
      </c>
      <c r="S687" s="9"/>
      <c r="T687" s="2"/>
      <c r="U687" s="9"/>
    </row>
    <row r="688" spans="2:21" x14ac:dyDescent="0.35">
      <c r="B688" s="9"/>
      <c r="C688" s="2"/>
      <c r="D688" s="2"/>
      <c r="I688" s="9"/>
      <c r="J688" s="2"/>
      <c r="L688" s="9"/>
      <c r="M688" s="2"/>
      <c r="N688" s="9"/>
      <c r="P688" s="3">
        <v>-524.43877767000004</v>
      </c>
      <c r="S688" s="9"/>
      <c r="T688" s="2"/>
      <c r="U688" s="9"/>
    </row>
    <row r="689" spans="2:21" x14ac:dyDescent="0.35">
      <c r="B689" s="9"/>
      <c r="C689" s="2"/>
      <c r="D689" s="2"/>
      <c r="I689" s="9"/>
      <c r="J689" s="2"/>
      <c r="L689" s="9"/>
      <c r="M689" s="2"/>
      <c r="N689" s="9"/>
      <c r="P689" s="3">
        <v>-89.678777670000002</v>
      </c>
      <c r="S689" s="9"/>
      <c r="T689" s="2"/>
      <c r="U689" s="9"/>
    </row>
    <row r="690" spans="2:21" x14ac:dyDescent="0.35">
      <c r="B690" s="9"/>
      <c r="C690" s="2"/>
      <c r="D690" s="2"/>
      <c r="I690" s="9"/>
      <c r="J690" s="2"/>
      <c r="L690" s="9"/>
      <c r="M690" s="2"/>
      <c r="N690" s="9"/>
      <c r="P690" s="3">
        <v>0</v>
      </c>
      <c r="S690" s="9"/>
      <c r="T690" s="2"/>
      <c r="U690" s="9"/>
    </row>
    <row r="691" spans="2:21" x14ac:dyDescent="0.35">
      <c r="B691" s="9"/>
      <c r="C691" s="2"/>
      <c r="D691" s="2"/>
      <c r="I691" s="9"/>
      <c r="J691" s="2"/>
      <c r="L691" s="9"/>
      <c r="M691" s="2"/>
      <c r="N691" s="9"/>
      <c r="P691" s="3">
        <v>0</v>
      </c>
      <c r="S691" s="9"/>
      <c r="T691" s="2"/>
      <c r="U691" s="9"/>
    </row>
    <row r="692" spans="2:21" x14ac:dyDescent="0.35">
      <c r="B692" s="9"/>
      <c r="C692" s="2"/>
      <c r="D692" s="2"/>
      <c r="I692" s="9"/>
      <c r="J692" s="2"/>
      <c r="L692" s="9"/>
      <c r="M692" s="2"/>
      <c r="N692" s="9"/>
      <c r="P692" s="3">
        <v>0</v>
      </c>
      <c r="S692" s="9"/>
      <c r="T692" s="2"/>
      <c r="U692" s="9"/>
    </row>
    <row r="693" spans="2:21" x14ac:dyDescent="0.35">
      <c r="B693" s="9"/>
      <c r="C693" s="2"/>
      <c r="D693" s="2"/>
      <c r="I693" s="9"/>
      <c r="J693" s="2"/>
      <c r="L693" s="9"/>
      <c r="M693" s="2"/>
      <c r="N693" s="9"/>
      <c r="P693" s="3">
        <v>-9.8580293099999992</v>
      </c>
      <c r="S693" s="9"/>
      <c r="T693" s="2"/>
      <c r="U693" s="9"/>
    </row>
    <row r="694" spans="2:21" x14ac:dyDescent="0.35">
      <c r="B694" s="9"/>
      <c r="C694" s="2"/>
      <c r="D694" s="2"/>
      <c r="I694" s="9"/>
      <c r="J694" s="2"/>
      <c r="L694" s="9"/>
      <c r="M694" s="2"/>
      <c r="N694" s="9"/>
      <c r="P694" s="3">
        <v>-444.61802931</v>
      </c>
      <c r="S694" s="9"/>
      <c r="T694" s="2"/>
      <c r="U694" s="9"/>
    </row>
    <row r="695" spans="2:21" x14ac:dyDescent="0.35">
      <c r="B695" s="9"/>
      <c r="C695" s="2"/>
      <c r="D695" s="2"/>
      <c r="I695" s="9"/>
      <c r="J695" s="2"/>
      <c r="L695" s="9"/>
      <c r="M695" s="2"/>
      <c r="N695" s="9"/>
      <c r="P695" s="3">
        <v>-879.37802930999999</v>
      </c>
      <c r="S695" s="9"/>
      <c r="T695" s="2"/>
      <c r="U695" s="9"/>
    </row>
    <row r="696" spans="2:21" x14ac:dyDescent="0.35">
      <c r="B696" s="9"/>
      <c r="C696" s="2"/>
      <c r="D696" s="2"/>
      <c r="I696" s="9"/>
      <c r="J696" s="2"/>
      <c r="L696" s="9"/>
      <c r="M696" s="2"/>
      <c r="N696" s="9"/>
      <c r="P696" s="3">
        <v>-444.61802931</v>
      </c>
      <c r="S696" s="9"/>
      <c r="T696" s="2"/>
      <c r="U696" s="9"/>
    </row>
    <row r="697" spans="2:21" x14ac:dyDescent="0.35">
      <c r="B697" s="9"/>
      <c r="C697" s="2"/>
      <c r="D697" s="2"/>
      <c r="I697" s="9"/>
      <c r="J697" s="2"/>
      <c r="L697" s="9"/>
      <c r="M697" s="2"/>
      <c r="N697" s="9"/>
      <c r="P697" s="3">
        <v>-653.11338006000005</v>
      </c>
      <c r="S697" s="9"/>
      <c r="T697" s="2"/>
      <c r="U697" s="9"/>
    </row>
    <row r="698" spans="2:21" x14ac:dyDescent="0.35">
      <c r="B698" s="9"/>
      <c r="C698" s="2"/>
      <c r="D698" s="2"/>
      <c r="I698" s="9"/>
      <c r="J698" s="2"/>
      <c r="L698" s="9"/>
      <c r="M698" s="2"/>
      <c r="N698" s="9"/>
      <c r="P698" s="3">
        <v>-938.03800056</v>
      </c>
      <c r="S698" s="9"/>
      <c r="T698" s="2"/>
      <c r="U698" s="9"/>
    </row>
    <row r="699" spans="2:21" x14ac:dyDescent="0.35">
      <c r="B699" s="9"/>
      <c r="C699" s="2"/>
      <c r="D699" s="2"/>
      <c r="I699" s="9"/>
      <c r="J699" s="2"/>
      <c r="L699" s="9"/>
      <c r="M699" s="2"/>
      <c r="N699" s="9"/>
      <c r="P699" s="3">
        <v>-1062.3847109400001</v>
      </c>
      <c r="S699" s="9"/>
      <c r="T699" s="2"/>
      <c r="U699" s="9"/>
    </row>
    <row r="700" spans="2:21" x14ac:dyDescent="0.35">
      <c r="B700" s="9"/>
      <c r="C700" s="2"/>
      <c r="D700" s="2"/>
      <c r="I700" s="9"/>
      <c r="J700" s="2"/>
      <c r="L700" s="9"/>
      <c r="M700" s="2"/>
      <c r="N700" s="9"/>
      <c r="P700" s="3">
        <v>-1014.87019119</v>
      </c>
      <c r="S700" s="9"/>
      <c r="T700" s="2"/>
      <c r="U700" s="9"/>
    </row>
    <row r="701" spans="2:21" x14ac:dyDescent="0.35">
      <c r="B701" s="9"/>
      <c r="C701" s="2"/>
      <c r="D701" s="2"/>
      <c r="I701" s="9"/>
      <c r="J701" s="2"/>
      <c r="L701" s="9"/>
      <c r="M701" s="2"/>
      <c r="N701" s="9"/>
      <c r="P701" s="3">
        <v>-845.67577118999998</v>
      </c>
      <c r="S701" s="9"/>
      <c r="T701" s="2"/>
      <c r="U701" s="9"/>
    </row>
    <row r="702" spans="2:21" x14ac:dyDescent="0.35">
      <c r="B702" s="9"/>
      <c r="C702" s="2"/>
      <c r="D702" s="2"/>
      <c r="I702" s="9"/>
      <c r="J702" s="2"/>
      <c r="L702" s="9"/>
      <c r="M702" s="2"/>
      <c r="N702" s="9"/>
      <c r="P702" s="3">
        <v>-546.24566000000004</v>
      </c>
      <c r="S702" s="9"/>
      <c r="T702" s="2"/>
      <c r="U702" s="9"/>
    </row>
    <row r="703" spans="2:21" x14ac:dyDescent="0.35">
      <c r="B703" s="9"/>
      <c r="C703" s="2"/>
      <c r="D703" s="2"/>
      <c r="I703" s="9"/>
      <c r="J703" s="2"/>
      <c r="L703" s="9"/>
      <c r="M703" s="2"/>
      <c r="N703" s="9"/>
      <c r="P703" s="3">
        <v>-265.53366999999997</v>
      </c>
      <c r="S703" s="9"/>
      <c r="T703" s="2"/>
      <c r="U703" s="9"/>
    </row>
    <row r="704" spans="2:21" x14ac:dyDescent="0.35">
      <c r="B704" s="9"/>
      <c r="C704" s="2"/>
      <c r="D704" s="2"/>
      <c r="I704" s="9"/>
      <c r="J704" s="2"/>
      <c r="L704" s="9"/>
      <c r="M704" s="2"/>
      <c r="N704" s="9"/>
      <c r="P704" s="3">
        <v>-45.2654</v>
      </c>
      <c r="S704" s="9"/>
      <c r="T704" s="2"/>
      <c r="U704" s="9"/>
    </row>
    <row r="705" spans="2:21" x14ac:dyDescent="0.35">
      <c r="B705" s="9"/>
      <c r="C705" s="2"/>
      <c r="D705" s="2"/>
      <c r="I705" s="9"/>
      <c r="J705" s="2"/>
      <c r="L705" s="9"/>
      <c r="M705" s="2"/>
      <c r="N705" s="9"/>
      <c r="P705" s="3">
        <v>148.40414000000001</v>
      </c>
      <c r="S705" s="9"/>
      <c r="T705" s="2"/>
      <c r="U705" s="9"/>
    </row>
    <row r="706" spans="2:21" x14ac:dyDescent="0.35">
      <c r="B706" s="9"/>
      <c r="C706" s="2"/>
      <c r="D706" s="2"/>
      <c r="I706" s="9"/>
      <c r="J706" s="2"/>
      <c r="L706" s="9"/>
      <c r="M706" s="2"/>
      <c r="N706" s="9"/>
      <c r="P706" s="3">
        <v>288.19107000000002</v>
      </c>
      <c r="S706" s="9"/>
      <c r="T706" s="2"/>
      <c r="U706" s="9"/>
    </row>
    <row r="707" spans="2:21" x14ac:dyDescent="0.35">
      <c r="B707" s="9"/>
      <c r="C707" s="2"/>
      <c r="D707" s="2"/>
      <c r="I707" s="9"/>
      <c r="J707" s="2"/>
      <c r="L707" s="9"/>
      <c r="M707" s="2"/>
      <c r="N707" s="9"/>
      <c r="P707" s="3">
        <v>454.48859648000001</v>
      </c>
      <c r="S707" s="9"/>
      <c r="T707" s="2"/>
      <c r="U707" s="9"/>
    </row>
    <row r="708" spans="2:21" x14ac:dyDescent="0.35">
      <c r="B708" s="9"/>
      <c r="C708" s="2"/>
      <c r="D708" s="2"/>
      <c r="I708" s="9"/>
      <c r="J708" s="2"/>
      <c r="L708" s="9"/>
      <c r="M708" s="2"/>
      <c r="N708" s="9"/>
      <c r="P708" s="3">
        <v>542.35171295999999</v>
      </c>
      <c r="S708" s="9"/>
      <c r="T708" s="2"/>
      <c r="U708" s="9"/>
    </row>
    <row r="709" spans="2:21" x14ac:dyDescent="0.35">
      <c r="B709" s="9"/>
      <c r="C709" s="2"/>
      <c r="D709" s="2"/>
      <c r="I709" s="9"/>
      <c r="J709" s="2"/>
      <c r="L709" s="9"/>
      <c r="M709" s="2"/>
      <c r="N709" s="9"/>
      <c r="P709" s="3">
        <v>572.34314541000003</v>
      </c>
      <c r="S709" s="9"/>
      <c r="T709" s="2"/>
      <c r="U709" s="9"/>
    </row>
    <row r="710" spans="2:21" x14ac:dyDescent="0.35">
      <c r="B710" s="9"/>
      <c r="C710" s="2"/>
      <c r="D710" s="2"/>
      <c r="I710" s="9"/>
      <c r="J710" s="2"/>
      <c r="L710" s="9"/>
      <c r="M710" s="2"/>
      <c r="N710" s="9"/>
      <c r="P710" s="3">
        <v>567.66131188999998</v>
      </c>
      <c r="S710" s="9"/>
      <c r="T710" s="2"/>
      <c r="U710" s="9"/>
    </row>
    <row r="711" spans="2:21" x14ac:dyDescent="0.35">
      <c r="B711" s="9"/>
      <c r="C711" s="2"/>
      <c r="D711" s="2"/>
      <c r="I711" s="9"/>
      <c r="J711" s="2"/>
      <c r="L711" s="9"/>
      <c r="M711" s="2"/>
      <c r="N711" s="9"/>
      <c r="P711" s="3">
        <v>132.90131188999999</v>
      </c>
      <c r="S711" s="9"/>
      <c r="T711" s="2"/>
      <c r="U711" s="9"/>
    </row>
    <row r="712" spans="2:21" x14ac:dyDescent="0.35">
      <c r="B712" s="9"/>
      <c r="C712" s="2"/>
      <c r="D712" s="2"/>
      <c r="I712" s="9"/>
      <c r="J712" s="2"/>
      <c r="L712" s="9"/>
      <c r="M712" s="2"/>
      <c r="N712" s="9"/>
      <c r="P712" s="3">
        <v>-301.85868811</v>
      </c>
      <c r="S712" s="9"/>
      <c r="T712" s="2"/>
      <c r="U712" s="9"/>
    </row>
    <row r="713" spans="2:21" x14ac:dyDescent="0.35">
      <c r="B713" s="9"/>
      <c r="C713" s="2"/>
      <c r="D713" s="2"/>
      <c r="I713" s="9"/>
      <c r="J713" s="2"/>
      <c r="L713" s="9"/>
      <c r="M713" s="2"/>
      <c r="N713" s="9"/>
      <c r="P713" s="3">
        <v>-514.25259216999996</v>
      </c>
      <c r="S713" s="9"/>
      <c r="T713" s="2"/>
      <c r="U713" s="9"/>
    </row>
    <row r="714" spans="2:21" x14ac:dyDescent="0.35">
      <c r="B714" s="9"/>
      <c r="C714" s="2"/>
      <c r="D714" s="2"/>
      <c r="I714" s="9"/>
      <c r="J714" s="2"/>
      <c r="L714" s="9"/>
      <c r="M714" s="2"/>
      <c r="N714" s="9"/>
      <c r="P714" s="3">
        <v>-79.492592169999995</v>
      </c>
      <c r="S714" s="9"/>
      <c r="T714" s="2"/>
      <c r="U714" s="9"/>
    </row>
    <row r="715" spans="2:21" x14ac:dyDescent="0.35">
      <c r="B715" s="9"/>
      <c r="C715" s="2"/>
      <c r="D715" s="2"/>
      <c r="I715" s="9"/>
      <c r="J715" s="2"/>
      <c r="L715" s="9"/>
      <c r="M715" s="2"/>
      <c r="N715" s="9"/>
      <c r="P715" s="3">
        <v>0</v>
      </c>
      <c r="S715" s="9"/>
      <c r="T715" s="2"/>
      <c r="U715" s="9"/>
    </row>
    <row r="716" spans="2:21" x14ac:dyDescent="0.35">
      <c r="B716" s="9"/>
      <c r="C716" s="2"/>
      <c r="D716" s="2"/>
      <c r="I716" s="9"/>
      <c r="J716" s="2"/>
      <c r="L716" s="9"/>
      <c r="M716" s="2"/>
      <c r="N716" s="9"/>
      <c r="P716" s="3">
        <v>-377.49920810999998</v>
      </c>
      <c r="S716" s="9"/>
      <c r="T716" s="2"/>
      <c r="U716" s="9"/>
    </row>
    <row r="717" spans="2:21" x14ac:dyDescent="0.35">
      <c r="B717" s="9"/>
      <c r="C717" s="2"/>
      <c r="D717" s="2"/>
      <c r="I717" s="9"/>
      <c r="J717" s="2"/>
      <c r="L717" s="9"/>
      <c r="M717" s="2"/>
      <c r="N717" s="9"/>
      <c r="P717" s="3">
        <v>-812.25920811000003</v>
      </c>
      <c r="S717" s="9"/>
      <c r="T717" s="2"/>
      <c r="U717" s="9"/>
    </row>
    <row r="718" spans="2:21" x14ac:dyDescent="0.35">
      <c r="B718" s="9"/>
      <c r="C718" s="2"/>
      <c r="D718" s="2"/>
      <c r="I718" s="9"/>
      <c r="J718" s="2"/>
      <c r="L718" s="9"/>
      <c r="M718" s="2"/>
      <c r="N718" s="9"/>
      <c r="P718" s="3">
        <v>-1247.0192081099999</v>
      </c>
      <c r="S718" s="9"/>
      <c r="T718" s="2"/>
      <c r="U718" s="9"/>
    </row>
    <row r="719" spans="2:21" x14ac:dyDescent="0.35">
      <c r="B719" s="9"/>
      <c r="C719" s="2"/>
      <c r="D719" s="2"/>
      <c r="I719" s="9"/>
      <c r="J719" s="2"/>
      <c r="L719" s="9"/>
      <c r="M719" s="2"/>
      <c r="N719" s="9"/>
      <c r="P719" s="3">
        <v>-812.25920811000003</v>
      </c>
      <c r="S719" s="9"/>
      <c r="T719" s="2"/>
      <c r="U719" s="9"/>
    </row>
    <row r="720" spans="2:21" x14ac:dyDescent="0.35">
      <c r="B720" s="9"/>
      <c r="C720" s="2"/>
      <c r="D720" s="2"/>
      <c r="I720" s="9"/>
      <c r="J720" s="2"/>
      <c r="L720" s="9"/>
      <c r="M720" s="2"/>
      <c r="N720" s="9"/>
      <c r="P720" s="3">
        <v>-377.49920810999998</v>
      </c>
      <c r="S720" s="9"/>
      <c r="T720" s="2"/>
      <c r="U720" s="9"/>
    </row>
    <row r="721" spans="2:21" x14ac:dyDescent="0.35">
      <c r="B721" s="9"/>
      <c r="C721" s="2"/>
      <c r="D721" s="2"/>
      <c r="I721" s="9"/>
      <c r="J721" s="2"/>
      <c r="L721" s="9"/>
      <c r="M721" s="2"/>
      <c r="N721" s="9"/>
      <c r="P721" s="3">
        <v>-468.87650887000001</v>
      </c>
      <c r="S721" s="9"/>
      <c r="T721" s="2"/>
      <c r="U721" s="9"/>
    </row>
    <row r="722" spans="2:21" x14ac:dyDescent="0.35">
      <c r="B722" s="9"/>
      <c r="C722" s="2"/>
      <c r="D722" s="2"/>
      <c r="I722" s="9"/>
      <c r="J722" s="2"/>
      <c r="L722" s="9"/>
      <c r="M722" s="2"/>
      <c r="N722" s="9"/>
      <c r="P722" s="3">
        <v>-674.88817936999999</v>
      </c>
      <c r="S722" s="9"/>
      <c r="T722" s="2"/>
      <c r="U722" s="9"/>
    </row>
    <row r="723" spans="2:21" x14ac:dyDescent="0.35">
      <c r="B723" s="9"/>
      <c r="C723" s="2"/>
      <c r="D723" s="2"/>
      <c r="I723" s="9"/>
      <c r="J723" s="2"/>
      <c r="L723" s="9"/>
      <c r="M723" s="2"/>
      <c r="N723" s="9"/>
      <c r="P723" s="3">
        <v>-785.00222973999996</v>
      </c>
      <c r="S723" s="9"/>
      <c r="T723" s="2"/>
      <c r="U723" s="9"/>
    </row>
    <row r="724" spans="2:21" x14ac:dyDescent="0.35">
      <c r="B724" s="9"/>
      <c r="C724" s="2"/>
      <c r="D724" s="2"/>
      <c r="I724" s="9"/>
      <c r="J724" s="2"/>
      <c r="L724" s="9"/>
      <c r="M724" s="2"/>
      <c r="N724" s="9"/>
      <c r="P724" s="3">
        <v>-818.69680000000005</v>
      </c>
      <c r="S724" s="9"/>
      <c r="T724" s="2"/>
      <c r="U724" s="9"/>
    </row>
    <row r="725" spans="2:21" x14ac:dyDescent="0.35">
      <c r="B725" s="9"/>
      <c r="C725" s="2"/>
      <c r="D725" s="2"/>
      <c r="I725" s="9"/>
      <c r="J725" s="2"/>
      <c r="L725" s="9"/>
      <c r="M725" s="2"/>
      <c r="N725" s="9"/>
      <c r="P725" s="3">
        <v>-690.49991</v>
      </c>
      <c r="S725" s="9"/>
      <c r="T725" s="2"/>
      <c r="U725" s="9"/>
    </row>
    <row r="726" spans="2:21" x14ac:dyDescent="0.35">
      <c r="B726" s="9"/>
      <c r="C726" s="2"/>
      <c r="D726" s="2"/>
      <c r="I726" s="9"/>
      <c r="J726" s="2"/>
      <c r="L726" s="9"/>
      <c r="M726" s="2"/>
      <c r="N726" s="9"/>
      <c r="P726" s="3">
        <v>-479.23263900000001</v>
      </c>
      <c r="S726" s="9"/>
      <c r="T726" s="2"/>
      <c r="U726" s="9"/>
    </row>
    <row r="727" spans="2:21" x14ac:dyDescent="0.35">
      <c r="B727" s="9"/>
      <c r="C727" s="2"/>
      <c r="D727" s="2"/>
      <c r="I727" s="9"/>
      <c r="J727" s="2"/>
      <c r="L727" s="9"/>
      <c r="M727" s="2"/>
      <c r="N727" s="9"/>
      <c r="P727" s="3">
        <v>-303.63117899999997</v>
      </c>
      <c r="S727" s="9"/>
      <c r="T727" s="2"/>
      <c r="U727" s="9"/>
    </row>
    <row r="728" spans="2:21" x14ac:dyDescent="0.35">
      <c r="B728" s="9"/>
      <c r="C728" s="2"/>
      <c r="D728" s="2"/>
      <c r="I728" s="9"/>
      <c r="J728" s="2"/>
      <c r="L728" s="9"/>
      <c r="M728" s="2"/>
      <c r="N728" s="9"/>
      <c r="P728" s="3">
        <v>-196.600809</v>
      </c>
      <c r="S728" s="9"/>
      <c r="T728" s="2"/>
      <c r="U728" s="9"/>
    </row>
    <row r="729" spans="2:21" x14ac:dyDescent="0.35">
      <c r="B729" s="9"/>
      <c r="C729" s="2"/>
      <c r="D729" s="2"/>
      <c r="I729" s="9"/>
      <c r="J729" s="2"/>
      <c r="L729" s="9"/>
      <c r="M729" s="2"/>
      <c r="N729" s="9"/>
      <c r="P729" s="3">
        <v>-175.34411900000001</v>
      </c>
      <c r="S729" s="9"/>
      <c r="T729" s="2"/>
      <c r="U729" s="9"/>
    </row>
    <row r="730" spans="2:21" x14ac:dyDescent="0.35">
      <c r="B730" s="9"/>
      <c r="C730" s="2"/>
      <c r="D730" s="2"/>
      <c r="I730" s="9"/>
      <c r="J730" s="2"/>
      <c r="L730" s="9"/>
      <c r="M730" s="2"/>
      <c r="N730" s="9"/>
      <c r="P730" s="3">
        <v>-256.79318899999998</v>
      </c>
      <c r="S730" s="9"/>
      <c r="T730" s="2"/>
      <c r="U730" s="9"/>
    </row>
    <row r="731" spans="2:21" x14ac:dyDescent="0.35">
      <c r="B731" s="9"/>
      <c r="C731" s="2"/>
      <c r="D731" s="2"/>
      <c r="I731" s="9"/>
      <c r="J731" s="2"/>
      <c r="L731" s="9"/>
      <c r="M731" s="2"/>
      <c r="N731" s="9"/>
      <c r="P731" s="3">
        <v>-383.21304251999999</v>
      </c>
      <c r="S731" s="9"/>
      <c r="T731" s="2"/>
      <c r="U731" s="9"/>
    </row>
    <row r="732" spans="2:21" x14ac:dyDescent="0.35">
      <c r="B732" s="9"/>
      <c r="C732" s="2"/>
      <c r="D732" s="2"/>
      <c r="I732" s="9"/>
      <c r="J732" s="2"/>
      <c r="L732" s="9"/>
      <c r="M732" s="2"/>
      <c r="N732" s="9"/>
      <c r="P732" s="3">
        <v>-497.97043603999998</v>
      </c>
      <c r="S732" s="9"/>
      <c r="T732" s="2"/>
      <c r="U732" s="9"/>
    </row>
    <row r="733" spans="2:21" x14ac:dyDescent="0.35">
      <c r="B733" s="9"/>
      <c r="C733" s="2"/>
      <c r="D733" s="2"/>
      <c r="I733" s="9"/>
      <c r="J733" s="2"/>
      <c r="L733" s="9"/>
      <c r="M733" s="2"/>
      <c r="N733" s="9"/>
      <c r="P733" s="3">
        <v>-651.81646359000001</v>
      </c>
      <c r="S733" s="9"/>
      <c r="T733" s="2"/>
      <c r="U733" s="9"/>
    </row>
    <row r="734" spans="2:21" x14ac:dyDescent="0.35">
      <c r="B734" s="9"/>
      <c r="C734" s="2"/>
      <c r="D734" s="2"/>
      <c r="I734" s="9"/>
      <c r="J734" s="2"/>
      <c r="L734" s="9"/>
      <c r="M734" s="2"/>
      <c r="N734" s="9"/>
      <c r="P734" s="3">
        <v>-828.89836710999998</v>
      </c>
      <c r="S734" s="9"/>
      <c r="T734" s="2"/>
      <c r="U734" s="9"/>
    </row>
    <row r="735" spans="2:21" x14ac:dyDescent="0.35">
      <c r="B735" s="9"/>
      <c r="C735" s="2"/>
      <c r="D735" s="2"/>
      <c r="I735" s="9"/>
      <c r="J735" s="2"/>
      <c r="L735" s="9"/>
      <c r="M735" s="2"/>
      <c r="N735" s="9"/>
      <c r="P735" s="3">
        <v>-1263.65836711</v>
      </c>
      <c r="S735" s="9"/>
      <c r="T735" s="2"/>
      <c r="U735" s="9"/>
    </row>
    <row r="736" spans="2:21" x14ac:dyDescent="0.35">
      <c r="B736" s="9"/>
      <c r="C736" s="2"/>
      <c r="D736" s="2"/>
      <c r="I736" s="9"/>
      <c r="J736" s="2"/>
      <c r="L736" s="9"/>
      <c r="M736" s="2"/>
      <c r="N736" s="9"/>
      <c r="P736" s="3">
        <v>-1698.41836711</v>
      </c>
      <c r="S736" s="9"/>
      <c r="T736" s="2"/>
      <c r="U736" s="9"/>
    </row>
    <row r="737" spans="2:21" x14ac:dyDescent="0.35">
      <c r="B737" s="9"/>
      <c r="C737" s="2"/>
      <c r="D737" s="2"/>
      <c r="I737" s="9"/>
      <c r="J737" s="2"/>
      <c r="L737" s="9"/>
      <c r="M737" s="2"/>
      <c r="N737" s="9"/>
      <c r="P737" s="3">
        <v>-1263.65836711</v>
      </c>
      <c r="S737" s="9"/>
      <c r="T737" s="2"/>
      <c r="U737" s="9"/>
    </row>
    <row r="738" spans="2:21" x14ac:dyDescent="0.35">
      <c r="B738" s="9"/>
      <c r="C738" s="2"/>
      <c r="D738" s="2"/>
      <c r="I738" s="9"/>
      <c r="J738" s="2"/>
      <c r="L738" s="9"/>
      <c r="M738" s="2"/>
      <c r="N738" s="9"/>
      <c r="P738" s="3">
        <v>-828.89836710999998</v>
      </c>
      <c r="S738" s="9"/>
      <c r="T738" s="2"/>
      <c r="U738" s="9"/>
    </row>
    <row r="739" spans="2:21" x14ac:dyDescent="0.35">
      <c r="B739" s="9"/>
      <c r="C739" s="2"/>
      <c r="D739" s="2"/>
      <c r="I739" s="9"/>
      <c r="J739" s="2"/>
      <c r="L739" s="9"/>
      <c r="M739" s="2"/>
      <c r="N739" s="9"/>
      <c r="P739" s="3">
        <v>-1121.129492</v>
      </c>
      <c r="S739" s="9"/>
      <c r="T739" s="2"/>
      <c r="U739" s="9"/>
    </row>
    <row r="740" spans="2:21" x14ac:dyDescent="0.35">
      <c r="B740" s="9"/>
      <c r="C740" s="2"/>
      <c r="D740" s="2"/>
      <c r="I740" s="9"/>
      <c r="J740" s="2"/>
      <c r="L740" s="9"/>
      <c r="M740" s="2"/>
      <c r="N740" s="9"/>
      <c r="P740" s="3">
        <v>-1555.889492</v>
      </c>
      <c r="S740" s="9"/>
      <c r="T740" s="2"/>
      <c r="U740" s="9"/>
    </row>
    <row r="741" spans="2:21" x14ac:dyDescent="0.35">
      <c r="B741" s="9"/>
      <c r="C741" s="2"/>
      <c r="D741" s="2"/>
      <c r="I741" s="9"/>
      <c r="J741" s="2"/>
      <c r="L741" s="9"/>
      <c r="M741" s="2"/>
      <c r="N741" s="9"/>
      <c r="P741" s="3">
        <v>-1990.649492</v>
      </c>
      <c r="S741" s="9"/>
      <c r="T741" s="2"/>
      <c r="U741" s="9"/>
    </row>
    <row r="742" spans="2:21" x14ac:dyDescent="0.35">
      <c r="B742" s="9"/>
      <c r="C742" s="2"/>
      <c r="D742" s="2"/>
      <c r="I742" s="9"/>
      <c r="J742" s="2"/>
      <c r="L742" s="9"/>
      <c r="M742" s="2"/>
      <c r="N742" s="9"/>
      <c r="P742" s="3">
        <v>-2425.4094919999998</v>
      </c>
      <c r="S742" s="9"/>
      <c r="T742" s="2"/>
      <c r="U742" s="9"/>
    </row>
    <row r="743" spans="2:21" x14ac:dyDescent="0.35">
      <c r="B743" s="9"/>
      <c r="C743" s="2"/>
      <c r="D743" s="2"/>
      <c r="I743" s="9"/>
      <c r="J743" s="2"/>
      <c r="L743" s="9"/>
      <c r="M743" s="2"/>
      <c r="N743" s="9"/>
      <c r="P743" s="3">
        <v>-2860.169492</v>
      </c>
      <c r="S743" s="9"/>
      <c r="T743" s="2"/>
      <c r="U743" s="9"/>
    </row>
    <row r="744" spans="2:21" x14ac:dyDescent="0.35">
      <c r="B744" s="9"/>
      <c r="C744" s="2"/>
      <c r="D744" s="2"/>
      <c r="I744" s="9"/>
      <c r="J744" s="2"/>
      <c r="L744" s="9"/>
      <c r="M744" s="2"/>
      <c r="N744" s="9"/>
      <c r="P744" s="3">
        <v>-2860.169492</v>
      </c>
      <c r="S744" s="9"/>
      <c r="T744" s="2"/>
      <c r="U744" s="9"/>
    </row>
    <row r="745" spans="2:21" x14ac:dyDescent="0.35">
      <c r="B745" s="9"/>
      <c r="C745" s="2"/>
      <c r="D745" s="2"/>
      <c r="I745" s="9"/>
      <c r="J745" s="2"/>
      <c r="L745" s="9"/>
      <c r="M745" s="2"/>
      <c r="N745" s="9"/>
      <c r="P745" s="3">
        <v>-2860.169492</v>
      </c>
      <c r="S745" s="9"/>
      <c r="T745" s="2"/>
      <c r="U745" s="9"/>
    </row>
    <row r="746" spans="2:21" x14ac:dyDescent="0.35">
      <c r="B746" s="9"/>
      <c r="C746" s="2"/>
      <c r="D746" s="2"/>
      <c r="I746" s="9"/>
      <c r="J746" s="2"/>
      <c r="L746" s="9"/>
      <c r="M746" s="2"/>
      <c r="N746" s="9"/>
      <c r="P746" s="3">
        <v>-2860.169492</v>
      </c>
      <c r="S746" s="9"/>
      <c r="T746" s="2"/>
      <c r="U746" s="9"/>
    </row>
    <row r="747" spans="2:21" x14ac:dyDescent="0.35">
      <c r="B747" s="9"/>
      <c r="C747" s="2"/>
      <c r="D747" s="2"/>
      <c r="I747" s="9"/>
      <c r="J747" s="2"/>
      <c r="L747" s="9"/>
      <c r="M747" s="2"/>
      <c r="N747" s="9"/>
      <c r="P747" s="3">
        <v>-2860.169492</v>
      </c>
      <c r="S747" s="9"/>
      <c r="T747" s="2"/>
      <c r="U747" s="9"/>
    </row>
    <row r="748" spans="2:21" x14ac:dyDescent="0.35">
      <c r="B748" s="9"/>
      <c r="C748" s="2"/>
      <c r="D748" s="2"/>
      <c r="I748" s="9"/>
      <c r="J748" s="2"/>
      <c r="L748" s="9"/>
      <c r="M748" s="2"/>
      <c r="N748" s="9"/>
      <c r="P748" s="3">
        <v>-2860.169492</v>
      </c>
      <c r="S748" s="9"/>
      <c r="T748" s="2"/>
      <c r="U748" s="9"/>
    </row>
    <row r="749" spans="2:21" x14ac:dyDescent="0.35">
      <c r="B749" s="9"/>
      <c r="C749" s="2"/>
      <c r="D749" s="2"/>
      <c r="I749" s="9"/>
      <c r="J749" s="2"/>
      <c r="L749" s="9"/>
      <c r="M749" s="2"/>
      <c r="N749" s="9"/>
      <c r="P749" s="3">
        <v>-2828.0482489999999</v>
      </c>
      <c r="S749" s="9"/>
      <c r="T749" s="2"/>
      <c r="U749" s="9"/>
    </row>
    <row r="750" spans="2:21" x14ac:dyDescent="0.35">
      <c r="B750" s="9"/>
      <c r="C750" s="2"/>
      <c r="D750" s="2"/>
      <c r="I750" s="9"/>
      <c r="J750" s="2"/>
      <c r="L750" s="9"/>
      <c r="M750" s="2"/>
      <c r="N750" s="9"/>
      <c r="P750" s="3">
        <v>-2665.2532325400002</v>
      </c>
      <c r="S750" s="9"/>
      <c r="T750" s="2"/>
      <c r="U750" s="9"/>
    </row>
    <row r="751" spans="2:21" x14ac:dyDescent="0.35">
      <c r="B751" s="9"/>
      <c r="C751" s="2"/>
      <c r="D751" s="2"/>
      <c r="I751" s="9"/>
      <c r="J751" s="2"/>
      <c r="L751" s="9"/>
      <c r="M751" s="2"/>
      <c r="N751" s="9"/>
      <c r="P751" s="3">
        <v>-2364.3566525400001</v>
      </c>
      <c r="S751" s="9"/>
      <c r="T751" s="2"/>
      <c r="U751" s="9"/>
    </row>
    <row r="752" spans="2:21" x14ac:dyDescent="0.35">
      <c r="B752" s="9"/>
      <c r="C752" s="2"/>
      <c r="D752" s="2"/>
      <c r="I752" s="9"/>
      <c r="J752" s="2"/>
      <c r="L752" s="9"/>
      <c r="M752" s="2"/>
      <c r="N752" s="9"/>
      <c r="P752" s="3">
        <v>-2090.4301325400002</v>
      </c>
      <c r="S752" s="9"/>
      <c r="T752" s="2"/>
      <c r="U752" s="9"/>
    </row>
    <row r="753" spans="2:21" x14ac:dyDescent="0.35">
      <c r="B753" s="9"/>
      <c r="C753" s="2"/>
      <c r="D753" s="2"/>
      <c r="I753" s="9"/>
      <c r="J753" s="2"/>
      <c r="L753" s="9"/>
      <c r="M753" s="2"/>
      <c r="N753" s="9"/>
      <c r="P753" s="3">
        <v>-1762.48610254</v>
      </c>
      <c r="S753" s="9"/>
      <c r="T753" s="2"/>
      <c r="U753" s="9"/>
    </row>
    <row r="754" spans="2:21" x14ac:dyDescent="0.35">
      <c r="B754" s="9"/>
      <c r="C754" s="2"/>
      <c r="D754" s="2"/>
      <c r="I754" s="9"/>
      <c r="J754" s="2"/>
      <c r="L754" s="9"/>
      <c r="M754" s="2"/>
      <c r="N754" s="9"/>
      <c r="P754" s="3">
        <v>-1449.1767060699999</v>
      </c>
      <c r="S754" s="9"/>
      <c r="T754" s="2"/>
      <c r="U754" s="9"/>
    </row>
    <row r="755" spans="2:21" x14ac:dyDescent="0.35">
      <c r="B755" s="9"/>
      <c r="C755" s="2"/>
      <c r="D755" s="2"/>
      <c r="I755" s="9"/>
      <c r="J755" s="2"/>
      <c r="L755" s="9"/>
      <c r="M755" s="2"/>
      <c r="N755" s="9"/>
      <c r="P755" s="3">
        <v>-1014.41670607</v>
      </c>
      <c r="S755" s="9"/>
      <c r="T755" s="2"/>
      <c r="U755" s="9"/>
    </row>
    <row r="756" spans="2:21" x14ac:dyDescent="0.35">
      <c r="B756" s="9"/>
      <c r="C756" s="2"/>
      <c r="D756" s="2"/>
      <c r="I756" s="9"/>
      <c r="J756" s="2"/>
      <c r="L756" s="9"/>
      <c r="M756" s="2"/>
      <c r="N756" s="9"/>
      <c r="P756" s="3">
        <v>-632.20391959000005</v>
      </c>
      <c r="S756" s="9"/>
      <c r="T756" s="2"/>
      <c r="U756" s="9"/>
    </row>
    <row r="757" spans="2:21" x14ac:dyDescent="0.35">
      <c r="B757" s="9"/>
      <c r="C757" s="2"/>
      <c r="D757" s="2"/>
      <c r="I757" s="9"/>
      <c r="J757" s="2"/>
      <c r="L757" s="9"/>
      <c r="M757" s="2"/>
      <c r="N757" s="9"/>
      <c r="P757" s="3">
        <v>-394.12213714000001</v>
      </c>
      <c r="S757" s="9"/>
      <c r="T757" s="2"/>
      <c r="U757" s="9"/>
    </row>
    <row r="758" spans="2:21" x14ac:dyDescent="0.35">
      <c r="B758" s="9"/>
      <c r="C758" s="2"/>
      <c r="D758" s="2"/>
      <c r="I758" s="9"/>
      <c r="J758" s="2"/>
      <c r="L758" s="9"/>
      <c r="M758" s="2"/>
      <c r="N758" s="9"/>
      <c r="P758" s="3">
        <v>-236.65914065999999</v>
      </c>
      <c r="S758" s="9"/>
      <c r="T758" s="2"/>
      <c r="U758" s="9"/>
    </row>
    <row r="759" spans="2:21" x14ac:dyDescent="0.35">
      <c r="B759" s="9"/>
      <c r="C759" s="2"/>
      <c r="D759" s="2"/>
      <c r="I759" s="9"/>
      <c r="J759" s="2"/>
      <c r="L759" s="9"/>
      <c r="M759" s="2"/>
      <c r="N759" s="9"/>
      <c r="P759" s="3">
        <v>-671.41914066000004</v>
      </c>
      <c r="S759" s="9"/>
      <c r="T759" s="2"/>
      <c r="U759" s="9"/>
    </row>
    <row r="760" spans="2:21" x14ac:dyDescent="0.35">
      <c r="B760" s="9"/>
      <c r="C760" s="2"/>
      <c r="D760" s="2"/>
      <c r="I760" s="9"/>
      <c r="J760" s="2"/>
      <c r="L760" s="9"/>
      <c r="M760" s="2"/>
      <c r="N760" s="9"/>
      <c r="P760" s="3">
        <v>-1106.17914066</v>
      </c>
      <c r="S760" s="9"/>
      <c r="T760" s="2"/>
      <c r="U760" s="9"/>
    </row>
    <row r="761" spans="2:21" x14ac:dyDescent="0.35">
      <c r="B761" s="9"/>
      <c r="C761" s="2"/>
      <c r="D761" s="2"/>
      <c r="I761" s="9"/>
      <c r="J761" s="2"/>
      <c r="L761" s="9"/>
      <c r="M761" s="2"/>
      <c r="N761" s="9"/>
      <c r="P761" s="3">
        <v>-671.41914066000004</v>
      </c>
      <c r="S761" s="9"/>
      <c r="T761" s="2"/>
      <c r="U761" s="9"/>
    </row>
    <row r="762" spans="2:21" x14ac:dyDescent="0.35">
      <c r="B762" s="9"/>
      <c r="C762" s="2"/>
      <c r="D762" s="2"/>
      <c r="I762" s="9"/>
      <c r="J762" s="2"/>
      <c r="L762" s="9"/>
      <c r="M762" s="2"/>
      <c r="N762" s="9"/>
      <c r="P762" s="3">
        <v>-236.65914065999999</v>
      </c>
      <c r="S762" s="9"/>
      <c r="T762" s="2"/>
      <c r="U762" s="9"/>
    </row>
    <row r="763" spans="2:21" x14ac:dyDescent="0.35">
      <c r="B763" s="9"/>
      <c r="C763" s="2"/>
      <c r="D763" s="2"/>
      <c r="I763" s="9"/>
      <c r="J763" s="2"/>
      <c r="L763" s="9"/>
      <c r="M763" s="2"/>
      <c r="N763" s="9"/>
      <c r="P763" s="3">
        <v>0</v>
      </c>
      <c r="S763" s="9"/>
      <c r="T763" s="2"/>
      <c r="U763" s="9"/>
    </row>
    <row r="764" spans="2:21" x14ac:dyDescent="0.35">
      <c r="B764" s="9"/>
      <c r="C764" s="2"/>
      <c r="D764" s="2"/>
      <c r="I764" s="9"/>
      <c r="J764" s="2"/>
      <c r="L764" s="9"/>
      <c r="M764" s="2"/>
      <c r="N764" s="9"/>
      <c r="P764" s="3">
        <v>-387.69034066</v>
      </c>
      <c r="S764" s="9"/>
      <c r="T764" s="2"/>
      <c r="U764" s="9"/>
    </row>
    <row r="765" spans="2:21" x14ac:dyDescent="0.35">
      <c r="B765" s="9"/>
      <c r="C765" s="2"/>
      <c r="D765" s="2"/>
      <c r="I765" s="9"/>
      <c r="J765" s="2"/>
      <c r="L765" s="9"/>
      <c r="M765" s="2"/>
      <c r="N765" s="9"/>
      <c r="P765" s="3">
        <v>-822.45034066000005</v>
      </c>
      <c r="S765" s="9"/>
      <c r="T765" s="2"/>
      <c r="U765" s="9"/>
    </row>
    <row r="766" spans="2:21" x14ac:dyDescent="0.35">
      <c r="B766" s="9"/>
      <c r="C766" s="2"/>
      <c r="D766" s="2"/>
      <c r="I766" s="9"/>
      <c r="J766" s="2"/>
      <c r="L766" s="9"/>
      <c r="M766" s="2"/>
      <c r="N766" s="9"/>
      <c r="P766" s="3">
        <v>-1257.2103406599999</v>
      </c>
      <c r="S766" s="9"/>
      <c r="T766" s="2"/>
      <c r="U766" s="9"/>
    </row>
    <row r="767" spans="2:21" x14ac:dyDescent="0.35">
      <c r="B767" s="9"/>
      <c r="C767" s="2"/>
      <c r="D767" s="2"/>
      <c r="I767" s="9"/>
      <c r="J767" s="2"/>
      <c r="L767" s="9"/>
      <c r="M767" s="2"/>
      <c r="N767" s="9"/>
      <c r="P767" s="3">
        <v>-822.45034066000005</v>
      </c>
      <c r="S767" s="9"/>
      <c r="T767" s="2"/>
      <c r="U767" s="9"/>
    </row>
    <row r="768" spans="2:21" x14ac:dyDescent="0.35">
      <c r="B768" s="9"/>
      <c r="C768" s="2"/>
      <c r="D768" s="2"/>
      <c r="I768" s="9"/>
      <c r="J768" s="2"/>
      <c r="L768" s="9"/>
      <c r="M768" s="2"/>
      <c r="N768" s="9"/>
      <c r="P768" s="3">
        <v>-387.69034066</v>
      </c>
      <c r="S768" s="9"/>
      <c r="T768" s="2"/>
      <c r="U768" s="9"/>
    </row>
    <row r="769" spans="2:21" x14ac:dyDescent="0.35">
      <c r="B769" s="9"/>
      <c r="C769" s="2"/>
      <c r="D769" s="2"/>
      <c r="I769" s="9"/>
      <c r="J769" s="2"/>
      <c r="L769" s="9"/>
      <c r="M769" s="2"/>
      <c r="N769" s="9"/>
      <c r="P769" s="3">
        <v>-441.47882141000002</v>
      </c>
      <c r="S769" s="9"/>
      <c r="T769" s="2"/>
      <c r="U769" s="9"/>
    </row>
    <row r="770" spans="2:21" x14ac:dyDescent="0.35">
      <c r="B770" s="9"/>
      <c r="C770" s="2"/>
      <c r="D770" s="2"/>
      <c r="I770" s="9"/>
      <c r="J770" s="2"/>
      <c r="L770" s="9"/>
      <c r="M770" s="2"/>
      <c r="N770" s="9"/>
      <c r="P770" s="3">
        <v>-661.33194191999996</v>
      </c>
      <c r="S770" s="9"/>
      <c r="T770" s="2"/>
      <c r="U770" s="9"/>
    </row>
    <row r="771" spans="2:21" x14ac:dyDescent="0.35">
      <c r="B771" s="9"/>
      <c r="C771" s="2"/>
      <c r="D771" s="2"/>
      <c r="I771" s="9"/>
      <c r="J771" s="2"/>
      <c r="L771" s="9"/>
      <c r="M771" s="2"/>
      <c r="N771" s="9"/>
      <c r="P771" s="3">
        <v>-781.40161229</v>
      </c>
      <c r="S771" s="9"/>
      <c r="T771" s="2"/>
      <c r="U771" s="9"/>
    </row>
    <row r="772" spans="2:21" x14ac:dyDescent="0.35">
      <c r="B772" s="9"/>
      <c r="C772" s="2"/>
      <c r="D772" s="2"/>
      <c r="I772" s="9"/>
      <c r="J772" s="2"/>
      <c r="L772" s="9"/>
      <c r="M772" s="2"/>
      <c r="N772" s="9"/>
      <c r="P772" s="3">
        <v>-643.31736253999998</v>
      </c>
      <c r="S772" s="9"/>
      <c r="T772" s="2"/>
      <c r="U772" s="9"/>
    </row>
    <row r="773" spans="2:21" x14ac:dyDescent="0.35">
      <c r="B773" s="9"/>
      <c r="C773" s="2"/>
      <c r="D773" s="2"/>
      <c r="I773" s="9"/>
      <c r="J773" s="2"/>
      <c r="L773" s="9"/>
      <c r="M773" s="2"/>
      <c r="N773" s="9"/>
      <c r="P773" s="3">
        <v>-429.63363254000001</v>
      </c>
      <c r="S773" s="9"/>
      <c r="T773" s="2"/>
      <c r="U773" s="9"/>
    </row>
    <row r="774" spans="2:21" x14ac:dyDescent="0.35">
      <c r="B774" s="9"/>
      <c r="C774" s="2"/>
      <c r="D774" s="2"/>
      <c r="I774" s="9"/>
      <c r="J774" s="2"/>
      <c r="L774" s="9"/>
      <c r="M774" s="2"/>
      <c r="N774" s="9"/>
      <c r="P774" s="3">
        <v>-127.44269832000001</v>
      </c>
      <c r="S774" s="9"/>
      <c r="T774" s="2"/>
      <c r="U774" s="9"/>
    </row>
    <row r="775" spans="2:21" x14ac:dyDescent="0.35">
      <c r="B775" s="9"/>
      <c r="C775" s="2"/>
      <c r="D775" s="2"/>
      <c r="I775" s="9"/>
      <c r="J775" s="2"/>
      <c r="L775" s="9"/>
      <c r="M775" s="2"/>
      <c r="N775" s="9"/>
      <c r="P775" s="3">
        <v>24.792661679999998</v>
      </c>
      <c r="S775" s="9"/>
      <c r="T775" s="2"/>
      <c r="U775" s="9"/>
    </row>
    <row r="776" spans="2:21" x14ac:dyDescent="0.35">
      <c r="B776" s="9"/>
      <c r="C776" s="2"/>
      <c r="D776" s="2"/>
      <c r="I776" s="9"/>
      <c r="J776" s="2"/>
      <c r="L776" s="9"/>
      <c r="M776" s="2"/>
      <c r="N776" s="9"/>
      <c r="P776" s="3">
        <v>148.63299168</v>
      </c>
      <c r="S776" s="9"/>
      <c r="T776" s="2"/>
      <c r="U776" s="9"/>
    </row>
    <row r="777" spans="2:21" x14ac:dyDescent="0.35">
      <c r="B777" s="9"/>
      <c r="C777" s="2"/>
      <c r="D777" s="2"/>
      <c r="I777" s="9"/>
      <c r="J777" s="2"/>
      <c r="L777" s="9"/>
      <c r="M777" s="2"/>
      <c r="N777" s="9"/>
      <c r="P777" s="3">
        <v>254.92425168</v>
      </c>
      <c r="S777" s="9"/>
      <c r="T777" s="2"/>
      <c r="U777" s="9"/>
    </row>
    <row r="778" spans="2:21" x14ac:dyDescent="0.35">
      <c r="B778" s="9"/>
      <c r="C778" s="2"/>
      <c r="D778" s="2"/>
      <c r="I778" s="9"/>
      <c r="J778" s="2"/>
      <c r="L778" s="9"/>
      <c r="M778" s="2"/>
      <c r="N778" s="9"/>
      <c r="P778" s="3">
        <v>304.30546168000001</v>
      </c>
      <c r="S778" s="9"/>
      <c r="T778" s="2"/>
      <c r="U778" s="9"/>
    </row>
    <row r="779" spans="2:21" x14ac:dyDescent="0.35">
      <c r="B779" s="9"/>
      <c r="C779" s="2"/>
      <c r="D779" s="2"/>
      <c r="I779" s="9"/>
      <c r="J779" s="2"/>
      <c r="L779" s="9"/>
      <c r="M779" s="2"/>
      <c r="N779" s="9"/>
      <c r="P779" s="3">
        <v>465.11468816000001</v>
      </c>
      <c r="S779" s="9"/>
      <c r="T779" s="2"/>
      <c r="U779" s="9"/>
    </row>
    <row r="780" spans="2:21" x14ac:dyDescent="0.35">
      <c r="B780" s="9"/>
      <c r="C780" s="2"/>
      <c r="D780" s="2"/>
      <c r="I780" s="9"/>
      <c r="J780" s="2"/>
      <c r="L780" s="9"/>
      <c r="M780" s="2"/>
      <c r="N780" s="9"/>
      <c r="P780" s="3">
        <v>587.74721464000004</v>
      </c>
      <c r="S780" s="9"/>
      <c r="T780" s="2"/>
      <c r="U780" s="9"/>
    </row>
    <row r="781" spans="2:21" x14ac:dyDescent="0.35">
      <c r="B781" s="9"/>
      <c r="C781" s="2"/>
      <c r="D781" s="2"/>
      <c r="I781" s="9"/>
      <c r="J781" s="2"/>
      <c r="L781" s="9"/>
      <c r="M781" s="2"/>
      <c r="N781" s="9"/>
      <c r="P781" s="3">
        <v>693.73420709000004</v>
      </c>
      <c r="S781" s="9"/>
      <c r="T781" s="2"/>
      <c r="U781" s="9"/>
    </row>
    <row r="782" spans="2:21" x14ac:dyDescent="0.35">
      <c r="B782" s="9"/>
      <c r="C782" s="2"/>
      <c r="D782" s="2"/>
      <c r="I782" s="9"/>
      <c r="J782" s="2"/>
      <c r="L782" s="9"/>
      <c r="M782" s="2"/>
      <c r="N782" s="9"/>
      <c r="P782" s="3">
        <v>776.56768356999999</v>
      </c>
      <c r="S782" s="9"/>
      <c r="T782" s="2"/>
      <c r="U782" s="9"/>
    </row>
    <row r="783" spans="2:21" x14ac:dyDescent="0.35">
      <c r="B783" s="9"/>
      <c r="C783" s="2"/>
      <c r="D783" s="2"/>
      <c r="I783" s="9"/>
      <c r="J783" s="2"/>
      <c r="L783" s="9"/>
      <c r="M783" s="2"/>
      <c r="N783" s="9"/>
      <c r="P783" s="3">
        <v>341.80768356999999</v>
      </c>
      <c r="S783" s="9"/>
      <c r="T783" s="2"/>
      <c r="U783" s="9"/>
    </row>
    <row r="784" spans="2:21" x14ac:dyDescent="0.35">
      <c r="B784" s="9"/>
      <c r="C784" s="2"/>
      <c r="D784" s="2"/>
      <c r="I784" s="9"/>
      <c r="J784" s="2"/>
      <c r="L784" s="9"/>
      <c r="M784" s="2"/>
      <c r="N784" s="9"/>
      <c r="P784" s="3">
        <v>-92.952316429999996</v>
      </c>
      <c r="S784" s="9"/>
      <c r="T784" s="2"/>
      <c r="U784" s="9"/>
    </row>
    <row r="785" spans="2:21" x14ac:dyDescent="0.35">
      <c r="B785" s="9"/>
      <c r="C785" s="2"/>
      <c r="D785" s="2"/>
      <c r="I785" s="9"/>
      <c r="J785" s="2"/>
      <c r="L785" s="9"/>
      <c r="M785" s="2"/>
      <c r="N785" s="9"/>
      <c r="P785" s="3">
        <v>-527.71231642999999</v>
      </c>
      <c r="S785" s="9"/>
      <c r="T785" s="2"/>
      <c r="U785" s="9"/>
    </row>
    <row r="786" spans="2:21" x14ac:dyDescent="0.35">
      <c r="B786" s="9"/>
      <c r="C786" s="2"/>
      <c r="D786" s="2"/>
      <c r="I786" s="9"/>
      <c r="J786" s="2"/>
      <c r="L786" s="9"/>
      <c r="M786" s="2"/>
      <c r="N786" s="9"/>
      <c r="P786" s="3">
        <v>-392.90364177999999</v>
      </c>
      <c r="S786" s="9"/>
      <c r="T786" s="2"/>
      <c r="U786" s="9"/>
    </row>
    <row r="787" spans="2:21" x14ac:dyDescent="0.35">
      <c r="B787" s="9"/>
      <c r="C787" s="2"/>
      <c r="D787" s="2"/>
      <c r="I787" s="9"/>
      <c r="J787" s="2"/>
      <c r="L787" s="9"/>
      <c r="M787" s="2"/>
      <c r="N787" s="9"/>
      <c r="P787" s="3">
        <v>-603.92012642999998</v>
      </c>
      <c r="S787" s="9"/>
      <c r="T787" s="2"/>
      <c r="U787" s="9"/>
    </row>
    <row r="788" spans="2:21" x14ac:dyDescent="0.35">
      <c r="B788" s="9"/>
      <c r="C788" s="2"/>
      <c r="D788" s="2"/>
      <c r="I788" s="9"/>
      <c r="J788" s="2"/>
      <c r="L788" s="9"/>
      <c r="M788" s="2"/>
      <c r="N788" s="9"/>
      <c r="P788" s="3">
        <v>-1038.68012643</v>
      </c>
      <c r="S788" s="9"/>
      <c r="T788" s="2"/>
      <c r="U788" s="9"/>
    </row>
    <row r="789" spans="2:21" x14ac:dyDescent="0.35">
      <c r="B789" s="9"/>
      <c r="C789" s="2"/>
      <c r="D789" s="2"/>
      <c r="I789" s="9"/>
      <c r="J789" s="2"/>
      <c r="L789" s="9"/>
      <c r="M789" s="2"/>
      <c r="N789" s="9"/>
      <c r="P789" s="3">
        <v>-1473.44012643</v>
      </c>
      <c r="S789" s="9"/>
      <c r="T789" s="2"/>
      <c r="U789" s="9"/>
    </row>
    <row r="790" spans="2:21" x14ac:dyDescent="0.35">
      <c r="B790" s="9"/>
      <c r="C790" s="2"/>
      <c r="D790" s="2"/>
      <c r="I790" s="9"/>
      <c r="J790" s="2"/>
      <c r="L790" s="9"/>
      <c r="M790" s="2"/>
      <c r="N790" s="9"/>
      <c r="P790" s="3">
        <v>-1038.68012643</v>
      </c>
      <c r="S790" s="9"/>
      <c r="T790" s="2"/>
      <c r="U790" s="9"/>
    </row>
    <row r="791" spans="2:21" x14ac:dyDescent="0.35">
      <c r="B791" s="9"/>
      <c r="C791" s="2"/>
      <c r="D791" s="2"/>
      <c r="I791" s="9"/>
      <c r="J791" s="2"/>
      <c r="L791" s="9"/>
      <c r="M791" s="2"/>
      <c r="N791" s="9"/>
      <c r="P791" s="3">
        <v>-603.92012642999998</v>
      </c>
      <c r="S791" s="9"/>
      <c r="T791" s="2"/>
      <c r="U791" s="9"/>
    </row>
    <row r="792" spans="2:21" x14ac:dyDescent="0.35">
      <c r="B792" s="9"/>
      <c r="C792" s="2"/>
      <c r="D792" s="2"/>
      <c r="I792" s="9"/>
      <c r="J792" s="2"/>
      <c r="L792" s="9"/>
      <c r="M792" s="2"/>
      <c r="N792" s="9"/>
      <c r="P792" s="3">
        <v>-169.16012642999999</v>
      </c>
      <c r="S792" s="9"/>
      <c r="T792" s="2"/>
      <c r="U792" s="9"/>
    </row>
    <row r="793" spans="2:21" x14ac:dyDescent="0.35">
      <c r="B793" s="9"/>
      <c r="C793" s="2"/>
      <c r="D793" s="2"/>
      <c r="I793" s="9"/>
      <c r="J793" s="2"/>
      <c r="L793" s="9"/>
      <c r="M793" s="2"/>
      <c r="N793" s="9"/>
      <c r="P793" s="3">
        <v>-277.47305719000002</v>
      </c>
      <c r="S793" s="9"/>
      <c r="T793" s="2"/>
      <c r="U793" s="9"/>
    </row>
    <row r="794" spans="2:21" x14ac:dyDescent="0.35">
      <c r="B794" s="9"/>
      <c r="C794" s="2"/>
      <c r="D794" s="2"/>
      <c r="I794" s="9"/>
      <c r="J794" s="2"/>
      <c r="L794" s="9"/>
      <c r="M794" s="2"/>
      <c r="N794" s="9"/>
      <c r="P794" s="3">
        <v>-707.98459768999999</v>
      </c>
      <c r="S794" s="9"/>
      <c r="T794" s="2"/>
      <c r="U794" s="9"/>
    </row>
    <row r="795" spans="2:21" x14ac:dyDescent="0.35">
      <c r="B795" s="9"/>
      <c r="C795" s="2"/>
      <c r="D795" s="2"/>
      <c r="I795" s="9"/>
      <c r="J795" s="2"/>
      <c r="L795" s="9"/>
      <c r="M795" s="2"/>
      <c r="N795" s="9"/>
      <c r="P795" s="3">
        <v>-1084.03908806</v>
      </c>
      <c r="S795" s="9"/>
      <c r="T795" s="2"/>
      <c r="U795" s="9"/>
    </row>
    <row r="796" spans="2:21" x14ac:dyDescent="0.35">
      <c r="B796" s="9"/>
      <c r="C796" s="2"/>
      <c r="D796" s="2"/>
      <c r="I796" s="9"/>
      <c r="J796" s="2"/>
      <c r="L796" s="9"/>
      <c r="M796" s="2"/>
      <c r="N796" s="9"/>
      <c r="P796" s="3">
        <v>-1214.8013083200001</v>
      </c>
      <c r="S796" s="9"/>
      <c r="T796" s="2"/>
      <c r="U796" s="9"/>
    </row>
    <row r="797" spans="2:21" x14ac:dyDescent="0.35">
      <c r="B797" s="9"/>
      <c r="C797" s="2"/>
      <c r="D797" s="2"/>
      <c r="I797" s="9"/>
      <c r="J797" s="2"/>
      <c r="L797" s="9"/>
      <c r="M797" s="2"/>
      <c r="N797" s="9"/>
      <c r="P797" s="3">
        <v>-1236.6891883200001</v>
      </c>
      <c r="S797" s="9"/>
      <c r="T797" s="2"/>
      <c r="U797" s="9"/>
    </row>
    <row r="798" spans="2:21" x14ac:dyDescent="0.35">
      <c r="B798" s="9"/>
      <c r="C798" s="2"/>
      <c r="D798" s="2"/>
      <c r="I798" s="9"/>
      <c r="J798" s="2"/>
      <c r="L798" s="9"/>
      <c r="M798" s="2"/>
      <c r="N798" s="9"/>
      <c r="P798" s="3">
        <v>-981.58545051999999</v>
      </c>
      <c r="S798" s="9"/>
      <c r="T798" s="2"/>
      <c r="U798" s="9"/>
    </row>
    <row r="799" spans="2:21" x14ac:dyDescent="0.35">
      <c r="B799" s="9"/>
      <c r="C799" s="2"/>
      <c r="D799" s="2"/>
      <c r="I799" s="9"/>
      <c r="J799" s="2"/>
      <c r="L799" s="9"/>
      <c r="M799" s="2"/>
      <c r="N799" s="9"/>
      <c r="P799" s="3">
        <v>-990.68765052000003</v>
      </c>
      <c r="S799" s="9"/>
      <c r="T799" s="2"/>
      <c r="U799" s="9"/>
    </row>
    <row r="800" spans="2:21" x14ac:dyDescent="0.35">
      <c r="B800" s="9"/>
      <c r="C800" s="2"/>
      <c r="D800" s="2"/>
      <c r="I800" s="9"/>
      <c r="J800" s="2"/>
      <c r="L800" s="9"/>
      <c r="M800" s="2"/>
      <c r="N800" s="9"/>
      <c r="P800" s="3">
        <v>-995.74285052000005</v>
      </c>
      <c r="S800" s="9"/>
      <c r="T800" s="2"/>
      <c r="U800" s="9"/>
    </row>
    <row r="801" spans="2:21" x14ac:dyDescent="0.35">
      <c r="B801" s="9"/>
      <c r="C801" s="2"/>
      <c r="D801" s="2"/>
      <c r="I801" s="9"/>
      <c r="J801" s="2"/>
      <c r="L801" s="9"/>
      <c r="M801" s="2"/>
      <c r="N801" s="9"/>
      <c r="P801" s="3">
        <v>-1043.42361052</v>
      </c>
      <c r="S801" s="9"/>
      <c r="T801" s="2"/>
      <c r="U801" s="9"/>
    </row>
    <row r="802" spans="2:21" x14ac:dyDescent="0.35">
      <c r="B802" s="9"/>
      <c r="C802" s="2"/>
      <c r="D802" s="2"/>
      <c r="I802" s="9"/>
      <c r="J802" s="2"/>
      <c r="L802" s="9"/>
      <c r="M802" s="2"/>
      <c r="N802" s="9"/>
      <c r="P802" s="3">
        <v>-1098.4010405199999</v>
      </c>
      <c r="S802" s="9"/>
      <c r="T802" s="2"/>
      <c r="U802" s="9"/>
    </row>
    <row r="803" spans="2:21" x14ac:dyDescent="0.35">
      <c r="B803" s="9"/>
      <c r="C803" s="2"/>
      <c r="D803" s="2"/>
      <c r="I803" s="9"/>
      <c r="J803" s="2"/>
      <c r="L803" s="9"/>
      <c r="M803" s="2"/>
      <c r="N803" s="9"/>
      <c r="P803" s="3">
        <v>-1132.40578052</v>
      </c>
      <c r="S803" s="9"/>
      <c r="T803" s="2"/>
      <c r="U803" s="9"/>
    </row>
    <row r="804" spans="2:21" x14ac:dyDescent="0.35">
      <c r="B804" s="9"/>
      <c r="C804" s="2"/>
      <c r="D804" s="2"/>
      <c r="I804" s="9"/>
      <c r="J804" s="2"/>
      <c r="L804" s="9"/>
      <c r="M804" s="2"/>
      <c r="N804" s="9"/>
      <c r="P804" s="3">
        <v>-1176.07078052</v>
      </c>
      <c r="S804" s="9"/>
      <c r="T804" s="2"/>
      <c r="U804" s="9"/>
    </row>
    <row r="805" spans="2:21" x14ac:dyDescent="0.35">
      <c r="B805" s="9"/>
      <c r="C805" s="2"/>
      <c r="D805" s="2"/>
      <c r="I805" s="9"/>
      <c r="J805" s="2"/>
      <c r="L805" s="9"/>
      <c r="M805" s="2"/>
      <c r="N805" s="9"/>
      <c r="P805" s="3">
        <v>-1297.45451052</v>
      </c>
      <c r="S805" s="9"/>
      <c r="T805" s="2"/>
      <c r="U805" s="9"/>
    </row>
    <row r="806" spans="2:21" x14ac:dyDescent="0.35">
      <c r="B806" s="9"/>
      <c r="C806" s="2"/>
      <c r="D806" s="2"/>
      <c r="I806" s="9"/>
      <c r="J806" s="2"/>
      <c r="L806" s="9"/>
      <c r="M806" s="2"/>
      <c r="N806" s="9"/>
      <c r="P806" s="3">
        <v>-1424.4593105199999</v>
      </c>
      <c r="S806" s="9"/>
      <c r="T806" s="2"/>
      <c r="U806" s="9"/>
    </row>
    <row r="807" spans="2:21" x14ac:dyDescent="0.35">
      <c r="B807" s="9"/>
      <c r="C807" s="2"/>
      <c r="D807" s="2"/>
      <c r="I807" s="9"/>
      <c r="J807" s="2"/>
      <c r="L807" s="9"/>
      <c r="M807" s="2"/>
      <c r="N807" s="9"/>
      <c r="P807" s="3">
        <v>-1859.2193105199999</v>
      </c>
      <c r="S807" s="9"/>
      <c r="T807" s="2"/>
      <c r="U807" s="9"/>
    </row>
    <row r="808" spans="2:21" x14ac:dyDescent="0.35">
      <c r="B808" s="9"/>
      <c r="C808" s="2"/>
      <c r="D808" s="2"/>
      <c r="I808" s="9"/>
      <c r="J808" s="2"/>
      <c r="L808" s="9"/>
      <c r="M808" s="2"/>
      <c r="N808" s="9"/>
      <c r="P808" s="3">
        <v>-2293.9793105200001</v>
      </c>
      <c r="S808" s="9"/>
      <c r="T808" s="2"/>
      <c r="U808" s="9"/>
    </row>
    <row r="809" spans="2:21" x14ac:dyDescent="0.35">
      <c r="B809" s="9"/>
      <c r="C809" s="2"/>
      <c r="D809" s="2"/>
      <c r="I809" s="9"/>
      <c r="J809" s="2"/>
      <c r="L809" s="9"/>
      <c r="M809" s="2"/>
      <c r="N809" s="9"/>
      <c r="P809" s="3">
        <v>-1859.2193105199999</v>
      </c>
      <c r="S809" s="9"/>
      <c r="T809" s="2"/>
      <c r="U809" s="9"/>
    </row>
    <row r="810" spans="2:21" x14ac:dyDescent="0.35">
      <c r="B810" s="9"/>
      <c r="C810" s="2"/>
      <c r="D810" s="2"/>
      <c r="I810" s="9"/>
      <c r="J810" s="2"/>
      <c r="L810" s="9"/>
      <c r="M810" s="2"/>
      <c r="N810" s="9"/>
      <c r="P810" s="3">
        <v>-1424.4593105199999</v>
      </c>
      <c r="S810" s="9"/>
      <c r="T810" s="2"/>
      <c r="U810" s="9"/>
    </row>
    <row r="811" spans="2:21" x14ac:dyDescent="0.35">
      <c r="B811" s="9"/>
      <c r="C811" s="2"/>
      <c r="D811" s="2"/>
      <c r="I811" s="9"/>
      <c r="J811" s="2"/>
      <c r="L811" s="9"/>
      <c r="M811" s="2"/>
      <c r="N811" s="9"/>
      <c r="P811" s="3">
        <v>-989.69931052000004</v>
      </c>
      <c r="S811" s="9"/>
      <c r="T811" s="2"/>
      <c r="U811" s="9"/>
    </row>
    <row r="812" spans="2:21" x14ac:dyDescent="0.35">
      <c r="B812" s="9"/>
      <c r="C812" s="2"/>
      <c r="D812" s="2"/>
      <c r="I812" s="9"/>
      <c r="J812" s="2"/>
      <c r="L812" s="9"/>
      <c r="M812" s="2"/>
      <c r="N812" s="9"/>
      <c r="P812" s="3">
        <v>-1403.66128052</v>
      </c>
      <c r="S812" s="9"/>
      <c r="T812" s="2"/>
      <c r="U812" s="9"/>
    </row>
    <row r="813" spans="2:21" x14ac:dyDescent="0.35">
      <c r="B813" s="9"/>
      <c r="C813" s="2"/>
      <c r="D813" s="2"/>
      <c r="I813" s="9"/>
      <c r="J813" s="2"/>
      <c r="L813" s="9"/>
      <c r="M813" s="2"/>
      <c r="N813" s="9"/>
      <c r="P813" s="3">
        <v>-1838.42128052</v>
      </c>
      <c r="S813" s="9"/>
      <c r="T813" s="2"/>
      <c r="U813" s="9"/>
    </row>
    <row r="814" spans="2:21" x14ac:dyDescent="0.35">
      <c r="B814" s="9"/>
      <c r="C814" s="2"/>
      <c r="D814" s="2"/>
      <c r="I814" s="9"/>
      <c r="J814" s="2"/>
      <c r="L814" s="9"/>
      <c r="M814" s="2"/>
      <c r="N814" s="9"/>
      <c r="P814" s="3">
        <v>-2273.1812805200002</v>
      </c>
      <c r="S814" s="9"/>
      <c r="T814" s="2"/>
      <c r="U814" s="9"/>
    </row>
    <row r="815" spans="2:21" x14ac:dyDescent="0.35">
      <c r="B815" s="9"/>
      <c r="C815" s="2"/>
      <c r="D815" s="2"/>
      <c r="I815" s="9"/>
      <c r="J815" s="2"/>
      <c r="L815" s="9"/>
      <c r="M815" s="2"/>
      <c r="N815" s="9"/>
      <c r="P815" s="3">
        <v>-1838.42128052</v>
      </c>
      <c r="S815" s="9"/>
      <c r="T815" s="2"/>
      <c r="U815" s="9"/>
    </row>
    <row r="816" spans="2:21" x14ac:dyDescent="0.35">
      <c r="B816" s="9"/>
      <c r="C816" s="2"/>
      <c r="D816" s="2"/>
      <c r="I816" s="9"/>
      <c r="J816" s="2"/>
      <c r="L816" s="9"/>
      <c r="M816" s="2"/>
      <c r="N816" s="9"/>
      <c r="P816" s="3">
        <v>-1403.66128052</v>
      </c>
      <c r="S816" s="9"/>
      <c r="T816" s="2"/>
      <c r="U816" s="9"/>
    </row>
    <row r="817" spans="2:21" x14ac:dyDescent="0.35">
      <c r="B817" s="9"/>
      <c r="C817" s="2"/>
      <c r="D817" s="2"/>
      <c r="I817" s="9"/>
      <c r="J817" s="2"/>
      <c r="L817" s="9"/>
      <c r="M817" s="2"/>
      <c r="N817" s="9"/>
      <c r="P817" s="3">
        <v>-1224.6134805199999</v>
      </c>
      <c r="S817" s="9"/>
      <c r="T817" s="2"/>
      <c r="U817" s="9"/>
    </row>
    <row r="818" spans="2:21" x14ac:dyDescent="0.35">
      <c r="B818" s="9"/>
      <c r="C818" s="2"/>
      <c r="D818" s="2"/>
      <c r="I818" s="9"/>
      <c r="J818" s="2"/>
      <c r="L818" s="9"/>
      <c r="M818" s="2"/>
      <c r="N818" s="9"/>
      <c r="P818" s="3">
        <v>-1374.45188052</v>
      </c>
      <c r="S818" s="9"/>
      <c r="T818" s="2"/>
      <c r="U818" s="9"/>
    </row>
    <row r="819" spans="2:21" x14ac:dyDescent="0.35">
      <c r="B819" s="9"/>
      <c r="C819" s="2"/>
      <c r="D819" s="2"/>
      <c r="I819" s="9"/>
      <c r="J819" s="2"/>
      <c r="L819" s="9"/>
      <c r="M819" s="2"/>
      <c r="N819" s="9"/>
      <c r="P819" s="3">
        <v>-1533.9107805199999</v>
      </c>
      <c r="S819" s="9"/>
      <c r="T819" s="2"/>
      <c r="U819" s="9"/>
    </row>
    <row r="820" spans="2:21" x14ac:dyDescent="0.35">
      <c r="B820" s="9"/>
      <c r="C820" s="2"/>
      <c r="D820" s="2"/>
      <c r="I820" s="9"/>
      <c r="J820" s="2"/>
      <c r="L820" s="9"/>
      <c r="M820" s="2"/>
      <c r="N820" s="9"/>
      <c r="P820" s="3">
        <v>-1617.1973305199999</v>
      </c>
      <c r="S820" s="9"/>
      <c r="T820" s="2"/>
      <c r="U820" s="9"/>
    </row>
    <row r="821" spans="2:21" x14ac:dyDescent="0.35">
      <c r="B821" s="9"/>
      <c r="C821" s="2"/>
      <c r="D821" s="2"/>
      <c r="I821" s="9"/>
      <c r="J821" s="2"/>
      <c r="L821" s="9"/>
      <c r="M821" s="2"/>
      <c r="N821" s="9"/>
      <c r="P821" s="3">
        <v>-1737.13337052</v>
      </c>
      <c r="S821" s="9"/>
      <c r="T821" s="2"/>
      <c r="U821" s="9"/>
    </row>
    <row r="822" spans="2:21" x14ac:dyDescent="0.35">
      <c r="B822" s="9"/>
      <c r="C822" s="2"/>
      <c r="D822" s="2"/>
      <c r="I822" s="9"/>
      <c r="J822" s="2"/>
      <c r="L822" s="9"/>
      <c r="M822" s="2"/>
      <c r="N822" s="9"/>
      <c r="P822" s="3">
        <v>-1987.9595864200001</v>
      </c>
      <c r="S822" s="9"/>
      <c r="T822" s="2"/>
      <c r="U822" s="9"/>
    </row>
    <row r="823" spans="2:21" x14ac:dyDescent="0.35">
      <c r="B823" s="9"/>
      <c r="C823" s="2"/>
      <c r="D823" s="2"/>
      <c r="I823" s="9"/>
      <c r="J823" s="2"/>
      <c r="L823" s="9"/>
      <c r="M823" s="2"/>
      <c r="N823" s="9"/>
      <c r="P823" s="3">
        <v>-2096.8821064200001</v>
      </c>
      <c r="S823" s="9"/>
      <c r="T823" s="2"/>
      <c r="U823" s="9"/>
    </row>
    <row r="824" spans="2:21" x14ac:dyDescent="0.35">
      <c r="B824" s="9"/>
      <c r="C824" s="2"/>
      <c r="D824" s="2"/>
      <c r="I824" s="9"/>
      <c r="J824" s="2"/>
      <c r="L824" s="9"/>
      <c r="M824" s="2"/>
      <c r="N824" s="9"/>
      <c r="P824" s="3">
        <v>-2235.3562464199999</v>
      </c>
      <c r="S824" s="9"/>
      <c r="T824" s="2"/>
      <c r="U824" s="9"/>
    </row>
    <row r="825" spans="2:21" x14ac:dyDescent="0.35">
      <c r="B825" s="9"/>
      <c r="C825" s="2"/>
      <c r="D825" s="2"/>
      <c r="I825" s="9"/>
      <c r="J825" s="2"/>
      <c r="L825" s="9"/>
      <c r="M825" s="2"/>
      <c r="N825" s="9"/>
      <c r="P825" s="3">
        <v>-2375.15666642</v>
      </c>
      <c r="S825" s="9"/>
      <c r="T825" s="2"/>
      <c r="U825" s="9"/>
    </row>
    <row r="826" spans="2:21" x14ac:dyDescent="0.35">
      <c r="B826" s="9"/>
      <c r="C826" s="2"/>
      <c r="D826" s="2"/>
      <c r="I826" s="9"/>
      <c r="J826" s="2"/>
      <c r="L826" s="9"/>
      <c r="M826" s="2"/>
      <c r="N826" s="9"/>
      <c r="P826" s="3">
        <v>-2502.0471564200002</v>
      </c>
      <c r="S826" s="9"/>
      <c r="T826" s="2"/>
      <c r="U826" s="9"/>
    </row>
    <row r="827" spans="2:21" x14ac:dyDescent="0.35">
      <c r="B827" s="9"/>
      <c r="C827" s="2"/>
      <c r="D827" s="2"/>
      <c r="I827" s="9"/>
      <c r="J827" s="2"/>
      <c r="L827" s="9"/>
      <c r="M827" s="2"/>
      <c r="N827" s="9"/>
      <c r="P827" s="3">
        <v>-2461.2945764199999</v>
      </c>
      <c r="S827" s="9"/>
      <c r="T827" s="2"/>
      <c r="U827" s="9"/>
    </row>
    <row r="828" spans="2:21" x14ac:dyDescent="0.35">
      <c r="B828" s="9"/>
      <c r="C828" s="2"/>
      <c r="D828" s="2"/>
      <c r="I828" s="9"/>
      <c r="J828" s="2"/>
      <c r="L828" s="9"/>
      <c r="M828" s="2"/>
      <c r="N828" s="9"/>
      <c r="P828" s="3">
        <v>-2433.57972642</v>
      </c>
      <c r="S828" s="9"/>
      <c r="T828" s="2"/>
      <c r="U828" s="9"/>
    </row>
    <row r="829" spans="2:21" x14ac:dyDescent="0.35">
      <c r="B829" s="9"/>
      <c r="C829" s="2"/>
      <c r="D829" s="2"/>
      <c r="I829" s="9"/>
      <c r="J829" s="2"/>
      <c r="L829" s="9"/>
      <c r="M829" s="2"/>
      <c r="N829" s="9"/>
      <c r="P829" s="3">
        <v>-2423.4636464199998</v>
      </c>
      <c r="S829" s="9"/>
      <c r="T829" s="2"/>
      <c r="U829" s="9"/>
    </row>
    <row r="830" spans="2:21" x14ac:dyDescent="0.35">
      <c r="B830" s="9"/>
      <c r="C830" s="2"/>
      <c r="D830" s="2"/>
      <c r="I830" s="9"/>
      <c r="J830" s="2"/>
      <c r="L830" s="9"/>
      <c r="M830" s="2"/>
      <c r="N830" s="9"/>
      <c r="P830" s="3">
        <v>-2530.4180464199999</v>
      </c>
      <c r="S830" s="9"/>
      <c r="T830" s="2"/>
      <c r="U830" s="9"/>
    </row>
    <row r="831" spans="2:21" x14ac:dyDescent="0.35">
      <c r="B831" s="9"/>
      <c r="C831" s="2"/>
      <c r="D831" s="2"/>
      <c r="I831" s="9"/>
      <c r="J831" s="2"/>
      <c r="L831" s="9"/>
      <c r="M831" s="2"/>
      <c r="N831" s="9"/>
      <c r="P831" s="3">
        <v>-2860.169492</v>
      </c>
      <c r="S831" s="9"/>
      <c r="T831" s="2"/>
      <c r="U831" s="9"/>
    </row>
    <row r="832" spans="2:21" x14ac:dyDescent="0.35">
      <c r="B832" s="9"/>
      <c r="C832" s="2"/>
      <c r="D832" s="2"/>
      <c r="I832" s="9"/>
      <c r="J832" s="2"/>
      <c r="L832" s="9"/>
      <c r="M832" s="2"/>
      <c r="N832" s="9"/>
      <c r="P832" s="3">
        <v>-2860.169492</v>
      </c>
      <c r="S832" s="9"/>
      <c r="T832" s="2"/>
      <c r="U832" s="9"/>
    </row>
    <row r="833" spans="2:21" x14ac:dyDescent="0.35">
      <c r="B833" s="9"/>
      <c r="C833" s="2"/>
      <c r="D833" s="2"/>
      <c r="I833" s="9"/>
      <c r="J833" s="2"/>
      <c r="L833" s="9"/>
      <c r="M833" s="2"/>
      <c r="N833" s="9"/>
      <c r="P833" s="3">
        <v>-2860.169492</v>
      </c>
      <c r="S833" s="9"/>
      <c r="T833" s="2"/>
      <c r="U833" s="9"/>
    </row>
    <row r="834" spans="2:21" x14ac:dyDescent="0.35">
      <c r="B834" s="9"/>
      <c r="C834" s="2"/>
      <c r="D834" s="2"/>
      <c r="I834" s="9"/>
      <c r="J834" s="2"/>
      <c r="L834" s="9"/>
      <c r="M834" s="2"/>
      <c r="N834" s="9"/>
      <c r="P834" s="3">
        <v>-2860.169492</v>
      </c>
      <c r="S834" s="9"/>
      <c r="T834" s="2"/>
      <c r="U834" s="9"/>
    </row>
    <row r="835" spans="2:21" x14ac:dyDescent="0.35">
      <c r="B835" s="9"/>
      <c r="C835" s="2"/>
      <c r="D835" s="2"/>
      <c r="I835" s="9"/>
      <c r="J835" s="2"/>
      <c r="L835" s="9"/>
      <c r="M835" s="2"/>
      <c r="N835" s="9"/>
      <c r="P835" s="3">
        <v>-2860.169492</v>
      </c>
      <c r="S835" s="9"/>
      <c r="T835" s="2"/>
      <c r="U835" s="9"/>
    </row>
    <row r="836" spans="2:21" x14ac:dyDescent="0.35">
      <c r="B836" s="9"/>
      <c r="C836" s="2"/>
      <c r="D836" s="2"/>
      <c r="I836" s="9"/>
      <c r="J836" s="2"/>
      <c r="L836" s="9"/>
      <c r="M836" s="2"/>
      <c r="N836" s="9"/>
      <c r="P836" s="3">
        <v>-2860.169492</v>
      </c>
      <c r="S836" s="9"/>
      <c r="T836" s="2"/>
      <c r="U836" s="9"/>
    </row>
    <row r="837" spans="2:21" x14ac:dyDescent="0.35">
      <c r="B837" s="9"/>
      <c r="C837" s="2"/>
      <c r="D837" s="2"/>
      <c r="I837" s="9"/>
      <c r="J837" s="2"/>
      <c r="L837" s="9"/>
      <c r="M837" s="2"/>
      <c r="N837" s="9"/>
      <c r="P837" s="3">
        <v>-2860.169492</v>
      </c>
      <c r="S837" s="9"/>
      <c r="T837" s="2"/>
      <c r="U837" s="9"/>
    </row>
    <row r="838" spans="2:21" x14ac:dyDescent="0.35">
      <c r="B838" s="9"/>
      <c r="C838" s="2"/>
      <c r="D838" s="2"/>
      <c r="I838" s="9"/>
      <c r="J838" s="2"/>
      <c r="L838" s="9"/>
      <c r="M838" s="2"/>
      <c r="N838" s="9"/>
      <c r="P838" s="3">
        <v>-2860.169492</v>
      </c>
      <c r="S838" s="9"/>
      <c r="T838" s="2"/>
      <c r="U838" s="9"/>
    </row>
    <row r="839" spans="2:21" x14ac:dyDescent="0.35">
      <c r="B839" s="9"/>
      <c r="C839" s="2"/>
      <c r="D839" s="2"/>
      <c r="I839" s="9"/>
      <c r="J839" s="2"/>
      <c r="L839" s="9"/>
      <c r="M839" s="2"/>
      <c r="N839" s="9"/>
      <c r="P839" s="3">
        <v>-2617.7963464200002</v>
      </c>
      <c r="S839" s="9"/>
      <c r="T839" s="2"/>
      <c r="U839" s="9"/>
    </row>
    <row r="840" spans="2:21" x14ac:dyDescent="0.35">
      <c r="B840" s="9"/>
      <c r="C840" s="2"/>
      <c r="D840" s="2"/>
      <c r="I840" s="9"/>
      <c r="J840" s="2"/>
      <c r="L840" s="9"/>
      <c r="M840" s="2"/>
      <c r="N840" s="9"/>
      <c r="P840" s="3">
        <v>-2183.03634642</v>
      </c>
      <c r="S840" s="9"/>
      <c r="T840" s="2"/>
      <c r="U840" s="9"/>
    </row>
    <row r="841" spans="2:21" x14ac:dyDescent="0.35">
      <c r="B841" s="9"/>
      <c r="C841" s="2"/>
      <c r="D841" s="2"/>
      <c r="I841" s="9"/>
      <c r="J841" s="2"/>
      <c r="L841" s="9"/>
      <c r="M841" s="2"/>
      <c r="N841" s="9"/>
      <c r="P841" s="3">
        <v>-1870.76769642</v>
      </c>
      <c r="S841" s="9"/>
      <c r="T841" s="2"/>
      <c r="U841" s="9"/>
    </row>
    <row r="842" spans="2:21" x14ac:dyDescent="0.35">
      <c r="B842" s="9"/>
      <c r="C842" s="2"/>
      <c r="D842" s="2"/>
      <c r="I842" s="9"/>
      <c r="J842" s="2"/>
      <c r="L842" s="9"/>
      <c r="M842" s="2"/>
      <c r="N842" s="9"/>
      <c r="P842" s="3">
        <v>-1831.63036642</v>
      </c>
      <c r="S842" s="9"/>
      <c r="T842" s="2"/>
      <c r="U842" s="9"/>
    </row>
    <row r="843" spans="2:21" x14ac:dyDescent="0.35">
      <c r="B843" s="9"/>
      <c r="C843" s="2"/>
      <c r="D843" s="2"/>
      <c r="I843" s="9"/>
      <c r="J843" s="2"/>
      <c r="L843" s="9"/>
      <c r="M843" s="2"/>
      <c r="N843" s="9"/>
      <c r="P843" s="3">
        <v>-1835.15693642</v>
      </c>
      <c r="S843" s="9"/>
      <c r="T843" s="2"/>
      <c r="U843" s="9"/>
    </row>
    <row r="844" spans="2:21" x14ac:dyDescent="0.35">
      <c r="B844" s="9"/>
      <c r="C844" s="2"/>
      <c r="D844" s="2"/>
      <c r="I844" s="9"/>
      <c r="J844" s="2"/>
      <c r="L844" s="9"/>
      <c r="M844" s="2"/>
      <c r="N844" s="9"/>
      <c r="P844" s="3">
        <v>-1862.56009642</v>
      </c>
      <c r="S844" s="9"/>
      <c r="T844" s="2"/>
      <c r="U844" s="9"/>
    </row>
    <row r="845" spans="2:21" x14ac:dyDescent="0.35">
      <c r="B845" s="9"/>
      <c r="C845" s="2"/>
      <c r="D845" s="2"/>
      <c r="I845" s="9"/>
      <c r="J845" s="2"/>
      <c r="L845" s="9"/>
      <c r="M845" s="2"/>
      <c r="N845" s="9"/>
      <c r="P845" s="3">
        <v>-1910.3665264199999</v>
      </c>
      <c r="S845" s="9"/>
      <c r="T845" s="2"/>
      <c r="U845" s="9"/>
    </row>
    <row r="846" spans="2:21" x14ac:dyDescent="0.35">
      <c r="B846" s="9"/>
      <c r="C846" s="2"/>
      <c r="D846" s="2"/>
      <c r="I846" s="9"/>
      <c r="J846" s="2"/>
      <c r="L846" s="9"/>
      <c r="M846" s="2"/>
      <c r="N846" s="9"/>
      <c r="P846" s="3">
        <v>-2345.1265264200001</v>
      </c>
      <c r="S846" s="9"/>
      <c r="T846" s="2"/>
      <c r="U846" s="9"/>
    </row>
    <row r="847" spans="2:21" x14ac:dyDescent="0.35">
      <c r="B847" s="9"/>
      <c r="C847" s="2"/>
      <c r="D847" s="2"/>
      <c r="I847" s="9"/>
      <c r="J847" s="2"/>
      <c r="L847" s="9"/>
      <c r="M847" s="2"/>
      <c r="N847" s="9"/>
      <c r="P847" s="3">
        <v>-2206.6634939599999</v>
      </c>
      <c r="S847" s="9"/>
      <c r="T847" s="2"/>
      <c r="U847" s="9"/>
    </row>
    <row r="848" spans="2:21" x14ac:dyDescent="0.35">
      <c r="B848" s="9"/>
      <c r="C848" s="2"/>
      <c r="D848" s="2"/>
      <c r="I848" s="9"/>
      <c r="J848" s="2"/>
      <c r="L848" s="9"/>
      <c r="M848" s="2"/>
      <c r="N848" s="9"/>
      <c r="P848" s="3">
        <v>-1900.62509396</v>
      </c>
      <c r="S848" s="9"/>
      <c r="T848" s="2"/>
      <c r="U848" s="9"/>
    </row>
    <row r="849" spans="2:21" x14ac:dyDescent="0.35">
      <c r="B849" s="9"/>
      <c r="C849" s="2"/>
      <c r="D849" s="2"/>
      <c r="I849" s="9"/>
      <c r="J849" s="2"/>
      <c r="L849" s="9"/>
      <c r="M849" s="2"/>
      <c r="N849" s="9"/>
      <c r="P849" s="3">
        <v>-1538.9425739599999</v>
      </c>
      <c r="S849" s="9"/>
      <c r="T849" s="2"/>
      <c r="U849" s="9"/>
    </row>
    <row r="850" spans="2:21" x14ac:dyDescent="0.35">
      <c r="B850" s="9"/>
      <c r="C850" s="2"/>
      <c r="D850" s="2"/>
      <c r="I850" s="9"/>
      <c r="J850" s="2"/>
      <c r="L850" s="9"/>
      <c r="M850" s="2"/>
      <c r="N850" s="9"/>
      <c r="P850" s="3">
        <v>-1233.9727239599999</v>
      </c>
      <c r="S850" s="9"/>
      <c r="T850" s="2"/>
      <c r="U850" s="9"/>
    </row>
    <row r="851" spans="2:21" x14ac:dyDescent="0.35">
      <c r="B851" s="9"/>
      <c r="C851" s="2"/>
      <c r="D851" s="2"/>
      <c r="I851" s="9"/>
      <c r="J851" s="2"/>
      <c r="L851" s="9"/>
      <c r="M851" s="2"/>
      <c r="N851" s="9"/>
      <c r="P851" s="3">
        <v>-881.13547747999996</v>
      </c>
      <c r="S851" s="9"/>
      <c r="T851" s="2"/>
      <c r="U851" s="9"/>
    </row>
    <row r="852" spans="2:21" x14ac:dyDescent="0.35">
      <c r="B852" s="9"/>
      <c r="C852" s="2"/>
      <c r="D852" s="2"/>
      <c r="I852" s="9"/>
      <c r="J852" s="2"/>
      <c r="L852" s="9"/>
      <c r="M852" s="2"/>
      <c r="N852" s="9"/>
      <c r="P852" s="3">
        <v>-496.19061099999999</v>
      </c>
      <c r="S852" s="9"/>
      <c r="T852" s="2"/>
      <c r="U852" s="9"/>
    </row>
    <row r="853" spans="2:21" x14ac:dyDescent="0.35">
      <c r="B853" s="9"/>
      <c r="C853" s="2"/>
      <c r="D853" s="2"/>
      <c r="I853" s="9"/>
      <c r="J853" s="2"/>
      <c r="L853" s="9"/>
      <c r="M853" s="2"/>
      <c r="N853" s="9"/>
      <c r="P853" s="3">
        <v>-197.93703855000001</v>
      </c>
      <c r="S853" s="9"/>
      <c r="T853" s="2"/>
      <c r="U853" s="9"/>
    </row>
    <row r="854" spans="2:21" x14ac:dyDescent="0.35">
      <c r="B854" s="9"/>
      <c r="C854" s="2"/>
      <c r="D854" s="2"/>
      <c r="I854" s="9"/>
      <c r="J854" s="2"/>
      <c r="L854" s="9"/>
      <c r="M854" s="2"/>
      <c r="N854" s="9"/>
      <c r="P854" s="3">
        <v>30.421587930000001</v>
      </c>
      <c r="S854" s="9"/>
      <c r="T854" s="2"/>
      <c r="U854" s="9"/>
    </row>
    <row r="855" spans="2:21" x14ac:dyDescent="0.35">
      <c r="B855" s="9"/>
      <c r="C855" s="2"/>
      <c r="D855" s="2"/>
      <c r="I855" s="9"/>
      <c r="J855" s="2"/>
      <c r="L855" s="9"/>
      <c r="M855" s="2"/>
      <c r="N855" s="9"/>
      <c r="P855" s="3">
        <v>-392.53748207000001</v>
      </c>
      <c r="S855" s="9"/>
      <c r="T855" s="2"/>
      <c r="U855" s="9"/>
    </row>
    <row r="856" spans="2:21" x14ac:dyDescent="0.35">
      <c r="B856" s="9"/>
      <c r="C856" s="2"/>
      <c r="D856" s="2"/>
      <c r="I856" s="9"/>
      <c r="J856" s="2"/>
      <c r="L856" s="9"/>
      <c r="M856" s="2"/>
      <c r="N856" s="9"/>
      <c r="P856" s="3">
        <v>-827.29748207</v>
      </c>
      <c r="S856" s="9"/>
      <c r="T856" s="2"/>
      <c r="U856" s="9"/>
    </row>
    <row r="857" spans="2:21" x14ac:dyDescent="0.35">
      <c r="B857" s="9"/>
      <c r="C857" s="2"/>
      <c r="D857" s="2"/>
      <c r="I857" s="9"/>
      <c r="J857" s="2"/>
      <c r="L857" s="9"/>
      <c r="M857" s="2"/>
      <c r="N857" s="9"/>
      <c r="P857" s="3">
        <v>-1262.0574820700001</v>
      </c>
      <c r="S857" s="9"/>
      <c r="T857" s="2"/>
      <c r="U857" s="9"/>
    </row>
    <row r="858" spans="2:21" x14ac:dyDescent="0.35">
      <c r="B858" s="9"/>
      <c r="C858" s="2"/>
      <c r="D858" s="2"/>
      <c r="I858" s="9"/>
      <c r="J858" s="2"/>
      <c r="L858" s="9"/>
      <c r="M858" s="2"/>
      <c r="N858" s="9"/>
      <c r="P858" s="3">
        <v>-1696.8174820700001</v>
      </c>
      <c r="S858" s="9"/>
      <c r="T858" s="2"/>
      <c r="U858" s="9"/>
    </row>
    <row r="859" spans="2:21" x14ac:dyDescent="0.35">
      <c r="B859" s="9"/>
      <c r="C859" s="2"/>
      <c r="D859" s="2"/>
      <c r="I859" s="9"/>
      <c r="J859" s="2"/>
      <c r="L859" s="9"/>
      <c r="M859" s="2"/>
      <c r="N859" s="9"/>
      <c r="P859" s="3">
        <v>-1653.77448207</v>
      </c>
      <c r="S859" s="9"/>
      <c r="T859" s="2"/>
      <c r="U859" s="9"/>
    </row>
    <row r="860" spans="2:21" x14ac:dyDescent="0.35">
      <c r="B860" s="9"/>
      <c r="C860" s="2"/>
      <c r="D860" s="2"/>
      <c r="I860" s="9"/>
      <c r="J860" s="2"/>
      <c r="L860" s="9"/>
      <c r="M860" s="2"/>
      <c r="N860" s="9"/>
      <c r="P860" s="3">
        <v>-1219.01448207</v>
      </c>
      <c r="S860" s="9"/>
      <c r="T860" s="2"/>
      <c r="U860" s="9"/>
    </row>
    <row r="861" spans="2:21" x14ac:dyDescent="0.35">
      <c r="B861" s="9"/>
      <c r="C861" s="2"/>
      <c r="D861" s="2"/>
      <c r="I861" s="9"/>
      <c r="J861" s="2"/>
      <c r="L861" s="9"/>
      <c r="M861" s="2"/>
      <c r="N861" s="9"/>
      <c r="P861" s="3">
        <v>-784.25448206999999</v>
      </c>
      <c r="S861" s="9"/>
      <c r="T861" s="2"/>
      <c r="U861" s="9"/>
    </row>
    <row r="862" spans="2:21" x14ac:dyDescent="0.35">
      <c r="B862" s="9"/>
      <c r="C862" s="2"/>
      <c r="D862" s="2"/>
      <c r="I862" s="9"/>
      <c r="J862" s="2"/>
      <c r="L862" s="9"/>
      <c r="M862" s="2"/>
      <c r="N862" s="9"/>
      <c r="P862" s="3">
        <v>-349.49448207</v>
      </c>
      <c r="S862" s="9"/>
      <c r="T862" s="2"/>
      <c r="U862" s="9"/>
    </row>
    <row r="863" spans="2:21" x14ac:dyDescent="0.35">
      <c r="B863" s="9"/>
      <c r="C863" s="2"/>
      <c r="D863" s="2"/>
      <c r="I863" s="9"/>
      <c r="J863" s="2"/>
      <c r="L863" s="9"/>
      <c r="M863" s="2"/>
      <c r="N863" s="9"/>
      <c r="P863" s="3">
        <v>85.265517930000001</v>
      </c>
      <c r="S863" s="9"/>
      <c r="T863" s="2"/>
      <c r="U863" s="9"/>
    </row>
    <row r="864" spans="2:21" x14ac:dyDescent="0.35">
      <c r="B864" s="9"/>
      <c r="C864" s="2"/>
      <c r="D864" s="2"/>
      <c r="I864" s="9"/>
      <c r="J864" s="2"/>
      <c r="L864" s="9"/>
      <c r="M864" s="2"/>
      <c r="N864" s="9"/>
      <c r="P864" s="3">
        <v>520.02551792999998</v>
      </c>
      <c r="S864" s="9"/>
      <c r="T864" s="2"/>
      <c r="U864" s="9"/>
    </row>
    <row r="865" spans="2:21" x14ac:dyDescent="0.35">
      <c r="B865" s="9"/>
      <c r="C865" s="2"/>
      <c r="D865" s="2"/>
      <c r="I865" s="9"/>
      <c r="J865" s="2"/>
      <c r="L865" s="9"/>
      <c r="M865" s="2"/>
      <c r="N865" s="9"/>
      <c r="P865" s="3">
        <v>596.67326717000003</v>
      </c>
      <c r="S865" s="9"/>
      <c r="T865" s="2"/>
      <c r="U865" s="9"/>
    </row>
    <row r="866" spans="2:21" x14ac:dyDescent="0.35">
      <c r="B866" s="9"/>
      <c r="C866" s="2"/>
      <c r="D866" s="2"/>
      <c r="I866" s="9"/>
      <c r="J866" s="2"/>
      <c r="L866" s="9"/>
      <c r="M866" s="2"/>
      <c r="N866" s="9"/>
      <c r="P866" s="3">
        <v>501.93066666999999</v>
      </c>
      <c r="S866" s="9"/>
      <c r="T866" s="2"/>
      <c r="U866" s="9"/>
    </row>
    <row r="867" spans="2:21" x14ac:dyDescent="0.35">
      <c r="B867" s="9"/>
      <c r="C867" s="2"/>
      <c r="D867" s="2"/>
      <c r="I867" s="9"/>
      <c r="J867" s="2"/>
      <c r="L867" s="9"/>
      <c r="M867" s="2"/>
      <c r="N867" s="9"/>
      <c r="P867" s="3">
        <v>419.04937629</v>
      </c>
      <c r="S867" s="9"/>
      <c r="T867" s="2"/>
      <c r="U867" s="9"/>
    </row>
    <row r="868" spans="2:21" x14ac:dyDescent="0.35">
      <c r="B868" s="9"/>
      <c r="C868" s="2"/>
      <c r="D868" s="2"/>
      <c r="I868" s="9"/>
      <c r="J868" s="2"/>
      <c r="L868" s="9"/>
      <c r="M868" s="2"/>
      <c r="N868" s="9"/>
      <c r="P868" s="3">
        <v>328.13164604000002</v>
      </c>
      <c r="S868" s="9"/>
      <c r="T868" s="2"/>
      <c r="U868" s="9"/>
    </row>
    <row r="869" spans="2:21" x14ac:dyDescent="0.35">
      <c r="B869" s="9"/>
      <c r="C869" s="2"/>
      <c r="D869" s="2"/>
      <c r="I869" s="9"/>
      <c r="J869" s="2"/>
      <c r="L869" s="9"/>
      <c r="M869" s="2"/>
      <c r="N869" s="9"/>
      <c r="P869" s="3">
        <v>251.05617604</v>
      </c>
      <c r="S869" s="9"/>
      <c r="T869" s="2"/>
      <c r="U869" s="9"/>
    </row>
    <row r="870" spans="2:21" x14ac:dyDescent="0.35">
      <c r="B870" s="9"/>
      <c r="C870" s="2"/>
      <c r="D870" s="2"/>
      <c r="I870" s="9"/>
      <c r="J870" s="2"/>
      <c r="L870" s="9"/>
      <c r="M870" s="2"/>
      <c r="N870" s="9"/>
      <c r="P870" s="3">
        <v>76.753206349999999</v>
      </c>
      <c r="S870" s="9"/>
      <c r="T870" s="2"/>
      <c r="U870" s="9"/>
    </row>
    <row r="871" spans="2:21" x14ac:dyDescent="0.35">
      <c r="B871" s="9"/>
      <c r="C871" s="2"/>
      <c r="D871" s="2"/>
      <c r="I871" s="9"/>
      <c r="J871" s="2"/>
      <c r="L871" s="9"/>
      <c r="M871" s="2"/>
      <c r="N871" s="9"/>
      <c r="P871" s="3">
        <v>-2.25772365</v>
      </c>
      <c r="S871" s="9"/>
      <c r="T871" s="2"/>
      <c r="U871" s="9"/>
    </row>
    <row r="872" spans="2:21" x14ac:dyDescent="0.35">
      <c r="B872" s="9"/>
      <c r="C872" s="2"/>
      <c r="D872" s="2"/>
      <c r="I872" s="9"/>
      <c r="J872" s="2"/>
      <c r="L872" s="9"/>
      <c r="M872" s="2"/>
      <c r="N872" s="9"/>
      <c r="P872" s="3">
        <v>-84.523293649999999</v>
      </c>
      <c r="S872" s="9"/>
      <c r="T872" s="2"/>
      <c r="U872" s="9"/>
    </row>
    <row r="873" spans="2:21" x14ac:dyDescent="0.35">
      <c r="B873" s="9"/>
      <c r="C873" s="2"/>
      <c r="D873" s="2"/>
      <c r="I873" s="9"/>
      <c r="J873" s="2"/>
      <c r="L873" s="9"/>
      <c r="M873" s="2"/>
      <c r="N873" s="9"/>
      <c r="P873" s="3">
        <v>-181.10601364999999</v>
      </c>
      <c r="S873" s="9"/>
      <c r="T873" s="2"/>
      <c r="U873" s="9"/>
    </row>
    <row r="874" spans="2:21" x14ac:dyDescent="0.35">
      <c r="B874" s="9"/>
      <c r="C874" s="2"/>
      <c r="D874" s="2"/>
      <c r="I874" s="9"/>
      <c r="J874" s="2"/>
      <c r="L874" s="9"/>
      <c r="M874" s="2"/>
      <c r="N874" s="9"/>
      <c r="P874" s="3">
        <v>-272.66619365000003</v>
      </c>
      <c r="S874" s="9"/>
      <c r="T874" s="2"/>
      <c r="U874" s="9"/>
    </row>
    <row r="875" spans="2:21" x14ac:dyDescent="0.35">
      <c r="B875" s="9"/>
      <c r="C875" s="2"/>
      <c r="D875" s="2"/>
      <c r="I875" s="9"/>
      <c r="J875" s="2"/>
      <c r="L875" s="9"/>
      <c r="M875" s="2"/>
      <c r="N875" s="9"/>
      <c r="P875" s="3">
        <v>-289.69421718000001</v>
      </c>
      <c r="S875" s="9"/>
      <c r="T875" s="2"/>
      <c r="U875" s="9"/>
    </row>
    <row r="876" spans="2:21" x14ac:dyDescent="0.35">
      <c r="B876" s="9"/>
      <c r="C876" s="2"/>
      <c r="D876" s="2"/>
      <c r="I876" s="9"/>
      <c r="J876" s="2"/>
      <c r="L876" s="9"/>
      <c r="M876" s="2"/>
      <c r="N876" s="9"/>
      <c r="P876" s="3">
        <v>-363.3404807</v>
      </c>
      <c r="S876" s="9"/>
      <c r="T876" s="2"/>
      <c r="U876" s="9"/>
    </row>
    <row r="877" spans="2:21" x14ac:dyDescent="0.35">
      <c r="B877" s="9"/>
      <c r="C877" s="2"/>
      <c r="D877" s="2"/>
      <c r="I877" s="9"/>
      <c r="J877" s="2"/>
      <c r="L877" s="9"/>
      <c r="M877" s="2"/>
      <c r="N877" s="9"/>
      <c r="P877" s="3">
        <v>-399.14332825000002</v>
      </c>
      <c r="S877" s="9"/>
      <c r="T877" s="2"/>
      <c r="U877" s="9"/>
    </row>
    <row r="878" spans="2:21" x14ac:dyDescent="0.35">
      <c r="B878" s="9"/>
      <c r="C878" s="2"/>
      <c r="D878" s="2"/>
      <c r="I878" s="9"/>
      <c r="J878" s="2"/>
      <c r="L878" s="9"/>
      <c r="M878" s="2"/>
      <c r="N878" s="9"/>
      <c r="P878" s="3">
        <v>-448.94637176999998</v>
      </c>
      <c r="S878" s="9"/>
      <c r="T878" s="2"/>
      <c r="U878" s="9"/>
    </row>
    <row r="879" spans="2:21" x14ac:dyDescent="0.35">
      <c r="B879" s="9"/>
      <c r="C879" s="2"/>
      <c r="D879" s="2"/>
      <c r="I879" s="9"/>
      <c r="J879" s="2"/>
      <c r="L879" s="9"/>
      <c r="M879" s="2"/>
      <c r="N879" s="9"/>
      <c r="P879" s="3">
        <v>-883.70637177000003</v>
      </c>
      <c r="S879" s="9"/>
      <c r="T879" s="2"/>
      <c r="U879" s="9"/>
    </row>
    <row r="880" spans="2:21" x14ac:dyDescent="0.35">
      <c r="B880" s="9"/>
      <c r="C880" s="2"/>
      <c r="D880" s="2"/>
      <c r="I880" s="9"/>
      <c r="J880" s="2"/>
      <c r="L880" s="9"/>
      <c r="M880" s="2"/>
      <c r="N880" s="9"/>
      <c r="P880" s="3">
        <v>-1318.46637177</v>
      </c>
      <c r="S880" s="9"/>
      <c r="T880" s="2"/>
      <c r="U880" s="9"/>
    </row>
    <row r="881" spans="2:21" x14ac:dyDescent="0.35">
      <c r="B881" s="9"/>
      <c r="C881" s="2"/>
      <c r="D881" s="2"/>
      <c r="I881" s="9"/>
      <c r="J881" s="2"/>
      <c r="L881" s="9"/>
      <c r="M881" s="2"/>
      <c r="N881" s="9"/>
      <c r="P881" s="3">
        <v>-1753.22637177</v>
      </c>
      <c r="S881" s="9"/>
      <c r="T881" s="2"/>
      <c r="U881" s="9"/>
    </row>
    <row r="882" spans="2:21" x14ac:dyDescent="0.35">
      <c r="B882" s="9"/>
      <c r="C882" s="2"/>
      <c r="D882" s="2"/>
      <c r="I882" s="9"/>
      <c r="J882" s="2"/>
      <c r="L882" s="9"/>
      <c r="M882" s="2"/>
      <c r="N882" s="9"/>
      <c r="P882" s="3">
        <v>-2187.98637177</v>
      </c>
      <c r="S882" s="9"/>
      <c r="T882" s="2"/>
      <c r="U882" s="9"/>
    </row>
    <row r="883" spans="2:21" x14ac:dyDescent="0.35">
      <c r="B883" s="9"/>
      <c r="C883" s="2"/>
      <c r="D883" s="2"/>
      <c r="I883" s="9"/>
      <c r="J883" s="2"/>
      <c r="L883" s="9"/>
      <c r="M883" s="2"/>
      <c r="N883" s="9"/>
      <c r="P883" s="3">
        <v>-2622.7463717700002</v>
      </c>
      <c r="S883" s="9"/>
      <c r="T883" s="2"/>
      <c r="U883" s="9"/>
    </row>
    <row r="884" spans="2:21" x14ac:dyDescent="0.35">
      <c r="B884" s="9"/>
      <c r="C884" s="2"/>
      <c r="D884" s="2"/>
      <c r="I884" s="9"/>
      <c r="J884" s="2"/>
      <c r="L884" s="9"/>
      <c r="M884" s="2"/>
      <c r="N884" s="9"/>
      <c r="P884" s="3">
        <v>-2486.70467177</v>
      </c>
      <c r="S884" s="9"/>
      <c r="T884" s="2"/>
      <c r="U884" s="9"/>
    </row>
    <row r="885" spans="2:21" x14ac:dyDescent="0.35">
      <c r="B885" s="9"/>
      <c r="C885" s="2"/>
      <c r="D885" s="2"/>
      <c r="I885" s="9"/>
      <c r="J885" s="2"/>
      <c r="L885" s="9"/>
      <c r="M885" s="2"/>
      <c r="N885" s="9"/>
      <c r="P885" s="3">
        <v>-2051.9446717699998</v>
      </c>
      <c r="S885" s="9"/>
      <c r="T885" s="2"/>
      <c r="U885" s="9"/>
    </row>
    <row r="886" spans="2:21" x14ac:dyDescent="0.35">
      <c r="B886" s="9"/>
      <c r="C886" s="2"/>
      <c r="D886" s="2"/>
      <c r="I886" s="9"/>
      <c r="J886" s="2"/>
      <c r="L886" s="9"/>
      <c r="M886" s="2"/>
      <c r="N886" s="9"/>
      <c r="P886" s="3">
        <v>-1617.18467177</v>
      </c>
      <c r="S886" s="9"/>
      <c r="T886" s="2"/>
      <c r="U886" s="9"/>
    </row>
    <row r="887" spans="2:21" x14ac:dyDescent="0.35">
      <c r="B887" s="9"/>
      <c r="C887" s="2"/>
      <c r="D887" s="2"/>
      <c r="I887" s="9"/>
      <c r="J887" s="2"/>
      <c r="L887" s="9"/>
      <c r="M887" s="2"/>
      <c r="N887" s="9"/>
      <c r="P887" s="3">
        <v>-1182.42467177</v>
      </c>
      <c r="S887" s="9"/>
      <c r="T887" s="2"/>
      <c r="U887" s="9"/>
    </row>
    <row r="888" spans="2:21" x14ac:dyDescent="0.35">
      <c r="B888" s="9"/>
      <c r="C888" s="2"/>
      <c r="D888" s="2"/>
      <c r="I888" s="9"/>
      <c r="J888" s="2"/>
      <c r="L888" s="9"/>
      <c r="M888" s="2"/>
      <c r="N888" s="9"/>
      <c r="P888" s="3">
        <v>-747.66467177000004</v>
      </c>
      <c r="S888" s="9"/>
      <c r="T888" s="2"/>
      <c r="U888" s="9"/>
    </row>
    <row r="889" spans="2:21" x14ac:dyDescent="0.35">
      <c r="B889" s="9"/>
      <c r="C889" s="2"/>
      <c r="D889" s="2"/>
      <c r="I889" s="9"/>
      <c r="J889" s="2"/>
      <c r="L889" s="9"/>
      <c r="M889" s="2"/>
      <c r="N889" s="9"/>
      <c r="P889" s="3">
        <v>-742.15324252000005</v>
      </c>
      <c r="S889" s="9"/>
      <c r="T889" s="2"/>
      <c r="U889" s="9"/>
    </row>
    <row r="890" spans="2:21" x14ac:dyDescent="0.35">
      <c r="B890" s="9"/>
      <c r="C890" s="2"/>
      <c r="D890" s="2"/>
      <c r="I890" s="9"/>
      <c r="J890" s="2"/>
      <c r="L890" s="9"/>
      <c r="M890" s="2"/>
      <c r="N890" s="9"/>
      <c r="P890" s="3">
        <v>-986.25002302999997</v>
      </c>
      <c r="S890" s="9"/>
      <c r="T890" s="2"/>
      <c r="U890" s="9"/>
    </row>
    <row r="891" spans="2:21" x14ac:dyDescent="0.35">
      <c r="B891" s="9"/>
      <c r="C891" s="2"/>
      <c r="D891" s="2"/>
      <c r="I891" s="9"/>
      <c r="J891" s="2"/>
      <c r="L891" s="9"/>
      <c r="M891" s="2"/>
      <c r="N891" s="9"/>
      <c r="P891" s="3">
        <v>-1201.4156734000001</v>
      </c>
      <c r="S891" s="9"/>
      <c r="T891" s="2"/>
      <c r="U891" s="9"/>
    </row>
    <row r="892" spans="2:21" x14ac:dyDescent="0.35">
      <c r="B892" s="9"/>
      <c r="C892" s="2"/>
      <c r="D892" s="2"/>
      <c r="I892" s="9"/>
      <c r="J892" s="2"/>
      <c r="L892" s="9"/>
      <c r="M892" s="2"/>
      <c r="N892" s="9"/>
      <c r="P892" s="3">
        <v>-1218.5800236499999</v>
      </c>
      <c r="S892" s="9"/>
      <c r="T892" s="2"/>
      <c r="U892" s="9"/>
    </row>
    <row r="893" spans="2:21" x14ac:dyDescent="0.35">
      <c r="B893" s="9"/>
      <c r="C893" s="2"/>
      <c r="D893" s="2"/>
      <c r="I893" s="9"/>
      <c r="J893" s="2"/>
      <c r="L893" s="9"/>
      <c r="M893" s="2"/>
      <c r="N893" s="9"/>
      <c r="P893" s="3">
        <v>-1169.1065136499999</v>
      </c>
      <c r="S893" s="9"/>
      <c r="T893" s="2"/>
      <c r="U893" s="9"/>
    </row>
    <row r="894" spans="2:21" x14ac:dyDescent="0.35">
      <c r="B894" s="9"/>
      <c r="C894" s="2"/>
      <c r="D894" s="2"/>
      <c r="I894" s="9"/>
      <c r="J894" s="2"/>
      <c r="L894" s="9"/>
      <c r="M894" s="2"/>
      <c r="N894" s="9"/>
      <c r="P894" s="3">
        <v>-1146.5349268299999</v>
      </c>
      <c r="S894" s="9"/>
      <c r="T894" s="2"/>
      <c r="U894" s="9"/>
    </row>
    <row r="895" spans="2:21" x14ac:dyDescent="0.35">
      <c r="B895" s="9"/>
      <c r="C895" s="2"/>
      <c r="D895" s="2"/>
      <c r="I895" s="9"/>
      <c r="J895" s="2"/>
      <c r="L895" s="9"/>
      <c r="M895" s="2"/>
      <c r="N895" s="9"/>
      <c r="P895" s="3">
        <v>-1023.76669683</v>
      </c>
      <c r="S895" s="9"/>
      <c r="T895" s="2"/>
      <c r="U895" s="9"/>
    </row>
    <row r="896" spans="2:21" x14ac:dyDescent="0.35">
      <c r="B896" s="9"/>
      <c r="C896" s="2"/>
      <c r="D896" s="2"/>
      <c r="I896" s="9"/>
      <c r="J896" s="2"/>
      <c r="L896" s="9"/>
      <c r="M896" s="2"/>
      <c r="N896" s="9"/>
      <c r="P896" s="3">
        <v>-885.21445683000002</v>
      </c>
      <c r="S896" s="9"/>
      <c r="T896" s="2"/>
      <c r="U896" s="9"/>
    </row>
    <row r="897" spans="2:21" x14ac:dyDescent="0.35">
      <c r="B897" s="9"/>
      <c r="C897" s="2"/>
      <c r="D897" s="2"/>
      <c r="I897" s="9"/>
      <c r="J897" s="2"/>
      <c r="L897" s="9"/>
      <c r="M897" s="2"/>
      <c r="N897" s="9"/>
      <c r="P897" s="3">
        <v>-763.52400682999996</v>
      </c>
      <c r="S897" s="9"/>
      <c r="T897" s="2"/>
      <c r="U897" s="9"/>
    </row>
    <row r="898" spans="2:21" x14ac:dyDescent="0.35">
      <c r="B898" s="9"/>
      <c r="C898" s="2"/>
      <c r="D898" s="2"/>
      <c r="I898" s="9"/>
      <c r="J898" s="2"/>
      <c r="L898" s="9"/>
      <c r="M898" s="2"/>
      <c r="N898" s="9"/>
      <c r="P898" s="3">
        <v>-652.16831682999998</v>
      </c>
      <c r="S898" s="9"/>
      <c r="T898" s="2"/>
      <c r="U898" s="9"/>
    </row>
    <row r="899" spans="2:21" x14ac:dyDescent="0.35">
      <c r="B899" s="9"/>
      <c r="C899" s="2"/>
      <c r="D899" s="2"/>
      <c r="I899" s="9"/>
      <c r="J899" s="2"/>
      <c r="L899" s="9"/>
      <c r="M899" s="2"/>
      <c r="N899" s="9"/>
      <c r="P899" s="3">
        <v>-470.84790034999997</v>
      </c>
      <c r="S899" s="9"/>
      <c r="T899" s="2"/>
      <c r="U899" s="9"/>
    </row>
    <row r="900" spans="2:21" x14ac:dyDescent="0.35">
      <c r="B900" s="9"/>
      <c r="C900" s="2"/>
      <c r="D900" s="2"/>
      <c r="I900" s="9"/>
      <c r="J900" s="2"/>
      <c r="L900" s="9"/>
      <c r="M900" s="2"/>
      <c r="N900" s="9"/>
      <c r="P900" s="3">
        <v>-344.00152387000003</v>
      </c>
      <c r="S900" s="9"/>
      <c r="T900" s="2"/>
      <c r="U900" s="9"/>
    </row>
    <row r="901" spans="2:21" x14ac:dyDescent="0.35">
      <c r="B901" s="9"/>
      <c r="C901" s="2"/>
      <c r="D901" s="2"/>
      <c r="I901" s="9"/>
      <c r="J901" s="2"/>
      <c r="L901" s="9"/>
      <c r="M901" s="2"/>
      <c r="N901" s="9"/>
      <c r="P901" s="3">
        <v>-220.55705141999999</v>
      </c>
      <c r="S901" s="9"/>
      <c r="T901" s="2"/>
      <c r="U901" s="9"/>
    </row>
    <row r="902" spans="2:21" x14ac:dyDescent="0.35">
      <c r="B902" s="9"/>
      <c r="C902" s="2"/>
      <c r="D902" s="2"/>
      <c r="I902" s="9"/>
      <c r="J902" s="2"/>
      <c r="L902" s="9"/>
      <c r="M902" s="2"/>
      <c r="N902" s="9"/>
      <c r="P902" s="3">
        <v>-112.49017494</v>
      </c>
      <c r="S902" s="9"/>
      <c r="T902" s="2"/>
      <c r="U902" s="9"/>
    </row>
    <row r="903" spans="2:21" x14ac:dyDescent="0.35">
      <c r="B903" s="9"/>
      <c r="C903" s="2"/>
      <c r="D903" s="2"/>
      <c r="I903" s="9"/>
      <c r="J903" s="2"/>
      <c r="L903" s="9"/>
      <c r="M903" s="2"/>
      <c r="N903" s="9"/>
      <c r="P903" s="3">
        <v>-504.34059494000002</v>
      </c>
      <c r="S903" s="9"/>
      <c r="T903" s="2"/>
      <c r="U903" s="9"/>
    </row>
    <row r="904" spans="2:21" x14ac:dyDescent="0.35">
      <c r="B904" s="9"/>
      <c r="C904" s="2"/>
      <c r="D904" s="2"/>
      <c r="I904" s="9"/>
      <c r="J904" s="2"/>
      <c r="L904" s="9"/>
      <c r="M904" s="2"/>
      <c r="N904" s="9"/>
      <c r="P904" s="3">
        <v>-939.10059493999995</v>
      </c>
      <c r="S904" s="9"/>
      <c r="T904" s="2"/>
      <c r="U904" s="9"/>
    </row>
    <row r="905" spans="2:21" x14ac:dyDescent="0.35">
      <c r="B905" s="9"/>
      <c r="C905" s="2"/>
      <c r="D905" s="2"/>
      <c r="I905" s="9"/>
      <c r="J905" s="2"/>
      <c r="L905" s="9"/>
      <c r="M905" s="2"/>
      <c r="N905" s="9"/>
      <c r="P905" s="3">
        <v>-1373.8605949400001</v>
      </c>
      <c r="S905" s="9"/>
      <c r="T905" s="2"/>
      <c r="U905" s="9"/>
    </row>
    <row r="906" spans="2:21" x14ac:dyDescent="0.35">
      <c r="B906" s="9"/>
      <c r="C906" s="2"/>
      <c r="D906" s="2"/>
      <c r="I906" s="9"/>
      <c r="J906" s="2"/>
      <c r="L906" s="9"/>
      <c r="M906" s="2"/>
      <c r="N906" s="9"/>
      <c r="P906" s="3">
        <v>-1808.62059494</v>
      </c>
      <c r="S906" s="9"/>
      <c r="T906" s="2"/>
      <c r="U906" s="9"/>
    </row>
    <row r="907" spans="2:21" x14ac:dyDescent="0.35">
      <c r="B907" s="9"/>
      <c r="C907" s="2"/>
      <c r="D907" s="2"/>
      <c r="I907" s="9"/>
      <c r="J907" s="2"/>
      <c r="L907" s="9"/>
      <c r="M907" s="2"/>
      <c r="N907" s="9"/>
      <c r="P907" s="3">
        <v>-2003.37079494</v>
      </c>
      <c r="S907" s="9"/>
      <c r="T907" s="2"/>
      <c r="U907" s="9"/>
    </row>
    <row r="908" spans="2:21" x14ac:dyDescent="0.35">
      <c r="B908" s="9"/>
      <c r="C908" s="2"/>
      <c r="D908" s="2"/>
      <c r="I908" s="9"/>
      <c r="J908" s="2"/>
      <c r="L908" s="9"/>
      <c r="M908" s="2"/>
      <c r="N908" s="9"/>
      <c r="P908" s="3">
        <v>-1568.61079494</v>
      </c>
      <c r="S908" s="9"/>
      <c r="T908" s="2"/>
      <c r="U908" s="9"/>
    </row>
    <row r="909" spans="2:21" x14ac:dyDescent="0.35">
      <c r="B909" s="9"/>
      <c r="C909" s="2"/>
      <c r="D909" s="2"/>
      <c r="I909" s="9"/>
      <c r="J909" s="2"/>
      <c r="L909" s="9"/>
      <c r="M909" s="2"/>
      <c r="N909" s="9"/>
      <c r="P909" s="3">
        <v>-1133.85079494</v>
      </c>
      <c r="S909" s="9"/>
      <c r="T909" s="2"/>
      <c r="U909" s="9"/>
    </row>
    <row r="910" spans="2:21" x14ac:dyDescent="0.35">
      <c r="B910" s="9"/>
      <c r="C910" s="2"/>
      <c r="D910" s="2"/>
      <c r="I910" s="9"/>
      <c r="J910" s="2"/>
      <c r="L910" s="9"/>
      <c r="M910" s="2"/>
      <c r="N910" s="9"/>
      <c r="P910" s="3">
        <v>-699.09079494000002</v>
      </c>
      <c r="S910" s="9"/>
      <c r="T910" s="2"/>
      <c r="U910" s="9"/>
    </row>
    <row r="911" spans="2:21" x14ac:dyDescent="0.35">
      <c r="B911" s="9"/>
      <c r="C911" s="2"/>
      <c r="D911" s="2"/>
      <c r="I911" s="9"/>
      <c r="J911" s="2"/>
      <c r="L911" s="9"/>
      <c r="M911" s="2"/>
      <c r="N911" s="9"/>
      <c r="P911" s="3">
        <v>-264.33079493999998</v>
      </c>
      <c r="S911" s="9"/>
      <c r="T911" s="2"/>
      <c r="U911" s="9"/>
    </row>
    <row r="912" spans="2:21" x14ac:dyDescent="0.35">
      <c r="B912" s="9"/>
      <c r="C912" s="2"/>
      <c r="D912" s="2"/>
      <c r="I912" s="9"/>
      <c r="J912" s="2"/>
      <c r="L912" s="9"/>
      <c r="M912" s="2"/>
      <c r="N912" s="9"/>
      <c r="P912" s="3">
        <v>170.42920505999999</v>
      </c>
      <c r="S912" s="9"/>
      <c r="T912" s="2"/>
      <c r="U912" s="9"/>
    </row>
    <row r="913" spans="2:21" x14ac:dyDescent="0.35">
      <c r="B913" s="9"/>
      <c r="C913" s="2"/>
      <c r="D913" s="2"/>
      <c r="I913" s="9"/>
      <c r="J913" s="2"/>
      <c r="L913" s="9"/>
      <c r="M913" s="2"/>
      <c r="N913" s="9"/>
      <c r="P913" s="3">
        <v>249.98014430000001</v>
      </c>
      <c r="S913" s="9"/>
      <c r="T913" s="2"/>
      <c r="U913" s="9"/>
    </row>
    <row r="914" spans="2:21" x14ac:dyDescent="0.35">
      <c r="B914" s="9"/>
      <c r="C914" s="2"/>
      <c r="D914" s="2"/>
      <c r="I914" s="9"/>
      <c r="J914" s="2"/>
      <c r="L914" s="9"/>
      <c r="M914" s="2"/>
      <c r="N914" s="9"/>
      <c r="P914" s="3">
        <v>21.509753799999999</v>
      </c>
      <c r="S914" s="9"/>
      <c r="T914" s="2"/>
      <c r="U914" s="9"/>
    </row>
    <row r="915" spans="2:21" x14ac:dyDescent="0.35">
      <c r="B915" s="9"/>
      <c r="C915" s="2"/>
      <c r="D915" s="2"/>
      <c r="I915" s="9"/>
      <c r="J915" s="2"/>
      <c r="L915" s="9"/>
      <c r="M915" s="2"/>
      <c r="N915" s="9"/>
      <c r="P915" s="3">
        <v>-134.28285657999999</v>
      </c>
      <c r="S915" s="9"/>
      <c r="T915" s="2"/>
      <c r="U915" s="9"/>
    </row>
    <row r="916" spans="2:21" x14ac:dyDescent="0.35">
      <c r="B916" s="9"/>
      <c r="C916" s="2"/>
      <c r="D916" s="2"/>
      <c r="I916" s="9"/>
      <c r="J916" s="2"/>
      <c r="L916" s="9"/>
      <c r="M916" s="2"/>
      <c r="N916" s="9"/>
      <c r="P916" s="3">
        <v>-186.37707682999999</v>
      </c>
      <c r="S916" s="9"/>
      <c r="T916" s="2"/>
      <c r="U916" s="9"/>
    </row>
    <row r="917" spans="2:21" x14ac:dyDescent="0.35">
      <c r="B917" s="9"/>
      <c r="C917" s="2"/>
      <c r="D917" s="2"/>
      <c r="I917" s="9"/>
      <c r="J917" s="2"/>
      <c r="L917" s="9"/>
      <c r="M917" s="2"/>
      <c r="N917" s="9"/>
      <c r="P917" s="3">
        <v>-123.16577683</v>
      </c>
      <c r="S917" s="9"/>
      <c r="T917" s="2"/>
      <c r="U917" s="9"/>
    </row>
    <row r="918" spans="2:21" x14ac:dyDescent="0.35">
      <c r="B918" s="9"/>
      <c r="C918" s="2"/>
      <c r="D918" s="2"/>
      <c r="I918" s="9"/>
      <c r="J918" s="2"/>
      <c r="L918" s="9"/>
      <c r="M918" s="2"/>
      <c r="N918" s="9"/>
      <c r="P918" s="3">
        <v>19.147970749999999</v>
      </c>
      <c r="S918" s="9"/>
      <c r="T918" s="2"/>
      <c r="U918" s="9"/>
    </row>
    <row r="919" spans="2:21" x14ac:dyDescent="0.35">
      <c r="B919" s="9"/>
      <c r="C919" s="2"/>
      <c r="D919" s="2"/>
      <c r="I919" s="9"/>
      <c r="J919" s="2"/>
      <c r="L919" s="9"/>
      <c r="M919" s="2"/>
      <c r="N919" s="9"/>
      <c r="P919" s="3">
        <v>-2.6490292499999999</v>
      </c>
      <c r="S919" s="9"/>
      <c r="T919" s="2"/>
      <c r="U919" s="9"/>
    </row>
    <row r="920" spans="2:21" x14ac:dyDescent="0.35">
      <c r="B920" s="9"/>
      <c r="C920" s="2"/>
      <c r="D920" s="2"/>
      <c r="I920" s="9"/>
      <c r="J920" s="2"/>
      <c r="L920" s="9"/>
      <c r="M920" s="2"/>
      <c r="N920" s="9"/>
      <c r="P920" s="3">
        <v>-23.47190925</v>
      </c>
      <c r="S920" s="9"/>
      <c r="T920" s="2"/>
      <c r="U920" s="9"/>
    </row>
    <row r="921" spans="2:21" x14ac:dyDescent="0.35">
      <c r="B921" s="9"/>
      <c r="C921" s="2"/>
      <c r="D921" s="2"/>
      <c r="I921" s="9"/>
      <c r="J921" s="2"/>
      <c r="L921" s="9"/>
      <c r="M921" s="2"/>
      <c r="N921" s="9"/>
      <c r="P921" s="3">
        <v>-52.72319925</v>
      </c>
      <c r="S921" s="9"/>
      <c r="T921" s="2"/>
      <c r="U921" s="9"/>
    </row>
    <row r="922" spans="2:21" x14ac:dyDescent="0.35">
      <c r="B922" s="9"/>
      <c r="C922" s="2"/>
      <c r="D922" s="2"/>
      <c r="I922" s="9"/>
      <c r="J922" s="2"/>
      <c r="L922" s="9"/>
      <c r="M922" s="2"/>
      <c r="N922" s="9"/>
      <c r="P922" s="3">
        <v>-101.97447925</v>
      </c>
      <c r="S922" s="9"/>
      <c r="T922" s="2"/>
      <c r="U922" s="9"/>
    </row>
    <row r="923" spans="2:21" x14ac:dyDescent="0.35">
      <c r="B923" s="9"/>
      <c r="C923" s="2"/>
      <c r="D923" s="2"/>
      <c r="I923" s="9"/>
      <c r="J923" s="2"/>
      <c r="L923" s="9"/>
      <c r="M923" s="2"/>
      <c r="N923" s="9"/>
      <c r="P923" s="3">
        <v>-8.1693727700000007</v>
      </c>
      <c r="S923" s="9"/>
      <c r="T923" s="2"/>
      <c r="U923" s="9"/>
    </row>
    <row r="924" spans="2:21" x14ac:dyDescent="0.35">
      <c r="B924" s="9"/>
      <c r="C924" s="2"/>
      <c r="D924" s="2"/>
      <c r="I924" s="9"/>
      <c r="J924" s="2"/>
      <c r="L924" s="9"/>
      <c r="M924" s="2"/>
      <c r="N924" s="9"/>
      <c r="P924" s="3">
        <v>95.553013710000002</v>
      </c>
      <c r="S924" s="9"/>
      <c r="T924" s="2"/>
      <c r="U924" s="9"/>
    </row>
    <row r="925" spans="2:21" x14ac:dyDescent="0.35">
      <c r="B925" s="9"/>
      <c r="C925" s="2"/>
      <c r="D925" s="2"/>
      <c r="I925" s="9"/>
      <c r="J925" s="2"/>
      <c r="L925" s="9"/>
      <c r="M925" s="2"/>
      <c r="N925" s="9"/>
      <c r="P925" s="3">
        <v>221.61454616</v>
      </c>
      <c r="S925" s="9"/>
      <c r="T925" s="2"/>
      <c r="U925" s="9"/>
    </row>
    <row r="926" spans="2:21" x14ac:dyDescent="0.35">
      <c r="B926" s="9"/>
      <c r="C926" s="2"/>
      <c r="D926" s="2"/>
      <c r="I926" s="9"/>
      <c r="J926" s="2"/>
      <c r="L926" s="9"/>
      <c r="M926" s="2"/>
      <c r="N926" s="9"/>
      <c r="P926" s="3">
        <v>327.01040262999999</v>
      </c>
      <c r="S926" s="9"/>
      <c r="T926" s="2"/>
      <c r="U926" s="9"/>
    </row>
    <row r="927" spans="2:21" x14ac:dyDescent="0.35">
      <c r="B927" s="9"/>
      <c r="C927" s="2"/>
      <c r="D927" s="2"/>
      <c r="I927" s="9"/>
      <c r="J927" s="2"/>
      <c r="L927" s="9"/>
      <c r="M927" s="2"/>
      <c r="N927" s="9"/>
      <c r="P927" s="3">
        <v>-107.74959737</v>
      </c>
      <c r="S927" s="9"/>
      <c r="T927" s="2"/>
      <c r="U927" s="9"/>
    </row>
    <row r="928" spans="2:21" x14ac:dyDescent="0.35">
      <c r="B928" s="9"/>
      <c r="C928" s="2"/>
      <c r="D928" s="2"/>
      <c r="I928" s="9"/>
      <c r="J928" s="2"/>
      <c r="L928" s="9"/>
      <c r="M928" s="2"/>
      <c r="N928" s="9"/>
      <c r="P928" s="3">
        <v>-542.50959737000005</v>
      </c>
      <c r="S928" s="9"/>
      <c r="T928" s="2"/>
      <c r="U928" s="9"/>
    </row>
    <row r="929" spans="2:21" x14ac:dyDescent="0.35">
      <c r="B929" s="9"/>
      <c r="C929" s="2"/>
      <c r="D929" s="2"/>
      <c r="I929" s="9"/>
      <c r="J929" s="2"/>
      <c r="L929" s="9"/>
      <c r="M929" s="2"/>
      <c r="N929" s="9"/>
      <c r="P929" s="3">
        <v>-977.26959737000004</v>
      </c>
      <c r="S929" s="9"/>
      <c r="T929" s="2"/>
      <c r="U929" s="9"/>
    </row>
    <row r="930" spans="2:21" x14ac:dyDescent="0.35">
      <c r="B930" s="9"/>
      <c r="C930" s="2"/>
      <c r="D930" s="2"/>
      <c r="I930" s="9"/>
      <c r="J930" s="2"/>
      <c r="L930" s="9"/>
      <c r="M930" s="2"/>
      <c r="N930" s="9"/>
      <c r="P930" s="3">
        <v>-1412.0295973699999</v>
      </c>
      <c r="S930" s="9"/>
      <c r="T930" s="2"/>
      <c r="U930" s="9"/>
    </row>
    <row r="931" spans="2:21" x14ac:dyDescent="0.35">
      <c r="B931" s="9"/>
      <c r="C931" s="2"/>
      <c r="D931" s="2"/>
      <c r="I931" s="9"/>
      <c r="J931" s="2"/>
      <c r="L931" s="9"/>
      <c r="M931" s="2"/>
      <c r="N931" s="9"/>
      <c r="P931" s="3">
        <v>-1846.7895973699999</v>
      </c>
      <c r="S931" s="9"/>
      <c r="T931" s="2"/>
      <c r="U931" s="9"/>
    </row>
    <row r="932" spans="2:21" x14ac:dyDescent="0.35">
      <c r="B932" s="9"/>
      <c r="C932" s="2"/>
      <c r="D932" s="2"/>
      <c r="I932" s="9"/>
      <c r="J932" s="2"/>
      <c r="L932" s="9"/>
      <c r="M932" s="2"/>
      <c r="N932" s="9"/>
      <c r="P932" s="3">
        <v>-1646.68104737</v>
      </c>
      <c r="S932" s="9"/>
      <c r="T932" s="2"/>
      <c r="U932" s="9"/>
    </row>
    <row r="933" spans="2:21" x14ac:dyDescent="0.35">
      <c r="B933" s="9"/>
      <c r="C933" s="2"/>
      <c r="D933" s="2"/>
      <c r="I933" s="9"/>
      <c r="J933" s="2"/>
      <c r="L933" s="9"/>
      <c r="M933" s="2"/>
      <c r="N933" s="9"/>
      <c r="P933" s="3">
        <v>-1211.92104737</v>
      </c>
      <c r="S933" s="9"/>
      <c r="T933" s="2"/>
      <c r="U933" s="9"/>
    </row>
    <row r="934" spans="2:21" x14ac:dyDescent="0.35">
      <c r="B934" s="9"/>
      <c r="C934" s="2"/>
      <c r="D934" s="2"/>
      <c r="I934" s="9"/>
      <c r="J934" s="2"/>
      <c r="L934" s="9"/>
      <c r="M934" s="2"/>
      <c r="N934" s="9"/>
      <c r="P934" s="3">
        <v>-777.16104737000001</v>
      </c>
      <c r="S934" s="9"/>
      <c r="T934" s="2"/>
      <c r="U934" s="9"/>
    </row>
    <row r="935" spans="2:21" x14ac:dyDescent="0.35">
      <c r="B935" s="9"/>
      <c r="C935" s="2"/>
      <c r="D935" s="2"/>
      <c r="I935" s="9"/>
      <c r="J935" s="2"/>
      <c r="L935" s="9"/>
      <c r="M935" s="2"/>
      <c r="N935" s="9"/>
      <c r="P935" s="3">
        <v>-342.40104737000001</v>
      </c>
      <c r="S935" s="9"/>
      <c r="T935" s="2"/>
      <c r="U935" s="9"/>
    </row>
    <row r="936" spans="2:21" x14ac:dyDescent="0.35">
      <c r="B936" s="9"/>
      <c r="C936" s="2"/>
      <c r="D936" s="2"/>
      <c r="I936" s="9"/>
      <c r="J936" s="2"/>
      <c r="L936" s="9"/>
      <c r="M936" s="2"/>
      <c r="N936" s="9"/>
      <c r="P936" s="3">
        <v>92.358952630000005</v>
      </c>
      <c r="S936" s="9"/>
      <c r="T936" s="2"/>
      <c r="U936" s="9"/>
    </row>
    <row r="937" spans="2:21" x14ac:dyDescent="0.35">
      <c r="B937" s="9"/>
      <c r="C937" s="2"/>
      <c r="D937" s="2"/>
      <c r="I937" s="9"/>
      <c r="J937" s="2"/>
      <c r="L937" s="9"/>
      <c r="M937" s="2"/>
      <c r="N937" s="9"/>
      <c r="P937" s="3">
        <v>293.92694188000002</v>
      </c>
      <c r="S937" s="9"/>
      <c r="T937" s="2"/>
      <c r="U937" s="9"/>
    </row>
    <row r="938" spans="2:21" x14ac:dyDescent="0.35">
      <c r="B938" s="9"/>
      <c r="C938" s="2"/>
      <c r="D938" s="2"/>
      <c r="I938" s="9"/>
      <c r="J938" s="2"/>
      <c r="L938" s="9"/>
      <c r="M938" s="2"/>
      <c r="N938" s="9"/>
      <c r="P938" s="3">
        <v>189.66040138</v>
      </c>
      <c r="S938" s="9"/>
      <c r="T938" s="2"/>
      <c r="U938" s="9"/>
    </row>
    <row r="939" spans="2:21" x14ac:dyDescent="0.35">
      <c r="B939" s="9"/>
      <c r="C939" s="2"/>
      <c r="D939" s="2"/>
      <c r="I939" s="9"/>
      <c r="J939" s="2"/>
      <c r="L939" s="9"/>
      <c r="M939" s="2"/>
      <c r="N939" s="9"/>
      <c r="P939" s="3">
        <v>174.62103099999999</v>
      </c>
      <c r="S939" s="9"/>
      <c r="T939" s="2"/>
      <c r="U939" s="9"/>
    </row>
    <row r="940" spans="2:21" x14ac:dyDescent="0.35">
      <c r="B940" s="9"/>
      <c r="C940" s="2"/>
      <c r="D940" s="2"/>
      <c r="I940" s="9"/>
      <c r="J940" s="2"/>
      <c r="L940" s="9"/>
      <c r="M940" s="2"/>
      <c r="N940" s="9"/>
      <c r="P940" s="3">
        <v>290.28206075000003</v>
      </c>
      <c r="S940" s="9"/>
      <c r="T940" s="2"/>
      <c r="U940" s="9"/>
    </row>
    <row r="941" spans="2:21" x14ac:dyDescent="0.35">
      <c r="B941" s="9"/>
      <c r="C941" s="2"/>
      <c r="D941" s="2"/>
      <c r="I941" s="9"/>
      <c r="J941" s="2"/>
      <c r="L941" s="9"/>
      <c r="M941" s="2"/>
      <c r="N941" s="9"/>
      <c r="P941" s="3">
        <v>457.39902074999998</v>
      </c>
      <c r="S941" s="9"/>
      <c r="T941" s="2"/>
      <c r="U941" s="9"/>
    </row>
    <row r="942" spans="2:21" x14ac:dyDescent="0.35">
      <c r="B942" s="9"/>
      <c r="C942" s="2"/>
      <c r="D942" s="2"/>
      <c r="I942" s="9"/>
      <c r="J942" s="2"/>
      <c r="L942" s="9"/>
      <c r="M942" s="2"/>
      <c r="N942" s="9"/>
      <c r="P942" s="3">
        <v>659.74721941999996</v>
      </c>
      <c r="S942" s="9"/>
      <c r="T942" s="2"/>
      <c r="U942" s="9"/>
    </row>
    <row r="943" spans="2:21" x14ac:dyDescent="0.35">
      <c r="B943" s="9"/>
      <c r="C943" s="2"/>
      <c r="D943" s="2"/>
      <c r="I943" s="9"/>
      <c r="J943" s="2"/>
      <c r="L943" s="9"/>
      <c r="M943" s="2"/>
      <c r="N943" s="9"/>
      <c r="P943" s="3">
        <v>674.33416941999997</v>
      </c>
      <c r="S943" s="9"/>
      <c r="T943" s="2"/>
      <c r="U943" s="9"/>
    </row>
    <row r="944" spans="2:21" x14ac:dyDescent="0.35">
      <c r="B944" s="9"/>
      <c r="C944" s="2"/>
      <c r="D944" s="2"/>
      <c r="I944" s="9"/>
      <c r="J944" s="2"/>
      <c r="L944" s="9"/>
      <c r="M944" s="2"/>
      <c r="N944" s="9"/>
      <c r="P944" s="3">
        <v>705.71332942000004</v>
      </c>
      <c r="S944" s="9"/>
      <c r="T944" s="2"/>
      <c r="U944" s="9"/>
    </row>
    <row r="945" spans="2:21" x14ac:dyDescent="0.35">
      <c r="B945" s="9"/>
      <c r="C945" s="2"/>
      <c r="D945" s="2"/>
      <c r="I945" s="9"/>
      <c r="J945" s="2"/>
      <c r="L945" s="9"/>
      <c r="M945" s="2"/>
      <c r="N945" s="9"/>
      <c r="P945" s="3">
        <v>725.70905942000002</v>
      </c>
      <c r="S945" s="9"/>
      <c r="T945" s="2"/>
      <c r="U945" s="9"/>
    </row>
    <row r="946" spans="2:21" x14ac:dyDescent="0.35">
      <c r="B946" s="9"/>
      <c r="C946" s="2"/>
      <c r="D946" s="2"/>
      <c r="I946" s="9"/>
      <c r="J946" s="2"/>
      <c r="L946" s="9"/>
      <c r="M946" s="2"/>
      <c r="N946" s="9"/>
      <c r="P946" s="3">
        <v>737.10881942000003</v>
      </c>
      <c r="S946" s="9"/>
      <c r="T946" s="2"/>
      <c r="U946" s="9"/>
    </row>
    <row r="947" spans="2:21" x14ac:dyDescent="0.35">
      <c r="B947" s="9"/>
      <c r="C947" s="2"/>
      <c r="D947" s="2"/>
      <c r="I947" s="9"/>
      <c r="J947" s="2"/>
      <c r="L947" s="9"/>
      <c r="M947" s="2"/>
      <c r="N947" s="9"/>
      <c r="P947" s="3">
        <v>862.64524589999996</v>
      </c>
      <c r="S947" s="9"/>
      <c r="T947" s="2"/>
      <c r="U947" s="9"/>
    </row>
    <row r="948" spans="2:21" x14ac:dyDescent="0.35">
      <c r="B948" s="9"/>
      <c r="C948" s="2"/>
      <c r="D948" s="2"/>
      <c r="I948" s="9"/>
      <c r="J948" s="2"/>
      <c r="L948" s="9"/>
      <c r="M948" s="2"/>
      <c r="N948" s="9"/>
      <c r="P948" s="3">
        <v>1005.86564237</v>
      </c>
      <c r="S948" s="9"/>
      <c r="T948" s="2"/>
      <c r="U948" s="9"/>
    </row>
    <row r="949" spans="2:21" x14ac:dyDescent="0.35">
      <c r="B949" s="9"/>
      <c r="C949" s="2"/>
      <c r="D949" s="2"/>
      <c r="I949" s="9"/>
      <c r="J949" s="2"/>
      <c r="L949" s="9"/>
      <c r="M949" s="2"/>
      <c r="N949" s="9"/>
      <c r="P949" s="3">
        <v>1139.71303483</v>
      </c>
      <c r="S949" s="9"/>
      <c r="T949" s="2"/>
      <c r="U949" s="9"/>
    </row>
    <row r="950" spans="2:21" x14ac:dyDescent="0.35">
      <c r="B950" s="9"/>
      <c r="C950" s="2"/>
      <c r="D950" s="2"/>
      <c r="I950" s="9"/>
      <c r="J950" s="2"/>
      <c r="L950" s="9"/>
      <c r="M950" s="2"/>
      <c r="N950" s="9"/>
      <c r="P950" s="3">
        <v>1277.4060813000001</v>
      </c>
      <c r="S950" s="9"/>
      <c r="T950" s="2"/>
      <c r="U950" s="9"/>
    </row>
    <row r="951" spans="2:21" x14ac:dyDescent="0.35">
      <c r="B951" s="9"/>
      <c r="C951" s="2"/>
      <c r="D951" s="2"/>
      <c r="I951" s="9"/>
      <c r="J951" s="2"/>
      <c r="L951" s="9"/>
      <c r="M951" s="2"/>
      <c r="N951" s="9"/>
      <c r="P951" s="3">
        <v>842.64608129999999</v>
      </c>
      <c r="S951" s="9"/>
      <c r="T951" s="2"/>
      <c r="U951" s="9"/>
    </row>
    <row r="952" spans="2:21" x14ac:dyDescent="0.35">
      <c r="B952" s="9"/>
      <c r="C952" s="2"/>
      <c r="D952" s="2"/>
      <c r="I952" s="9"/>
      <c r="J952" s="2"/>
      <c r="L952" s="9"/>
      <c r="M952" s="2"/>
      <c r="N952" s="9"/>
      <c r="P952" s="3">
        <v>407.8860813</v>
      </c>
      <c r="S952" s="9"/>
      <c r="T952" s="2"/>
      <c r="U952" s="9"/>
    </row>
    <row r="953" spans="2:21" x14ac:dyDescent="0.35">
      <c r="B953" s="9"/>
      <c r="C953" s="2"/>
      <c r="D953" s="2"/>
      <c r="I953" s="9"/>
      <c r="J953" s="2"/>
      <c r="L953" s="9"/>
      <c r="M953" s="2"/>
      <c r="N953" s="9"/>
      <c r="P953" s="3">
        <v>-26.873918700000001</v>
      </c>
      <c r="S953" s="9"/>
      <c r="T953" s="2"/>
      <c r="U953" s="9"/>
    </row>
    <row r="954" spans="2:21" x14ac:dyDescent="0.35">
      <c r="B954" s="9"/>
      <c r="C954" s="2"/>
      <c r="D954" s="2"/>
      <c r="I954" s="9"/>
      <c r="J954" s="2"/>
      <c r="L954" s="9"/>
      <c r="M954" s="2"/>
      <c r="N954" s="9"/>
      <c r="P954" s="3">
        <v>-461.63391869999998</v>
      </c>
      <c r="S954" s="9"/>
      <c r="T954" s="2"/>
      <c r="U954" s="9"/>
    </row>
    <row r="955" spans="2:21" x14ac:dyDescent="0.35">
      <c r="B955" s="9"/>
      <c r="C955" s="2"/>
      <c r="D955" s="2"/>
      <c r="I955" s="9"/>
      <c r="J955" s="2"/>
      <c r="L955" s="9"/>
      <c r="M955" s="2"/>
      <c r="N955" s="9"/>
      <c r="P955" s="3">
        <v>-896.39391869999997</v>
      </c>
      <c r="S955" s="9"/>
      <c r="T955" s="2"/>
      <c r="U955" s="9"/>
    </row>
    <row r="956" spans="2:21" x14ac:dyDescent="0.35">
      <c r="B956" s="9"/>
      <c r="C956" s="2"/>
      <c r="D956" s="2"/>
      <c r="I956" s="9"/>
      <c r="J956" s="2"/>
      <c r="L956" s="9"/>
      <c r="M956" s="2"/>
      <c r="N956" s="9"/>
      <c r="P956" s="3">
        <v>-672.50391869999999</v>
      </c>
      <c r="S956" s="9"/>
      <c r="T956" s="2"/>
      <c r="U956" s="9"/>
    </row>
    <row r="957" spans="2:21" x14ac:dyDescent="0.35">
      <c r="B957" s="9"/>
      <c r="C957" s="2"/>
      <c r="D957" s="2"/>
      <c r="I957" s="9"/>
      <c r="J957" s="2"/>
      <c r="L957" s="9"/>
      <c r="M957" s="2"/>
      <c r="N957" s="9"/>
      <c r="P957" s="3">
        <v>-237.74391869999999</v>
      </c>
      <c r="S957" s="9"/>
      <c r="T957" s="2"/>
      <c r="U957" s="9"/>
    </row>
    <row r="958" spans="2:21" x14ac:dyDescent="0.35">
      <c r="B958" s="9"/>
      <c r="C958" s="2"/>
      <c r="D958" s="2"/>
      <c r="I958" s="9"/>
      <c r="J958" s="2"/>
      <c r="L958" s="9"/>
      <c r="M958" s="2"/>
      <c r="N958" s="9"/>
      <c r="P958" s="3">
        <v>197.0160813</v>
      </c>
      <c r="S958" s="9"/>
      <c r="T958" s="2"/>
      <c r="U958" s="9"/>
    </row>
    <row r="959" spans="2:21" x14ac:dyDescent="0.35">
      <c r="B959" s="9"/>
      <c r="C959" s="2"/>
      <c r="D959" s="2"/>
      <c r="I959" s="9"/>
      <c r="J959" s="2"/>
      <c r="L959" s="9"/>
      <c r="M959" s="2"/>
      <c r="N959" s="9"/>
      <c r="P959" s="3">
        <v>631.77608129999999</v>
      </c>
      <c r="S959" s="9"/>
      <c r="T959" s="2"/>
      <c r="U959" s="9"/>
    </row>
    <row r="960" spans="2:21" x14ac:dyDescent="0.35">
      <c r="B960" s="9"/>
      <c r="C960" s="2"/>
      <c r="D960" s="2"/>
      <c r="I960" s="9"/>
      <c r="J960" s="2"/>
      <c r="L960" s="9"/>
      <c r="M960" s="2"/>
      <c r="N960" s="9"/>
      <c r="P960" s="3">
        <v>1066.5360813</v>
      </c>
      <c r="S960" s="9"/>
      <c r="T960" s="2"/>
      <c r="U960" s="9"/>
    </row>
    <row r="961" spans="2:21" x14ac:dyDescent="0.35">
      <c r="B961" s="9"/>
      <c r="C961" s="2"/>
      <c r="D961" s="2"/>
      <c r="I961" s="9"/>
      <c r="J961" s="2"/>
      <c r="L961" s="9"/>
      <c r="M961" s="2"/>
      <c r="N961" s="9"/>
      <c r="P961" s="3">
        <v>1313.1727405500001</v>
      </c>
      <c r="S961" s="9"/>
      <c r="T961" s="2"/>
      <c r="U961" s="9"/>
    </row>
    <row r="962" spans="2:21" x14ac:dyDescent="0.35">
      <c r="B962" s="9"/>
      <c r="C962" s="2"/>
      <c r="D962" s="2"/>
      <c r="I962" s="9"/>
      <c r="J962" s="2"/>
      <c r="L962" s="9"/>
      <c r="M962" s="2"/>
      <c r="N962" s="9"/>
      <c r="P962" s="3">
        <v>1173.5297400500001</v>
      </c>
      <c r="S962" s="9"/>
      <c r="T962" s="2"/>
      <c r="U962" s="9"/>
    </row>
    <row r="963" spans="2:21" x14ac:dyDescent="0.35">
      <c r="B963" s="9"/>
      <c r="C963" s="2"/>
      <c r="D963" s="2"/>
      <c r="I963" s="9"/>
      <c r="J963" s="2"/>
      <c r="L963" s="9"/>
      <c r="M963" s="2"/>
      <c r="N963" s="9"/>
      <c r="P963" s="3">
        <v>1062.97122967</v>
      </c>
      <c r="S963" s="9"/>
      <c r="T963" s="2"/>
      <c r="U963" s="9"/>
    </row>
    <row r="964" spans="2:21" x14ac:dyDescent="0.35">
      <c r="B964" s="9"/>
      <c r="C964" s="2"/>
      <c r="D964" s="2"/>
      <c r="I964" s="9"/>
      <c r="J964" s="2"/>
      <c r="L964" s="9"/>
      <c r="M964" s="2"/>
      <c r="N964" s="9"/>
      <c r="P964" s="3">
        <v>1016.2992794199999</v>
      </c>
      <c r="S964" s="9"/>
      <c r="T964" s="2"/>
      <c r="U964" s="9"/>
    </row>
    <row r="965" spans="2:21" x14ac:dyDescent="0.35">
      <c r="B965" s="9"/>
      <c r="C965" s="2"/>
      <c r="D965" s="2"/>
      <c r="I965" s="9"/>
      <c r="J965" s="2"/>
      <c r="L965" s="9"/>
      <c r="M965" s="2"/>
      <c r="N965" s="9"/>
      <c r="P965" s="3">
        <v>1012.99706942</v>
      </c>
      <c r="S965" s="9"/>
      <c r="T965" s="2"/>
      <c r="U965" s="9"/>
    </row>
    <row r="966" spans="2:21" x14ac:dyDescent="0.35">
      <c r="B966" s="9"/>
      <c r="C966" s="2"/>
      <c r="D966" s="2"/>
      <c r="I966" s="9"/>
      <c r="J966" s="2"/>
      <c r="L966" s="9"/>
      <c r="M966" s="2"/>
      <c r="N966" s="9"/>
      <c r="P966" s="3">
        <v>1246.1067612300001</v>
      </c>
      <c r="S966" s="9"/>
      <c r="T966" s="2"/>
      <c r="U966" s="9"/>
    </row>
    <row r="967" spans="2:21" x14ac:dyDescent="0.35">
      <c r="B967" s="9"/>
      <c r="C967" s="2"/>
      <c r="D967" s="2"/>
      <c r="I967" s="9"/>
      <c r="J967" s="2"/>
      <c r="L967" s="9"/>
      <c r="M967" s="2"/>
      <c r="N967" s="9"/>
      <c r="P967" s="3">
        <v>1212.5748812300001</v>
      </c>
      <c r="S967" s="9"/>
      <c r="T967" s="2"/>
      <c r="U967" s="9"/>
    </row>
    <row r="968" spans="2:21" x14ac:dyDescent="0.35">
      <c r="B968" s="9"/>
      <c r="C968" s="2"/>
      <c r="D968" s="2"/>
      <c r="I968" s="9"/>
      <c r="J968" s="2"/>
      <c r="L968" s="9"/>
      <c r="M968" s="2"/>
      <c r="N968" s="9"/>
      <c r="P968" s="3">
        <v>1163.0850412299999</v>
      </c>
      <c r="S968" s="9"/>
      <c r="T968" s="2"/>
      <c r="U968" s="9"/>
    </row>
    <row r="969" spans="2:21" x14ac:dyDescent="0.35">
      <c r="B969" s="9"/>
      <c r="C969" s="2"/>
      <c r="D969" s="2"/>
      <c r="I969" s="9"/>
      <c r="J969" s="2"/>
      <c r="L969" s="9"/>
      <c r="M969" s="2"/>
      <c r="N969" s="9"/>
      <c r="P969" s="3">
        <v>1065.2775712299999</v>
      </c>
      <c r="S969" s="9"/>
      <c r="T969" s="2"/>
      <c r="U969" s="9"/>
    </row>
    <row r="970" spans="2:21" x14ac:dyDescent="0.35">
      <c r="B970" s="9"/>
      <c r="C970" s="2"/>
      <c r="D970" s="2"/>
      <c r="I970" s="9"/>
      <c r="J970" s="2"/>
      <c r="L970" s="9"/>
      <c r="M970" s="2"/>
      <c r="N970" s="9"/>
      <c r="P970" s="3">
        <v>1013.47313123</v>
      </c>
      <c r="S970" s="9"/>
      <c r="T970" s="2"/>
      <c r="U970" s="9"/>
    </row>
    <row r="971" spans="2:21" x14ac:dyDescent="0.35">
      <c r="B971" s="9"/>
      <c r="C971" s="2"/>
      <c r="D971" s="2"/>
      <c r="I971" s="9"/>
      <c r="J971" s="2"/>
      <c r="L971" s="9"/>
      <c r="M971" s="2"/>
      <c r="N971" s="9"/>
      <c r="P971" s="3">
        <v>1030.3391812299999</v>
      </c>
      <c r="S971" s="9"/>
      <c r="T971" s="2"/>
      <c r="U971" s="9"/>
    </row>
    <row r="972" spans="2:21" x14ac:dyDescent="0.35">
      <c r="B972" s="9"/>
      <c r="C972" s="2"/>
      <c r="D972" s="2"/>
      <c r="I972" s="9"/>
      <c r="J972" s="2"/>
      <c r="L972" s="9"/>
      <c r="M972" s="2"/>
      <c r="N972" s="9"/>
      <c r="P972" s="3">
        <v>1022.67544123</v>
      </c>
      <c r="S972" s="9"/>
      <c r="T972" s="2"/>
      <c r="U972" s="9"/>
    </row>
    <row r="973" spans="2:21" x14ac:dyDescent="0.35">
      <c r="B973" s="9"/>
      <c r="C973" s="2"/>
      <c r="D973" s="2"/>
      <c r="I973" s="9"/>
      <c r="J973" s="2"/>
      <c r="L973" s="9"/>
      <c r="M973" s="2"/>
      <c r="N973" s="9"/>
      <c r="P973" s="3">
        <v>1013.8678912300001</v>
      </c>
      <c r="S973" s="9"/>
      <c r="T973" s="2"/>
      <c r="U973" s="9"/>
    </row>
    <row r="974" spans="2:21" x14ac:dyDescent="0.35">
      <c r="B974" s="9"/>
      <c r="C974" s="2"/>
      <c r="D974" s="2"/>
      <c r="I974" s="9"/>
      <c r="J974" s="2"/>
      <c r="L974" s="9"/>
      <c r="M974" s="2"/>
      <c r="N974" s="9"/>
      <c r="P974" s="3">
        <v>968.42576123000003</v>
      </c>
      <c r="S974" s="9"/>
      <c r="T974" s="2"/>
      <c r="U974" s="9"/>
    </row>
    <row r="975" spans="2:21" x14ac:dyDescent="0.35">
      <c r="B975" s="9"/>
      <c r="C975" s="2"/>
      <c r="D975" s="2"/>
      <c r="I975" s="9"/>
      <c r="J975" s="2"/>
      <c r="L975" s="9"/>
      <c r="M975" s="2"/>
      <c r="N975" s="9"/>
      <c r="P975" s="3">
        <v>533.66576123000004</v>
      </c>
      <c r="S975" s="9"/>
      <c r="T975" s="2"/>
      <c r="U975" s="9"/>
    </row>
    <row r="976" spans="2:21" x14ac:dyDescent="0.35">
      <c r="B976" s="9"/>
      <c r="C976" s="2"/>
      <c r="D976" s="2"/>
      <c r="I976" s="9"/>
      <c r="J976" s="2"/>
      <c r="L976" s="9"/>
      <c r="M976" s="2"/>
      <c r="N976" s="9"/>
      <c r="P976" s="3">
        <v>98.905761229999996</v>
      </c>
      <c r="S976" s="9"/>
      <c r="T976" s="2"/>
      <c r="U976" s="9"/>
    </row>
    <row r="977" spans="2:21" x14ac:dyDescent="0.35">
      <c r="B977" s="9"/>
      <c r="C977" s="2"/>
      <c r="D977" s="2"/>
      <c r="I977" s="9"/>
      <c r="J977" s="2"/>
      <c r="L977" s="9"/>
      <c r="M977" s="2"/>
      <c r="N977" s="9"/>
      <c r="P977" s="3">
        <v>-335.85423876999999</v>
      </c>
      <c r="S977" s="9"/>
      <c r="T977" s="2"/>
      <c r="U977" s="9"/>
    </row>
    <row r="978" spans="2:21" x14ac:dyDescent="0.35">
      <c r="B978" s="9"/>
      <c r="C978" s="2"/>
      <c r="D978" s="2"/>
      <c r="I978" s="9"/>
      <c r="J978" s="2"/>
      <c r="L978" s="9"/>
      <c r="M978" s="2"/>
      <c r="N978" s="9"/>
      <c r="P978" s="3">
        <v>-770.61423877000004</v>
      </c>
      <c r="S978" s="9"/>
      <c r="T978" s="2"/>
      <c r="U978" s="9"/>
    </row>
    <row r="979" spans="2:21" x14ac:dyDescent="0.35">
      <c r="B979" s="9"/>
      <c r="C979" s="2"/>
      <c r="D979" s="2"/>
      <c r="I979" s="9"/>
      <c r="J979" s="2"/>
      <c r="L979" s="9"/>
      <c r="M979" s="2"/>
      <c r="N979" s="9"/>
      <c r="P979" s="3">
        <v>-1205.3742387699999</v>
      </c>
      <c r="S979" s="9"/>
      <c r="T979" s="2"/>
      <c r="U979" s="9"/>
    </row>
    <row r="980" spans="2:21" x14ac:dyDescent="0.35">
      <c r="B980" s="9"/>
      <c r="C980" s="2"/>
      <c r="D980" s="2"/>
      <c r="I980" s="9"/>
      <c r="J980" s="2"/>
      <c r="L980" s="9"/>
      <c r="M980" s="2"/>
      <c r="N980" s="9"/>
      <c r="P980" s="3">
        <v>-1327.2819287699999</v>
      </c>
      <c r="S980" s="9"/>
      <c r="T980" s="2"/>
      <c r="U980" s="9"/>
    </row>
    <row r="981" spans="2:21" x14ac:dyDescent="0.35">
      <c r="B981" s="9"/>
      <c r="C981" s="2"/>
      <c r="D981" s="2"/>
      <c r="I981" s="9"/>
      <c r="J981" s="2"/>
      <c r="L981" s="9"/>
      <c r="M981" s="2"/>
      <c r="N981" s="9"/>
      <c r="P981" s="3">
        <v>-892.52192877000005</v>
      </c>
      <c r="S981" s="9"/>
      <c r="T981" s="2"/>
      <c r="U981" s="9"/>
    </row>
    <row r="982" spans="2:21" x14ac:dyDescent="0.35">
      <c r="B982" s="9"/>
      <c r="C982" s="2"/>
      <c r="D982" s="2"/>
      <c r="I982" s="9"/>
      <c r="J982" s="2"/>
      <c r="L982" s="9"/>
      <c r="M982" s="2"/>
      <c r="N982" s="9"/>
      <c r="P982" s="3">
        <v>-457.76192877</v>
      </c>
      <c r="S982" s="9"/>
      <c r="T982" s="2"/>
      <c r="U982" s="9"/>
    </row>
    <row r="983" spans="2:21" x14ac:dyDescent="0.35">
      <c r="B983" s="9"/>
      <c r="C983" s="2"/>
      <c r="D983" s="2"/>
      <c r="I983" s="9"/>
      <c r="J983" s="2"/>
      <c r="L983" s="9"/>
      <c r="M983" s="2"/>
      <c r="N983" s="9"/>
      <c r="P983" s="3">
        <v>-23.001928769999999</v>
      </c>
      <c r="S983" s="9"/>
      <c r="T983" s="2"/>
      <c r="U983" s="9"/>
    </row>
    <row r="984" spans="2:21" x14ac:dyDescent="0.35">
      <c r="B984" s="9"/>
      <c r="C984" s="2"/>
      <c r="D984" s="2"/>
      <c r="I984" s="9"/>
      <c r="J984" s="2"/>
      <c r="L984" s="9"/>
      <c r="M984" s="2"/>
      <c r="N984" s="9"/>
      <c r="P984" s="3">
        <v>411.75807122999998</v>
      </c>
      <c r="S984" s="9"/>
      <c r="T984" s="2"/>
      <c r="U984" s="9"/>
    </row>
    <row r="985" spans="2:21" x14ac:dyDescent="0.35">
      <c r="B985" s="9"/>
      <c r="C985" s="2"/>
      <c r="D985" s="2"/>
      <c r="I985" s="9"/>
      <c r="J985" s="2"/>
      <c r="L985" s="9"/>
      <c r="M985" s="2"/>
      <c r="N985" s="9"/>
      <c r="P985" s="3">
        <v>502.48187123000002</v>
      </c>
      <c r="S985" s="9"/>
      <c r="T985" s="2"/>
      <c r="U985" s="9"/>
    </row>
    <row r="986" spans="2:21" x14ac:dyDescent="0.35">
      <c r="B986" s="9"/>
      <c r="C986" s="2"/>
      <c r="D986" s="2"/>
      <c r="I986" s="9"/>
      <c r="J986" s="2"/>
      <c r="L986" s="9"/>
      <c r="M986" s="2"/>
      <c r="N986" s="9"/>
      <c r="P986" s="3">
        <v>197.62775123</v>
      </c>
      <c r="S986" s="9"/>
      <c r="T986" s="2"/>
      <c r="U986" s="9"/>
    </row>
    <row r="987" spans="2:21" x14ac:dyDescent="0.35">
      <c r="B987" s="9"/>
      <c r="C987" s="2"/>
      <c r="D987" s="2"/>
      <c r="I987" s="9"/>
      <c r="J987" s="2"/>
      <c r="L987" s="9"/>
      <c r="M987" s="2"/>
      <c r="N987" s="9"/>
      <c r="P987" s="3">
        <v>-85.022538769999997</v>
      </c>
      <c r="S987" s="9"/>
      <c r="T987" s="2"/>
      <c r="U987" s="9"/>
    </row>
    <row r="988" spans="2:21" x14ac:dyDescent="0.35">
      <c r="B988" s="9"/>
      <c r="C988" s="2"/>
      <c r="D988" s="2"/>
      <c r="I988" s="9"/>
      <c r="J988" s="2"/>
      <c r="L988" s="9"/>
      <c r="M988" s="2"/>
      <c r="N988" s="9"/>
      <c r="P988" s="3">
        <v>-132.52082877000001</v>
      </c>
      <c r="S988" s="9"/>
      <c r="T988" s="2"/>
      <c r="U988" s="9"/>
    </row>
    <row r="989" spans="2:21" x14ac:dyDescent="0.35">
      <c r="B989" s="9"/>
      <c r="C989" s="2"/>
      <c r="D989" s="2"/>
      <c r="I989" s="9"/>
      <c r="J989" s="2"/>
      <c r="L989" s="9"/>
      <c r="M989" s="2"/>
      <c r="N989" s="9"/>
      <c r="P989" s="3">
        <v>-103.98876876999999</v>
      </c>
      <c r="S989" s="9"/>
      <c r="T989" s="2"/>
      <c r="U989" s="9"/>
    </row>
    <row r="990" spans="2:21" x14ac:dyDescent="0.35">
      <c r="B990" s="9"/>
      <c r="C990" s="2"/>
      <c r="D990" s="2"/>
      <c r="I990" s="9"/>
      <c r="J990" s="2"/>
      <c r="L990" s="9"/>
      <c r="M990" s="2"/>
      <c r="N990" s="9"/>
      <c r="P990" s="3">
        <v>-104.74989565</v>
      </c>
      <c r="S990" s="9"/>
      <c r="T990" s="2"/>
      <c r="U990" s="9"/>
    </row>
    <row r="991" spans="2:21" x14ac:dyDescent="0.35">
      <c r="B991" s="9"/>
      <c r="C991" s="2"/>
      <c r="D991" s="2"/>
      <c r="I991" s="9"/>
      <c r="J991" s="2"/>
      <c r="L991" s="9"/>
      <c r="M991" s="2"/>
      <c r="N991" s="9"/>
      <c r="P991" s="3">
        <v>-78.823535649999997</v>
      </c>
      <c r="S991" s="9"/>
      <c r="T991" s="2"/>
      <c r="U991" s="9"/>
    </row>
    <row r="992" spans="2:21" x14ac:dyDescent="0.35">
      <c r="B992" s="9"/>
      <c r="C992" s="2"/>
      <c r="D992" s="2"/>
      <c r="I992" s="9"/>
      <c r="J992" s="2"/>
      <c r="L992" s="9"/>
      <c r="M992" s="2"/>
      <c r="N992" s="9"/>
      <c r="P992" s="3">
        <v>-36.602675650000002</v>
      </c>
      <c r="S992" s="9"/>
      <c r="T992" s="2"/>
      <c r="U992" s="9"/>
    </row>
    <row r="993" spans="2:21" x14ac:dyDescent="0.35">
      <c r="B993" s="9"/>
      <c r="C993" s="2"/>
      <c r="D993" s="2"/>
      <c r="I993" s="9"/>
      <c r="J993" s="2"/>
      <c r="L993" s="9"/>
      <c r="M993" s="2"/>
      <c r="N993" s="9"/>
      <c r="P993" s="3">
        <v>-6.7507256499999997</v>
      </c>
      <c r="S993" s="9"/>
      <c r="T993" s="2"/>
      <c r="U993" s="9"/>
    </row>
    <row r="994" spans="2:21" x14ac:dyDescent="0.35">
      <c r="B994" s="9"/>
      <c r="C994" s="2"/>
      <c r="D994" s="2"/>
      <c r="I994" s="9"/>
      <c r="J994" s="2"/>
      <c r="L994" s="9"/>
      <c r="M994" s="2"/>
      <c r="N994" s="9"/>
      <c r="P994" s="3">
        <v>12.832494349999999</v>
      </c>
      <c r="S994" s="9"/>
      <c r="T994" s="2"/>
      <c r="U994" s="9"/>
    </row>
    <row r="995" spans="2:21" x14ac:dyDescent="0.35">
      <c r="B995" s="9"/>
      <c r="C995" s="2"/>
      <c r="D995" s="2"/>
      <c r="I995" s="9"/>
      <c r="J995" s="2"/>
      <c r="L995" s="9"/>
      <c r="M995" s="2"/>
      <c r="N995" s="9"/>
      <c r="P995" s="3">
        <v>41.747954350000001</v>
      </c>
      <c r="S995" s="9"/>
      <c r="T995" s="2"/>
      <c r="U995" s="9"/>
    </row>
    <row r="996" spans="2:21" x14ac:dyDescent="0.35">
      <c r="B996" s="9"/>
      <c r="C996" s="2"/>
      <c r="D996" s="2"/>
      <c r="I996" s="9"/>
      <c r="J996" s="2"/>
      <c r="L996" s="9"/>
      <c r="M996" s="2"/>
      <c r="N996" s="9"/>
      <c r="P996" s="3">
        <v>33.893934350000002</v>
      </c>
      <c r="S996" s="9"/>
      <c r="T996" s="2"/>
      <c r="U996" s="9"/>
    </row>
    <row r="997" spans="2:21" x14ac:dyDescent="0.35">
      <c r="B997" s="9"/>
      <c r="C997" s="2"/>
      <c r="D997" s="2"/>
      <c r="I997" s="9"/>
      <c r="J997" s="2"/>
      <c r="L997" s="9"/>
      <c r="M997" s="2"/>
      <c r="N997" s="9"/>
      <c r="P997" s="3">
        <v>49.655224349999997</v>
      </c>
      <c r="S997" s="9"/>
      <c r="T997" s="2"/>
      <c r="U997" s="9"/>
    </row>
    <row r="998" spans="2:21" x14ac:dyDescent="0.35">
      <c r="B998" s="9"/>
      <c r="C998" s="2"/>
      <c r="D998" s="2"/>
      <c r="I998" s="9"/>
      <c r="J998" s="2"/>
      <c r="L998" s="9"/>
      <c r="M998" s="2"/>
      <c r="N998" s="9"/>
      <c r="P998" s="3">
        <v>-2.33665565</v>
      </c>
      <c r="S998" s="9"/>
      <c r="T998" s="2"/>
      <c r="U998" s="9"/>
    </row>
    <row r="999" spans="2:21" x14ac:dyDescent="0.35">
      <c r="B999" s="9"/>
      <c r="C999" s="2"/>
      <c r="D999" s="2"/>
      <c r="I999" s="9"/>
      <c r="J999" s="2"/>
      <c r="L999" s="9"/>
      <c r="M999" s="2"/>
      <c r="N999" s="9"/>
      <c r="P999" s="3">
        <v>-437.09665565</v>
      </c>
      <c r="S999" s="9"/>
      <c r="T999" s="2"/>
      <c r="U999" s="9"/>
    </row>
    <row r="1000" spans="2:21" x14ac:dyDescent="0.35">
      <c r="B1000" s="9"/>
      <c r="C1000" s="2"/>
      <c r="D1000" s="2"/>
      <c r="I1000" s="9"/>
      <c r="J1000" s="2"/>
      <c r="L1000" s="9"/>
      <c r="M1000" s="2"/>
      <c r="N1000" s="9"/>
      <c r="P1000" s="3">
        <v>-871.85665564999999</v>
      </c>
      <c r="S1000" s="9"/>
      <c r="T1000" s="2"/>
      <c r="U1000" s="9"/>
    </row>
    <row r="1001" spans="2:21" x14ac:dyDescent="0.35">
      <c r="B1001" s="9"/>
      <c r="C1001" s="2"/>
      <c r="D1001" s="2"/>
      <c r="I1001" s="9"/>
      <c r="J1001" s="2"/>
      <c r="L1001" s="9"/>
      <c r="M1001" s="2"/>
      <c r="N1001" s="9"/>
      <c r="P1001" s="3">
        <v>-1306.61665565</v>
      </c>
      <c r="S1001" s="9"/>
      <c r="T1001" s="2"/>
      <c r="U1001" s="9"/>
    </row>
    <row r="1002" spans="2:21" x14ac:dyDescent="0.35">
      <c r="B1002" s="9"/>
      <c r="C1002" s="2"/>
      <c r="D1002" s="2"/>
      <c r="I1002" s="9"/>
      <c r="J1002" s="2"/>
      <c r="L1002" s="9"/>
      <c r="M1002" s="2"/>
      <c r="N1002" s="9"/>
      <c r="P1002" s="3">
        <v>-1741.37665565</v>
      </c>
      <c r="S1002" s="9"/>
      <c r="T1002" s="2"/>
      <c r="U1002" s="9"/>
    </row>
    <row r="1003" spans="2:21" x14ac:dyDescent="0.35">
      <c r="B1003" s="9"/>
      <c r="C1003" s="2"/>
      <c r="D1003" s="2"/>
      <c r="I1003" s="9"/>
      <c r="J1003" s="2"/>
      <c r="L1003" s="9"/>
      <c r="M1003" s="2"/>
      <c r="N1003" s="9"/>
      <c r="P1003" s="3">
        <v>-2176.1366556500002</v>
      </c>
      <c r="S1003" s="9"/>
      <c r="T1003" s="2"/>
      <c r="U1003" s="9"/>
    </row>
    <row r="1004" spans="2:21" x14ac:dyDescent="0.35">
      <c r="B1004" s="9"/>
      <c r="C1004" s="2"/>
      <c r="D1004" s="2"/>
      <c r="I1004" s="9"/>
      <c r="J1004" s="2"/>
      <c r="L1004" s="9"/>
      <c r="M1004" s="2"/>
      <c r="N1004" s="9"/>
      <c r="P1004" s="3">
        <v>-2068.43886565</v>
      </c>
      <c r="S1004" s="9"/>
      <c r="T1004" s="2"/>
      <c r="U1004" s="9"/>
    </row>
    <row r="1005" spans="2:21" x14ac:dyDescent="0.35">
      <c r="B1005" s="9"/>
      <c r="C1005" s="2"/>
      <c r="D1005" s="2"/>
      <c r="I1005" s="9"/>
      <c r="J1005" s="2"/>
      <c r="L1005" s="9"/>
      <c r="M1005" s="2"/>
      <c r="N1005" s="9"/>
      <c r="P1005" s="3">
        <v>-1633.67886565</v>
      </c>
      <c r="S1005" s="9"/>
      <c r="T1005" s="2"/>
      <c r="U1005" s="9"/>
    </row>
    <row r="1006" spans="2:21" x14ac:dyDescent="0.35">
      <c r="B1006" s="9"/>
      <c r="C1006" s="2"/>
      <c r="D1006" s="2"/>
      <c r="I1006" s="9"/>
      <c r="J1006" s="2"/>
      <c r="L1006" s="9"/>
      <c r="M1006" s="2"/>
      <c r="N1006" s="9"/>
      <c r="P1006" s="3">
        <v>-1198.91886565</v>
      </c>
      <c r="S1006" s="9"/>
      <c r="T1006" s="2"/>
      <c r="U1006" s="9"/>
    </row>
    <row r="1007" spans="2:21" x14ac:dyDescent="0.35">
      <c r="B1007" s="9"/>
      <c r="C1007" s="2"/>
      <c r="D1007" s="2"/>
      <c r="I1007" s="9"/>
      <c r="J1007" s="2"/>
      <c r="L1007" s="9"/>
      <c r="M1007" s="2"/>
      <c r="N1007" s="9"/>
      <c r="P1007" s="3">
        <v>-764.15886565000005</v>
      </c>
      <c r="S1007" s="9"/>
      <c r="T1007" s="2"/>
      <c r="U1007" s="9"/>
    </row>
    <row r="1008" spans="2:21" x14ac:dyDescent="0.35">
      <c r="B1008" s="9"/>
      <c r="C1008" s="2"/>
      <c r="D1008" s="2"/>
      <c r="I1008" s="9"/>
      <c r="J1008" s="2"/>
      <c r="L1008" s="9"/>
      <c r="M1008" s="2"/>
      <c r="N1008" s="9"/>
      <c r="P1008" s="3">
        <v>-329.39886565</v>
      </c>
      <c r="S1008" s="9"/>
      <c r="T1008" s="2"/>
      <c r="U1008" s="9"/>
    </row>
    <row r="1009" spans="2:21" x14ac:dyDescent="0.35">
      <c r="B1009" s="9"/>
      <c r="C1009" s="2"/>
      <c r="D1009" s="2"/>
      <c r="I1009" s="9"/>
      <c r="J1009" s="2"/>
      <c r="L1009" s="9"/>
      <c r="M1009" s="2"/>
      <c r="N1009" s="9"/>
      <c r="P1009" s="3">
        <v>-16.710605650000002</v>
      </c>
      <c r="S1009" s="9"/>
      <c r="T1009" s="2"/>
      <c r="U1009" s="9"/>
    </row>
    <row r="1010" spans="2:21" x14ac:dyDescent="0.35">
      <c r="B1010" s="9"/>
      <c r="C1010" s="2"/>
      <c r="D1010" s="2"/>
      <c r="I1010" s="9"/>
      <c r="J1010" s="2"/>
      <c r="L1010" s="9"/>
      <c r="M1010" s="2"/>
      <c r="N1010" s="9"/>
      <c r="P1010" s="3">
        <v>-135.21315565</v>
      </c>
      <c r="S1010" s="9"/>
      <c r="T1010" s="2"/>
      <c r="U1010" s="9"/>
    </row>
    <row r="1011" spans="2:21" x14ac:dyDescent="0.35">
      <c r="B1011" s="9"/>
      <c r="C1011" s="2"/>
      <c r="D1011" s="2"/>
      <c r="I1011" s="9"/>
      <c r="J1011" s="2"/>
      <c r="L1011" s="9"/>
      <c r="M1011" s="2"/>
      <c r="N1011" s="9"/>
      <c r="P1011" s="3">
        <v>-216.71050564999999</v>
      </c>
      <c r="S1011" s="9"/>
      <c r="T1011" s="2"/>
      <c r="U1011" s="9"/>
    </row>
    <row r="1012" spans="2:21" x14ac:dyDescent="0.35">
      <c r="B1012" s="9"/>
      <c r="C1012" s="2"/>
      <c r="D1012" s="2"/>
      <c r="I1012" s="9"/>
      <c r="J1012" s="2"/>
      <c r="L1012" s="9"/>
      <c r="M1012" s="2"/>
      <c r="N1012" s="9"/>
      <c r="P1012" s="3">
        <v>-142.15127565</v>
      </c>
      <c r="S1012" s="9"/>
      <c r="T1012" s="2"/>
      <c r="U1012" s="9"/>
    </row>
    <row r="1013" spans="2:21" x14ac:dyDescent="0.35">
      <c r="B1013" s="9"/>
      <c r="C1013" s="2"/>
      <c r="D1013" s="2"/>
      <c r="I1013" s="9"/>
      <c r="J1013" s="2"/>
      <c r="L1013" s="9"/>
      <c r="M1013" s="2"/>
      <c r="N1013" s="9"/>
      <c r="P1013" s="3">
        <v>-57.671925649999999</v>
      </c>
      <c r="S1013" s="9"/>
      <c r="T1013" s="2"/>
      <c r="U1013" s="9"/>
    </row>
    <row r="1014" spans="2:21" x14ac:dyDescent="0.35">
      <c r="B1014" s="9"/>
      <c r="C1014" s="2"/>
      <c r="D1014" s="2"/>
      <c r="I1014" s="9"/>
      <c r="J1014" s="2"/>
      <c r="L1014" s="9"/>
      <c r="M1014" s="2"/>
      <c r="N1014" s="9"/>
      <c r="P1014" s="3">
        <v>-199.01596168</v>
      </c>
      <c r="S1014" s="9"/>
      <c r="T1014" s="2"/>
      <c r="U1014" s="9"/>
    </row>
    <row r="1015" spans="2:21" x14ac:dyDescent="0.35">
      <c r="B1015" s="9"/>
      <c r="C1015" s="2"/>
      <c r="D1015" s="2"/>
      <c r="I1015" s="9"/>
      <c r="J1015" s="2"/>
      <c r="L1015" s="9"/>
      <c r="M1015" s="2"/>
      <c r="N1015" s="9"/>
      <c r="P1015" s="3">
        <v>-248.44616167999999</v>
      </c>
      <c r="S1015" s="9"/>
      <c r="T1015" s="2"/>
      <c r="U1015" s="9"/>
    </row>
    <row r="1016" spans="2:21" x14ac:dyDescent="0.35">
      <c r="B1016" s="9"/>
      <c r="C1016" s="2"/>
      <c r="D1016" s="2"/>
      <c r="I1016" s="9"/>
      <c r="J1016" s="2"/>
      <c r="L1016" s="9"/>
      <c r="M1016" s="2"/>
      <c r="N1016" s="9"/>
      <c r="P1016" s="3">
        <v>-319.05921167999998</v>
      </c>
      <c r="S1016" s="9"/>
      <c r="T1016" s="2"/>
      <c r="U1016" s="9"/>
    </row>
    <row r="1017" spans="2:21" x14ac:dyDescent="0.35">
      <c r="B1017" s="9"/>
      <c r="C1017" s="2"/>
      <c r="D1017" s="2"/>
      <c r="I1017" s="9"/>
      <c r="J1017" s="2"/>
      <c r="L1017" s="9"/>
      <c r="M1017" s="2"/>
      <c r="N1017" s="9"/>
      <c r="P1017" s="3">
        <v>-337.72369168</v>
      </c>
      <c r="S1017" s="9"/>
      <c r="T1017" s="2"/>
      <c r="U1017" s="9"/>
    </row>
    <row r="1018" spans="2:21" x14ac:dyDescent="0.35">
      <c r="B1018" s="9"/>
      <c r="C1018" s="2"/>
      <c r="D1018" s="2"/>
      <c r="I1018" s="9"/>
      <c r="J1018" s="2"/>
      <c r="L1018" s="9"/>
      <c r="M1018" s="2"/>
      <c r="N1018" s="9"/>
      <c r="P1018" s="3">
        <v>-338.86324167999999</v>
      </c>
      <c r="S1018" s="9"/>
      <c r="T1018" s="2"/>
      <c r="U1018" s="9"/>
    </row>
    <row r="1019" spans="2:21" x14ac:dyDescent="0.35">
      <c r="B1019" s="9"/>
      <c r="C1019" s="2"/>
      <c r="D1019" s="2"/>
      <c r="I1019" s="9"/>
      <c r="J1019" s="2"/>
      <c r="L1019" s="9"/>
      <c r="M1019" s="2"/>
      <c r="N1019" s="9"/>
      <c r="P1019" s="3">
        <v>-256.61196520999999</v>
      </c>
      <c r="S1019" s="9"/>
      <c r="T1019" s="2"/>
      <c r="U1019" s="9"/>
    </row>
    <row r="1020" spans="2:21" x14ac:dyDescent="0.35">
      <c r="B1020" s="9"/>
      <c r="C1020" s="2"/>
      <c r="D1020" s="2"/>
      <c r="I1020" s="9"/>
      <c r="J1020" s="2"/>
      <c r="L1020" s="9"/>
      <c r="M1020" s="2"/>
      <c r="N1020" s="9"/>
      <c r="P1020" s="3">
        <v>-211.24021873000001</v>
      </c>
      <c r="S1020" s="9"/>
      <c r="T1020" s="2"/>
      <c r="U1020" s="9"/>
    </row>
    <row r="1021" spans="2:21" x14ac:dyDescent="0.35">
      <c r="B1021" s="9"/>
      <c r="C1021" s="2"/>
      <c r="D1021" s="2"/>
      <c r="I1021" s="9"/>
      <c r="J1021" s="2"/>
      <c r="L1021" s="9"/>
      <c r="M1021" s="2"/>
      <c r="N1021" s="9"/>
      <c r="P1021" s="3">
        <v>-235.94221628</v>
      </c>
      <c r="S1021" s="9"/>
      <c r="T1021" s="2"/>
      <c r="U1021" s="9"/>
    </row>
    <row r="1022" spans="2:21" x14ac:dyDescent="0.35">
      <c r="B1022" s="9"/>
      <c r="C1022" s="2"/>
      <c r="D1022" s="2"/>
      <c r="I1022" s="9"/>
      <c r="J1022" s="2"/>
      <c r="L1022" s="9"/>
      <c r="M1022" s="2"/>
      <c r="N1022" s="9"/>
      <c r="P1022" s="3">
        <v>-375.98483979999997</v>
      </c>
      <c r="S1022" s="9"/>
      <c r="T1022" s="2"/>
      <c r="U1022" s="9"/>
    </row>
    <row r="1023" spans="2:21" x14ac:dyDescent="0.35">
      <c r="B1023" s="9"/>
      <c r="C1023" s="2"/>
      <c r="D1023" s="2"/>
      <c r="I1023" s="9"/>
      <c r="J1023" s="2"/>
      <c r="L1023" s="9"/>
      <c r="M1023" s="2"/>
      <c r="N1023" s="9"/>
      <c r="P1023" s="3">
        <v>-810.74483980000002</v>
      </c>
      <c r="S1023" s="9"/>
      <c r="T1023" s="2"/>
      <c r="U1023" s="9"/>
    </row>
    <row r="1024" spans="2:21" x14ac:dyDescent="0.35">
      <c r="B1024" s="9"/>
      <c r="C1024" s="2"/>
      <c r="D1024" s="2"/>
      <c r="I1024" s="9"/>
      <c r="J1024" s="2"/>
      <c r="L1024" s="9"/>
      <c r="M1024" s="2"/>
      <c r="N1024" s="9"/>
      <c r="P1024" s="3">
        <v>-375.98483979999997</v>
      </c>
      <c r="S1024" s="9"/>
      <c r="T1024" s="2"/>
      <c r="U1024" s="9"/>
    </row>
    <row r="1025" spans="2:21" x14ac:dyDescent="0.35">
      <c r="B1025" s="9"/>
      <c r="C1025" s="2"/>
      <c r="D1025" s="2"/>
      <c r="I1025" s="9"/>
      <c r="J1025" s="2"/>
      <c r="L1025" s="9"/>
      <c r="M1025" s="2"/>
      <c r="N1025" s="9"/>
      <c r="P1025" s="3">
        <v>0</v>
      </c>
      <c r="S1025" s="9"/>
      <c r="T1025" s="2"/>
      <c r="U1025" s="9"/>
    </row>
    <row r="1026" spans="2:21" x14ac:dyDescent="0.35">
      <c r="B1026" s="9"/>
      <c r="C1026" s="2"/>
      <c r="D1026" s="2"/>
      <c r="I1026" s="9"/>
      <c r="J1026" s="2"/>
      <c r="L1026" s="9"/>
      <c r="M1026" s="2"/>
      <c r="N1026" s="9"/>
      <c r="P1026" s="3">
        <v>0</v>
      </c>
      <c r="S1026" s="9"/>
      <c r="T1026" s="2"/>
      <c r="U1026" s="9"/>
    </row>
    <row r="1027" spans="2:21" x14ac:dyDescent="0.35">
      <c r="B1027" s="9"/>
      <c r="C1027" s="2"/>
      <c r="D1027" s="2"/>
      <c r="I1027" s="9"/>
      <c r="J1027" s="2"/>
      <c r="L1027" s="9"/>
      <c r="M1027" s="2"/>
      <c r="N1027" s="9"/>
      <c r="P1027" s="3">
        <v>0</v>
      </c>
      <c r="S1027" s="9"/>
      <c r="T1027" s="2"/>
      <c r="U1027" s="9"/>
    </row>
    <row r="1028" spans="2:21" x14ac:dyDescent="0.35">
      <c r="B1028" s="9"/>
      <c r="C1028" s="2"/>
      <c r="D1028" s="2"/>
      <c r="I1028" s="9"/>
      <c r="J1028" s="2"/>
      <c r="L1028" s="9"/>
      <c r="M1028" s="2"/>
      <c r="N1028" s="9"/>
      <c r="P1028" s="3">
        <v>0</v>
      </c>
      <c r="S1028" s="9"/>
      <c r="T1028" s="2"/>
      <c r="U1028" s="9"/>
    </row>
    <row r="1029" spans="2:21" x14ac:dyDescent="0.35">
      <c r="B1029" s="9"/>
      <c r="C1029" s="2"/>
      <c r="D1029" s="2"/>
      <c r="I1029" s="9"/>
      <c r="J1029" s="2"/>
      <c r="L1029" s="9"/>
      <c r="M1029" s="2"/>
      <c r="N1029" s="9"/>
      <c r="P1029" s="3">
        <v>0</v>
      </c>
      <c r="S1029" s="9"/>
      <c r="T1029" s="2"/>
      <c r="U1029" s="9"/>
    </row>
    <row r="1030" spans="2:21" x14ac:dyDescent="0.35">
      <c r="B1030" s="9"/>
      <c r="C1030" s="2"/>
      <c r="D1030" s="2"/>
      <c r="I1030" s="9"/>
      <c r="J1030" s="2"/>
      <c r="L1030" s="9"/>
      <c r="M1030" s="2"/>
      <c r="N1030" s="9"/>
      <c r="P1030" s="3">
        <v>0</v>
      </c>
      <c r="S1030" s="9"/>
      <c r="T1030" s="2"/>
      <c r="U1030" s="9"/>
    </row>
    <row r="1031" spans="2:21" x14ac:dyDescent="0.35">
      <c r="B1031" s="9"/>
      <c r="C1031" s="2"/>
      <c r="D1031" s="2"/>
      <c r="I1031" s="9"/>
      <c r="J1031" s="2"/>
      <c r="L1031" s="9"/>
      <c r="M1031" s="2"/>
      <c r="N1031" s="9"/>
      <c r="P1031" s="3">
        <v>0</v>
      </c>
      <c r="S1031" s="9"/>
      <c r="T1031" s="2"/>
      <c r="U1031" s="9"/>
    </row>
    <row r="1032" spans="2:21" x14ac:dyDescent="0.35">
      <c r="B1032" s="9"/>
      <c r="C1032" s="2"/>
      <c r="D1032" s="2"/>
      <c r="I1032" s="9"/>
      <c r="J1032" s="2"/>
      <c r="L1032" s="9"/>
      <c r="M1032" s="2"/>
      <c r="N1032" s="9"/>
      <c r="P1032" s="3">
        <v>0</v>
      </c>
      <c r="S1032" s="9"/>
      <c r="T1032" s="2"/>
      <c r="U1032" s="9"/>
    </row>
    <row r="1033" spans="2:21" x14ac:dyDescent="0.35">
      <c r="B1033" s="9"/>
      <c r="C1033" s="2"/>
      <c r="D1033" s="2"/>
      <c r="I1033" s="9"/>
      <c r="J1033" s="2"/>
      <c r="L1033" s="9"/>
      <c r="M1033" s="2"/>
      <c r="N1033" s="9"/>
      <c r="P1033" s="3">
        <v>0</v>
      </c>
      <c r="S1033" s="9"/>
      <c r="T1033" s="2"/>
      <c r="U1033" s="9"/>
    </row>
    <row r="1034" spans="2:21" x14ac:dyDescent="0.35">
      <c r="B1034" s="9"/>
      <c r="C1034" s="2"/>
      <c r="D1034" s="2"/>
      <c r="I1034" s="9"/>
      <c r="J1034" s="2"/>
      <c r="L1034" s="9"/>
      <c r="M1034" s="2"/>
      <c r="N1034" s="9"/>
      <c r="P1034" s="3">
        <v>0</v>
      </c>
      <c r="S1034" s="9"/>
      <c r="T1034" s="2"/>
      <c r="U1034" s="9"/>
    </row>
    <row r="1035" spans="2:21" x14ac:dyDescent="0.35">
      <c r="B1035" s="9"/>
      <c r="C1035" s="2"/>
      <c r="D1035" s="2"/>
      <c r="I1035" s="9"/>
      <c r="J1035" s="2"/>
      <c r="L1035" s="9"/>
      <c r="M1035" s="2"/>
      <c r="N1035" s="9"/>
      <c r="P1035" s="3">
        <v>0</v>
      </c>
      <c r="S1035" s="9"/>
      <c r="T1035" s="2"/>
      <c r="U1035" s="9"/>
    </row>
    <row r="1036" spans="2:21" x14ac:dyDescent="0.35">
      <c r="B1036" s="9"/>
      <c r="C1036" s="2"/>
      <c r="D1036" s="2"/>
      <c r="I1036" s="9"/>
      <c r="J1036" s="2"/>
      <c r="L1036" s="9"/>
      <c r="M1036" s="2"/>
      <c r="N1036" s="9"/>
      <c r="P1036" s="3">
        <v>0</v>
      </c>
      <c r="S1036" s="9"/>
      <c r="T1036" s="2"/>
      <c r="U1036" s="9"/>
    </row>
    <row r="1037" spans="2:21" x14ac:dyDescent="0.35">
      <c r="B1037" s="9"/>
      <c r="C1037" s="2"/>
      <c r="D1037" s="2"/>
      <c r="I1037" s="9"/>
      <c r="J1037" s="2"/>
      <c r="L1037" s="9"/>
      <c r="M1037" s="2"/>
      <c r="N1037" s="9"/>
      <c r="P1037" s="3">
        <v>0</v>
      </c>
      <c r="S1037" s="9"/>
      <c r="T1037" s="2"/>
      <c r="U1037" s="9"/>
    </row>
    <row r="1038" spans="2:21" x14ac:dyDescent="0.35">
      <c r="B1038" s="9"/>
      <c r="C1038" s="2"/>
      <c r="D1038" s="2"/>
      <c r="I1038" s="9"/>
      <c r="J1038" s="2"/>
      <c r="L1038" s="9"/>
      <c r="M1038" s="2"/>
      <c r="N1038" s="9"/>
      <c r="P1038" s="3">
        <v>0</v>
      </c>
      <c r="S1038" s="9"/>
      <c r="T1038" s="2"/>
      <c r="U1038" s="9"/>
    </row>
    <row r="1039" spans="2:21" x14ac:dyDescent="0.35">
      <c r="B1039" s="9"/>
      <c r="C1039" s="2"/>
      <c r="D1039" s="2"/>
      <c r="I1039" s="9"/>
      <c r="J1039" s="2"/>
      <c r="L1039" s="9"/>
      <c r="M1039" s="2"/>
      <c r="N1039" s="9"/>
      <c r="P1039" s="3">
        <v>0</v>
      </c>
      <c r="S1039" s="9"/>
      <c r="T1039" s="2"/>
      <c r="U1039" s="9"/>
    </row>
    <row r="1040" spans="2:21" x14ac:dyDescent="0.35">
      <c r="B1040" s="9"/>
      <c r="C1040" s="2"/>
      <c r="D1040" s="2"/>
      <c r="I1040" s="9"/>
      <c r="J1040" s="2"/>
      <c r="L1040" s="9"/>
      <c r="M1040" s="2"/>
      <c r="N1040" s="9"/>
      <c r="P1040" s="3">
        <v>0</v>
      </c>
      <c r="S1040" s="9"/>
      <c r="T1040" s="2"/>
      <c r="U1040" s="9"/>
    </row>
    <row r="1041" spans="2:21" x14ac:dyDescent="0.35">
      <c r="B1041" s="9"/>
      <c r="C1041" s="2"/>
      <c r="D1041" s="2"/>
      <c r="I1041" s="9"/>
      <c r="J1041" s="2"/>
      <c r="L1041" s="9"/>
      <c r="M1041" s="2"/>
      <c r="N1041" s="9"/>
      <c r="P1041" s="3">
        <v>0</v>
      </c>
      <c r="S1041" s="9"/>
      <c r="T1041" s="2"/>
      <c r="U1041" s="9"/>
    </row>
    <row r="1042" spans="2:21" x14ac:dyDescent="0.35">
      <c r="B1042" s="9"/>
      <c r="C1042" s="2"/>
      <c r="D1042" s="2"/>
      <c r="I1042" s="9"/>
      <c r="J1042" s="2"/>
      <c r="L1042" s="9"/>
      <c r="M1042" s="2"/>
      <c r="N1042" s="9"/>
      <c r="P1042" s="3">
        <v>0</v>
      </c>
      <c r="S1042" s="9"/>
      <c r="T1042" s="2"/>
      <c r="U1042" s="9"/>
    </row>
    <row r="1043" spans="2:21" x14ac:dyDescent="0.35">
      <c r="B1043" s="9"/>
      <c r="C1043" s="2"/>
      <c r="D1043" s="2"/>
      <c r="I1043" s="9"/>
      <c r="J1043" s="2"/>
      <c r="L1043" s="9"/>
      <c r="M1043" s="2"/>
      <c r="N1043" s="9"/>
      <c r="P1043" s="3">
        <v>0</v>
      </c>
      <c r="S1043" s="9"/>
      <c r="T1043" s="2"/>
      <c r="U1043" s="9"/>
    </row>
    <row r="1044" spans="2:21" x14ac:dyDescent="0.35">
      <c r="B1044" s="9"/>
      <c r="C1044" s="2"/>
      <c r="D1044" s="2"/>
      <c r="I1044" s="9"/>
      <c r="J1044" s="2"/>
      <c r="L1044" s="9"/>
      <c r="M1044" s="2"/>
      <c r="N1044" s="9"/>
      <c r="P1044" s="3">
        <v>0</v>
      </c>
      <c r="S1044" s="9"/>
      <c r="T1044" s="2"/>
      <c r="U1044" s="9"/>
    </row>
    <row r="1045" spans="2:21" x14ac:dyDescent="0.35">
      <c r="B1045" s="9"/>
      <c r="C1045" s="2"/>
      <c r="D1045" s="2"/>
      <c r="I1045" s="9"/>
      <c r="J1045" s="2"/>
      <c r="L1045" s="9"/>
      <c r="M1045" s="2"/>
      <c r="N1045" s="9"/>
      <c r="P1045" s="3">
        <v>0</v>
      </c>
      <c r="S1045" s="9"/>
      <c r="T1045" s="2"/>
      <c r="U1045" s="9"/>
    </row>
    <row r="1046" spans="2:21" x14ac:dyDescent="0.35">
      <c r="B1046" s="9"/>
      <c r="C1046" s="2"/>
      <c r="D1046" s="2"/>
      <c r="I1046" s="9"/>
      <c r="J1046" s="2"/>
      <c r="L1046" s="9"/>
      <c r="M1046" s="2"/>
      <c r="N1046" s="9"/>
      <c r="P1046" s="3">
        <v>0</v>
      </c>
      <c r="S1046" s="9"/>
      <c r="T1046" s="2"/>
      <c r="U1046" s="9"/>
    </row>
    <row r="1047" spans="2:21" x14ac:dyDescent="0.35">
      <c r="B1047" s="9"/>
      <c r="C1047" s="2"/>
      <c r="D1047" s="2"/>
      <c r="I1047" s="9"/>
      <c r="J1047" s="2"/>
      <c r="L1047" s="9"/>
      <c r="M1047" s="2"/>
      <c r="N1047" s="9"/>
      <c r="P1047" s="3">
        <v>0</v>
      </c>
      <c r="S1047" s="9"/>
      <c r="T1047" s="2"/>
      <c r="U1047" s="9"/>
    </row>
    <row r="1048" spans="2:21" x14ac:dyDescent="0.35">
      <c r="B1048" s="9"/>
      <c r="C1048" s="2"/>
      <c r="D1048" s="2"/>
      <c r="I1048" s="9"/>
      <c r="J1048" s="2"/>
      <c r="L1048" s="9"/>
      <c r="M1048" s="2"/>
      <c r="N1048" s="9"/>
      <c r="P1048" s="3">
        <v>0</v>
      </c>
      <c r="S1048" s="9"/>
      <c r="T1048" s="2"/>
      <c r="U1048" s="9"/>
    </row>
    <row r="1049" spans="2:21" x14ac:dyDescent="0.35">
      <c r="B1049" s="9"/>
      <c r="C1049" s="2"/>
      <c r="D1049" s="2"/>
      <c r="I1049" s="9"/>
      <c r="J1049" s="2"/>
      <c r="L1049" s="9"/>
      <c r="M1049" s="2"/>
      <c r="N1049" s="9"/>
      <c r="P1049" s="3">
        <v>0</v>
      </c>
      <c r="S1049" s="9"/>
      <c r="T1049" s="2"/>
      <c r="U1049" s="9"/>
    </row>
    <row r="1050" spans="2:21" x14ac:dyDescent="0.35">
      <c r="B1050" s="9"/>
      <c r="C1050" s="2"/>
      <c r="D1050" s="2"/>
      <c r="I1050" s="9"/>
      <c r="J1050" s="2"/>
      <c r="L1050" s="9"/>
      <c r="M1050" s="2"/>
      <c r="N1050" s="9"/>
      <c r="P1050" s="3">
        <v>0</v>
      </c>
      <c r="S1050" s="9"/>
      <c r="T1050" s="2"/>
      <c r="U1050" s="9"/>
    </row>
    <row r="1051" spans="2:21" x14ac:dyDescent="0.35">
      <c r="B1051" s="9"/>
      <c r="C1051" s="2"/>
      <c r="D1051" s="2"/>
      <c r="I1051" s="9"/>
      <c r="J1051" s="2"/>
      <c r="L1051" s="9"/>
      <c r="M1051" s="2"/>
      <c r="N1051" s="9"/>
      <c r="P1051" s="3">
        <v>0</v>
      </c>
      <c r="S1051" s="9"/>
      <c r="T1051" s="2"/>
      <c r="U1051" s="9"/>
    </row>
    <row r="1052" spans="2:21" x14ac:dyDescent="0.35">
      <c r="B1052" s="9"/>
      <c r="C1052" s="2"/>
      <c r="D1052" s="2"/>
      <c r="I1052" s="9"/>
      <c r="J1052" s="2"/>
      <c r="L1052" s="9"/>
      <c r="M1052" s="2"/>
      <c r="N1052" s="9"/>
      <c r="P1052" s="3">
        <v>0</v>
      </c>
      <c r="S1052" s="9"/>
      <c r="T1052" s="2"/>
      <c r="U1052" s="9"/>
    </row>
    <row r="1053" spans="2:21" x14ac:dyDescent="0.35">
      <c r="B1053" s="9"/>
      <c r="C1053" s="2"/>
      <c r="D1053" s="2"/>
      <c r="I1053" s="9"/>
      <c r="J1053" s="2"/>
      <c r="L1053" s="9"/>
      <c r="M1053" s="2"/>
      <c r="N1053" s="9"/>
      <c r="P1053" s="3">
        <v>0</v>
      </c>
      <c r="S1053" s="9"/>
      <c r="T1053" s="2"/>
      <c r="U1053" s="9"/>
    </row>
    <row r="1054" spans="2:21" x14ac:dyDescent="0.35">
      <c r="B1054" s="9"/>
      <c r="C1054" s="2"/>
      <c r="D1054" s="2"/>
      <c r="I1054" s="9"/>
      <c r="J1054" s="2"/>
      <c r="L1054" s="9"/>
      <c r="M1054" s="2"/>
      <c r="N1054" s="9"/>
      <c r="P1054" s="3">
        <v>0</v>
      </c>
      <c r="S1054" s="9"/>
      <c r="T1054" s="2"/>
      <c r="U1054" s="9"/>
    </row>
    <row r="1055" spans="2:21" x14ac:dyDescent="0.35">
      <c r="B1055" s="9"/>
      <c r="C1055" s="2"/>
      <c r="D1055" s="2"/>
      <c r="I1055" s="9"/>
      <c r="J1055" s="2"/>
      <c r="L1055" s="9"/>
      <c r="M1055" s="2"/>
      <c r="N1055" s="9"/>
      <c r="P1055" s="3">
        <v>0</v>
      </c>
      <c r="S1055" s="9"/>
      <c r="T1055" s="2"/>
      <c r="U1055" s="9"/>
    </row>
    <row r="1056" spans="2:21" x14ac:dyDescent="0.35">
      <c r="B1056" s="9"/>
      <c r="C1056" s="2"/>
      <c r="D1056" s="2"/>
      <c r="I1056" s="9"/>
      <c r="J1056" s="2"/>
      <c r="L1056" s="9"/>
      <c r="M1056" s="2"/>
      <c r="N1056" s="9"/>
      <c r="P1056" s="3">
        <v>0</v>
      </c>
      <c r="S1056" s="9"/>
      <c r="T1056" s="2"/>
      <c r="U1056" s="9"/>
    </row>
    <row r="1057" spans="2:21" x14ac:dyDescent="0.35">
      <c r="B1057" s="9"/>
      <c r="C1057" s="2"/>
      <c r="D1057" s="2"/>
      <c r="I1057" s="9"/>
      <c r="J1057" s="2"/>
      <c r="L1057" s="9"/>
      <c r="M1057" s="2"/>
      <c r="N1057" s="9"/>
      <c r="P1057" s="3">
        <v>0</v>
      </c>
      <c r="S1057" s="9"/>
      <c r="T1057" s="2"/>
      <c r="U1057" s="9"/>
    </row>
    <row r="1058" spans="2:21" x14ac:dyDescent="0.35">
      <c r="B1058" s="9"/>
      <c r="C1058" s="2"/>
      <c r="D1058" s="2"/>
      <c r="I1058" s="9"/>
      <c r="J1058" s="2"/>
      <c r="L1058" s="9"/>
      <c r="M1058" s="2"/>
      <c r="N1058" s="9"/>
      <c r="P1058" s="3">
        <v>0</v>
      </c>
      <c r="S1058" s="9"/>
      <c r="T1058" s="2"/>
      <c r="U1058" s="9"/>
    </row>
    <row r="1059" spans="2:21" x14ac:dyDescent="0.35">
      <c r="B1059" s="9"/>
      <c r="C1059" s="2"/>
      <c r="D1059" s="2"/>
      <c r="I1059" s="9"/>
      <c r="J1059" s="2"/>
      <c r="L1059" s="9"/>
      <c r="M1059" s="2"/>
      <c r="N1059" s="9"/>
      <c r="P1059" s="3">
        <v>0</v>
      </c>
      <c r="S1059" s="9"/>
      <c r="T1059" s="2"/>
      <c r="U1059" s="9"/>
    </row>
    <row r="1060" spans="2:21" x14ac:dyDescent="0.35">
      <c r="B1060" s="9"/>
      <c r="C1060" s="2"/>
      <c r="D1060" s="2"/>
      <c r="I1060" s="9"/>
      <c r="J1060" s="2"/>
      <c r="L1060" s="9"/>
      <c r="M1060" s="2"/>
      <c r="N1060" s="9"/>
      <c r="P1060" s="3">
        <v>0</v>
      </c>
      <c r="S1060" s="9"/>
      <c r="T1060" s="2"/>
      <c r="U1060" s="9"/>
    </row>
    <row r="1061" spans="2:21" x14ac:dyDescent="0.35">
      <c r="B1061" s="9"/>
      <c r="C1061" s="2"/>
      <c r="D1061" s="2"/>
      <c r="I1061" s="9"/>
      <c r="J1061" s="2"/>
      <c r="L1061" s="9"/>
      <c r="M1061" s="2"/>
      <c r="N1061" s="9"/>
      <c r="P1061" s="3">
        <v>0</v>
      </c>
      <c r="S1061" s="9"/>
      <c r="T1061" s="2"/>
      <c r="U1061" s="9"/>
    </row>
    <row r="1062" spans="2:21" x14ac:dyDescent="0.35">
      <c r="B1062" s="9"/>
      <c r="C1062" s="2"/>
      <c r="D1062" s="2"/>
      <c r="I1062" s="9"/>
      <c r="J1062" s="2"/>
      <c r="L1062" s="9"/>
      <c r="M1062" s="2"/>
      <c r="N1062" s="9"/>
      <c r="P1062" s="3">
        <v>0</v>
      </c>
      <c r="S1062" s="9"/>
      <c r="T1062" s="2"/>
      <c r="U1062" s="9"/>
    </row>
    <row r="1063" spans="2:21" x14ac:dyDescent="0.35">
      <c r="B1063" s="9"/>
      <c r="C1063" s="2"/>
      <c r="D1063" s="2"/>
      <c r="I1063" s="9"/>
      <c r="J1063" s="2"/>
      <c r="L1063" s="9"/>
      <c r="M1063" s="2"/>
      <c r="N1063" s="9"/>
      <c r="P1063" s="3">
        <v>0</v>
      </c>
      <c r="S1063" s="9"/>
      <c r="T1063" s="2"/>
      <c r="U1063" s="9"/>
    </row>
    <row r="1064" spans="2:21" x14ac:dyDescent="0.35">
      <c r="B1064" s="9"/>
      <c r="C1064" s="2"/>
      <c r="D1064" s="2"/>
      <c r="I1064" s="9"/>
      <c r="J1064" s="2"/>
      <c r="L1064" s="9"/>
      <c r="M1064" s="2"/>
      <c r="N1064" s="9"/>
      <c r="P1064" s="3">
        <v>-434.76</v>
      </c>
      <c r="S1064" s="9"/>
      <c r="T1064" s="2"/>
      <c r="U1064" s="9"/>
    </row>
    <row r="1065" spans="2:21" x14ac:dyDescent="0.35">
      <c r="B1065" s="9"/>
      <c r="C1065" s="2"/>
      <c r="D1065" s="2"/>
      <c r="I1065" s="9"/>
      <c r="J1065" s="2"/>
      <c r="L1065" s="9"/>
      <c r="M1065" s="2"/>
      <c r="N1065" s="9"/>
      <c r="P1065" s="3">
        <v>-869.52</v>
      </c>
      <c r="S1065" s="9"/>
      <c r="T1065" s="2"/>
      <c r="U1065" s="9"/>
    </row>
    <row r="1066" spans="2:21" x14ac:dyDescent="0.35">
      <c r="B1066" s="9"/>
      <c r="C1066" s="2"/>
      <c r="D1066" s="2"/>
      <c r="I1066" s="9"/>
      <c r="J1066" s="2"/>
      <c r="L1066" s="9"/>
      <c r="M1066" s="2"/>
      <c r="N1066" s="9"/>
      <c r="P1066" s="3">
        <v>-1304.28</v>
      </c>
      <c r="S1066" s="9"/>
      <c r="T1066" s="2"/>
      <c r="U1066" s="9"/>
    </row>
    <row r="1067" spans="2:21" x14ac:dyDescent="0.35">
      <c r="B1067" s="9"/>
      <c r="C1067" s="2"/>
      <c r="D1067" s="2"/>
      <c r="I1067" s="9"/>
      <c r="J1067" s="2"/>
      <c r="L1067" s="9"/>
      <c r="M1067" s="2"/>
      <c r="N1067" s="9"/>
      <c r="P1067" s="3">
        <v>-1739.04</v>
      </c>
      <c r="S1067" s="9"/>
      <c r="T1067" s="2"/>
      <c r="U1067" s="9"/>
    </row>
    <row r="1068" spans="2:21" x14ac:dyDescent="0.35">
      <c r="B1068" s="9"/>
      <c r="C1068" s="2"/>
      <c r="D1068" s="2"/>
      <c r="I1068" s="9"/>
      <c r="J1068" s="2"/>
      <c r="L1068" s="9"/>
      <c r="M1068" s="2"/>
      <c r="N1068" s="9"/>
      <c r="P1068" s="3">
        <v>-2173.8000000000002</v>
      </c>
      <c r="S1068" s="9"/>
      <c r="T1068" s="2"/>
      <c r="U1068" s="9"/>
    </row>
    <row r="1069" spans="2:21" x14ac:dyDescent="0.35">
      <c r="B1069" s="9"/>
      <c r="C1069" s="2"/>
      <c r="D1069" s="2"/>
      <c r="I1069" s="9"/>
      <c r="J1069" s="2"/>
      <c r="L1069" s="9"/>
      <c r="M1069" s="2"/>
      <c r="N1069" s="9"/>
      <c r="P1069" s="3">
        <v>-2176.8957213100002</v>
      </c>
      <c r="S1069" s="9"/>
      <c r="T1069" s="2"/>
      <c r="U1069" s="9"/>
    </row>
    <row r="1070" spans="2:21" x14ac:dyDescent="0.35">
      <c r="B1070" s="9"/>
      <c r="C1070" s="2"/>
      <c r="D1070" s="2"/>
      <c r="I1070" s="9"/>
      <c r="J1070" s="2"/>
      <c r="L1070" s="9"/>
      <c r="M1070" s="2"/>
      <c r="N1070" s="9"/>
      <c r="P1070" s="3">
        <v>-1973.9820748300001</v>
      </c>
      <c r="S1070" s="9"/>
      <c r="T1070" s="2"/>
      <c r="U1070" s="9"/>
    </row>
    <row r="1071" spans="2:21" x14ac:dyDescent="0.35">
      <c r="B1071" s="9"/>
      <c r="C1071" s="2"/>
      <c r="D1071" s="2"/>
      <c r="I1071" s="9"/>
      <c r="J1071" s="2"/>
      <c r="L1071" s="9"/>
      <c r="M1071" s="2"/>
      <c r="N1071" s="9"/>
      <c r="P1071" s="3">
        <v>-1539.2220748300001</v>
      </c>
      <c r="S1071" s="9"/>
      <c r="T1071" s="2"/>
      <c r="U1071" s="9"/>
    </row>
    <row r="1072" spans="2:21" x14ac:dyDescent="0.35">
      <c r="B1072" s="9"/>
      <c r="C1072" s="2"/>
      <c r="D1072" s="2"/>
      <c r="I1072" s="9"/>
      <c r="J1072" s="2"/>
      <c r="L1072" s="9"/>
      <c r="M1072" s="2"/>
      <c r="N1072" s="9"/>
      <c r="P1072" s="3">
        <v>-1104.4620748299999</v>
      </c>
      <c r="S1072" s="9"/>
      <c r="T1072" s="2"/>
      <c r="U1072" s="9"/>
    </row>
    <row r="1073" spans="2:21" x14ac:dyDescent="0.35">
      <c r="B1073" s="9"/>
      <c r="C1073" s="2"/>
      <c r="D1073" s="2"/>
      <c r="I1073" s="9"/>
      <c r="J1073" s="2"/>
      <c r="L1073" s="9"/>
      <c r="M1073" s="2"/>
      <c r="N1073" s="9"/>
      <c r="P1073" s="3">
        <v>-669.70207483000002</v>
      </c>
      <c r="S1073" s="9"/>
      <c r="T1073" s="2"/>
      <c r="U1073" s="9"/>
    </row>
    <row r="1074" spans="2:21" x14ac:dyDescent="0.35">
      <c r="B1074" s="9"/>
      <c r="C1074" s="2"/>
      <c r="D1074" s="2"/>
      <c r="I1074" s="9"/>
      <c r="J1074" s="2"/>
      <c r="L1074" s="9"/>
      <c r="M1074" s="2"/>
      <c r="N1074" s="9"/>
      <c r="P1074" s="3">
        <v>-234.94207483</v>
      </c>
      <c r="S1074" s="9"/>
      <c r="T1074" s="2"/>
      <c r="U1074" s="9"/>
    </row>
    <row r="1075" spans="2:21" x14ac:dyDescent="0.35">
      <c r="B1075" s="9"/>
      <c r="C1075" s="2"/>
      <c r="D1075" s="2"/>
      <c r="I1075" s="9"/>
      <c r="J1075" s="2"/>
      <c r="L1075" s="9"/>
      <c r="M1075" s="2"/>
      <c r="N1075" s="9"/>
      <c r="P1075" s="3">
        <v>0</v>
      </c>
      <c r="S1075" s="9"/>
      <c r="T1075" s="2"/>
      <c r="U1075" s="9"/>
    </row>
    <row r="1076" spans="2:21" x14ac:dyDescent="0.35">
      <c r="B1076" s="9"/>
      <c r="C1076" s="2"/>
      <c r="D1076" s="2"/>
      <c r="I1076" s="9"/>
      <c r="J1076" s="2"/>
      <c r="L1076" s="9"/>
      <c r="M1076" s="2"/>
      <c r="N1076" s="9"/>
      <c r="P1076" s="3">
        <v>-434.76</v>
      </c>
      <c r="S1076" s="9"/>
      <c r="T1076" s="2"/>
      <c r="U1076" s="9"/>
    </row>
    <row r="1077" spans="2:21" x14ac:dyDescent="0.35">
      <c r="B1077" s="9"/>
      <c r="C1077" s="2"/>
      <c r="D1077" s="2"/>
      <c r="I1077" s="9"/>
      <c r="J1077" s="2"/>
      <c r="L1077" s="9"/>
      <c r="M1077" s="2"/>
      <c r="N1077" s="9"/>
      <c r="P1077" s="3">
        <v>-641.40798483000003</v>
      </c>
      <c r="S1077" s="9"/>
      <c r="T1077" s="2"/>
      <c r="U1077" s="9"/>
    </row>
    <row r="1078" spans="2:21" x14ac:dyDescent="0.35">
      <c r="B1078" s="9"/>
      <c r="C1078" s="2"/>
      <c r="D1078" s="2"/>
      <c r="I1078" s="9"/>
      <c r="J1078" s="2"/>
      <c r="L1078" s="9"/>
      <c r="M1078" s="2"/>
      <c r="N1078" s="9"/>
      <c r="P1078" s="3">
        <v>-206.64798483000001</v>
      </c>
      <c r="S1078" s="9"/>
      <c r="T1078" s="2"/>
      <c r="U1078" s="9"/>
    </row>
    <row r="1079" spans="2:21" x14ac:dyDescent="0.35">
      <c r="B1079" s="9"/>
      <c r="C1079" s="2"/>
      <c r="D1079" s="2"/>
      <c r="I1079" s="9"/>
      <c r="J1079" s="2"/>
      <c r="L1079" s="9"/>
      <c r="M1079" s="2"/>
      <c r="N1079" s="9"/>
      <c r="P1079" s="3">
        <v>228.11201517000001</v>
      </c>
      <c r="S1079" s="9"/>
      <c r="T1079" s="2"/>
      <c r="U1079" s="9"/>
    </row>
    <row r="1080" spans="2:21" x14ac:dyDescent="0.35">
      <c r="B1080" s="9"/>
      <c r="C1080" s="2"/>
      <c r="D1080" s="2"/>
      <c r="I1080" s="9"/>
      <c r="J1080" s="2"/>
      <c r="L1080" s="9"/>
      <c r="M1080" s="2"/>
      <c r="N1080" s="9"/>
      <c r="P1080" s="3">
        <v>662.87201517000005</v>
      </c>
      <c r="S1080" s="9"/>
      <c r="T1080" s="2"/>
      <c r="U1080" s="9"/>
    </row>
    <row r="1081" spans="2:21" x14ac:dyDescent="0.35">
      <c r="B1081" s="9"/>
      <c r="C1081" s="2"/>
      <c r="D1081" s="2"/>
      <c r="I1081" s="9"/>
      <c r="J1081" s="2"/>
      <c r="L1081" s="9"/>
      <c r="M1081" s="2"/>
      <c r="N1081" s="9"/>
      <c r="P1081" s="3">
        <v>797.77100441000005</v>
      </c>
      <c r="S1081" s="9"/>
      <c r="T1081" s="2"/>
      <c r="U1081" s="9"/>
    </row>
    <row r="1082" spans="2:21" x14ac:dyDescent="0.35">
      <c r="B1082" s="9"/>
      <c r="C1082" s="2"/>
      <c r="D1082" s="2"/>
      <c r="I1082" s="9"/>
      <c r="J1082" s="2"/>
      <c r="L1082" s="9"/>
      <c r="M1082" s="2"/>
      <c r="N1082" s="9"/>
      <c r="P1082" s="3">
        <v>610.40180391000001</v>
      </c>
      <c r="S1082" s="9"/>
      <c r="T1082" s="2"/>
      <c r="U1082" s="9"/>
    </row>
    <row r="1083" spans="2:21" x14ac:dyDescent="0.35">
      <c r="B1083" s="9"/>
      <c r="C1083" s="2"/>
      <c r="D1083" s="2"/>
      <c r="I1083" s="9"/>
      <c r="J1083" s="2"/>
      <c r="L1083" s="9"/>
      <c r="M1083" s="2"/>
      <c r="N1083" s="9"/>
      <c r="P1083" s="3">
        <v>400.82953354</v>
      </c>
      <c r="S1083" s="9"/>
      <c r="T1083" s="2"/>
      <c r="U1083" s="9"/>
    </row>
    <row r="1084" spans="2:21" x14ac:dyDescent="0.35">
      <c r="B1084" s="9"/>
      <c r="C1084" s="2"/>
      <c r="D1084" s="2"/>
      <c r="I1084" s="9"/>
      <c r="J1084" s="2"/>
      <c r="L1084" s="9"/>
      <c r="M1084" s="2"/>
      <c r="N1084" s="9"/>
      <c r="P1084" s="3">
        <v>292.35776327999997</v>
      </c>
      <c r="S1084" s="9"/>
      <c r="T1084" s="2"/>
      <c r="U1084" s="9"/>
    </row>
    <row r="1085" spans="2:21" x14ac:dyDescent="0.35">
      <c r="B1085" s="9"/>
      <c r="C1085" s="2"/>
      <c r="D1085" s="2"/>
      <c r="I1085" s="9"/>
      <c r="J1085" s="2"/>
      <c r="L1085" s="9"/>
      <c r="M1085" s="2"/>
      <c r="N1085" s="9"/>
      <c r="P1085" s="3">
        <v>249.43187327999999</v>
      </c>
      <c r="S1085" s="9"/>
      <c r="T1085" s="2"/>
      <c r="U1085" s="9"/>
    </row>
    <row r="1086" spans="2:21" x14ac:dyDescent="0.35">
      <c r="B1086" s="9"/>
      <c r="C1086" s="2"/>
      <c r="D1086" s="2"/>
      <c r="I1086" s="9"/>
      <c r="J1086" s="2"/>
      <c r="L1086" s="9"/>
      <c r="M1086" s="2"/>
      <c r="N1086" s="9"/>
      <c r="P1086" s="3">
        <v>277.35932974999997</v>
      </c>
      <c r="S1086" s="9"/>
      <c r="T1086" s="2"/>
      <c r="U1086" s="9"/>
    </row>
    <row r="1087" spans="2:21" x14ac:dyDescent="0.35">
      <c r="B1087" s="9"/>
      <c r="C1087" s="2"/>
      <c r="D1087" s="2"/>
      <c r="I1087" s="9"/>
      <c r="J1087" s="2"/>
      <c r="L1087" s="9"/>
      <c r="M1087" s="2"/>
      <c r="N1087" s="9"/>
      <c r="P1087" s="3">
        <v>279.49358975000001</v>
      </c>
      <c r="S1087" s="9"/>
      <c r="T1087" s="2"/>
      <c r="U1087" s="9"/>
    </row>
    <row r="1088" spans="2:21" x14ac:dyDescent="0.35">
      <c r="B1088" s="9"/>
      <c r="C1088" s="2"/>
      <c r="D1088" s="2"/>
      <c r="I1088" s="9"/>
      <c r="J1088" s="2"/>
      <c r="L1088" s="9"/>
      <c r="M1088" s="2"/>
      <c r="N1088" s="9"/>
      <c r="P1088" s="3">
        <v>294.53635974999997</v>
      </c>
      <c r="S1088" s="9"/>
      <c r="T1088" s="2"/>
      <c r="U1088" s="9"/>
    </row>
    <row r="1089" spans="2:21" x14ac:dyDescent="0.35">
      <c r="B1089" s="9"/>
      <c r="C1089" s="2"/>
      <c r="D1089" s="2"/>
      <c r="I1089" s="9"/>
      <c r="J1089" s="2"/>
      <c r="L1089" s="9"/>
      <c r="M1089" s="2"/>
      <c r="N1089" s="9"/>
      <c r="P1089" s="3">
        <v>358.52936975</v>
      </c>
      <c r="S1089" s="9"/>
      <c r="T1089" s="2"/>
      <c r="U1089" s="9"/>
    </row>
    <row r="1090" spans="2:21" x14ac:dyDescent="0.35">
      <c r="B1090" s="9"/>
      <c r="C1090" s="2"/>
      <c r="D1090" s="2"/>
      <c r="I1090" s="9"/>
      <c r="J1090" s="2"/>
      <c r="L1090" s="9"/>
      <c r="M1090" s="2"/>
      <c r="N1090" s="9"/>
      <c r="P1090" s="3">
        <v>413.55578974999997</v>
      </c>
      <c r="S1090" s="9"/>
      <c r="T1090" s="2"/>
      <c r="U1090" s="9"/>
    </row>
    <row r="1091" spans="2:21" x14ac:dyDescent="0.35">
      <c r="B1091" s="9"/>
      <c r="C1091" s="2"/>
      <c r="D1091" s="2"/>
      <c r="I1091" s="9"/>
      <c r="J1091" s="2"/>
      <c r="L1091" s="9"/>
      <c r="M1091" s="2"/>
      <c r="N1091" s="9"/>
      <c r="P1091" s="3">
        <v>567.10739622000006</v>
      </c>
      <c r="S1091" s="9"/>
      <c r="T1091" s="2"/>
      <c r="U1091" s="9"/>
    </row>
    <row r="1092" spans="2:21" x14ac:dyDescent="0.35">
      <c r="B1092" s="9"/>
      <c r="C1092" s="2"/>
      <c r="D1092" s="2"/>
      <c r="I1092" s="9"/>
      <c r="J1092" s="2"/>
      <c r="L1092" s="9"/>
      <c r="M1092" s="2"/>
      <c r="N1092" s="9"/>
      <c r="P1092" s="3">
        <v>685.43732269999998</v>
      </c>
      <c r="S1092" s="9"/>
      <c r="T1092" s="2"/>
      <c r="U1092" s="9"/>
    </row>
    <row r="1093" spans="2:21" x14ac:dyDescent="0.35">
      <c r="B1093" s="9"/>
      <c r="C1093" s="2"/>
      <c r="D1093" s="2"/>
      <c r="I1093" s="9"/>
      <c r="J1093" s="2"/>
      <c r="L1093" s="9"/>
      <c r="M1093" s="2"/>
      <c r="N1093" s="9"/>
      <c r="P1093" s="3">
        <v>772.98987514999999</v>
      </c>
      <c r="S1093" s="9"/>
      <c r="T1093" s="2"/>
      <c r="U1093" s="9"/>
    </row>
    <row r="1094" spans="2:21" x14ac:dyDescent="0.35">
      <c r="B1094" s="9"/>
      <c r="C1094" s="2"/>
      <c r="D1094" s="2"/>
      <c r="I1094" s="9"/>
      <c r="J1094" s="2"/>
      <c r="L1094" s="9"/>
      <c r="M1094" s="2"/>
      <c r="N1094" s="9"/>
      <c r="P1094" s="3">
        <v>751.73948163</v>
      </c>
      <c r="S1094" s="9"/>
      <c r="T1094" s="2"/>
      <c r="U1094" s="9"/>
    </row>
    <row r="1095" spans="2:21" x14ac:dyDescent="0.35">
      <c r="B1095" s="9"/>
      <c r="C1095" s="2"/>
      <c r="D1095" s="2"/>
      <c r="I1095" s="9"/>
      <c r="J1095" s="2"/>
      <c r="L1095" s="9"/>
      <c r="M1095" s="2"/>
      <c r="N1095" s="9"/>
      <c r="P1095" s="3">
        <v>316.97948163000001</v>
      </c>
      <c r="S1095" s="9"/>
      <c r="T1095" s="2"/>
      <c r="U1095" s="9"/>
    </row>
    <row r="1096" spans="2:21" x14ac:dyDescent="0.35">
      <c r="B1096" s="9"/>
      <c r="C1096" s="2"/>
      <c r="D1096" s="2"/>
      <c r="I1096" s="9"/>
      <c r="J1096" s="2"/>
      <c r="L1096" s="9"/>
      <c r="M1096" s="2"/>
      <c r="N1096" s="9"/>
      <c r="P1096" s="3">
        <v>-117.78051837</v>
      </c>
      <c r="S1096" s="9"/>
      <c r="T1096" s="2"/>
      <c r="U1096" s="9"/>
    </row>
    <row r="1097" spans="2:21" x14ac:dyDescent="0.35">
      <c r="B1097" s="9"/>
      <c r="C1097" s="2"/>
      <c r="D1097" s="2"/>
      <c r="I1097" s="9"/>
      <c r="J1097" s="2"/>
      <c r="L1097" s="9"/>
      <c r="M1097" s="2"/>
      <c r="N1097" s="9"/>
      <c r="P1097" s="3">
        <v>-552.54051836999997</v>
      </c>
      <c r="S1097" s="9"/>
      <c r="T1097" s="2"/>
      <c r="U1097" s="9"/>
    </row>
    <row r="1098" spans="2:21" x14ac:dyDescent="0.35">
      <c r="B1098" s="9"/>
      <c r="C1098" s="2"/>
      <c r="D1098" s="2"/>
      <c r="I1098" s="9"/>
      <c r="J1098" s="2"/>
      <c r="L1098" s="9"/>
      <c r="M1098" s="2"/>
      <c r="N1098" s="9"/>
      <c r="P1098" s="3">
        <v>-987.30051836999996</v>
      </c>
      <c r="S1098" s="9"/>
      <c r="T1098" s="2"/>
      <c r="U1098" s="9"/>
    </row>
    <row r="1099" spans="2:21" x14ac:dyDescent="0.35">
      <c r="B1099" s="9"/>
      <c r="C1099" s="2"/>
      <c r="D1099" s="2"/>
      <c r="I1099" s="9"/>
      <c r="J1099" s="2"/>
      <c r="L1099" s="9"/>
      <c r="M1099" s="2"/>
      <c r="N1099" s="9"/>
      <c r="P1099" s="3">
        <v>-1329.2017483699999</v>
      </c>
      <c r="S1099" s="9"/>
      <c r="T1099" s="2"/>
      <c r="U1099" s="9"/>
    </row>
    <row r="1100" spans="2:21" x14ac:dyDescent="0.35">
      <c r="B1100" s="9"/>
      <c r="C1100" s="2"/>
      <c r="D1100" s="2"/>
      <c r="I1100" s="9"/>
      <c r="J1100" s="2"/>
      <c r="L1100" s="9"/>
      <c r="M1100" s="2"/>
      <c r="N1100" s="9"/>
      <c r="P1100" s="3">
        <v>-894.44174837000003</v>
      </c>
      <c r="S1100" s="9"/>
      <c r="T1100" s="2"/>
      <c r="U1100" s="9"/>
    </row>
    <row r="1101" spans="2:21" x14ac:dyDescent="0.35">
      <c r="B1101" s="9"/>
      <c r="C1101" s="2"/>
      <c r="D1101" s="2"/>
      <c r="I1101" s="9"/>
      <c r="J1101" s="2"/>
      <c r="L1101" s="9"/>
      <c r="M1101" s="2"/>
      <c r="N1101" s="9"/>
      <c r="P1101" s="3">
        <v>-459.68174836999998</v>
      </c>
      <c r="S1101" s="9"/>
      <c r="T1101" s="2"/>
      <c r="U1101" s="9"/>
    </row>
    <row r="1102" spans="2:21" x14ac:dyDescent="0.35">
      <c r="B1102" s="9"/>
      <c r="C1102" s="2"/>
      <c r="D1102" s="2"/>
      <c r="I1102" s="9"/>
      <c r="J1102" s="2"/>
      <c r="L1102" s="9"/>
      <c r="M1102" s="2"/>
      <c r="N1102" s="9"/>
      <c r="P1102" s="3">
        <v>-24.92174837</v>
      </c>
      <c r="S1102" s="9"/>
      <c r="T1102" s="2"/>
      <c r="U1102" s="9"/>
    </row>
    <row r="1103" spans="2:21" x14ac:dyDescent="0.35">
      <c r="B1103" s="9"/>
      <c r="C1103" s="2"/>
      <c r="D1103" s="2"/>
      <c r="I1103" s="9"/>
      <c r="J1103" s="2"/>
      <c r="L1103" s="9"/>
      <c r="M1103" s="2"/>
      <c r="N1103" s="9"/>
      <c r="P1103" s="3">
        <v>409.83825163</v>
      </c>
      <c r="S1103" s="9"/>
      <c r="T1103" s="2"/>
      <c r="U1103" s="9"/>
    </row>
    <row r="1104" spans="2:21" x14ac:dyDescent="0.35">
      <c r="B1104" s="9"/>
      <c r="C1104" s="2"/>
      <c r="D1104" s="2"/>
      <c r="I1104" s="9"/>
      <c r="J1104" s="2"/>
      <c r="L1104" s="9"/>
      <c r="M1104" s="2"/>
      <c r="N1104" s="9"/>
      <c r="P1104" s="3">
        <v>844.59825163000005</v>
      </c>
      <c r="S1104" s="9"/>
      <c r="T1104" s="2"/>
      <c r="U1104" s="9"/>
    </row>
    <row r="1105" spans="2:21" x14ac:dyDescent="0.35">
      <c r="B1105" s="9"/>
      <c r="C1105" s="2"/>
      <c r="D1105" s="2"/>
      <c r="I1105" s="9"/>
      <c r="J1105" s="2"/>
      <c r="L1105" s="9"/>
      <c r="M1105" s="2"/>
      <c r="N1105" s="9"/>
      <c r="P1105" s="3">
        <v>1162.5813908800001</v>
      </c>
      <c r="S1105" s="9"/>
      <c r="T1105" s="2"/>
      <c r="U1105" s="9"/>
    </row>
    <row r="1106" spans="2:21" x14ac:dyDescent="0.35">
      <c r="B1106" s="9"/>
      <c r="C1106" s="2"/>
      <c r="D1106" s="2"/>
      <c r="I1106" s="9"/>
      <c r="J1106" s="2"/>
      <c r="L1106" s="9"/>
      <c r="M1106" s="2"/>
      <c r="N1106" s="9"/>
      <c r="P1106" s="3">
        <v>983.80319037000004</v>
      </c>
      <c r="S1106" s="9"/>
      <c r="T1106" s="2"/>
      <c r="U1106" s="9"/>
    </row>
    <row r="1107" spans="2:21" x14ac:dyDescent="0.35">
      <c r="B1107" s="9"/>
      <c r="C1107" s="2"/>
      <c r="D1107" s="2"/>
      <c r="I1107" s="9"/>
      <c r="J1107" s="2"/>
      <c r="L1107" s="9"/>
      <c r="M1107" s="2"/>
      <c r="N1107" s="9"/>
      <c r="P1107" s="3">
        <v>829.46537000000001</v>
      </c>
      <c r="S1107" s="9"/>
      <c r="T1107" s="2"/>
      <c r="U1107" s="9"/>
    </row>
    <row r="1108" spans="2:21" x14ac:dyDescent="0.35">
      <c r="B1108" s="9"/>
      <c r="C1108" s="2"/>
      <c r="D1108" s="2"/>
      <c r="I1108" s="9"/>
      <c r="J1108" s="2"/>
      <c r="L1108" s="9"/>
      <c r="M1108" s="2"/>
      <c r="N1108" s="9"/>
      <c r="P1108" s="3">
        <v>729.71665974999996</v>
      </c>
      <c r="S1108" s="9"/>
      <c r="T1108" s="2"/>
      <c r="U1108" s="9"/>
    </row>
    <row r="1109" spans="2:21" x14ac:dyDescent="0.35">
      <c r="B1109" s="9"/>
      <c r="C1109" s="2"/>
      <c r="D1109" s="2"/>
      <c r="I1109" s="9"/>
      <c r="J1109" s="2"/>
      <c r="L1109" s="9"/>
      <c r="M1109" s="2"/>
      <c r="N1109" s="9"/>
      <c r="P1109" s="3">
        <v>708.93779974999995</v>
      </c>
      <c r="S1109" s="9"/>
      <c r="T1109" s="2"/>
      <c r="U1109" s="9"/>
    </row>
    <row r="1110" spans="2:21" x14ac:dyDescent="0.35">
      <c r="B1110" s="9"/>
      <c r="C1110" s="2"/>
      <c r="D1110" s="2"/>
      <c r="I1110" s="9"/>
      <c r="J1110" s="2"/>
      <c r="L1110" s="9"/>
      <c r="M1110" s="2"/>
      <c r="N1110" s="9"/>
      <c r="P1110" s="3">
        <v>705.84293416000003</v>
      </c>
      <c r="S1110" s="9"/>
      <c r="T1110" s="2"/>
      <c r="U1110" s="9"/>
    </row>
    <row r="1111" spans="2:21" x14ac:dyDescent="0.35">
      <c r="B1111" s="9"/>
      <c r="C1111" s="2"/>
      <c r="D1111" s="2"/>
      <c r="I1111" s="9"/>
      <c r="J1111" s="2"/>
      <c r="L1111" s="9"/>
      <c r="M1111" s="2"/>
      <c r="N1111" s="9"/>
      <c r="P1111" s="3">
        <v>605.04707415999997</v>
      </c>
      <c r="S1111" s="9"/>
      <c r="T1111" s="2"/>
      <c r="U1111" s="9"/>
    </row>
    <row r="1112" spans="2:21" x14ac:dyDescent="0.35">
      <c r="B1112" s="9"/>
      <c r="C1112" s="2"/>
      <c r="D1112" s="2"/>
      <c r="I1112" s="9"/>
      <c r="J1112" s="2"/>
      <c r="L1112" s="9"/>
      <c r="M1112" s="2"/>
      <c r="N1112" s="9"/>
      <c r="P1112" s="3">
        <v>495.98113416000001</v>
      </c>
      <c r="S1112" s="9"/>
      <c r="T1112" s="2"/>
      <c r="U1112" s="9"/>
    </row>
    <row r="1113" spans="2:21" x14ac:dyDescent="0.35">
      <c r="B1113" s="9"/>
      <c r="C1113" s="2"/>
      <c r="D1113" s="2"/>
      <c r="I1113" s="9"/>
      <c r="J1113" s="2"/>
      <c r="L1113" s="9"/>
      <c r="M1113" s="2"/>
      <c r="N1113" s="9"/>
      <c r="P1113" s="3">
        <v>412.21959415999999</v>
      </c>
      <c r="S1113" s="9"/>
      <c r="T1113" s="2"/>
      <c r="U1113" s="9"/>
    </row>
    <row r="1114" spans="2:21" x14ac:dyDescent="0.35">
      <c r="B1114" s="9"/>
      <c r="C1114" s="2"/>
      <c r="D1114" s="2"/>
      <c r="I1114" s="9"/>
      <c r="J1114" s="2"/>
      <c r="L1114" s="9"/>
      <c r="M1114" s="2"/>
      <c r="N1114" s="9"/>
      <c r="P1114" s="3">
        <v>355.07879415999997</v>
      </c>
      <c r="S1114" s="9"/>
      <c r="T1114" s="2"/>
      <c r="U1114" s="9"/>
    </row>
    <row r="1115" spans="2:21" x14ac:dyDescent="0.35">
      <c r="B1115" s="9"/>
      <c r="C1115" s="2"/>
      <c r="D1115" s="2"/>
      <c r="I1115" s="9"/>
      <c r="J1115" s="2"/>
      <c r="L1115" s="9"/>
      <c r="M1115" s="2"/>
      <c r="N1115" s="9"/>
      <c r="P1115" s="3">
        <v>422.63520063999999</v>
      </c>
      <c r="S1115" s="9"/>
      <c r="T1115" s="2"/>
      <c r="U1115" s="9"/>
    </row>
    <row r="1116" spans="2:21" x14ac:dyDescent="0.35">
      <c r="B1116" s="9"/>
      <c r="C1116" s="2"/>
      <c r="D1116" s="2"/>
      <c r="I1116" s="9"/>
      <c r="J1116" s="2"/>
      <c r="L1116" s="9"/>
      <c r="M1116" s="2"/>
      <c r="N1116" s="9"/>
      <c r="P1116" s="3">
        <v>469.15430712</v>
      </c>
      <c r="S1116" s="9"/>
      <c r="T1116" s="2"/>
      <c r="U1116" s="9"/>
    </row>
    <row r="1117" spans="2:21" x14ac:dyDescent="0.35">
      <c r="B1117" s="9"/>
      <c r="C1117" s="2"/>
      <c r="D1117" s="2"/>
      <c r="I1117" s="9"/>
      <c r="J1117" s="2"/>
      <c r="L1117" s="9"/>
      <c r="M1117" s="2"/>
      <c r="N1117" s="9"/>
      <c r="P1117" s="3">
        <v>457.98135957</v>
      </c>
      <c r="S1117" s="9"/>
      <c r="T1117" s="2"/>
      <c r="U1117" s="9"/>
    </row>
    <row r="1118" spans="2:21" x14ac:dyDescent="0.35">
      <c r="B1118" s="9"/>
      <c r="C1118" s="2"/>
      <c r="D1118" s="2"/>
      <c r="I1118" s="9"/>
      <c r="J1118" s="2"/>
      <c r="L1118" s="9"/>
      <c r="M1118" s="2"/>
      <c r="N1118" s="9"/>
      <c r="P1118" s="3">
        <v>337.23582605000001</v>
      </c>
      <c r="S1118" s="9"/>
      <c r="T1118" s="2"/>
      <c r="U1118" s="9"/>
    </row>
    <row r="1119" spans="2:21" x14ac:dyDescent="0.35">
      <c r="B1119" s="9"/>
      <c r="C1119" s="2"/>
      <c r="D1119" s="2"/>
      <c r="I1119" s="9"/>
      <c r="J1119" s="2"/>
      <c r="L1119" s="9"/>
      <c r="M1119" s="2"/>
      <c r="N1119" s="9"/>
      <c r="P1119" s="3">
        <v>-97.524173950000005</v>
      </c>
      <c r="S1119" s="9"/>
      <c r="T1119" s="2"/>
      <c r="U1119" s="9"/>
    </row>
    <row r="1120" spans="2:21" x14ac:dyDescent="0.35">
      <c r="B1120" s="9"/>
      <c r="C1120" s="2"/>
      <c r="D1120" s="2"/>
      <c r="I1120" s="9"/>
      <c r="J1120" s="2"/>
      <c r="L1120" s="9"/>
      <c r="M1120" s="2"/>
      <c r="N1120" s="9"/>
      <c r="P1120" s="3">
        <v>-532.28417394999997</v>
      </c>
      <c r="S1120" s="9"/>
      <c r="T1120" s="2"/>
      <c r="U1120" s="9"/>
    </row>
    <row r="1121" spans="2:21" x14ac:dyDescent="0.35">
      <c r="B1121" s="9"/>
      <c r="C1121" s="2"/>
      <c r="D1121" s="2"/>
      <c r="I1121" s="9"/>
      <c r="J1121" s="2"/>
      <c r="L1121" s="9"/>
      <c r="M1121" s="2"/>
      <c r="N1121" s="9"/>
      <c r="P1121" s="3">
        <v>-967.04417394999996</v>
      </c>
      <c r="S1121" s="9"/>
      <c r="T1121" s="2"/>
      <c r="U1121" s="9"/>
    </row>
    <row r="1122" spans="2:21" x14ac:dyDescent="0.35">
      <c r="B1122" s="9"/>
      <c r="C1122" s="2"/>
      <c r="D1122" s="2"/>
      <c r="I1122" s="9"/>
      <c r="J1122" s="2"/>
      <c r="L1122" s="9"/>
      <c r="M1122" s="2"/>
      <c r="N1122" s="9"/>
      <c r="P1122" s="3">
        <v>-1401.8041739499999</v>
      </c>
      <c r="S1122" s="9"/>
      <c r="T1122" s="2"/>
      <c r="U1122" s="9"/>
    </row>
    <row r="1123" spans="2:21" x14ac:dyDescent="0.35">
      <c r="B1123" s="9"/>
      <c r="C1123" s="2"/>
      <c r="D1123" s="2"/>
      <c r="I1123" s="9"/>
      <c r="J1123" s="2"/>
      <c r="L1123" s="9"/>
      <c r="M1123" s="2"/>
      <c r="N1123" s="9"/>
      <c r="P1123" s="3">
        <v>-1508.3050820999999</v>
      </c>
      <c r="S1123" s="9"/>
      <c r="T1123" s="2"/>
      <c r="U1123" s="9"/>
    </row>
    <row r="1124" spans="2:21" x14ac:dyDescent="0.35">
      <c r="B1124" s="9"/>
      <c r="C1124" s="2"/>
      <c r="D1124" s="2"/>
      <c r="I1124" s="9"/>
      <c r="J1124" s="2"/>
      <c r="L1124" s="9"/>
      <c r="M1124" s="2"/>
      <c r="N1124" s="9"/>
      <c r="P1124" s="3">
        <v>-1680.94706395</v>
      </c>
      <c r="S1124" s="9"/>
      <c r="T1124" s="2"/>
      <c r="U1124" s="9"/>
    </row>
    <row r="1125" spans="2:21" x14ac:dyDescent="0.35">
      <c r="B1125" s="9"/>
      <c r="C1125" s="2"/>
      <c r="D1125" s="2"/>
      <c r="I1125" s="9"/>
      <c r="J1125" s="2"/>
      <c r="L1125" s="9"/>
      <c r="M1125" s="2"/>
      <c r="N1125" s="9"/>
      <c r="P1125" s="3">
        <v>-1246.18706395</v>
      </c>
      <c r="S1125" s="9"/>
      <c r="T1125" s="2"/>
      <c r="U1125" s="9"/>
    </row>
    <row r="1126" spans="2:21" x14ac:dyDescent="0.35">
      <c r="B1126" s="9"/>
      <c r="C1126" s="2"/>
      <c r="D1126" s="2"/>
      <c r="I1126" s="9"/>
      <c r="J1126" s="2"/>
      <c r="L1126" s="9"/>
      <c r="M1126" s="2"/>
      <c r="N1126" s="9"/>
      <c r="P1126" s="3">
        <v>-811.42706395000005</v>
      </c>
      <c r="S1126" s="9"/>
      <c r="T1126" s="2"/>
      <c r="U1126" s="9"/>
    </row>
    <row r="1127" spans="2:21" x14ac:dyDescent="0.35">
      <c r="B1127" s="9"/>
      <c r="C1127" s="2"/>
      <c r="D1127" s="2"/>
      <c r="I1127" s="9"/>
      <c r="J1127" s="2"/>
      <c r="L1127" s="9"/>
      <c r="M1127" s="2"/>
      <c r="N1127" s="9"/>
      <c r="P1127" s="3">
        <v>-376.66706395</v>
      </c>
      <c r="S1127" s="9"/>
      <c r="T1127" s="2"/>
      <c r="U1127" s="9"/>
    </row>
    <row r="1128" spans="2:21" x14ac:dyDescent="0.35">
      <c r="B1128" s="9"/>
      <c r="C1128" s="2"/>
      <c r="D1128" s="2"/>
      <c r="I1128" s="9"/>
      <c r="J1128" s="2"/>
      <c r="L1128" s="9"/>
      <c r="M1128" s="2"/>
      <c r="N1128" s="9"/>
      <c r="P1128" s="3">
        <v>58.092936049999999</v>
      </c>
      <c r="S1128" s="9"/>
      <c r="T1128" s="2"/>
      <c r="U1128" s="9"/>
    </row>
    <row r="1129" spans="2:21" x14ac:dyDescent="0.35">
      <c r="B1129" s="9"/>
      <c r="C1129" s="2"/>
      <c r="D1129" s="2"/>
      <c r="I1129" s="9"/>
      <c r="J1129" s="2"/>
      <c r="L1129" s="9"/>
      <c r="M1129" s="2"/>
      <c r="N1129" s="9"/>
      <c r="P1129" s="3">
        <v>436.26774528999999</v>
      </c>
      <c r="S1129" s="9"/>
      <c r="T1129" s="2"/>
      <c r="U1129" s="9"/>
    </row>
    <row r="1130" spans="2:21" x14ac:dyDescent="0.35">
      <c r="B1130" s="9"/>
      <c r="C1130" s="2"/>
      <c r="D1130" s="2"/>
      <c r="I1130" s="9"/>
      <c r="J1130" s="2"/>
      <c r="L1130" s="9"/>
      <c r="M1130" s="2"/>
      <c r="N1130" s="9"/>
      <c r="P1130" s="3">
        <v>213.96796479</v>
      </c>
      <c r="S1130" s="9"/>
      <c r="T1130" s="2"/>
      <c r="U1130" s="9"/>
    </row>
    <row r="1131" spans="2:21" x14ac:dyDescent="0.35">
      <c r="B1131" s="9"/>
      <c r="C1131" s="2"/>
      <c r="D1131" s="2"/>
      <c r="I1131" s="9"/>
      <c r="J1131" s="2"/>
      <c r="L1131" s="9"/>
      <c r="M1131" s="2"/>
      <c r="N1131" s="9"/>
      <c r="P1131" s="3">
        <v>-6.0917155799999998</v>
      </c>
      <c r="S1131" s="9"/>
      <c r="T1131" s="2"/>
      <c r="U1131" s="9"/>
    </row>
    <row r="1132" spans="2:21" x14ac:dyDescent="0.35">
      <c r="B1132" s="9"/>
      <c r="C1132" s="2"/>
      <c r="D1132" s="2"/>
      <c r="I1132" s="9"/>
      <c r="J1132" s="2"/>
      <c r="L1132" s="9"/>
      <c r="M1132" s="2"/>
      <c r="N1132" s="9"/>
      <c r="P1132" s="3">
        <v>-168.77695584</v>
      </c>
      <c r="S1132" s="9"/>
      <c r="T1132" s="2"/>
      <c r="U1132" s="9"/>
    </row>
    <row r="1133" spans="2:21" x14ac:dyDescent="0.35">
      <c r="B1133" s="9"/>
      <c r="C1133" s="2"/>
      <c r="D1133" s="2"/>
      <c r="I1133" s="9"/>
      <c r="J1133" s="2"/>
      <c r="L1133" s="9"/>
      <c r="M1133" s="2"/>
      <c r="N1133" s="9"/>
      <c r="P1133" s="3">
        <v>-295.56236583999998</v>
      </c>
      <c r="S1133" s="9"/>
      <c r="T1133" s="2"/>
      <c r="U1133" s="9"/>
    </row>
    <row r="1134" spans="2:21" x14ac:dyDescent="0.35">
      <c r="B1134" s="9"/>
      <c r="C1134" s="2"/>
      <c r="D1134" s="2"/>
      <c r="I1134" s="9"/>
      <c r="J1134" s="2"/>
      <c r="L1134" s="9"/>
      <c r="M1134" s="2"/>
      <c r="N1134" s="9"/>
      <c r="P1134" s="3">
        <v>-148.74513571</v>
      </c>
      <c r="S1134" s="9"/>
      <c r="T1134" s="2"/>
      <c r="U1134" s="9"/>
    </row>
    <row r="1135" spans="2:21" x14ac:dyDescent="0.35">
      <c r="B1135" s="9"/>
      <c r="C1135" s="2"/>
      <c r="D1135" s="2"/>
      <c r="I1135" s="9"/>
      <c r="J1135" s="2"/>
      <c r="L1135" s="9"/>
      <c r="M1135" s="2"/>
      <c r="N1135" s="9"/>
      <c r="P1135" s="3">
        <v>-172.64657571000001</v>
      </c>
      <c r="S1135" s="9"/>
      <c r="T1135" s="2"/>
      <c r="U1135" s="9"/>
    </row>
    <row r="1136" spans="2:21" x14ac:dyDescent="0.35">
      <c r="B1136" s="9"/>
      <c r="C1136" s="2"/>
      <c r="D1136" s="2"/>
      <c r="I1136" s="9"/>
      <c r="J1136" s="2"/>
      <c r="L1136" s="9"/>
      <c r="M1136" s="2"/>
      <c r="N1136" s="9"/>
      <c r="P1136" s="3">
        <v>-218.97833571000001</v>
      </c>
      <c r="S1136" s="9"/>
      <c r="T1136" s="2"/>
      <c r="U1136" s="9"/>
    </row>
    <row r="1137" spans="2:21" x14ac:dyDescent="0.35">
      <c r="B1137" s="9"/>
      <c r="C1137" s="2"/>
      <c r="D1137" s="2"/>
      <c r="I1137" s="9"/>
      <c r="J1137" s="2"/>
      <c r="L1137" s="9"/>
      <c r="M1137" s="2"/>
      <c r="N1137" s="9"/>
      <c r="P1137" s="3">
        <v>-224.77122571000001</v>
      </c>
      <c r="S1137" s="9"/>
      <c r="T1137" s="2"/>
      <c r="U1137" s="9"/>
    </row>
    <row r="1138" spans="2:21" x14ac:dyDescent="0.35">
      <c r="B1138" s="9"/>
      <c r="C1138" s="2"/>
      <c r="D1138" s="2"/>
      <c r="I1138" s="9"/>
      <c r="J1138" s="2"/>
      <c r="L1138" s="9"/>
      <c r="M1138" s="2"/>
      <c r="N1138" s="9"/>
      <c r="P1138" s="3">
        <v>-241.29292570999999</v>
      </c>
      <c r="S1138" s="9"/>
      <c r="T1138" s="2"/>
      <c r="U1138" s="9"/>
    </row>
    <row r="1139" spans="2:21" x14ac:dyDescent="0.35">
      <c r="B1139" s="9"/>
      <c r="C1139" s="2"/>
      <c r="D1139" s="2"/>
      <c r="I1139" s="9"/>
      <c r="J1139" s="2"/>
      <c r="L1139" s="9"/>
      <c r="M1139" s="2"/>
      <c r="N1139" s="9"/>
      <c r="P1139" s="3">
        <v>-250.41997570999999</v>
      </c>
      <c r="S1139" s="9"/>
      <c r="T1139" s="2"/>
      <c r="U1139" s="9"/>
    </row>
    <row r="1140" spans="2:21" x14ac:dyDescent="0.35">
      <c r="B1140" s="9"/>
      <c r="C1140" s="2"/>
      <c r="D1140" s="2"/>
      <c r="I1140" s="9"/>
      <c r="J1140" s="2"/>
      <c r="L1140" s="9"/>
      <c r="M1140" s="2"/>
      <c r="N1140" s="9"/>
      <c r="P1140" s="3">
        <v>-239.51224571</v>
      </c>
      <c r="S1140" s="9"/>
      <c r="T1140" s="2"/>
      <c r="U1140" s="9"/>
    </row>
    <row r="1141" spans="2:21" x14ac:dyDescent="0.35">
      <c r="B1141" s="9"/>
      <c r="C1141" s="2"/>
      <c r="D1141" s="2"/>
      <c r="I1141" s="9"/>
      <c r="J1141" s="2"/>
      <c r="L1141" s="9"/>
      <c r="M1141" s="2"/>
      <c r="N1141" s="9"/>
      <c r="P1141" s="3">
        <v>-253.66041571</v>
      </c>
      <c r="S1141" s="9"/>
      <c r="T1141" s="2"/>
      <c r="U1141" s="9"/>
    </row>
    <row r="1142" spans="2:21" x14ac:dyDescent="0.35">
      <c r="B1142" s="9"/>
      <c r="C1142" s="2"/>
      <c r="D1142" s="2"/>
      <c r="I1142" s="9"/>
      <c r="J1142" s="2"/>
      <c r="L1142" s="9"/>
      <c r="M1142" s="2"/>
      <c r="N1142" s="9"/>
      <c r="P1142" s="3">
        <v>-375.75627571000001</v>
      </c>
      <c r="S1142" s="9"/>
      <c r="T1142" s="2"/>
      <c r="U1142" s="9"/>
    </row>
    <row r="1143" spans="2:21" x14ac:dyDescent="0.35">
      <c r="B1143" s="9"/>
      <c r="C1143" s="2"/>
      <c r="D1143" s="2"/>
      <c r="I1143" s="9"/>
      <c r="J1143" s="2"/>
      <c r="L1143" s="9"/>
      <c r="M1143" s="2"/>
      <c r="N1143" s="9"/>
      <c r="P1143" s="3">
        <v>-810.51627570999995</v>
      </c>
      <c r="S1143" s="9"/>
      <c r="T1143" s="2"/>
      <c r="U1143" s="9"/>
    </row>
    <row r="1144" spans="2:21" x14ac:dyDescent="0.35">
      <c r="B1144" s="9"/>
      <c r="C1144" s="2"/>
      <c r="D1144" s="2"/>
      <c r="I1144" s="9"/>
      <c r="J1144" s="2"/>
      <c r="L1144" s="9"/>
      <c r="M1144" s="2"/>
      <c r="N1144" s="9"/>
      <c r="P1144" s="3">
        <v>-1245.2762757099999</v>
      </c>
      <c r="S1144" s="9"/>
      <c r="T1144" s="2"/>
      <c r="U1144" s="9"/>
    </row>
    <row r="1145" spans="2:21" x14ac:dyDescent="0.35">
      <c r="B1145" s="9"/>
      <c r="C1145" s="2"/>
      <c r="D1145" s="2"/>
      <c r="I1145" s="9"/>
      <c r="J1145" s="2"/>
      <c r="L1145" s="9"/>
      <c r="M1145" s="2"/>
      <c r="N1145" s="9"/>
      <c r="P1145" s="3">
        <v>-1680.0362757099999</v>
      </c>
      <c r="S1145" s="9"/>
      <c r="T1145" s="2"/>
      <c r="U1145" s="9"/>
    </row>
    <row r="1146" spans="2:21" x14ac:dyDescent="0.35">
      <c r="B1146" s="9"/>
      <c r="C1146" s="2"/>
      <c r="D1146" s="2"/>
      <c r="I1146" s="9"/>
      <c r="J1146" s="2"/>
      <c r="L1146" s="9"/>
      <c r="M1146" s="2"/>
      <c r="N1146" s="9"/>
      <c r="P1146" s="3">
        <v>-2114.7962757099999</v>
      </c>
      <c r="S1146" s="9"/>
      <c r="T1146" s="2"/>
      <c r="U1146" s="9"/>
    </row>
    <row r="1147" spans="2:21" x14ac:dyDescent="0.35">
      <c r="B1147" s="9"/>
      <c r="C1147" s="2"/>
      <c r="D1147" s="2"/>
      <c r="I1147" s="9"/>
      <c r="J1147" s="2"/>
      <c r="L1147" s="9"/>
      <c r="M1147" s="2"/>
      <c r="N1147" s="9"/>
      <c r="P1147" s="3">
        <v>-2549.5562757100001</v>
      </c>
      <c r="S1147" s="9"/>
      <c r="T1147" s="2"/>
      <c r="U1147" s="9"/>
    </row>
    <row r="1148" spans="2:21" x14ac:dyDescent="0.35">
      <c r="B1148" s="9"/>
      <c r="C1148" s="2"/>
      <c r="D1148" s="2"/>
      <c r="I1148" s="9"/>
      <c r="J1148" s="2"/>
      <c r="L1148" s="9"/>
      <c r="M1148" s="2"/>
      <c r="N1148" s="9"/>
      <c r="P1148" s="3">
        <v>-2834.5133357099999</v>
      </c>
      <c r="S1148" s="9"/>
      <c r="T1148" s="2"/>
      <c r="U1148" s="9"/>
    </row>
    <row r="1149" spans="2:21" x14ac:dyDescent="0.35">
      <c r="B1149" s="9"/>
      <c r="C1149" s="2"/>
      <c r="D1149" s="2"/>
      <c r="I1149" s="9"/>
      <c r="J1149" s="2"/>
      <c r="L1149" s="9"/>
      <c r="M1149" s="2"/>
      <c r="N1149" s="9"/>
      <c r="P1149" s="3">
        <v>-2399.7533357100001</v>
      </c>
      <c r="S1149" s="9"/>
      <c r="T1149" s="2"/>
      <c r="U1149" s="9"/>
    </row>
    <row r="1150" spans="2:21" x14ac:dyDescent="0.35">
      <c r="B1150" s="9"/>
      <c r="C1150" s="2"/>
      <c r="D1150" s="2"/>
      <c r="I1150" s="9"/>
      <c r="J1150" s="2"/>
      <c r="L1150" s="9"/>
      <c r="M1150" s="2"/>
      <c r="N1150" s="9"/>
      <c r="P1150" s="3">
        <v>-1964.9933357100001</v>
      </c>
      <c r="S1150" s="9"/>
      <c r="T1150" s="2"/>
      <c r="U1150" s="9"/>
    </row>
    <row r="1151" spans="2:21" x14ac:dyDescent="0.35">
      <c r="B1151" s="9"/>
      <c r="C1151" s="2"/>
      <c r="D1151" s="2"/>
      <c r="I1151" s="9"/>
      <c r="J1151" s="2"/>
      <c r="L1151" s="9"/>
      <c r="M1151" s="2"/>
      <c r="N1151" s="9"/>
      <c r="P1151" s="3">
        <v>-1530.2333357099999</v>
      </c>
      <c r="S1151" s="9"/>
      <c r="T1151" s="2"/>
      <c r="U1151" s="9"/>
    </row>
    <row r="1152" spans="2:21" x14ac:dyDescent="0.35">
      <c r="B1152" s="9"/>
      <c r="C1152" s="2"/>
      <c r="D1152" s="2"/>
      <c r="I1152" s="9"/>
      <c r="J1152" s="2"/>
      <c r="L1152" s="9"/>
      <c r="M1152" s="2"/>
      <c r="N1152" s="9"/>
      <c r="P1152" s="3">
        <v>-1095.4733357099999</v>
      </c>
      <c r="S1152" s="9"/>
      <c r="T1152" s="2"/>
      <c r="U1152" s="9"/>
    </row>
    <row r="1153" spans="2:21" x14ac:dyDescent="0.35">
      <c r="B1153" s="9"/>
      <c r="C1153" s="2"/>
      <c r="D1153" s="2"/>
      <c r="I1153" s="9"/>
      <c r="J1153" s="2"/>
      <c r="L1153" s="9"/>
      <c r="M1153" s="2"/>
      <c r="N1153" s="9"/>
      <c r="P1153" s="3">
        <v>-671.89940571</v>
      </c>
      <c r="S1153" s="9"/>
      <c r="T1153" s="2"/>
      <c r="U1153" s="9"/>
    </row>
    <row r="1154" spans="2:21" x14ac:dyDescent="0.35">
      <c r="B1154" s="9"/>
      <c r="C1154" s="2"/>
      <c r="D1154" s="2"/>
      <c r="I1154" s="9"/>
      <c r="J1154" s="2"/>
      <c r="L1154" s="9"/>
      <c r="M1154" s="2"/>
      <c r="N1154" s="9"/>
      <c r="P1154" s="3">
        <v>-784.47345571000005</v>
      </c>
      <c r="S1154" s="9"/>
      <c r="T1154" s="2"/>
      <c r="U1154" s="9"/>
    </row>
    <row r="1155" spans="2:21" x14ac:dyDescent="0.35">
      <c r="B1155" s="9"/>
      <c r="C1155" s="2"/>
      <c r="D1155" s="2"/>
      <c r="I1155" s="9"/>
      <c r="J1155" s="2"/>
      <c r="L1155" s="9"/>
      <c r="M1155" s="2"/>
      <c r="N1155" s="9"/>
      <c r="P1155" s="3">
        <v>-858.76856570999996</v>
      </c>
      <c r="S1155" s="9"/>
      <c r="T1155" s="2"/>
      <c r="U1155" s="9"/>
    </row>
    <row r="1156" spans="2:21" x14ac:dyDescent="0.35">
      <c r="B1156" s="9"/>
      <c r="C1156" s="2"/>
      <c r="D1156" s="2"/>
      <c r="I1156" s="9"/>
      <c r="J1156" s="2"/>
      <c r="L1156" s="9"/>
      <c r="M1156" s="2"/>
      <c r="N1156" s="9"/>
      <c r="P1156" s="3">
        <v>-886.39324570999997</v>
      </c>
      <c r="S1156" s="9"/>
      <c r="T1156" s="2"/>
      <c r="U1156" s="9"/>
    </row>
    <row r="1157" spans="2:21" x14ac:dyDescent="0.35">
      <c r="B1157" s="9"/>
      <c r="C1157" s="2"/>
      <c r="D1157" s="2"/>
      <c r="I1157" s="9"/>
      <c r="J1157" s="2"/>
      <c r="L1157" s="9"/>
      <c r="M1157" s="2"/>
      <c r="N1157" s="9"/>
      <c r="P1157" s="3">
        <v>-833.54084570999999</v>
      </c>
      <c r="S1157" s="9"/>
      <c r="T1157" s="2"/>
      <c r="U1157" s="9"/>
    </row>
    <row r="1158" spans="2:21" x14ac:dyDescent="0.35">
      <c r="B1158" s="9"/>
      <c r="C1158" s="2"/>
      <c r="D1158" s="2"/>
      <c r="I1158" s="9"/>
      <c r="J1158" s="2"/>
      <c r="L1158" s="9"/>
      <c r="M1158" s="2"/>
      <c r="N1158" s="9"/>
      <c r="P1158" s="3">
        <v>-1058.8727340400001</v>
      </c>
      <c r="S1158" s="9"/>
      <c r="T1158" s="2"/>
      <c r="U1158" s="9"/>
    </row>
    <row r="1159" spans="2:21" x14ac:dyDescent="0.35">
      <c r="B1159" s="9"/>
      <c r="C1159" s="2"/>
      <c r="D1159" s="2"/>
      <c r="I1159" s="9"/>
      <c r="J1159" s="2"/>
      <c r="L1159" s="9"/>
      <c r="M1159" s="2"/>
      <c r="N1159" s="9"/>
      <c r="P1159" s="3">
        <v>-1082.0868940400001</v>
      </c>
      <c r="S1159" s="9"/>
      <c r="T1159" s="2"/>
      <c r="U1159" s="9"/>
    </row>
    <row r="1160" spans="2:21" x14ac:dyDescent="0.35">
      <c r="B1160" s="9"/>
      <c r="C1160" s="2"/>
      <c r="D1160" s="2"/>
      <c r="I1160" s="9"/>
      <c r="J1160" s="2"/>
      <c r="L1160" s="9"/>
      <c r="M1160" s="2"/>
      <c r="N1160" s="9"/>
      <c r="P1160" s="3">
        <v>-1140.15779404</v>
      </c>
      <c r="S1160" s="9"/>
      <c r="T1160" s="2"/>
      <c r="U1160" s="9"/>
    </row>
    <row r="1161" spans="2:21" x14ac:dyDescent="0.35">
      <c r="B1161" s="9"/>
      <c r="C1161" s="2"/>
      <c r="D1161" s="2"/>
      <c r="I1161" s="9"/>
      <c r="J1161" s="2"/>
      <c r="L1161" s="9"/>
      <c r="M1161" s="2"/>
      <c r="N1161" s="9"/>
      <c r="P1161" s="3">
        <v>-1196.49416404</v>
      </c>
      <c r="S1161" s="9"/>
      <c r="T1161" s="2"/>
      <c r="U1161" s="9"/>
    </row>
    <row r="1162" spans="2:21" x14ac:dyDescent="0.35">
      <c r="B1162" s="9"/>
      <c r="C1162" s="2"/>
      <c r="D1162" s="2"/>
      <c r="I1162" s="9"/>
      <c r="J1162" s="2"/>
      <c r="L1162" s="9"/>
      <c r="M1162" s="2"/>
      <c r="N1162" s="9"/>
      <c r="P1162" s="3">
        <v>-1297.5150940399999</v>
      </c>
      <c r="S1162" s="9"/>
      <c r="T1162" s="2"/>
      <c r="U1162" s="9"/>
    </row>
    <row r="1163" spans="2:21" x14ac:dyDescent="0.35">
      <c r="B1163" s="9"/>
      <c r="C1163" s="2"/>
      <c r="D1163" s="2"/>
      <c r="I1163" s="9"/>
      <c r="J1163" s="2"/>
      <c r="L1163" s="9"/>
      <c r="M1163" s="2"/>
      <c r="N1163" s="9"/>
      <c r="P1163" s="3">
        <v>-1326.28216404</v>
      </c>
      <c r="S1163" s="9"/>
      <c r="T1163" s="2"/>
      <c r="U1163" s="9"/>
    </row>
    <row r="1164" spans="2:21" x14ac:dyDescent="0.35">
      <c r="B1164" s="9"/>
      <c r="C1164" s="2"/>
      <c r="D1164" s="2"/>
      <c r="I1164" s="9"/>
      <c r="J1164" s="2"/>
      <c r="L1164" s="9"/>
      <c r="M1164" s="2"/>
      <c r="N1164" s="9"/>
      <c r="P1164" s="3">
        <v>-1366.7173740400001</v>
      </c>
      <c r="S1164" s="9"/>
      <c r="T1164" s="2"/>
      <c r="U1164" s="9"/>
    </row>
    <row r="1165" spans="2:21" x14ac:dyDescent="0.35">
      <c r="B1165" s="9"/>
      <c r="C1165" s="2"/>
      <c r="D1165" s="2"/>
      <c r="I1165" s="9"/>
      <c r="J1165" s="2"/>
      <c r="L1165" s="9"/>
      <c r="M1165" s="2"/>
      <c r="N1165" s="9"/>
      <c r="P1165" s="3">
        <v>-1387.23282404</v>
      </c>
      <c r="S1165" s="9"/>
      <c r="T1165" s="2"/>
      <c r="U1165" s="9"/>
    </row>
    <row r="1166" spans="2:21" x14ac:dyDescent="0.35">
      <c r="B1166" s="9"/>
      <c r="C1166" s="2"/>
      <c r="D1166" s="2"/>
      <c r="I1166" s="9"/>
      <c r="J1166" s="2"/>
      <c r="L1166" s="9"/>
      <c r="M1166" s="2"/>
      <c r="N1166" s="9"/>
      <c r="P1166" s="3">
        <v>-1422.4914240400001</v>
      </c>
      <c r="S1166" s="9"/>
      <c r="T1166" s="2"/>
      <c r="U1166" s="9"/>
    </row>
    <row r="1167" spans="2:21" x14ac:dyDescent="0.35">
      <c r="B1167" s="9"/>
      <c r="C1167" s="2"/>
      <c r="D1167" s="2"/>
      <c r="I1167" s="9"/>
      <c r="J1167" s="2"/>
      <c r="L1167" s="9"/>
      <c r="M1167" s="2"/>
      <c r="N1167" s="9"/>
      <c r="P1167" s="3">
        <v>-1857.2514240400001</v>
      </c>
      <c r="S1167" s="9"/>
      <c r="T1167" s="2"/>
      <c r="U1167" s="9"/>
    </row>
    <row r="1168" spans="2:21" x14ac:dyDescent="0.35">
      <c r="B1168" s="9"/>
      <c r="C1168" s="2"/>
      <c r="D1168" s="2"/>
      <c r="I1168" s="9"/>
      <c r="J1168" s="2"/>
      <c r="L1168" s="9"/>
      <c r="M1168" s="2"/>
      <c r="N1168" s="9"/>
      <c r="P1168" s="3">
        <v>-2292.0114240399998</v>
      </c>
      <c r="S1168" s="9"/>
      <c r="T1168" s="2"/>
      <c r="U1168" s="9"/>
    </row>
    <row r="1169" spans="2:21" x14ac:dyDescent="0.35">
      <c r="B1169" s="9"/>
      <c r="C1169" s="2"/>
      <c r="D1169" s="2"/>
      <c r="I1169" s="9"/>
      <c r="J1169" s="2"/>
      <c r="L1169" s="9"/>
      <c r="M1169" s="2"/>
      <c r="N1169" s="9"/>
      <c r="P1169" s="3">
        <v>-2726.7714240400001</v>
      </c>
      <c r="S1169" s="9"/>
      <c r="T1169" s="2"/>
      <c r="U1169" s="9"/>
    </row>
    <row r="1170" spans="2:21" x14ac:dyDescent="0.35">
      <c r="B1170" s="9"/>
      <c r="C1170" s="2"/>
      <c r="D1170" s="2"/>
      <c r="I1170" s="9"/>
      <c r="J1170" s="2"/>
      <c r="L1170" s="9"/>
      <c r="M1170" s="2"/>
      <c r="N1170" s="9"/>
      <c r="P1170" s="3">
        <v>-2860.169492</v>
      </c>
      <c r="S1170" s="9"/>
      <c r="T1170" s="2"/>
      <c r="U1170" s="9"/>
    </row>
    <row r="1171" spans="2:21" x14ac:dyDescent="0.35">
      <c r="B1171" s="9"/>
      <c r="C1171" s="2"/>
      <c r="D1171" s="2"/>
      <c r="I1171" s="9"/>
      <c r="J1171" s="2"/>
      <c r="L1171" s="9"/>
      <c r="M1171" s="2"/>
      <c r="N1171" s="9"/>
      <c r="P1171" s="3">
        <v>-2860.169492</v>
      </c>
      <c r="S1171" s="9"/>
      <c r="T1171" s="2"/>
      <c r="U1171" s="9"/>
    </row>
    <row r="1172" spans="2:21" x14ac:dyDescent="0.35">
      <c r="B1172" s="9"/>
      <c r="C1172" s="2"/>
      <c r="D1172" s="2"/>
      <c r="I1172" s="9"/>
      <c r="J1172" s="2"/>
      <c r="L1172" s="9"/>
      <c r="M1172" s="2"/>
      <c r="N1172" s="9"/>
      <c r="P1172" s="3">
        <v>-2860.169492</v>
      </c>
      <c r="S1172" s="9"/>
      <c r="T1172" s="2"/>
      <c r="U1172" s="9"/>
    </row>
    <row r="1173" spans="2:21" x14ac:dyDescent="0.35">
      <c r="B1173" s="9"/>
      <c r="C1173" s="2"/>
      <c r="D1173" s="2"/>
      <c r="I1173" s="9"/>
      <c r="J1173" s="2"/>
      <c r="L1173" s="9"/>
      <c r="M1173" s="2"/>
      <c r="N1173" s="9"/>
      <c r="P1173" s="3">
        <v>-2860.169492</v>
      </c>
      <c r="S1173" s="9"/>
      <c r="T1173" s="2"/>
      <c r="U1173" s="9"/>
    </row>
    <row r="1174" spans="2:21" x14ac:dyDescent="0.35">
      <c r="B1174" s="9"/>
      <c r="C1174" s="2"/>
      <c r="D1174" s="2"/>
      <c r="I1174" s="9"/>
      <c r="J1174" s="2"/>
      <c r="L1174" s="9"/>
      <c r="M1174" s="2"/>
      <c r="N1174" s="9"/>
      <c r="P1174" s="3">
        <v>-2860.169492</v>
      </c>
      <c r="S1174" s="9"/>
      <c r="T1174" s="2"/>
      <c r="U1174" s="9"/>
    </row>
    <row r="1175" spans="2:21" x14ac:dyDescent="0.35">
      <c r="B1175" s="9"/>
      <c r="C1175" s="2"/>
      <c r="D1175" s="2"/>
      <c r="I1175" s="9"/>
      <c r="J1175" s="2"/>
      <c r="L1175" s="9"/>
      <c r="M1175" s="2"/>
      <c r="N1175" s="9"/>
      <c r="P1175" s="3">
        <v>-2860.169492</v>
      </c>
      <c r="S1175" s="9"/>
      <c r="T1175" s="2"/>
      <c r="U1175" s="9"/>
    </row>
    <row r="1176" spans="2:21" x14ac:dyDescent="0.35">
      <c r="B1176" s="9"/>
      <c r="C1176" s="2"/>
      <c r="D1176" s="2"/>
      <c r="I1176" s="9"/>
      <c r="J1176" s="2"/>
      <c r="L1176" s="9"/>
      <c r="M1176" s="2"/>
      <c r="N1176" s="9"/>
      <c r="P1176" s="3">
        <v>-2813.3523140399998</v>
      </c>
      <c r="S1176" s="9"/>
      <c r="T1176" s="2"/>
      <c r="U1176" s="9"/>
    </row>
    <row r="1177" spans="2:21" x14ac:dyDescent="0.35">
      <c r="B1177" s="9"/>
      <c r="C1177" s="2"/>
      <c r="D1177" s="2"/>
      <c r="I1177" s="9"/>
      <c r="J1177" s="2"/>
      <c r="L1177" s="9"/>
      <c r="M1177" s="2"/>
      <c r="N1177" s="9"/>
      <c r="P1177" s="3">
        <v>-2700.4147440400002</v>
      </c>
      <c r="S1177" s="9"/>
      <c r="T1177" s="2"/>
      <c r="U1177" s="9"/>
    </row>
    <row r="1178" spans="2:21" x14ac:dyDescent="0.35">
      <c r="B1178" s="9"/>
      <c r="C1178" s="2"/>
      <c r="D1178" s="2"/>
      <c r="I1178" s="9"/>
      <c r="J1178" s="2"/>
      <c r="L1178" s="9"/>
      <c r="M1178" s="2"/>
      <c r="N1178" s="9"/>
      <c r="P1178" s="3">
        <v>-2860.169492</v>
      </c>
      <c r="S1178" s="9"/>
      <c r="T1178" s="2"/>
      <c r="U1178" s="9"/>
    </row>
    <row r="1179" spans="2:21" x14ac:dyDescent="0.35">
      <c r="B1179" s="9"/>
      <c r="C1179" s="2"/>
      <c r="D1179" s="2"/>
      <c r="I1179" s="9"/>
      <c r="J1179" s="2"/>
      <c r="L1179" s="9"/>
      <c r="M1179" s="2"/>
      <c r="N1179" s="9"/>
      <c r="P1179" s="3">
        <v>-2860.169492</v>
      </c>
      <c r="S1179" s="9"/>
      <c r="T1179" s="2"/>
      <c r="U1179" s="9"/>
    </row>
    <row r="1180" spans="2:21" x14ac:dyDescent="0.35">
      <c r="B1180" s="9"/>
      <c r="C1180" s="2"/>
      <c r="D1180" s="2"/>
      <c r="I1180" s="9"/>
      <c r="J1180" s="2"/>
      <c r="L1180" s="9"/>
      <c r="M1180" s="2"/>
      <c r="N1180" s="9"/>
      <c r="P1180" s="3">
        <v>-2860.169492</v>
      </c>
      <c r="S1180" s="9"/>
      <c r="T1180" s="2"/>
      <c r="U1180" s="9"/>
    </row>
    <row r="1181" spans="2:21" x14ac:dyDescent="0.35">
      <c r="B1181" s="9"/>
      <c r="C1181" s="2"/>
      <c r="D1181" s="2"/>
      <c r="I1181" s="9"/>
      <c r="J1181" s="2"/>
      <c r="L1181" s="9"/>
      <c r="M1181" s="2"/>
      <c r="N1181" s="9"/>
      <c r="P1181" s="3">
        <v>-2860.169492</v>
      </c>
      <c r="S1181" s="9"/>
      <c r="T1181" s="2"/>
      <c r="U1181" s="9"/>
    </row>
    <row r="1182" spans="2:21" x14ac:dyDescent="0.35">
      <c r="B1182" s="9"/>
      <c r="C1182" s="2"/>
      <c r="D1182" s="2"/>
      <c r="I1182" s="9"/>
      <c r="J1182" s="2"/>
      <c r="L1182" s="9"/>
      <c r="M1182" s="2"/>
      <c r="N1182" s="9"/>
      <c r="P1182" s="3">
        <v>-2860.169492</v>
      </c>
      <c r="S1182" s="9"/>
      <c r="T1182" s="2"/>
      <c r="U1182" s="9"/>
    </row>
    <row r="1183" spans="2:21" x14ac:dyDescent="0.35">
      <c r="B1183" s="9"/>
      <c r="C1183" s="2"/>
      <c r="D1183" s="2"/>
      <c r="I1183" s="9"/>
      <c r="J1183" s="2"/>
      <c r="L1183" s="9"/>
      <c r="M1183" s="2"/>
      <c r="N1183" s="9"/>
      <c r="P1183" s="3">
        <v>-2860.169492</v>
      </c>
      <c r="S1183" s="9"/>
      <c r="T1183" s="2"/>
      <c r="U1183" s="9"/>
    </row>
    <row r="1184" spans="2:21" x14ac:dyDescent="0.35">
      <c r="B1184" s="9"/>
      <c r="C1184" s="2"/>
      <c r="D1184" s="2"/>
      <c r="I1184" s="9"/>
      <c r="J1184" s="2"/>
      <c r="L1184" s="9"/>
      <c r="M1184" s="2"/>
      <c r="N1184" s="9"/>
      <c r="P1184" s="3">
        <v>-2860.169492</v>
      </c>
      <c r="S1184" s="9"/>
      <c r="T1184" s="2"/>
      <c r="U1184" s="9"/>
    </row>
    <row r="1185" spans="2:21" x14ac:dyDescent="0.35">
      <c r="B1185" s="9"/>
      <c r="C1185" s="2"/>
      <c r="D1185" s="2"/>
      <c r="I1185" s="9"/>
      <c r="J1185" s="2"/>
      <c r="L1185" s="9"/>
      <c r="M1185" s="2"/>
      <c r="N1185" s="9"/>
      <c r="P1185" s="3">
        <v>-2860.169492</v>
      </c>
      <c r="S1185" s="9"/>
      <c r="T1185" s="2"/>
      <c r="U1185" s="9"/>
    </row>
    <row r="1186" spans="2:21" x14ac:dyDescent="0.35">
      <c r="B1186" s="9"/>
      <c r="C1186" s="2"/>
      <c r="D1186" s="2"/>
      <c r="I1186" s="9"/>
      <c r="J1186" s="2"/>
      <c r="L1186" s="9"/>
      <c r="M1186" s="2"/>
      <c r="N1186" s="9"/>
      <c r="P1186" s="3">
        <v>-2860.169492</v>
      </c>
      <c r="S1186" s="9"/>
      <c r="T1186" s="2"/>
      <c r="U1186" s="9"/>
    </row>
    <row r="1187" spans="2:21" x14ac:dyDescent="0.35">
      <c r="B1187" s="9"/>
      <c r="C1187" s="2"/>
      <c r="D1187" s="2"/>
      <c r="I1187" s="9"/>
      <c r="J1187" s="2"/>
      <c r="L1187" s="9"/>
      <c r="M1187" s="2"/>
      <c r="N1187" s="9"/>
      <c r="P1187" s="3">
        <v>-2860.169492</v>
      </c>
      <c r="S1187" s="9"/>
      <c r="T1187" s="2"/>
      <c r="U1187" s="9"/>
    </row>
    <row r="1188" spans="2:21" x14ac:dyDescent="0.35">
      <c r="B1188" s="9"/>
      <c r="C1188" s="2"/>
      <c r="D1188" s="2"/>
      <c r="I1188" s="9"/>
      <c r="J1188" s="2"/>
      <c r="L1188" s="9"/>
      <c r="M1188" s="2"/>
      <c r="N1188" s="9"/>
      <c r="P1188" s="3">
        <v>-2860.169492</v>
      </c>
      <c r="S1188" s="9"/>
      <c r="T1188" s="2"/>
      <c r="U1188" s="9"/>
    </row>
    <row r="1189" spans="2:21" x14ac:dyDescent="0.35">
      <c r="B1189" s="9"/>
      <c r="C1189" s="2"/>
      <c r="D1189" s="2"/>
      <c r="I1189" s="9"/>
      <c r="J1189" s="2"/>
      <c r="L1189" s="9"/>
      <c r="M1189" s="2"/>
      <c r="N1189" s="9"/>
      <c r="P1189" s="3">
        <v>-2860.169492</v>
      </c>
      <c r="S1189" s="9"/>
      <c r="T1189" s="2"/>
      <c r="U1189" s="9"/>
    </row>
    <row r="1190" spans="2:21" x14ac:dyDescent="0.35">
      <c r="B1190" s="9"/>
      <c r="C1190" s="2"/>
      <c r="D1190" s="2"/>
      <c r="I1190" s="9"/>
      <c r="J1190" s="2"/>
      <c r="L1190" s="9"/>
      <c r="M1190" s="2"/>
      <c r="N1190" s="9"/>
      <c r="P1190" s="3">
        <v>-2860.169492</v>
      </c>
      <c r="S1190" s="9"/>
      <c r="T1190" s="2"/>
      <c r="U1190" s="9"/>
    </row>
    <row r="1191" spans="2:21" x14ac:dyDescent="0.35">
      <c r="B1191" s="9"/>
      <c r="C1191" s="2"/>
      <c r="D1191" s="2"/>
      <c r="I1191" s="9"/>
      <c r="J1191" s="2"/>
      <c r="L1191" s="9"/>
      <c r="M1191" s="2"/>
      <c r="N1191" s="9"/>
      <c r="P1191" s="3">
        <v>-2860.169492</v>
      </c>
      <c r="S1191" s="9"/>
      <c r="T1191" s="2"/>
      <c r="U1191" s="9"/>
    </row>
    <row r="1192" spans="2:21" x14ac:dyDescent="0.35">
      <c r="B1192" s="9"/>
      <c r="C1192" s="2"/>
      <c r="D1192" s="2"/>
      <c r="I1192" s="9"/>
      <c r="J1192" s="2"/>
      <c r="L1192" s="9"/>
      <c r="M1192" s="2"/>
      <c r="N1192" s="9"/>
      <c r="P1192" s="3">
        <v>-2860.169492</v>
      </c>
      <c r="S1192" s="9"/>
      <c r="T1192" s="2"/>
      <c r="U1192" s="9"/>
    </row>
    <row r="1193" spans="2:21" x14ac:dyDescent="0.35">
      <c r="B1193" s="9"/>
      <c r="C1193" s="2"/>
      <c r="D1193" s="2"/>
      <c r="I1193" s="9"/>
      <c r="J1193" s="2"/>
      <c r="L1193" s="9"/>
      <c r="M1193" s="2"/>
      <c r="N1193" s="9"/>
      <c r="P1193" s="3">
        <v>-2860.169492</v>
      </c>
      <c r="S1193" s="9"/>
      <c r="T1193" s="2"/>
      <c r="U1193" s="9"/>
    </row>
    <row r="1194" spans="2:21" x14ac:dyDescent="0.35">
      <c r="B1194" s="9"/>
      <c r="C1194" s="2"/>
      <c r="D1194" s="2"/>
      <c r="I1194" s="9"/>
      <c r="J1194" s="2"/>
      <c r="L1194" s="9"/>
      <c r="M1194" s="2"/>
      <c r="N1194" s="9"/>
      <c r="P1194" s="3">
        <v>-2425.4094919999998</v>
      </c>
      <c r="S1194" s="9"/>
      <c r="T1194" s="2"/>
      <c r="U1194" s="9"/>
    </row>
    <row r="1195" spans="2:21" x14ac:dyDescent="0.35">
      <c r="B1195" s="9"/>
      <c r="C1195" s="2"/>
      <c r="D1195" s="2"/>
      <c r="I1195" s="9"/>
      <c r="J1195" s="2"/>
      <c r="L1195" s="9"/>
      <c r="M1195" s="2"/>
      <c r="N1195" s="9"/>
      <c r="P1195" s="3">
        <v>-1990.649492</v>
      </c>
      <c r="S1195" s="9"/>
      <c r="T1195" s="2"/>
      <c r="U1195" s="9"/>
    </row>
    <row r="1196" spans="2:21" x14ac:dyDescent="0.35">
      <c r="B1196" s="9"/>
      <c r="C1196" s="2"/>
      <c r="D1196" s="2"/>
      <c r="I1196" s="9"/>
      <c r="J1196" s="2"/>
      <c r="L1196" s="9"/>
      <c r="M1196" s="2"/>
      <c r="N1196" s="9"/>
      <c r="P1196" s="3">
        <v>-1555.889492</v>
      </c>
      <c r="S1196" s="9"/>
      <c r="T1196" s="2"/>
      <c r="U1196" s="9"/>
    </row>
    <row r="1197" spans="2:21" x14ac:dyDescent="0.35">
      <c r="B1197" s="9"/>
      <c r="C1197" s="2"/>
      <c r="D1197" s="2"/>
      <c r="I1197" s="9"/>
      <c r="J1197" s="2"/>
      <c r="L1197" s="9"/>
      <c r="M1197" s="2"/>
      <c r="N1197" s="9"/>
      <c r="P1197" s="3">
        <v>-1474.77069697</v>
      </c>
      <c r="S1197" s="9"/>
      <c r="T1197" s="2"/>
      <c r="U1197" s="9"/>
    </row>
    <row r="1198" spans="2:21" x14ac:dyDescent="0.35">
      <c r="B1198" s="9"/>
      <c r="C1198" s="2"/>
      <c r="D1198" s="2"/>
      <c r="I1198" s="9"/>
      <c r="J1198" s="2"/>
      <c r="L1198" s="9"/>
      <c r="M1198" s="2"/>
      <c r="N1198" s="9"/>
      <c r="P1198" s="3">
        <v>-1909.53069697</v>
      </c>
      <c r="S1198" s="9"/>
      <c r="T1198" s="2"/>
      <c r="U1198" s="9"/>
    </row>
    <row r="1199" spans="2:21" x14ac:dyDescent="0.35">
      <c r="B1199" s="9"/>
      <c r="C1199" s="2"/>
      <c r="D1199" s="2"/>
      <c r="I1199" s="9"/>
      <c r="J1199" s="2"/>
      <c r="L1199" s="9"/>
      <c r="M1199" s="2"/>
      <c r="N1199" s="9"/>
      <c r="P1199" s="3">
        <v>-2344.2906969700002</v>
      </c>
      <c r="S1199" s="9"/>
      <c r="T1199" s="2"/>
      <c r="U1199" s="9"/>
    </row>
    <row r="1200" spans="2:21" x14ac:dyDescent="0.35">
      <c r="B1200" s="9"/>
      <c r="C1200" s="2"/>
      <c r="D1200" s="2"/>
      <c r="I1200" s="9"/>
      <c r="J1200" s="2"/>
      <c r="L1200" s="9"/>
      <c r="M1200" s="2"/>
      <c r="N1200" s="9"/>
      <c r="P1200" s="3">
        <v>-2779.05069697</v>
      </c>
      <c r="S1200" s="9"/>
      <c r="T1200" s="2"/>
      <c r="U1200" s="9"/>
    </row>
    <row r="1201" spans="2:21" x14ac:dyDescent="0.35">
      <c r="B1201" s="9"/>
      <c r="C1201" s="2"/>
      <c r="D1201" s="2"/>
      <c r="I1201" s="9"/>
      <c r="J1201" s="2"/>
      <c r="L1201" s="9"/>
      <c r="M1201" s="2"/>
      <c r="N1201" s="9"/>
      <c r="P1201" s="3">
        <v>-2860.169492</v>
      </c>
      <c r="S1201" s="9"/>
      <c r="T1201" s="2"/>
      <c r="U1201" s="9"/>
    </row>
    <row r="1202" spans="2:21" x14ac:dyDescent="0.35">
      <c r="B1202" s="9"/>
      <c r="C1202" s="2"/>
      <c r="D1202" s="2"/>
      <c r="I1202" s="9"/>
      <c r="J1202" s="2"/>
      <c r="L1202" s="9"/>
      <c r="M1202" s="2"/>
      <c r="N1202" s="9"/>
      <c r="P1202" s="3">
        <v>-2860.169492</v>
      </c>
      <c r="S1202" s="9"/>
      <c r="T1202" s="2"/>
      <c r="U1202" s="9"/>
    </row>
    <row r="1203" spans="2:21" x14ac:dyDescent="0.35">
      <c r="B1203" s="9"/>
      <c r="C1203" s="2"/>
      <c r="D1203" s="2"/>
      <c r="I1203" s="9"/>
      <c r="J1203" s="2"/>
      <c r="L1203" s="9"/>
      <c r="M1203" s="2"/>
      <c r="N1203" s="9"/>
      <c r="P1203" s="3">
        <v>-2860.169492</v>
      </c>
      <c r="S1203" s="9"/>
      <c r="T1203" s="2"/>
      <c r="U1203" s="9"/>
    </row>
    <row r="1204" spans="2:21" x14ac:dyDescent="0.35">
      <c r="B1204" s="9"/>
      <c r="C1204" s="2"/>
      <c r="D1204" s="2"/>
      <c r="I1204" s="9"/>
      <c r="J1204" s="2"/>
      <c r="L1204" s="9"/>
      <c r="M1204" s="2"/>
      <c r="N1204" s="9"/>
      <c r="P1204" s="3">
        <v>-2860.169492</v>
      </c>
      <c r="S1204" s="9"/>
      <c r="T1204" s="2"/>
      <c r="U1204" s="9"/>
    </row>
    <row r="1205" spans="2:21" x14ac:dyDescent="0.35">
      <c r="B1205" s="9"/>
      <c r="C1205" s="2"/>
      <c r="D1205" s="2"/>
      <c r="I1205" s="9"/>
      <c r="J1205" s="2"/>
      <c r="L1205" s="9"/>
      <c r="M1205" s="2"/>
      <c r="N1205" s="9"/>
      <c r="P1205" s="3">
        <v>-2860.169492</v>
      </c>
      <c r="S1205" s="9"/>
      <c r="T1205" s="2"/>
      <c r="U1205" s="9"/>
    </row>
    <row r="1206" spans="2:21" x14ac:dyDescent="0.35">
      <c r="B1206" s="9"/>
      <c r="C1206" s="2"/>
      <c r="D1206" s="2"/>
      <c r="I1206" s="9"/>
      <c r="J1206" s="2"/>
      <c r="L1206" s="9"/>
      <c r="M1206" s="2"/>
      <c r="N1206" s="9"/>
      <c r="P1206" s="3">
        <v>-2860.169492</v>
      </c>
      <c r="S1206" s="9"/>
      <c r="T1206" s="2"/>
      <c r="U1206" s="9"/>
    </row>
    <row r="1207" spans="2:21" x14ac:dyDescent="0.35">
      <c r="B1207" s="9"/>
      <c r="C1207" s="2"/>
      <c r="D1207" s="2"/>
      <c r="I1207" s="9"/>
      <c r="J1207" s="2"/>
      <c r="L1207" s="9"/>
      <c r="M1207" s="2"/>
      <c r="N1207" s="9"/>
      <c r="P1207" s="3">
        <v>-2860.169492</v>
      </c>
      <c r="S1207" s="9"/>
      <c r="T1207" s="2"/>
      <c r="U1207" s="9"/>
    </row>
    <row r="1208" spans="2:21" x14ac:dyDescent="0.35">
      <c r="B1208" s="9"/>
      <c r="C1208" s="2"/>
      <c r="D1208" s="2"/>
      <c r="I1208" s="9"/>
      <c r="J1208" s="2"/>
      <c r="L1208" s="9"/>
      <c r="M1208" s="2"/>
      <c r="N1208" s="9"/>
      <c r="P1208" s="3">
        <v>-2677.2288736800001</v>
      </c>
      <c r="S1208" s="9"/>
      <c r="T1208" s="2"/>
      <c r="U1208" s="9"/>
    </row>
    <row r="1209" spans="2:21" x14ac:dyDescent="0.35">
      <c r="B1209" s="9"/>
      <c r="C1209" s="2"/>
      <c r="D1209" s="2"/>
      <c r="I1209" s="9"/>
      <c r="J1209" s="2"/>
      <c r="L1209" s="9"/>
      <c r="M1209" s="2"/>
      <c r="N1209" s="9"/>
      <c r="P1209" s="3">
        <v>-2432.60760368</v>
      </c>
      <c r="S1209" s="9"/>
      <c r="T1209" s="2"/>
      <c r="U1209" s="9"/>
    </row>
    <row r="1210" spans="2:21" x14ac:dyDescent="0.35">
      <c r="B1210" s="9"/>
      <c r="C1210" s="2"/>
      <c r="D1210" s="2"/>
      <c r="I1210" s="9"/>
      <c r="J1210" s="2"/>
      <c r="L1210" s="9"/>
      <c r="M1210" s="2"/>
      <c r="N1210" s="9"/>
      <c r="P1210" s="3">
        <v>-2303.31447368</v>
      </c>
      <c r="S1210" s="9"/>
      <c r="T1210" s="2"/>
      <c r="U1210" s="9"/>
    </row>
    <row r="1211" spans="2:21" x14ac:dyDescent="0.35">
      <c r="B1211" s="9"/>
      <c r="C1211" s="2"/>
      <c r="D1211" s="2"/>
      <c r="I1211" s="9"/>
      <c r="J1211" s="2"/>
      <c r="L1211" s="9"/>
      <c r="M1211" s="2"/>
      <c r="N1211" s="9"/>
      <c r="P1211" s="3">
        <v>-2099.2321672100002</v>
      </c>
      <c r="S1211" s="9"/>
      <c r="T1211" s="2"/>
      <c r="U1211" s="9"/>
    </row>
    <row r="1212" spans="2:21" x14ac:dyDescent="0.35">
      <c r="B1212" s="9"/>
      <c r="C1212" s="2"/>
      <c r="D1212" s="2"/>
      <c r="I1212" s="9"/>
      <c r="J1212" s="2"/>
      <c r="L1212" s="9"/>
      <c r="M1212" s="2"/>
      <c r="N1212" s="9"/>
      <c r="P1212" s="3">
        <v>-1891.31018073</v>
      </c>
      <c r="S1212" s="9"/>
      <c r="T1212" s="2"/>
      <c r="U1212" s="9"/>
    </row>
    <row r="1213" spans="2:21" x14ac:dyDescent="0.35">
      <c r="B1213" s="9"/>
      <c r="C1213" s="2"/>
      <c r="D1213" s="2"/>
      <c r="I1213" s="9"/>
      <c r="J1213" s="2"/>
      <c r="L1213" s="9"/>
      <c r="M1213" s="2"/>
      <c r="N1213" s="9"/>
      <c r="P1213" s="3">
        <v>-1595.8185082800001</v>
      </c>
      <c r="S1213" s="9"/>
      <c r="T1213" s="2"/>
      <c r="U1213" s="9"/>
    </row>
    <row r="1214" spans="2:21" x14ac:dyDescent="0.35">
      <c r="B1214" s="9"/>
      <c r="C1214" s="2"/>
      <c r="D1214" s="2"/>
      <c r="I1214" s="9"/>
      <c r="J1214" s="2"/>
      <c r="L1214" s="9"/>
      <c r="M1214" s="2"/>
      <c r="N1214" s="9"/>
      <c r="P1214" s="3">
        <v>-1408.2664218</v>
      </c>
      <c r="S1214" s="9"/>
      <c r="T1214" s="2"/>
      <c r="U1214" s="9"/>
    </row>
    <row r="1215" spans="2:21" x14ac:dyDescent="0.35">
      <c r="B1215" s="9"/>
      <c r="C1215" s="2"/>
      <c r="D1215" s="2"/>
      <c r="I1215" s="9"/>
      <c r="J1215" s="2"/>
      <c r="L1215" s="9"/>
      <c r="M1215" s="2"/>
      <c r="N1215" s="9"/>
      <c r="P1215" s="3">
        <v>-1809.4277818</v>
      </c>
      <c r="S1215" s="9"/>
      <c r="T1215" s="2"/>
      <c r="U1215" s="9"/>
    </row>
    <row r="1216" spans="2:21" x14ac:dyDescent="0.35">
      <c r="B1216" s="9"/>
      <c r="C1216" s="2"/>
      <c r="D1216" s="2"/>
      <c r="I1216" s="9"/>
      <c r="J1216" s="2"/>
      <c r="L1216" s="9"/>
      <c r="M1216" s="2"/>
      <c r="N1216" s="9"/>
      <c r="P1216" s="3">
        <v>-2210.3412515499999</v>
      </c>
      <c r="S1216" s="9"/>
      <c r="T1216" s="2"/>
      <c r="U1216" s="9"/>
    </row>
    <row r="1217" spans="2:21" x14ac:dyDescent="0.35">
      <c r="B1217" s="9"/>
      <c r="C1217" s="2"/>
      <c r="D1217" s="2"/>
      <c r="I1217" s="9"/>
      <c r="J1217" s="2"/>
      <c r="L1217" s="9"/>
      <c r="M1217" s="2"/>
      <c r="N1217" s="9"/>
      <c r="P1217" s="3">
        <v>-2637.45453155</v>
      </c>
      <c r="S1217" s="9"/>
      <c r="T1217" s="2"/>
      <c r="U1217" s="9"/>
    </row>
    <row r="1218" spans="2:21" x14ac:dyDescent="0.35">
      <c r="B1218" s="9"/>
      <c r="C1218" s="2"/>
      <c r="D1218" s="2"/>
      <c r="I1218" s="9"/>
      <c r="J1218" s="2"/>
      <c r="L1218" s="9"/>
      <c r="M1218" s="2"/>
      <c r="N1218" s="9"/>
      <c r="P1218" s="3">
        <v>-2860.169492</v>
      </c>
      <c r="S1218" s="9"/>
      <c r="T1218" s="2"/>
      <c r="U1218" s="9"/>
    </row>
    <row r="1219" spans="2:21" x14ac:dyDescent="0.35">
      <c r="B1219" s="9"/>
      <c r="C1219" s="2"/>
      <c r="D1219" s="2"/>
      <c r="I1219" s="9"/>
      <c r="J1219" s="2"/>
      <c r="L1219" s="9"/>
      <c r="M1219" s="2"/>
      <c r="N1219" s="9"/>
      <c r="P1219" s="3">
        <v>-2860.169492</v>
      </c>
      <c r="S1219" s="9"/>
      <c r="T1219" s="2"/>
      <c r="U1219" s="9"/>
    </row>
    <row r="1220" spans="2:21" x14ac:dyDescent="0.35">
      <c r="B1220" s="9"/>
      <c r="C1220" s="2"/>
      <c r="D1220" s="2"/>
      <c r="I1220" s="9"/>
      <c r="J1220" s="2"/>
      <c r="L1220" s="9"/>
      <c r="M1220" s="2"/>
      <c r="N1220" s="9"/>
      <c r="P1220" s="3">
        <v>-2857.6704417999999</v>
      </c>
      <c r="S1220" s="9"/>
      <c r="T1220" s="2"/>
      <c r="U1220" s="9"/>
    </row>
    <row r="1221" spans="2:21" x14ac:dyDescent="0.35">
      <c r="B1221" s="9"/>
      <c r="C1221" s="2"/>
      <c r="D1221" s="2"/>
      <c r="I1221" s="9"/>
      <c r="J1221" s="2"/>
      <c r="L1221" s="9"/>
      <c r="M1221" s="2"/>
      <c r="N1221" s="9"/>
      <c r="P1221" s="3">
        <v>-2422.9104418000002</v>
      </c>
      <c r="S1221" s="9"/>
      <c r="T1221" s="2"/>
      <c r="U1221" s="9"/>
    </row>
    <row r="1222" spans="2:21" x14ac:dyDescent="0.35">
      <c r="B1222" s="9"/>
      <c r="C1222" s="2"/>
      <c r="D1222" s="2"/>
      <c r="I1222" s="9"/>
      <c r="J1222" s="2"/>
      <c r="L1222" s="9"/>
      <c r="M1222" s="2"/>
      <c r="N1222" s="9"/>
      <c r="P1222" s="3">
        <v>-1988.1504418</v>
      </c>
      <c r="S1222" s="9"/>
      <c r="T1222" s="2"/>
      <c r="U1222" s="9"/>
    </row>
    <row r="1223" spans="2:21" x14ac:dyDescent="0.35">
      <c r="B1223" s="9"/>
      <c r="C1223" s="2"/>
      <c r="D1223" s="2"/>
      <c r="I1223" s="9"/>
      <c r="J1223" s="2"/>
      <c r="L1223" s="9"/>
      <c r="M1223" s="2"/>
      <c r="N1223" s="9"/>
      <c r="P1223" s="3">
        <v>-1553.3904418</v>
      </c>
      <c r="S1223" s="9"/>
      <c r="T1223" s="2"/>
      <c r="U1223" s="9"/>
    </row>
    <row r="1224" spans="2:21" x14ac:dyDescent="0.35">
      <c r="B1224" s="9"/>
      <c r="C1224" s="2"/>
      <c r="D1224" s="2"/>
      <c r="I1224" s="9"/>
      <c r="J1224" s="2"/>
      <c r="L1224" s="9"/>
      <c r="M1224" s="2"/>
      <c r="N1224" s="9"/>
      <c r="P1224" s="3">
        <v>-1118.6304418</v>
      </c>
      <c r="S1224" s="9"/>
      <c r="T1224" s="2"/>
      <c r="U1224" s="9"/>
    </row>
    <row r="1225" spans="2:21" x14ac:dyDescent="0.35">
      <c r="B1225" s="9"/>
      <c r="C1225" s="2"/>
      <c r="D1225" s="2"/>
      <c r="I1225" s="9"/>
      <c r="J1225" s="2"/>
      <c r="L1225" s="9"/>
      <c r="M1225" s="2"/>
      <c r="N1225" s="9"/>
      <c r="P1225" s="3">
        <v>-1102.8332425599999</v>
      </c>
      <c r="S1225" s="9"/>
      <c r="T1225" s="2"/>
      <c r="U1225" s="9"/>
    </row>
    <row r="1226" spans="2:21" x14ac:dyDescent="0.35">
      <c r="B1226" s="9"/>
      <c r="C1226" s="2"/>
      <c r="D1226" s="2"/>
      <c r="I1226" s="9"/>
      <c r="J1226" s="2"/>
      <c r="L1226" s="9"/>
      <c r="M1226" s="2"/>
      <c r="N1226" s="9"/>
      <c r="P1226" s="3">
        <v>-1285.27149306</v>
      </c>
      <c r="S1226" s="9"/>
      <c r="T1226" s="2"/>
      <c r="U1226" s="9"/>
    </row>
    <row r="1227" spans="2:21" x14ac:dyDescent="0.35">
      <c r="B1227" s="9"/>
      <c r="C1227" s="2"/>
      <c r="D1227" s="2"/>
      <c r="I1227" s="9"/>
      <c r="J1227" s="2"/>
      <c r="L1227" s="9"/>
      <c r="M1227" s="2"/>
      <c r="N1227" s="9"/>
      <c r="P1227" s="3">
        <v>-1546.9641534299999</v>
      </c>
      <c r="S1227" s="9"/>
      <c r="T1227" s="2"/>
      <c r="U1227" s="9"/>
    </row>
    <row r="1228" spans="2:21" x14ac:dyDescent="0.35">
      <c r="B1228" s="9"/>
      <c r="C1228" s="2"/>
      <c r="D1228" s="2"/>
      <c r="I1228" s="9"/>
      <c r="J1228" s="2"/>
      <c r="L1228" s="9"/>
      <c r="M1228" s="2"/>
      <c r="N1228" s="9"/>
      <c r="P1228" s="3">
        <v>-1777.31807368</v>
      </c>
      <c r="S1228" s="9"/>
      <c r="T1228" s="2"/>
      <c r="U1228" s="9"/>
    </row>
    <row r="1229" spans="2:21" x14ac:dyDescent="0.35">
      <c r="B1229" s="9"/>
      <c r="C1229" s="2"/>
      <c r="D1229" s="2"/>
      <c r="I1229" s="9"/>
      <c r="J1229" s="2"/>
      <c r="L1229" s="9"/>
      <c r="M1229" s="2"/>
      <c r="N1229" s="9"/>
      <c r="P1229" s="3">
        <v>-1989.12527368</v>
      </c>
      <c r="S1229" s="9"/>
      <c r="T1229" s="2"/>
      <c r="U1229" s="9"/>
    </row>
    <row r="1230" spans="2:21" x14ac:dyDescent="0.35">
      <c r="B1230" s="9"/>
      <c r="C1230" s="2"/>
      <c r="D1230" s="2"/>
      <c r="I1230" s="9"/>
      <c r="J1230" s="2"/>
      <c r="L1230" s="9"/>
      <c r="M1230" s="2"/>
      <c r="N1230" s="9"/>
      <c r="P1230" s="3">
        <v>-2200.7641369399998</v>
      </c>
      <c r="S1230" s="9"/>
      <c r="T1230" s="2"/>
      <c r="U1230" s="9"/>
    </row>
    <row r="1231" spans="2:21" x14ac:dyDescent="0.35">
      <c r="B1231" s="9"/>
      <c r="C1231" s="2"/>
      <c r="D1231" s="2"/>
      <c r="I1231" s="9"/>
      <c r="J1231" s="2"/>
      <c r="L1231" s="9"/>
      <c r="M1231" s="2"/>
      <c r="N1231" s="9"/>
      <c r="P1231" s="3">
        <v>-2263.1944369399998</v>
      </c>
      <c r="S1231" s="9"/>
      <c r="T1231" s="2"/>
      <c r="U1231" s="9"/>
    </row>
    <row r="1232" spans="2:21" x14ac:dyDescent="0.35">
      <c r="B1232" s="9"/>
      <c r="C1232" s="2"/>
      <c r="D1232" s="2"/>
      <c r="I1232" s="9"/>
      <c r="J1232" s="2"/>
      <c r="L1232" s="9"/>
      <c r="M1232" s="2"/>
      <c r="N1232" s="9"/>
      <c r="P1232" s="3">
        <v>-2319.7849869400002</v>
      </c>
      <c r="S1232" s="9"/>
      <c r="T1232" s="2"/>
      <c r="U1232" s="9"/>
    </row>
    <row r="1233" spans="2:21" x14ac:dyDescent="0.35">
      <c r="B1233" s="9"/>
      <c r="C1233" s="2"/>
      <c r="D1233" s="2"/>
      <c r="I1233" s="9"/>
      <c r="J1233" s="2"/>
      <c r="L1233" s="9"/>
      <c r="M1233" s="2"/>
      <c r="N1233" s="9"/>
      <c r="P1233" s="3">
        <v>-2409.9464669399999</v>
      </c>
      <c r="S1233" s="9"/>
      <c r="T1233" s="2"/>
      <c r="U1233" s="9"/>
    </row>
    <row r="1234" spans="2:21" x14ac:dyDescent="0.35">
      <c r="B1234" s="9"/>
      <c r="C1234" s="2"/>
      <c r="D1234" s="2"/>
      <c r="I1234" s="9"/>
      <c r="J1234" s="2"/>
      <c r="L1234" s="9"/>
      <c r="M1234" s="2"/>
      <c r="N1234" s="9"/>
      <c r="P1234" s="3">
        <v>-2466.4028269400001</v>
      </c>
      <c r="S1234" s="9"/>
      <c r="T1234" s="2"/>
      <c r="U1234" s="9"/>
    </row>
    <row r="1235" spans="2:21" x14ac:dyDescent="0.35">
      <c r="B1235" s="9"/>
      <c r="C1235" s="2"/>
      <c r="D1235" s="2"/>
      <c r="I1235" s="9"/>
      <c r="J1235" s="2"/>
      <c r="L1235" s="9"/>
      <c r="M1235" s="2"/>
      <c r="N1235" s="9"/>
      <c r="P1235" s="3">
        <v>-2384.5654804699998</v>
      </c>
      <c r="S1235" s="9"/>
      <c r="T1235" s="2"/>
      <c r="U1235" s="9"/>
    </row>
    <row r="1236" spans="2:21" x14ac:dyDescent="0.35">
      <c r="B1236" s="9"/>
      <c r="C1236" s="2"/>
      <c r="D1236" s="2"/>
      <c r="I1236" s="9"/>
      <c r="J1236" s="2"/>
      <c r="L1236" s="9"/>
      <c r="M1236" s="2"/>
      <c r="N1236" s="9"/>
      <c r="P1236" s="3">
        <v>-2299.0368439899999</v>
      </c>
      <c r="S1236" s="9"/>
      <c r="T1236" s="2"/>
      <c r="U1236" s="9"/>
    </row>
    <row r="1237" spans="2:21" x14ac:dyDescent="0.35">
      <c r="B1237" s="9"/>
      <c r="C1237" s="2"/>
      <c r="D1237" s="2"/>
      <c r="I1237" s="9"/>
      <c r="J1237" s="2"/>
      <c r="L1237" s="9"/>
      <c r="M1237" s="2"/>
      <c r="N1237" s="9"/>
      <c r="P1237" s="3">
        <v>-2214.20572154</v>
      </c>
      <c r="S1237" s="9"/>
      <c r="T1237" s="2"/>
      <c r="U1237" s="9"/>
    </row>
    <row r="1238" spans="2:21" x14ac:dyDescent="0.35">
      <c r="B1238" s="9"/>
      <c r="C1238" s="2"/>
      <c r="D1238" s="2"/>
      <c r="I1238" s="9"/>
      <c r="J1238" s="2"/>
      <c r="L1238" s="9"/>
      <c r="M1238" s="2"/>
      <c r="N1238" s="9"/>
      <c r="P1238" s="3">
        <v>-1779.44572154</v>
      </c>
      <c r="S1238" s="9"/>
      <c r="T1238" s="2"/>
      <c r="U1238" s="9"/>
    </row>
    <row r="1239" spans="2:21" x14ac:dyDescent="0.35">
      <c r="B1239" s="9"/>
      <c r="C1239" s="2"/>
      <c r="D1239" s="2"/>
      <c r="I1239" s="9"/>
      <c r="J1239" s="2"/>
      <c r="L1239" s="9"/>
      <c r="M1239" s="2"/>
      <c r="N1239" s="9"/>
      <c r="P1239" s="3">
        <v>-1344.68572154</v>
      </c>
      <c r="S1239" s="9"/>
      <c r="T1239" s="2"/>
      <c r="U1239" s="9"/>
    </row>
    <row r="1240" spans="2:21" x14ac:dyDescent="0.35">
      <c r="B1240" s="9"/>
      <c r="C1240" s="2"/>
      <c r="D1240" s="2"/>
      <c r="I1240" s="9"/>
      <c r="J1240" s="2"/>
      <c r="L1240" s="9"/>
      <c r="M1240" s="2"/>
      <c r="N1240" s="9"/>
      <c r="P1240" s="3">
        <v>-909.92572154000004</v>
      </c>
      <c r="S1240" s="9"/>
      <c r="T1240" s="2"/>
      <c r="U1240" s="9"/>
    </row>
    <row r="1241" spans="2:21" x14ac:dyDescent="0.35">
      <c r="B1241" s="9"/>
      <c r="C1241" s="2"/>
      <c r="D1241" s="2"/>
      <c r="I1241" s="9"/>
      <c r="J1241" s="2"/>
      <c r="L1241" s="9"/>
      <c r="M1241" s="2"/>
      <c r="N1241" s="9"/>
      <c r="P1241" s="3">
        <v>-475.16572153999999</v>
      </c>
      <c r="S1241" s="9"/>
      <c r="T1241" s="2"/>
      <c r="U1241" s="9"/>
    </row>
    <row r="1242" spans="2:21" x14ac:dyDescent="0.35">
      <c r="B1242" s="9"/>
      <c r="C1242" s="2"/>
      <c r="D1242" s="2"/>
      <c r="I1242" s="9"/>
      <c r="J1242" s="2"/>
      <c r="L1242" s="9"/>
      <c r="M1242" s="2"/>
      <c r="N1242" s="9"/>
      <c r="P1242" s="3">
        <v>-40.405721540000002</v>
      </c>
      <c r="S1242" s="9"/>
      <c r="T1242" s="2"/>
      <c r="U1242" s="9"/>
    </row>
    <row r="1243" spans="2:21" x14ac:dyDescent="0.35">
      <c r="B1243" s="9"/>
      <c r="C1243" s="2"/>
      <c r="D1243" s="2"/>
      <c r="I1243" s="9"/>
      <c r="J1243" s="2"/>
      <c r="L1243" s="9"/>
      <c r="M1243" s="2"/>
      <c r="N1243" s="9"/>
      <c r="P1243" s="3">
        <v>0</v>
      </c>
      <c r="S1243" s="9"/>
      <c r="T1243" s="2"/>
      <c r="U1243" s="9"/>
    </row>
    <row r="1244" spans="2:21" x14ac:dyDescent="0.35">
      <c r="B1244" s="9"/>
      <c r="C1244" s="2"/>
      <c r="D1244" s="2"/>
      <c r="I1244" s="9"/>
      <c r="J1244" s="2"/>
      <c r="L1244" s="9"/>
      <c r="M1244" s="2"/>
      <c r="N1244" s="9"/>
      <c r="P1244" s="3">
        <v>0</v>
      </c>
      <c r="S1244" s="9"/>
      <c r="T1244" s="2"/>
      <c r="U1244" s="9"/>
    </row>
    <row r="1245" spans="2:21" x14ac:dyDescent="0.35">
      <c r="B1245" s="9"/>
      <c r="C1245" s="2"/>
      <c r="D1245" s="2"/>
      <c r="I1245" s="9"/>
      <c r="J1245" s="2"/>
      <c r="L1245" s="9"/>
      <c r="M1245" s="2"/>
      <c r="N1245" s="9"/>
      <c r="P1245" s="3">
        <v>0</v>
      </c>
      <c r="S1245" s="9"/>
      <c r="T1245" s="2"/>
      <c r="U1245" s="9"/>
    </row>
    <row r="1246" spans="2:21" x14ac:dyDescent="0.35">
      <c r="B1246" s="9"/>
      <c r="C1246" s="2"/>
      <c r="D1246" s="2"/>
      <c r="I1246" s="9"/>
      <c r="J1246" s="2"/>
      <c r="L1246" s="9"/>
      <c r="M1246" s="2"/>
      <c r="N1246" s="9"/>
      <c r="P1246" s="3">
        <v>0</v>
      </c>
      <c r="S1246" s="9"/>
      <c r="T1246" s="2"/>
      <c r="U1246" s="9"/>
    </row>
    <row r="1247" spans="2:21" x14ac:dyDescent="0.35">
      <c r="B1247" s="9"/>
      <c r="C1247" s="2"/>
      <c r="D1247" s="2"/>
      <c r="I1247" s="9"/>
      <c r="J1247" s="2"/>
      <c r="L1247" s="9"/>
      <c r="M1247" s="2"/>
      <c r="N1247" s="9"/>
      <c r="P1247" s="3">
        <v>0</v>
      </c>
      <c r="S1247" s="9"/>
      <c r="T1247" s="2"/>
      <c r="U1247" s="9"/>
    </row>
    <row r="1248" spans="2:21" x14ac:dyDescent="0.35">
      <c r="B1248" s="9"/>
      <c r="C1248" s="2"/>
      <c r="D1248" s="2"/>
      <c r="I1248" s="9"/>
      <c r="J1248" s="2"/>
      <c r="L1248" s="9"/>
      <c r="M1248" s="2"/>
      <c r="N1248" s="9"/>
      <c r="P1248" s="3">
        <v>0</v>
      </c>
      <c r="S1248" s="9"/>
      <c r="T1248" s="2"/>
      <c r="U1248" s="9"/>
    </row>
    <row r="1249" spans="2:21" x14ac:dyDescent="0.35">
      <c r="B1249" s="9"/>
      <c r="C1249" s="2"/>
      <c r="D1249" s="2"/>
      <c r="I1249" s="9"/>
      <c r="J1249" s="2"/>
      <c r="L1249" s="9"/>
      <c r="M1249" s="2"/>
      <c r="N1249" s="9"/>
      <c r="P1249" s="3">
        <v>0</v>
      </c>
      <c r="S1249" s="9"/>
      <c r="T1249" s="2"/>
      <c r="U1249" s="9"/>
    </row>
    <row r="1250" spans="2:21" x14ac:dyDescent="0.35">
      <c r="B1250" s="9"/>
      <c r="C1250" s="2"/>
      <c r="D1250" s="2"/>
      <c r="I1250" s="9"/>
      <c r="J1250" s="2"/>
      <c r="L1250" s="9"/>
      <c r="M1250" s="2"/>
      <c r="N1250" s="9"/>
      <c r="P1250" s="3">
        <v>0</v>
      </c>
      <c r="S1250" s="9"/>
      <c r="T1250" s="2"/>
      <c r="U1250" s="9"/>
    </row>
    <row r="1251" spans="2:21" x14ac:dyDescent="0.35">
      <c r="B1251" s="9"/>
      <c r="C1251" s="2"/>
      <c r="D1251" s="2"/>
      <c r="I1251" s="9"/>
      <c r="J1251" s="2"/>
      <c r="L1251" s="9"/>
      <c r="M1251" s="2"/>
      <c r="N1251" s="9"/>
      <c r="P1251" s="3">
        <v>0</v>
      </c>
      <c r="S1251" s="9"/>
      <c r="T1251" s="2"/>
      <c r="U1251" s="9"/>
    </row>
    <row r="1252" spans="2:21" x14ac:dyDescent="0.35">
      <c r="B1252" s="9"/>
      <c r="C1252" s="2"/>
      <c r="D1252" s="2"/>
      <c r="I1252" s="9"/>
      <c r="J1252" s="2"/>
      <c r="L1252" s="9"/>
      <c r="M1252" s="2"/>
      <c r="N1252" s="9"/>
      <c r="P1252" s="3">
        <v>0</v>
      </c>
      <c r="S1252" s="9"/>
      <c r="T1252" s="2"/>
      <c r="U1252" s="9"/>
    </row>
    <row r="1253" spans="2:21" x14ac:dyDescent="0.35">
      <c r="B1253" s="9"/>
      <c r="C1253" s="2"/>
      <c r="D1253" s="2"/>
      <c r="I1253" s="9"/>
      <c r="J1253" s="2"/>
      <c r="L1253" s="9"/>
      <c r="M1253" s="2"/>
      <c r="N1253" s="9"/>
      <c r="P1253" s="3">
        <v>0</v>
      </c>
      <c r="S1253" s="9"/>
      <c r="T1253" s="2"/>
      <c r="U1253" s="9"/>
    </row>
    <row r="1254" spans="2:21" x14ac:dyDescent="0.35">
      <c r="B1254" s="9"/>
      <c r="C1254" s="2"/>
      <c r="D1254" s="2"/>
      <c r="I1254" s="9"/>
      <c r="J1254" s="2"/>
      <c r="L1254" s="9"/>
      <c r="M1254" s="2"/>
      <c r="N1254" s="9"/>
      <c r="P1254" s="3">
        <v>0</v>
      </c>
      <c r="S1254" s="9"/>
      <c r="T1254" s="2"/>
      <c r="U1254" s="9"/>
    </row>
    <row r="1255" spans="2:21" x14ac:dyDescent="0.35">
      <c r="B1255" s="9"/>
      <c r="C1255" s="2"/>
      <c r="D1255" s="2"/>
      <c r="I1255" s="9"/>
      <c r="J1255" s="2"/>
      <c r="L1255" s="9"/>
      <c r="M1255" s="2"/>
      <c r="N1255" s="9"/>
      <c r="P1255" s="3">
        <v>0</v>
      </c>
      <c r="S1255" s="9"/>
      <c r="T1255" s="2"/>
      <c r="U1255" s="9"/>
    </row>
    <row r="1256" spans="2:21" x14ac:dyDescent="0.35">
      <c r="B1256" s="9"/>
      <c r="C1256" s="2"/>
      <c r="D1256" s="2"/>
      <c r="I1256" s="9"/>
      <c r="J1256" s="2"/>
      <c r="L1256" s="9"/>
      <c r="M1256" s="2"/>
      <c r="N1256" s="9"/>
      <c r="P1256" s="3">
        <v>0</v>
      </c>
      <c r="S1256" s="9"/>
      <c r="T1256" s="2"/>
      <c r="U1256" s="9"/>
    </row>
    <row r="1257" spans="2:21" x14ac:dyDescent="0.35">
      <c r="B1257" s="9"/>
      <c r="C1257" s="2"/>
      <c r="D1257" s="2"/>
      <c r="I1257" s="9"/>
      <c r="J1257" s="2"/>
      <c r="L1257" s="9"/>
      <c r="M1257" s="2"/>
      <c r="N1257" s="9"/>
      <c r="P1257" s="3">
        <v>0</v>
      </c>
      <c r="S1257" s="9"/>
      <c r="T1257" s="2"/>
      <c r="U1257" s="9"/>
    </row>
    <row r="1258" spans="2:21" x14ac:dyDescent="0.35">
      <c r="B1258" s="9"/>
      <c r="C1258" s="2"/>
      <c r="D1258" s="2"/>
      <c r="I1258" s="9"/>
      <c r="J1258" s="2"/>
      <c r="L1258" s="9"/>
      <c r="M1258" s="2"/>
      <c r="N1258" s="9"/>
      <c r="P1258" s="3">
        <v>0</v>
      </c>
      <c r="S1258" s="9"/>
      <c r="T1258" s="2"/>
      <c r="U1258" s="9"/>
    </row>
    <row r="1259" spans="2:21" x14ac:dyDescent="0.35">
      <c r="B1259" s="9"/>
      <c r="C1259" s="2"/>
      <c r="D1259" s="2"/>
      <c r="I1259" s="9"/>
      <c r="J1259" s="2"/>
      <c r="L1259" s="9"/>
      <c r="M1259" s="2"/>
      <c r="N1259" s="9"/>
      <c r="P1259" s="3">
        <v>0</v>
      </c>
      <c r="S1259" s="9"/>
      <c r="T1259" s="2"/>
      <c r="U1259" s="9"/>
    </row>
    <row r="1260" spans="2:21" x14ac:dyDescent="0.35">
      <c r="B1260" s="9"/>
      <c r="C1260" s="2"/>
      <c r="D1260" s="2"/>
      <c r="I1260" s="9"/>
      <c r="J1260" s="2"/>
      <c r="L1260" s="9"/>
      <c r="M1260" s="2"/>
      <c r="N1260" s="9"/>
      <c r="P1260" s="3">
        <v>0</v>
      </c>
      <c r="S1260" s="9"/>
      <c r="T1260" s="2"/>
      <c r="U1260" s="9"/>
    </row>
    <row r="1261" spans="2:21" x14ac:dyDescent="0.35">
      <c r="B1261" s="9"/>
      <c r="C1261" s="2"/>
      <c r="D1261" s="2"/>
      <c r="I1261" s="9"/>
      <c r="J1261" s="2"/>
      <c r="L1261" s="9"/>
      <c r="M1261" s="2"/>
      <c r="N1261" s="9"/>
      <c r="P1261" s="3">
        <v>0</v>
      </c>
      <c r="S1261" s="9"/>
      <c r="T1261" s="2"/>
      <c r="U1261" s="9"/>
    </row>
    <row r="1262" spans="2:21" x14ac:dyDescent="0.35">
      <c r="B1262" s="9"/>
      <c r="C1262" s="2"/>
      <c r="D1262" s="2"/>
      <c r="I1262" s="9"/>
      <c r="J1262" s="2"/>
      <c r="L1262" s="9"/>
      <c r="M1262" s="2"/>
      <c r="N1262" s="9"/>
      <c r="P1262" s="3">
        <v>0</v>
      </c>
      <c r="S1262" s="9"/>
      <c r="T1262" s="2"/>
      <c r="U1262" s="9"/>
    </row>
    <row r="1263" spans="2:21" x14ac:dyDescent="0.35">
      <c r="B1263" s="9"/>
      <c r="C1263" s="2"/>
      <c r="D1263" s="2"/>
      <c r="I1263" s="9"/>
      <c r="J1263" s="2"/>
      <c r="L1263" s="9"/>
      <c r="M1263" s="2"/>
      <c r="N1263" s="9"/>
      <c r="P1263" s="3">
        <v>0</v>
      </c>
      <c r="S1263" s="9"/>
      <c r="T1263" s="2"/>
      <c r="U1263" s="9"/>
    </row>
    <row r="1264" spans="2:21" x14ac:dyDescent="0.35">
      <c r="B1264" s="9"/>
      <c r="C1264" s="2"/>
      <c r="D1264" s="2"/>
      <c r="I1264" s="9"/>
      <c r="J1264" s="2"/>
      <c r="L1264" s="9"/>
      <c r="M1264" s="2"/>
      <c r="N1264" s="9"/>
      <c r="P1264" s="3">
        <v>0</v>
      </c>
      <c r="S1264" s="9"/>
      <c r="T1264" s="2"/>
      <c r="U1264" s="9"/>
    </row>
    <row r="1265" spans="2:21" x14ac:dyDescent="0.35">
      <c r="B1265" s="9"/>
      <c r="C1265" s="2"/>
      <c r="D1265" s="2"/>
      <c r="I1265" s="9"/>
      <c r="J1265" s="2"/>
      <c r="L1265" s="9"/>
      <c r="M1265" s="2"/>
      <c r="N1265" s="9"/>
      <c r="P1265" s="3">
        <v>0</v>
      </c>
      <c r="S1265" s="9"/>
      <c r="T1265" s="2"/>
      <c r="U1265" s="9"/>
    </row>
    <row r="1266" spans="2:21" x14ac:dyDescent="0.35">
      <c r="B1266" s="9"/>
      <c r="C1266" s="2"/>
      <c r="D1266" s="2"/>
      <c r="I1266" s="9"/>
      <c r="J1266" s="2"/>
      <c r="L1266" s="9"/>
      <c r="M1266" s="2"/>
      <c r="N1266" s="9"/>
      <c r="P1266" s="3">
        <v>0</v>
      </c>
      <c r="S1266" s="9"/>
      <c r="T1266" s="2"/>
      <c r="U1266" s="9"/>
    </row>
    <row r="1267" spans="2:21" x14ac:dyDescent="0.35">
      <c r="B1267" s="9"/>
      <c r="C1267" s="2"/>
      <c r="D1267" s="2"/>
      <c r="I1267" s="9"/>
      <c r="J1267" s="2"/>
      <c r="L1267" s="9"/>
      <c r="M1267" s="2"/>
      <c r="N1267" s="9"/>
      <c r="P1267" s="3">
        <v>0</v>
      </c>
      <c r="S1267" s="9"/>
      <c r="T1267" s="2"/>
      <c r="U1267" s="9"/>
    </row>
    <row r="1268" spans="2:21" x14ac:dyDescent="0.35">
      <c r="B1268" s="9"/>
      <c r="C1268" s="2"/>
      <c r="D1268" s="2"/>
      <c r="I1268" s="9"/>
      <c r="J1268" s="2"/>
      <c r="L1268" s="9"/>
      <c r="M1268" s="2"/>
      <c r="N1268" s="9"/>
      <c r="P1268" s="3">
        <v>0</v>
      </c>
      <c r="S1268" s="9"/>
      <c r="T1268" s="2"/>
      <c r="U1268" s="9"/>
    </row>
    <row r="1269" spans="2:21" x14ac:dyDescent="0.35">
      <c r="B1269" s="9"/>
      <c r="C1269" s="2"/>
      <c r="D1269" s="2"/>
      <c r="I1269" s="9"/>
      <c r="J1269" s="2"/>
      <c r="L1269" s="9"/>
      <c r="M1269" s="2"/>
      <c r="N1269" s="9"/>
      <c r="P1269" s="3">
        <v>0</v>
      </c>
      <c r="S1269" s="9"/>
      <c r="T1269" s="2"/>
      <c r="U1269" s="9"/>
    </row>
    <row r="1270" spans="2:21" x14ac:dyDescent="0.35">
      <c r="B1270" s="9"/>
      <c r="C1270" s="2"/>
      <c r="D1270" s="2"/>
      <c r="I1270" s="9"/>
      <c r="J1270" s="2"/>
      <c r="L1270" s="9"/>
      <c r="M1270" s="2"/>
      <c r="N1270" s="9"/>
      <c r="P1270" s="3">
        <v>0</v>
      </c>
      <c r="S1270" s="9"/>
      <c r="T1270" s="2"/>
      <c r="U1270" s="9"/>
    </row>
    <row r="1271" spans="2:21" x14ac:dyDescent="0.35">
      <c r="B1271" s="9"/>
      <c r="C1271" s="2"/>
      <c r="D1271" s="2"/>
      <c r="I1271" s="9"/>
      <c r="J1271" s="2"/>
      <c r="L1271" s="9"/>
      <c r="M1271" s="2"/>
      <c r="N1271" s="9"/>
      <c r="P1271" s="3">
        <v>0</v>
      </c>
      <c r="S1271" s="9"/>
      <c r="T1271" s="2"/>
      <c r="U1271" s="9"/>
    </row>
    <row r="1272" spans="2:21" x14ac:dyDescent="0.35">
      <c r="B1272" s="9"/>
      <c r="C1272" s="2"/>
      <c r="D1272" s="2"/>
      <c r="I1272" s="9"/>
      <c r="J1272" s="2"/>
      <c r="L1272" s="9"/>
      <c r="M1272" s="2"/>
      <c r="N1272" s="9"/>
      <c r="P1272" s="3">
        <v>0</v>
      </c>
      <c r="S1272" s="9"/>
      <c r="T1272" s="2"/>
      <c r="U1272" s="9"/>
    </row>
    <row r="1273" spans="2:21" x14ac:dyDescent="0.35">
      <c r="B1273" s="9"/>
      <c r="C1273" s="2"/>
      <c r="D1273" s="2"/>
      <c r="I1273" s="9"/>
      <c r="J1273" s="2"/>
      <c r="L1273" s="9"/>
      <c r="M1273" s="2"/>
      <c r="N1273" s="9"/>
      <c r="P1273" s="3">
        <v>0</v>
      </c>
      <c r="S1273" s="9"/>
      <c r="T1273" s="2"/>
      <c r="U1273" s="9"/>
    </row>
    <row r="1274" spans="2:21" x14ac:dyDescent="0.35">
      <c r="B1274" s="9"/>
      <c r="C1274" s="2"/>
      <c r="D1274" s="2"/>
      <c r="I1274" s="9"/>
      <c r="J1274" s="2"/>
      <c r="L1274" s="9"/>
      <c r="M1274" s="2"/>
      <c r="N1274" s="9"/>
      <c r="P1274" s="3">
        <v>0</v>
      </c>
      <c r="S1274" s="9"/>
      <c r="T1274" s="2"/>
      <c r="U1274" s="9"/>
    </row>
    <row r="1275" spans="2:21" x14ac:dyDescent="0.35">
      <c r="B1275" s="9"/>
      <c r="C1275" s="2"/>
      <c r="D1275" s="2"/>
      <c r="I1275" s="9"/>
      <c r="J1275" s="2"/>
      <c r="L1275" s="9"/>
      <c r="M1275" s="2"/>
      <c r="N1275" s="9"/>
      <c r="P1275" s="3">
        <v>0</v>
      </c>
      <c r="S1275" s="9"/>
      <c r="T1275" s="2"/>
      <c r="U1275" s="9"/>
    </row>
    <row r="1276" spans="2:21" x14ac:dyDescent="0.35">
      <c r="B1276" s="9"/>
      <c r="C1276" s="2"/>
      <c r="D1276" s="2"/>
      <c r="I1276" s="9"/>
      <c r="J1276" s="2"/>
      <c r="L1276" s="9"/>
      <c r="M1276" s="2"/>
      <c r="N1276" s="9"/>
      <c r="P1276" s="3">
        <v>0</v>
      </c>
      <c r="S1276" s="9"/>
      <c r="T1276" s="2"/>
      <c r="U1276" s="9"/>
    </row>
    <row r="1277" spans="2:21" x14ac:dyDescent="0.35">
      <c r="B1277" s="9"/>
      <c r="C1277" s="2"/>
      <c r="D1277" s="2"/>
      <c r="I1277" s="9"/>
      <c r="J1277" s="2"/>
      <c r="L1277" s="9"/>
      <c r="M1277" s="2"/>
      <c r="N1277" s="9"/>
      <c r="P1277" s="3">
        <v>0</v>
      </c>
      <c r="S1277" s="9"/>
      <c r="T1277" s="2"/>
      <c r="U1277" s="9"/>
    </row>
    <row r="1278" spans="2:21" x14ac:dyDescent="0.35">
      <c r="B1278" s="9"/>
      <c r="C1278" s="2"/>
      <c r="D1278" s="2"/>
      <c r="I1278" s="9"/>
      <c r="J1278" s="2"/>
      <c r="L1278" s="9"/>
      <c r="M1278" s="2"/>
      <c r="N1278" s="9"/>
      <c r="P1278" s="3">
        <v>0</v>
      </c>
      <c r="S1278" s="9"/>
      <c r="T1278" s="2"/>
      <c r="U1278" s="9"/>
    </row>
    <row r="1279" spans="2:21" x14ac:dyDescent="0.35">
      <c r="B1279" s="9"/>
      <c r="C1279" s="2"/>
      <c r="D1279" s="2"/>
      <c r="I1279" s="9"/>
      <c r="J1279" s="2"/>
      <c r="L1279" s="9"/>
      <c r="M1279" s="2"/>
      <c r="N1279" s="9"/>
      <c r="P1279" s="3">
        <v>0</v>
      </c>
      <c r="S1279" s="9"/>
      <c r="T1279" s="2"/>
      <c r="U1279" s="9"/>
    </row>
    <row r="1280" spans="2:21" x14ac:dyDescent="0.35">
      <c r="B1280" s="9"/>
      <c r="C1280" s="2"/>
      <c r="D1280" s="2"/>
      <c r="I1280" s="9"/>
      <c r="J1280" s="2"/>
      <c r="L1280" s="9"/>
      <c r="M1280" s="2"/>
      <c r="N1280" s="9"/>
      <c r="P1280" s="3">
        <v>0</v>
      </c>
      <c r="S1280" s="9"/>
      <c r="T1280" s="2"/>
      <c r="U1280" s="9"/>
    </row>
    <row r="1281" spans="2:21" x14ac:dyDescent="0.35">
      <c r="B1281" s="9"/>
      <c r="C1281" s="2"/>
      <c r="D1281" s="2"/>
      <c r="I1281" s="9"/>
      <c r="J1281" s="2"/>
      <c r="L1281" s="9"/>
      <c r="M1281" s="2"/>
      <c r="N1281" s="9"/>
      <c r="P1281" s="3">
        <v>0</v>
      </c>
      <c r="S1281" s="9"/>
      <c r="T1281" s="2"/>
      <c r="U1281" s="9"/>
    </row>
    <row r="1282" spans="2:21" x14ac:dyDescent="0.35">
      <c r="B1282" s="9"/>
      <c r="C1282" s="2"/>
      <c r="D1282" s="2"/>
      <c r="I1282" s="9"/>
      <c r="J1282" s="2"/>
      <c r="L1282" s="9"/>
      <c r="M1282" s="2"/>
      <c r="N1282" s="9"/>
      <c r="P1282" s="3">
        <v>0</v>
      </c>
      <c r="S1282" s="9"/>
      <c r="T1282" s="2"/>
      <c r="U1282" s="9"/>
    </row>
    <row r="1283" spans="2:21" x14ac:dyDescent="0.35">
      <c r="B1283" s="9"/>
      <c r="C1283" s="2"/>
      <c r="D1283" s="2"/>
      <c r="I1283" s="9"/>
      <c r="J1283" s="2"/>
      <c r="L1283" s="9"/>
      <c r="M1283" s="2"/>
      <c r="N1283" s="9"/>
      <c r="P1283" s="3">
        <v>0</v>
      </c>
      <c r="S1283" s="9"/>
      <c r="T1283" s="2"/>
      <c r="U1283" s="9"/>
    </row>
    <row r="1284" spans="2:21" x14ac:dyDescent="0.35">
      <c r="B1284" s="9"/>
      <c r="C1284" s="2"/>
      <c r="D1284" s="2"/>
      <c r="I1284" s="9"/>
      <c r="J1284" s="2"/>
      <c r="L1284" s="9"/>
      <c r="M1284" s="2"/>
      <c r="N1284" s="9"/>
      <c r="P1284" s="3">
        <v>0</v>
      </c>
      <c r="S1284" s="9"/>
      <c r="T1284" s="2"/>
      <c r="U1284" s="9"/>
    </row>
    <row r="1285" spans="2:21" x14ac:dyDescent="0.35">
      <c r="B1285" s="9"/>
      <c r="C1285" s="2"/>
      <c r="D1285" s="2"/>
      <c r="I1285" s="9"/>
      <c r="J1285" s="2"/>
      <c r="L1285" s="9"/>
      <c r="M1285" s="2"/>
      <c r="N1285" s="9"/>
      <c r="P1285" s="3">
        <v>0</v>
      </c>
      <c r="S1285" s="9"/>
      <c r="T1285" s="2"/>
      <c r="U1285" s="9"/>
    </row>
    <row r="1286" spans="2:21" x14ac:dyDescent="0.35">
      <c r="B1286" s="9"/>
      <c r="C1286" s="2"/>
      <c r="D1286" s="2"/>
      <c r="I1286" s="9"/>
      <c r="J1286" s="2"/>
      <c r="L1286" s="9"/>
      <c r="M1286" s="2"/>
      <c r="N1286" s="9"/>
      <c r="P1286" s="3">
        <v>0</v>
      </c>
      <c r="S1286" s="9"/>
      <c r="T1286" s="2"/>
      <c r="U1286" s="9"/>
    </row>
    <row r="1287" spans="2:21" x14ac:dyDescent="0.35">
      <c r="B1287" s="9"/>
      <c r="C1287" s="2"/>
      <c r="D1287" s="2"/>
      <c r="I1287" s="9"/>
      <c r="J1287" s="2"/>
      <c r="L1287" s="9"/>
      <c r="M1287" s="2"/>
      <c r="N1287" s="9"/>
      <c r="P1287" s="3">
        <v>0</v>
      </c>
      <c r="S1287" s="9"/>
      <c r="T1287" s="2"/>
      <c r="U1287" s="9"/>
    </row>
    <row r="1288" spans="2:21" x14ac:dyDescent="0.35">
      <c r="B1288" s="9"/>
      <c r="C1288" s="2"/>
      <c r="D1288" s="2"/>
      <c r="I1288" s="9"/>
      <c r="J1288" s="2"/>
      <c r="L1288" s="9"/>
      <c r="M1288" s="2"/>
      <c r="N1288" s="9"/>
      <c r="P1288" s="3">
        <v>0</v>
      </c>
      <c r="S1288" s="9"/>
      <c r="T1288" s="2"/>
      <c r="U1288" s="9"/>
    </row>
    <row r="1289" spans="2:21" x14ac:dyDescent="0.35">
      <c r="B1289" s="9"/>
      <c r="C1289" s="2"/>
      <c r="D1289" s="2"/>
      <c r="I1289" s="9"/>
      <c r="J1289" s="2"/>
      <c r="L1289" s="9"/>
      <c r="M1289" s="2"/>
      <c r="N1289" s="9"/>
      <c r="P1289" s="3">
        <v>0</v>
      </c>
      <c r="S1289" s="9"/>
      <c r="T1289" s="2"/>
      <c r="U1289" s="9"/>
    </row>
    <row r="1290" spans="2:21" x14ac:dyDescent="0.35">
      <c r="B1290" s="9"/>
      <c r="C1290" s="2"/>
      <c r="D1290" s="2"/>
      <c r="I1290" s="9"/>
      <c r="J1290" s="2"/>
      <c r="L1290" s="9"/>
      <c r="M1290" s="2"/>
      <c r="N1290" s="9"/>
      <c r="P1290" s="3">
        <v>0</v>
      </c>
      <c r="S1290" s="9"/>
      <c r="T1290" s="2"/>
      <c r="U1290" s="9"/>
    </row>
    <row r="1291" spans="2:21" x14ac:dyDescent="0.35">
      <c r="B1291" s="9"/>
      <c r="C1291" s="2"/>
      <c r="D1291" s="2"/>
      <c r="I1291" s="9"/>
      <c r="J1291" s="2"/>
      <c r="L1291" s="9"/>
      <c r="M1291" s="2"/>
      <c r="N1291" s="9"/>
      <c r="P1291" s="3">
        <v>0</v>
      </c>
      <c r="S1291" s="9"/>
      <c r="T1291" s="2"/>
      <c r="U1291" s="9"/>
    </row>
    <row r="1292" spans="2:21" x14ac:dyDescent="0.35">
      <c r="B1292" s="9"/>
      <c r="C1292" s="2"/>
      <c r="D1292" s="2"/>
      <c r="I1292" s="9"/>
      <c r="J1292" s="2"/>
      <c r="L1292" s="9"/>
      <c r="M1292" s="2"/>
      <c r="N1292" s="9"/>
      <c r="P1292" s="3">
        <v>0</v>
      </c>
      <c r="S1292" s="9"/>
      <c r="T1292" s="2"/>
      <c r="U1292" s="9"/>
    </row>
    <row r="1293" spans="2:21" x14ac:dyDescent="0.35">
      <c r="B1293" s="9"/>
      <c r="C1293" s="2"/>
      <c r="D1293" s="2"/>
      <c r="I1293" s="9"/>
      <c r="J1293" s="2"/>
      <c r="L1293" s="9"/>
      <c r="M1293" s="2"/>
      <c r="N1293" s="9"/>
      <c r="P1293" s="3">
        <v>0</v>
      </c>
      <c r="S1293" s="9"/>
      <c r="T1293" s="2"/>
      <c r="U1293" s="9"/>
    </row>
    <row r="1294" spans="2:21" x14ac:dyDescent="0.35">
      <c r="B1294" s="9"/>
      <c r="C1294" s="2"/>
      <c r="D1294" s="2"/>
      <c r="I1294" s="9"/>
      <c r="J1294" s="2"/>
      <c r="L1294" s="9"/>
      <c r="M1294" s="2"/>
      <c r="N1294" s="9"/>
      <c r="P1294" s="3">
        <v>0</v>
      </c>
      <c r="S1294" s="9"/>
      <c r="T1294" s="2"/>
      <c r="U1294" s="9"/>
    </row>
    <row r="1295" spans="2:21" x14ac:dyDescent="0.35">
      <c r="B1295" s="9"/>
      <c r="C1295" s="2"/>
      <c r="D1295" s="2"/>
      <c r="I1295" s="9"/>
      <c r="J1295" s="2"/>
      <c r="L1295" s="9"/>
      <c r="M1295" s="2"/>
      <c r="N1295" s="9"/>
      <c r="P1295" s="3">
        <v>0</v>
      </c>
      <c r="S1295" s="9"/>
      <c r="T1295" s="2"/>
      <c r="U1295" s="9"/>
    </row>
    <row r="1296" spans="2:21" x14ac:dyDescent="0.35">
      <c r="B1296" s="9"/>
      <c r="C1296" s="2"/>
      <c r="D1296" s="2"/>
      <c r="I1296" s="9"/>
      <c r="J1296" s="2"/>
      <c r="L1296" s="9"/>
      <c r="M1296" s="2"/>
      <c r="N1296" s="9"/>
      <c r="P1296" s="3">
        <v>0</v>
      </c>
      <c r="S1296" s="9"/>
      <c r="T1296" s="2"/>
      <c r="U1296" s="9"/>
    </row>
    <row r="1297" spans="2:21" x14ac:dyDescent="0.35">
      <c r="B1297" s="9"/>
      <c r="C1297" s="2"/>
      <c r="D1297" s="2"/>
      <c r="I1297" s="9"/>
      <c r="J1297" s="2"/>
      <c r="L1297" s="9"/>
      <c r="M1297" s="2"/>
      <c r="N1297" s="9"/>
      <c r="P1297" s="3">
        <v>0</v>
      </c>
      <c r="S1297" s="9"/>
      <c r="T1297" s="2"/>
      <c r="U1297" s="9"/>
    </row>
    <row r="1298" spans="2:21" x14ac:dyDescent="0.35">
      <c r="B1298" s="9"/>
      <c r="C1298" s="2"/>
      <c r="D1298" s="2"/>
      <c r="I1298" s="9"/>
      <c r="J1298" s="2"/>
      <c r="L1298" s="9"/>
      <c r="M1298" s="2"/>
      <c r="N1298" s="9"/>
      <c r="P1298" s="3">
        <v>0</v>
      </c>
      <c r="S1298" s="9"/>
      <c r="T1298" s="2"/>
      <c r="U1298" s="9"/>
    </row>
    <row r="1299" spans="2:21" x14ac:dyDescent="0.35">
      <c r="B1299" s="9"/>
      <c r="C1299" s="2"/>
      <c r="D1299" s="2"/>
      <c r="I1299" s="9"/>
      <c r="J1299" s="2"/>
      <c r="L1299" s="9"/>
      <c r="M1299" s="2"/>
      <c r="N1299" s="9"/>
      <c r="P1299" s="3">
        <v>0</v>
      </c>
      <c r="S1299" s="9"/>
      <c r="T1299" s="2"/>
      <c r="U1299" s="9"/>
    </row>
    <row r="1300" spans="2:21" x14ac:dyDescent="0.35">
      <c r="B1300" s="9"/>
      <c r="C1300" s="2"/>
      <c r="D1300" s="2"/>
      <c r="I1300" s="9"/>
      <c r="J1300" s="2"/>
      <c r="L1300" s="9"/>
      <c r="M1300" s="2"/>
      <c r="N1300" s="9"/>
      <c r="P1300" s="3">
        <v>0</v>
      </c>
      <c r="S1300" s="9"/>
      <c r="T1300" s="2"/>
      <c r="U1300" s="9"/>
    </row>
    <row r="1301" spans="2:21" x14ac:dyDescent="0.35">
      <c r="B1301" s="9"/>
      <c r="C1301" s="2"/>
      <c r="D1301" s="2"/>
      <c r="I1301" s="9"/>
      <c r="J1301" s="2"/>
      <c r="L1301" s="9"/>
      <c r="M1301" s="2"/>
      <c r="N1301" s="9"/>
      <c r="P1301" s="3">
        <v>0</v>
      </c>
      <c r="S1301" s="9"/>
      <c r="T1301" s="2"/>
      <c r="U1301" s="9"/>
    </row>
    <row r="1302" spans="2:21" x14ac:dyDescent="0.35">
      <c r="B1302" s="9"/>
      <c r="C1302" s="2"/>
      <c r="D1302" s="2"/>
      <c r="I1302" s="9"/>
      <c r="J1302" s="2"/>
      <c r="L1302" s="9"/>
      <c r="M1302" s="2"/>
      <c r="N1302" s="9"/>
      <c r="P1302" s="3">
        <v>0</v>
      </c>
      <c r="S1302" s="9"/>
      <c r="T1302" s="2"/>
      <c r="U1302" s="9"/>
    </row>
    <row r="1303" spans="2:21" x14ac:dyDescent="0.35">
      <c r="B1303" s="9"/>
      <c r="C1303" s="2"/>
      <c r="D1303" s="2"/>
      <c r="I1303" s="9"/>
      <c r="J1303" s="2"/>
      <c r="L1303" s="9"/>
      <c r="M1303" s="2"/>
      <c r="N1303" s="9"/>
      <c r="P1303" s="3">
        <v>0</v>
      </c>
      <c r="S1303" s="9"/>
      <c r="T1303" s="2"/>
      <c r="U1303" s="9"/>
    </row>
    <row r="1304" spans="2:21" x14ac:dyDescent="0.35">
      <c r="B1304" s="9"/>
      <c r="C1304" s="2"/>
      <c r="D1304" s="2"/>
      <c r="I1304" s="9"/>
      <c r="J1304" s="2"/>
      <c r="L1304" s="9"/>
      <c r="M1304" s="2"/>
      <c r="N1304" s="9"/>
      <c r="P1304" s="3">
        <v>0</v>
      </c>
      <c r="S1304" s="9"/>
      <c r="T1304" s="2"/>
      <c r="U1304" s="9"/>
    </row>
    <row r="1305" spans="2:21" x14ac:dyDescent="0.35">
      <c r="B1305" s="9"/>
      <c r="C1305" s="2"/>
      <c r="D1305" s="2"/>
      <c r="I1305" s="9"/>
      <c r="J1305" s="2"/>
      <c r="L1305" s="9"/>
      <c r="M1305" s="2"/>
      <c r="N1305" s="9"/>
      <c r="P1305" s="3">
        <v>0</v>
      </c>
      <c r="S1305" s="9"/>
      <c r="T1305" s="2"/>
      <c r="U1305" s="9"/>
    </row>
    <row r="1306" spans="2:21" x14ac:dyDescent="0.35">
      <c r="B1306" s="9"/>
      <c r="C1306" s="2"/>
      <c r="D1306" s="2"/>
      <c r="I1306" s="9"/>
      <c r="J1306" s="2"/>
      <c r="L1306" s="9"/>
      <c r="M1306" s="2"/>
      <c r="N1306" s="9"/>
      <c r="P1306" s="3">
        <v>0</v>
      </c>
      <c r="S1306" s="9"/>
      <c r="T1306" s="2"/>
      <c r="U1306" s="9"/>
    </row>
    <row r="1307" spans="2:21" x14ac:dyDescent="0.35">
      <c r="B1307" s="9"/>
      <c r="C1307" s="2"/>
      <c r="D1307" s="2"/>
      <c r="I1307" s="9"/>
      <c r="J1307" s="2"/>
      <c r="L1307" s="9"/>
      <c r="M1307" s="2"/>
      <c r="N1307" s="9"/>
      <c r="P1307" s="3">
        <v>0</v>
      </c>
      <c r="S1307" s="9"/>
      <c r="T1307" s="2"/>
      <c r="U1307" s="9"/>
    </row>
    <row r="1308" spans="2:21" x14ac:dyDescent="0.35">
      <c r="B1308" s="9"/>
      <c r="C1308" s="2"/>
      <c r="D1308" s="2"/>
      <c r="I1308" s="9"/>
      <c r="J1308" s="2"/>
      <c r="L1308" s="9"/>
      <c r="M1308" s="2"/>
      <c r="N1308" s="9"/>
      <c r="P1308" s="3">
        <v>0</v>
      </c>
      <c r="S1308" s="9"/>
      <c r="T1308" s="2"/>
      <c r="U1308" s="9"/>
    </row>
    <row r="1309" spans="2:21" x14ac:dyDescent="0.35">
      <c r="B1309" s="9"/>
      <c r="C1309" s="2"/>
      <c r="D1309" s="2"/>
      <c r="I1309" s="9"/>
      <c r="J1309" s="2"/>
      <c r="L1309" s="9"/>
      <c r="M1309" s="2"/>
      <c r="N1309" s="9"/>
      <c r="P1309" s="3">
        <v>0</v>
      </c>
      <c r="S1309" s="9"/>
      <c r="T1309" s="2"/>
      <c r="U1309" s="9"/>
    </row>
    <row r="1310" spans="2:21" x14ac:dyDescent="0.35">
      <c r="B1310" s="9"/>
      <c r="C1310" s="2"/>
      <c r="D1310" s="2"/>
      <c r="I1310" s="9"/>
      <c r="J1310" s="2"/>
      <c r="L1310" s="9"/>
      <c r="M1310" s="2"/>
      <c r="N1310" s="9"/>
      <c r="P1310" s="3">
        <v>0</v>
      </c>
      <c r="S1310" s="9"/>
      <c r="T1310" s="2"/>
      <c r="U1310" s="9"/>
    </row>
    <row r="1311" spans="2:21" x14ac:dyDescent="0.35">
      <c r="B1311" s="9"/>
      <c r="C1311" s="2"/>
      <c r="D1311" s="2"/>
      <c r="I1311" s="9"/>
      <c r="J1311" s="2"/>
      <c r="L1311" s="9"/>
      <c r="M1311" s="2"/>
      <c r="N1311" s="9"/>
      <c r="P1311" s="3">
        <v>0</v>
      </c>
      <c r="S1311" s="9"/>
      <c r="T1311" s="2"/>
      <c r="U1311" s="9"/>
    </row>
    <row r="1312" spans="2:21" x14ac:dyDescent="0.35">
      <c r="B1312" s="9"/>
      <c r="C1312" s="2"/>
      <c r="D1312" s="2"/>
      <c r="I1312" s="9"/>
      <c r="J1312" s="2"/>
      <c r="L1312" s="9"/>
      <c r="M1312" s="2"/>
      <c r="N1312" s="9"/>
      <c r="P1312" s="3">
        <v>0</v>
      </c>
      <c r="S1312" s="9"/>
      <c r="T1312" s="2"/>
      <c r="U1312" s="9"/>
    </row>
    <row r="1313" spans="2:21" x14ac:dyDescent="0.35">
      <c r="B1313" s="9"/>
      <c r="C1313" s="2"/>
      <c r="D1313" s="2"/>
      <c r="I1313" s="9"/>
      <c r="J1313" s="2"/>
      <c r="L1313" s="9"/>
      <c r="M1313" s="2"/>
      <c r="N1313" s="9"/>
      <c r="P1313" s="3">
        <v>0</v>
      </c>
      <c r="S1313" s="9"/>
      <c r="T1313" s="2"/>
      <c r="U1313" s="9"/>
    </row>
    <row r="1314" spans="2:21" x14ac:dyDescent="0.35">
      <c r="B1314" s="9"/>
      <c r="C1314" s="2"/>
      <c r="D1314" s="2"/>
      <c r="I1314" s="9"/>
      <c r="J1314" s="2"/>
      <c r="L1314" s="9"/>
      <c r="M1314" s="2"/>
      <c r="N1314" s="9"/>
      <c r="P1314" s="3">
        <v>0</v>
      </c>
      <c r="S1314" s="9"/>
      <c r="T1314" s="2"/>
      <c r="U1314" s="9"/>
    </row>
    <row r="1315" spans="2:21" x14ac:dyDescent="0.35">
      <c r="B1315" s="9"/>
      <c r="C1315" s="2"/>
      <c r="D1315" s="2"/>
      <c r="I1315" s="9"/>
      <c r="J1315" s="2"/>
      <c r="L1315" s="9"/>
      <c r="M1315" s="2"/>
      <c r="N1315" s="9"/>
      <c r="P1315" s="3">
        <v>0</v>
      </c>
      <c r="S1315" s="9"/>
      <c r="T1315" s="2"/>
      <c r="U1315" s="9"/>
    </row>
    <row r="1316" spans="2:21" x14ac:dyDescent="0.35">
      <c r="B1316" s="9"/>
      <c r="C1316" s="2"/>
      <c r="D1316" s="2"/>
      <c r="I1316" s="9"/>
      <c r="J1316" s="2"/>
      <c r="L1316" s="9"/>
      <c r="M1316" s="2"/>
      <c r="N1316" s="9"/>
      <c r="P1316" s="3">
        <v>0</v>
      </c>
      <c r="S1316" s="9"/>
      <c r="T1316" s="2"/>
      <c r="U1316" s="9"/>
    </row>
    <row r="1317" spans="2:21" x14ac:dyDescent="0.35">
      <c r="B1317" s="9"/>
      <c r="C1317" s="2"/>
      <c r="D1317" s="2"/>
      <c r="I1317" s="9"/>
      <c r="J1317" s="2"/>
      <c r="L1317" s="9"/>
      <c r="M1317" s="2"/>
      <c r="N1317" s="9"/>
      <c r="P1317" s="3">
        <v>0</v>
      </c>
      <c r="S1317" s="9"/>
      <c r="T1317" s="2"/>
      <c r="U1317" s="9"/>
    </row>
    <row r="1318" spans="2:21" x14ac:dyDescent="0.35">
      <c r="B1318" s="9"/>
      <c r="C1318" s="2"/>
      <c r="D1318" s="2"/>
      <c r="I1318" s="9"/>
      <c r="J1318" s="2"/>
      <c r="L1318" s="9"/>
      <c r="M1318" s="2"/>
      <c r="N1318" s="9"/>
      <c r="P1318" s="3">
        <v>0</v>
      </c>
      <c r="S1318" s="9"/>
      <c r="T1318" s="2"/>
      <c r="U1318" s="9"/>
    </row>
    <row r="1319" spans="2:21" x14ac:dyDescent="0.35">
      <c r="B1319" s="9"/>
      <c r="C1319" s="2"/>
      <c r="D1319" s="2"/>
      <c r="I1319" s="9"/>
      <c r="J1319" s="2"/>
      <c r="L1319" s="9"/>
      <c r="M1319" s="2"/>
      <c r="N1319" s="9"/>
      <c r="P1319" s="3">
        <v>0</v>
      </c>
      <c r="S1319" s="9"/>
      <c r="T1319" s="2"/>
      <c r="U1319" s="9"/>
    </row>
    <row r="1320" spans="2:21" x14ac:dyDescent="0.35">
      <c r="B1320" s="9"/>
      <c r="C1320" s="2"/>
      <c r="D1320" s="2"/>
      <c r="I1320" s="9"/>
      <c r="J1320" s="2"/>
      <c r="L1320" s="9"/>
      <c r="M1320" s="2"/>
      <c r="N1320" s="9"/>
      <c r="P1320" s="3">
        <v>0</v>
      </c>
      <c r="S1320" s="9"/>
      <c r="T1320" s="2"/>
      <c r="U1320" s="9"/>
    </row>
    <row r="1321" spans="2:21" x14ac:dyDescent="0.35">
      <c r="B1321" s="9"/>
      <c r="C1321" s="2"/>
      <c r="D1321" s="2"/>
      <c r="I1321" s="9"/>
      <c r="J1321" s="2"/>
      <c r="L1321" s="9"/>
      <c r="M1321" s="2"/>
      <c r="N1321" s="9"/>
      <c r="P1321" s="3">
        <v>0</v>
      </c>
      <c r="S1321" s="9"/>
      <c r="T1321" s="2"/>
      <c r="U1321" s="9"/>
    </row>
    <row r="1322" spans="2:21" x14ac:dyDescent="0.35">
      <c r="B1322" s="9"/>
      <c r="C1322" s="2"/>
      <c r="D1322" s="2"/>
      <c r="I1322" s="9"/>
      <c r="J1322" s="2"/>
      <c r="L1322" s="9"/>
      <c r="M1322" s="2"/>
      <c r="N1322" s="9"/>
      <c r="P1322" s="3">
        <v>0</v>
      </c>
      <c r="S1322" s="9"/>
      <c r="T1322" s="2"/>
      <c r="U1322" s="9"/>
    </row>
    <row r="1323" spans="2:21" x14ac:dyDescent="0.35">
      <c r="B1323" s="9"/>
      <c r="C1323" s="2"/>
      <c r="D1323" s="2"/>
      <c r="I1323" s="9"/>
      <c r="J1323" s="2"/>
      <c r="L1323" s="9"/>
      <c r="M1323" s="2"/>
      <c r="N1323" s="9"/>
      <c r="P1323" s="3">
        <v>0</v>
      </c>
      <c r="S1323" s="9"/>
      <c r="T1323" s="2"/>
      <c r="U1323" s="9"/>
    </row>
    <row r="1324" spans="2:21" x14ac:dyDescent="0.35">
      <c r="B1324" s="9"/>
      <c r="C1324" s="2"/>
      <c r="D1324" s="2"/>
      <c r="I1324" s="9"/>
      <c r="J1324" s="2"/>
      <c r="L1324" s="9"/>
      <c r="M1324" s="2"/>
      <c r="N1324" s="9"/>
      <c r="P1324" s="3">
        <v>0</v>
      </c>
      <c r="S1324" s="9"/>
      <c r="T1324" s="2"/>
      <c r="U1324" s="9"/>
    </row>
    <row r="1325" spans="2:21" x14ac:dyDescent="0.35">
      <c r="B1325" s="9"/>
      <c r="C1325" s="2"/>
      <c r="D1325" s="2"/>
      <c r="I1325" s="9"/>
      <c r="J1325" s="2"/>
      <c r="L1325" s="9"/>
      <c r="M1325" s="2"/>
      <c r="N1325" s="9"/>
      <c r="P1325" s="3">
        <v>0</v>
      </c>
      <c r="S1325" s="9"/>
      <c r="T1325" s="2"/>
      <c r="U1325" s="9"/>
    </row>
    <row r="1326" spans="2:21" x14ac:dyDescent="0.35">
      <c r="B1326" s="9"/>
      <c r="C1326" s="2"/>
      <c r="D1326" s="2"/>
      <c r="I1326" s="9"/>
      <c r="J1326" s="2"/>
      <c r="L1326" s="9"/>
      <c r="M1326" s="2"/>
      <c r="N1326" s="9"/>
      <c r="P1326" s="3">
        <v>-434.76</v>
      </c>
      <c r="S1326" s="9"/>
      <c r="T1326" s="2"/>
      <c r="U1326" s="9"/>
    </row>
    <row r="1327" spans="2:21" x14ac:dyDescent="0.35">
      <c r="B1327" s="9"/>
      <c r="C1327" s="2"/>
      <c r="D1327" s="2"/>
      <c r="I1327" s="9"/>
      <c r="J1327" s="2"/>
      <c r="L1327" s="9"/>
      <c r="M1327" s="2"/>
      <c r="N1327" s="9"/>
      <c r="P1327" s="3">
        <v>-869.52</v>
      </c>
      <c r="S1327" s="9"/>
      <c r="T1327" s="2"/>
      <c r="U1327" s="9"/>
    </row>
    <row r="1328" spans="2:21" x14ac:dyDescent="0.35">
      <c r="B1328" s="9"/>
      <c r="C1328" s="2"/>
      <c r="D1328" s="2"/>
      <c r="I1328" s="9"/>
      <c r="J1328" s="2"/>
      <c r="L1328" s="9"/>
      <c r="M1328" s="2"/>
      <c r="N1328" s="9"/>
      <c r="P1328" s="3">
        <v>-1304.28</v>
      </c>
      <c r="S1328" s="9"/>
      <c r="T1328" s="2"/>
      <c r="U1328" s="9"/>
    </row>
    <row r="1329" spans="2:21" x14ac:dyDescent="0.35">
      <c r="B1329" s="9"/>
      <c r="C1329" s="2"/>
      <c r="D1329" s="2"/>
      <c r="I1329" s="9"/>
      <c r="J1329" s="2"/>
      <c r="L1329" s="9"/>
      <c r="M1329" s="2"/>
      <c r="N1329" s="9"/>
      <c r="P1329" s="3">
        <v>-1739.04</v>
      </c>
      <c r="S1329" s="9"/>
      <c r="T1329" s="2"/>
      <c r="U1329" s="9"/>
    </row>
    <row r="1330" spans="2:21" x14ac:dyDescent="0.35">
      <c r="B1330" s="9"/>
      <c r="C1330" s="2"/>
      <c r="D1330" s="2"/>
      <c r="I1330" s="9"/>
      <c r="J1330" s="2"/>
      <c r="L1330" s="9"/>
      <c r="M1330" s="2"/>
      <c r="N1330" s="9"/>
      <c r="P1330" s="3">
        <v>-2173.8000000000002</v>
      </c>
      <c r="S1330" s="9"/>
      <c r="T1330" s="2"/>
      <c r="U1330" s="9"/>
    </row>
    <row r="1331" spans="2:21" x14ac:dyDescent="0.35">
      <c r="B1331" s="9"/>
      <c r="C1331" s="2"/>
      <c r="D1331" s="2"/>
      <c r="I1331" s="9"/>
      <c r="J1331" s="2"/>
      <c r="L1331" s="9"/>
      <c r="M1331" s="2"/>
      <c r="N1331" s="9"/>
      <c r="P1331" s="3">
        <v>-2173.8000000000002</v>
      </c>
      <c r="S1331" s="9"/>
      <c r="T1331" s="2"/>
      <c r="U1331" s="9"/>
    </row>
    <row r="1332" spans="2:21" x14ac:dyDescent="0.35">
      <c r="B1332" s="9"/>
      <c r="C1332" s="2"/>
      <c r="D1332" s="2"/>
      <c r="I1332" s="9"/>
      <c r="J1332" s="2"/>
      <c r="L1332" s="9"/>
      <c r="M1332" s="2"/>
      <c r="N1332" s="9"/>
      <c r="P1332" s="3">
        <v>-1739.04</v>
      </c>
      <c r="S1332" s="9"/>
      <c r="T1332" s="2"/>
      <c r="U1332" s="9"/>
    </row>
    <row r="1333" spans="2:21" x14ac:dyDescent="0.35">
      <c r="B1333" s="9"/>
      <c r="C1333" s="2"/>
      <c r="D1333" s="2"/>
      <c r="I1333" s="9"/>
      <c r="J1333" s="2"/>
      <c r="L1333" s="9"/>
      <c r="M1333" s="2"/>
      <c r="N1333" s="9"/>
      <c r="P1333" s="3">
        <v>-1304.28</v>
      </c>
      <c r="S1333" s="9"/>
      <c r="T1333" s="2"/>
      <c r="U1333" s="9"/>
    </row>
    <row r="1334" spans="2:21" x14ac:dyDescent="0.35">
      <c r="B1334" s="9"/>
      <c r="C1334" s="2"/>
      <c r="D1334" s="2"/>
      <c r="I1334" s="9"/>
      <c r="J1334" s="2"/>
      <c r="L1334" s="9"/>
      <c r="M1334" s="2"/>
      <c r="N1334" s="9"/>
      <c r="P1334" s="3">
        <v>-869.52</v>
      </c>
      <c r="S1334" s="9"/>
      <c r="T1334" s="2"/>
      <c r="U1334" s="9"/>
    </row>
    <row r="1335" spans="2:21" x14ac:dyDescent="0.35">
      <c r="B1335" s="9"/>
      <c r="C1335" s="2"/>
      <c r="D1335" s="2"/>
      <c r="I1335" s="9"/>
      <c r="J1335" s="2"/>
      <c r="L1335" s="9"/>
      <c r="M1335" s="2"/>
      <c r="N1335" s="9"/>
      <c r="P1335" s="3">
        <v>-434.76</v>
      </c>
      <c r="S1335" s="9"/>
      <c r="T1335" s="2"/>
      <c r="U1335" s="9"/>
    </row>
    <row r="1336" spans="2:21" x14ac:dyDescent="0.35">
      <c r="B1336" s="9"/>
      <c r="C1336" s="2"/>
      <c r="D1336" s="2"/>
      <c r="I1336" s="9"/>
      <c r="J1336" s="2"/>
      <c r="L1336" s="9"/>
      <c r="M1336" s="2"/>
      <c r="N1336" s="9"/>
      <c r="P1336" s="3">
        <v>0</v>
      </c>
      <c r="S1336" s="9"/>
      <c r="T1336" s="2"/>
      <c r="U1336" s="9"/>
    </row>
    <row r="1337" spans="2:21" x14ac:dyDescent="0.35">
      <c r="B1337" s="9"/>
      <c r="C1337" s="2"/>
      <c r="D1337" s="2"/>
      <c r="I1337" s="9"/>
      <c r="J1337" s="2"/>
      <c r="L1337" s="9"/>
      <c r="M1337" s="2"/>
      <c r="N1337" s="9"/>
      <c r="P1337" s="3">
        <v>0</v>
      </c>
      <c r="S1337" s="9"/>
      <c r="T1337" s="2"/>
      <c r="U1337" s="9"/>
    </row>
    <row r="1338" spans="2:21" x14ac:dyDescent="0.35">
      <c r="B1338" s="9"/>
      <c r="C1338" s="2"/>
      <c r="D1338" s="2"/>
      <c r="I1338" s="9"/>
      <c r="J1338" s="2"/>
      <c r="L1338" s="9"/>
      <c r="M1338" s="2"/>
      <c r="N1338" s="9"/>
      <c r="P1338" s="3">
        <v>0</v>
      </c>
      <c r="S1338" s="9"/>
      <c r="T1338" s="2"/>
      <c r="U1338" s="9"/>
    </row>
    <row r="1339" spans="2:21" x14ac:dyDescent="0.35">
      <c r="B1339" s="9"/>
      <c r="C1339" s="2"/>
      <c r="D1339" s="2"/>
      <c r="I1339" s="9"/>
      <c r="J1339" s="2"/>
      <c r="L1339" s="9"/>
      <c r="M1339" s="2"/>
      <c r="N1339" s="9"/>
      <c r="P1339" s="3">
        <v>-58.078588019999998</v>
      </c>
      <c r="S1339" s="9"/>
      <c r="T1339" s="2"/>
      <c r="U1339" s="9"/>
    </row>
    <row r="1340" spans="2:21" x14ac:dyDescent="0.35">
      <c r="B1340" s="9"/>
      <c r="C1340" s="2"/>
      <c r="D1340" s="2"/>
      <c r="I1340" s="9"/>
      <c r="J1340" s="2"/>
      <c r="L1340" s="9"/>
      <c r="M1340" s="2"/>
      <c r="N1340" s="9"/>
      <c r="P1340" s="3">
        <v>-492.83858801999997</v>
      </c>
      <c r="S1340" s="9"/>
      <c r="T1340" s="2"/>
      <c r="U1340" s="9"/>
    </row>
    <row r="1341" spans="2:21" x14ac:dyDescent="0.35">
      <c r="B1341" s="9"/>
      <c r="C1341" s="2"/>
      <c r="D1341" s="2"/>
      <c r="I1341" s="9"/>
      <c r="J1341" s="2"/>
      <c r="L1341" s="9"/>
      <c r="M1341" s="2"/>
      <c r="N1341" s="9"/>
      <c r="P1341" s="3">
        <v>-927.59858801999997</v>
      </c>
      <c r="S1341" s="9"/>
      <c r="T1341" s="2"/>
      <c r="U1341" s="9"/>
    </row>
    <row r="1342" spans="2:21" x14ac:dyDescent="0.35">
      <c r="B1342" s="9"/>
      <c r="C1342" s="2"/>
      <c r="D1342" s="2"/>
      <c r="I1342" s="9"/>
      <c r="J1342" s="2"/>
      <c r="L1342" s="9"/>
      <c r="M1342" s="2"/>
      <c r="N1342" s="9"/>
      <c r="P1342" s="3">
        <v>-1362.3585880200001</v>
      </c>
      <c r="S1342" s="9"/>
      <c r="T1342" s="2"/>
      <c r="U1342" s="9"/>
    </row>
    <row r="1343" spans="2:21" x14ac:dyDescent="0.35">
      <c r="B1343" s="9"/>
      <c r="C1343" s="2"/>
      <c r="D1343" s="2"/>
      <c r="I1343" s="9"/>
      <c r="J1343" s="2"/>
      <c r="L1343" s="9"/>
      <c r="M1343" s="2"/>
      <c r="N1343" s="9"/>
      <c r="P1343" s="3">
        <v>-1797.1185880200001</v>
      </c>
      <c r="S1343" s="9"/>
      <c r="T1343" s="2"/>
      <c r="U1343" s="9"/>
    </row>
    <row r="1344" spans="2:21" x14ac:dyDescent="0.35">
      <c r="B1344" s="9"/>
      <c r="C1344" s="2"/>
      <c r="D1344" s="2"/>
      <c r="I1344" s="9"/>
      <c r="J1344" s="2"/>
      <c r="L1344" s="9"/>
      <c r="M1344" s="2"/>
      <c r="N1344" s="9"/>
      <c r="P1344" s="3">
        <v>-2231.8785880199998</v>
      </c>
      <c r="S1344" s="9"/>
      <c r="T1344" s="2"/>
      <c r="U1344" s="9"/>
    </row>
    <row r="1345" spans="2:21" x14ac:dyDescent="0.35">
      <c r="B1345" s="9"/>
      <c r="C1345" s="2"/>
      <c r="D1345" s="2"/>
      <c r="I1345" s="9"/>
      <c r="J1345" s="2"/>
      <c r="L1345" s="9"/>
      <c r="M1345" s="2"/>
      <c r="N1345" s="9"/>
      <c r="P1345" s="3">
        <v>-1797.1185880200001</v>
      </c>
      <c r="S1345" s="9"/>
      <c r="T1345" s="2"/>
      <c r="U1345" s="9"/>
    </row>
    <row r="1346" spans="2:21" x14ac:dyDescent="0.35">
      <c r="B1346" s="9"/>
      <c r="C1346" s="2"/>
      <c r="D1346" s="2"/>
      <c r="I1346" s="9"/>
      <c r="J1346" s="2"/>
      <c r="L1346" s="9"/>
      <c r="M1346" s="2"/>
      <c r="N1346" s="9"/>
      <c r="P1346" s="3">
        <v>-1362.3585880200001</v>
      </c>
      <c r="S1346" s="9"/>
      <c r="T1346" s="2"/>
      <c r="U1346" s="9"/>
    </row>
    <row r="1347" spans="2:21" x14ac:dyDescent="0.35">
      <c r="B1347" s="9"/>
      <c r="C1347" s="2"/>
      <c r="D1347" s="2"/>
      <c r="I1347" s="9"/>
      <c r="J1347" s="2"/>
      <c r="L1347" s="9"/>
      <c r="M1347" s="2"/>
      <c r="N1347" s="9"/>
      <c r="P1347" s="3">
        <v>-1024.44686802</v>
      </c>
      <c r="S1347" s="9"/>
      <c r="T1347" s="2"/>
      <c r="U1347" s="9"/>
    </row>
    <row r="1348" spans="2:21" x14ac:dyDescent="0.35">
      <c r="B1348" s="9"/>
      <c r="C1348" s="2"/>
      <c r="D1348" s="2"/>
      <c r="I1348" s="9"/>
      <c r="J1348" s="2"/>
      <c r="L1348" s="9"/>
      <c r="M1348" s="2"/>
      <c r="N1348" s="9"/>
      <c r="P1348" s="3">
        <v>-849.68391801999996</v>
      </c>
      <c r="S1348" s="9"/>
      <c r="T1348" s="2"/>
      <c r="U1348" s="9"/>
    </row>
    <row r="1349" spans="2:21" x14ac:dyDescent="0.35">
      <c r="B1349" s="9"/>
      <c r="C1349" s="2"/>
      <c r="D1349" s="2"/>
      <c r="I1349" s="9"/>
      <c r="J1349" s="2"/>
      <c r="L1349" s="9"/>
      <c r="M1349" s="2"/>
      <c r="N1349" s="9"/>
      <c r="P1349" s="3">
        <v>-786.05513801999996</v>
      </c>
      <c r="S1349" s="9"/>
      <c r="T1349" s="2"/>
      <c r="U1349" s="9"/>
    </row>
    <row r="1350" spans="2:21" x14ac:dyDescent="0.35">
      <c r="B1350" s="9"/>
      <c r="C1350" s="2"/>
      <c r="D1350" s="2"/>
      <c r="I1350" s="9"/>
      <c r="J1350" s="2"/>
      <c r="L1350" s="9"/>
      <c r="M1350" s="2"/>
      <c r="N1350" s="9"/>
      <c r="P1350" s="3">
        <v>-1220.8151380199999</v>
      </c>
      <c r="S1350" s="9"/>
      <c r="T1350" s="2"/>
      <c r="U1350" s="9"/>
    </row>
    <row r="1351" spans="2:21" x14ac:dyDescent="0.35">
      <c r="B1351" s="9"/>
      <c r="C1351" s="2"/>
      <c r="D1351" s="2"/>
      <c r="I1351" s="9"/>
      <c r="J1351" s="2"/>
      <c r="L1351" s="9"/>
      <c r="M1351" s="2"/>
      <c r="N1351" s="9"/>
      <c r="P1351" s="3">
        <v>-1431.96063886</v>
      </c>
      <c r="S1351" s="9"/>
      <c r="T1351" s="2"/>
      <c r="U1351" s="9"/>
    </row>
    <row r="1352" spans="2:21" x14ac:dyDescent="0.35">
      <c r="B1352" s="9"/>
      <c r="C1352" s="2"/>
      <c r="D1352" s="2"/>
      <c r="I1352" s="9"/>
      <c r="J1352" s="2"/>
      <c r="L1352" s="9"/>
      <c r="M1352" s="2"/>
      <c r="N1352" s="9"/>
      <c r="P1352" s="3">
        <v>-1722.18804886</v>
      </c>
      <c r="S1352" s="9"/>
      <c r="T1352" s="2"/>
      <c r="U1352" s="9"/>
    </row>
    <row r="1353" spans="2:21" x14ac:dyDescent="0.35">
      <c r="B1353" s="9"/>
      <c r="C1353" s="2"/>
      <c r="D1353" s="2"/>
      <c r="I1353" s="9"/>
      <c r="J1353" s="2"/>
      <c r="L1353" s="9"/>
      <c r="M1353" s="2"/>
      <c r="N1353" s="9"/>
      <c r="P1353" s="3">
        <v>-1891.58268886</v>
      </c>
      <c r="S1353" s="9"/>
      <c r="T1353" s="2"/>
      <c r="U1353" s="9"/>
    </row>
    <row r="1354" spans="2:21" x14ac:dyDescent="0.35">
      <c r="B1354" s="9"/>
      <c r="C1354" s="2"/>
      <c r="D1354" s="2"/>
      <c r="I1354" s="9"/>
      <c r="J1354" s="2"/>
      <c r="L1354" s="9"/>
      <c r="M1354" s="2"/>
      <c r="N1354" s="9"/>
      <c r="P1354" s="3">
        <v>-2063.8471488599998</v>
      </c>
      <c r="S1354" s="9"/>
      <c r="T1354" s="2"/>
      <c r="U1354" s="9"/>
    </row>
    <row r="1355" spans="2:21" x14ac:dyDescent="0.35">
      <c r="B1355" s="9"/>
      <c r="C1355" s="2"/>
      <c r="D1355" s="2"/>
      <c r="I1355" s="9"/>
      <c r="J1355" s="2"/>
      <c r="L1355" s="9"/>
      <c r="M1355" s="2"/>
      <c r="N1355" s="9"/>
      <c r="P1355" s="3">
        <v>-1984.9861223800001</v>
      </c>
      <c r="S1355" s="9"/>
      <c r="T1355" s="2"/>
      <c r="U1355" s="9"/>
    </row>
    <row r="1356" spans="2:21" x14ac:dyDescent="0.35">
      <c r="B1356" s="9"/>
      <c r="C1356" s="2"/>
      <c r="D1356" s="2"/>
      <c r="I1356" s="9"/>
      <c r="J1356" s="2"/>
      <c r="L1356" s="9"/>
      <c r="M1356" s="2"/>
      <c r="N1356" s="9"/>
      <c r="P1356" s="3">
        <v>-1875.9529359000001</v>
      </c>
      <c r="S1356" s="9"/>
      <c r="T1356" s="2"/>
      <c r="U1356" s="9"/>
    </row>
    <row r="1357" spans="2:21" x14ac:dyDescent="0.35">
      <c r="B1357" s="9"/>
      <c r="C1357" s="2"/>
      <c r="D1357" s="2"/>
      <c r="I1357" s="9"/>
      <c r="J1357" s="2"/>
      <c r="L1357" s="9"/>
      <c r="M1357" s="2"/>
      <c r="N1357" s="9"/>
      <c r="P1357" s="3">
        <v>-1798.59811345</v>
      </c>
      <c r="S1357" s="9"/>
      <c r="T1357" s="2"/>
      <c r="U1357" s="9"/>
    </row>
    <row r="1358" spans="2:21" x14ac:dyDescent="0.35">
      <c r="B1358" s="9"/>
      <c r="C1358" s="2"/>
      <c r="D1358" s="2"/>
      <c r="I1358" s="9"/>
      <c r="J1358" s="2"/>
      <c r="L1358" s="9"/>
      <c r="M1358" s="2"/>
      <c r="N1358" s="9"/>
      <c r="P1358" s="3">
        <v>-1740.7140369700001</v>
      </c>
      <c r="S1358" s="9"/>
      <c r="T1358" s="2"/>
      <c r="U1358" s="9"/>
    </row>
    <row r="1359" spans="2:21" x14ac:dyDescent="0.35">
      <c r="B1359" s="9"/>
      <c r="C1359" s="2"/>
      <c r="D1359" s="2"/>
      <c r="I1359" s="9"/>
      <c r="J1359" s="2"/>
      <c r="L1359" s="9"/>
      <c r="M1359" s="2"/>
      <c r="N1359" s="9"/>
      <c r="P1359" s="3">
        <v>-2175.4740369699998</v>
      </c>
      <c r="S1359" s="9"/>
      <c r="T1359" s="2"/>
      <c r="U1359" s="9"/>
    </row>
    <row r="1360" spans="2:21" x14ac:dyDescent="0.35">
      <c r="B1360" s="9"/>
      <c r="C1360" s="2"/>
      <c r="D1360" s="2"/>
      <c r="I1360" s="9"/>
      <c r="J1360" s="2"/>
      <c r="L1360" s="9"/>
      <c r="M1360" s="2"/>
      <c r="N1360" s="9"/>
      <c r="P1360" s="3">
        <v>-2610.23403697</v>
      </c>
      <c r="S1360" s="9"/>
      <c r="T1360" s="2"/>
      <c r="U1360" s="9"/>
    </row>
    <row r="1361" spans="2:21" x14ac:dyDescent="0.35">
      <c r="B1361" s="9"/>
      <c r="C1361" s="2"/>
      <c r="D1361" s="2"/>
      <c r="I1361" s="9"/>
      <c r="J1361" s="2"/>
      <c r="L1361" s="9"/>
      <c r="M1361" s="2"/>
      <c r="N1361" s="9"/>
      <c r="P1361" s="3">
        <v>-2860.169492</v>
      </c>
      <c r="S1361" s="9"/>
      <c r="T1361" s="2"/>
      <c r="U1361" s="9"/>
    </row>
    <row r="1362" spans="2:21" x14ac:dyDescent="0.35">
      <c r="B1362" s="9"/>
      <c r="C1362" s="2"/>
      <c r="D1362" s="2"/>
      <c r="I1362" s="9"/>
      <c r="J1362" s="2"/>
      <c r="L1362" s="9"/>
      <c r="M1362" s="2"/>
      <c r="N1362" s="9"/>
      <c r="P1362" s="3">
        <v>-2439.9513993800001</v>
      </c>
      <c r="S1362" s="9"/>
      <c r="T1362" s="2"/>
      <c r="U1362" s="9"/>
    </row>
    <row r="1363" spans="2:21" x14ac:dyDescent="0.35">
      <c r="B1363" s="9"/>
      <c r="C1363" s="2"/>
      <c r="D1363" s="2"/>
      <c r="I1363" s="9"/>
      <c r="J1363" s="2"/>
      <c r="L1363" s="9"/>
      <c r="M1363" s="2"/>
      <c r="N1363" s="9"/>
      <c r="P1363" s="3">
        <v>-2005.1913993799999</v>
      </c>
      <c r="S1363" s="9"/>
      <c r="T1363" s="2"/>
      <c r="U1363" s="9"/>
    </row>
    <row r="1364" spans="2:21" x14ac:dyDescent="0.35">
      <c r="B1364" s="9"/>
      <c r="C1364" s="2"/>
      <c r="D1364" s="2"/>
      <c r="I1364" s="9"/>
      <c r="J1364" s="2"/>
      <c r="L1364" s="9"/>
      <c r="M1364" s="2"/>
      <c r="N1364" s="9"/>
      <c r="P1364" s="3">
        <v>-1868.9624240600001</v>
      </c>
      <c r="S1364" s="9"/>
      <c r="T1364" s="2"/>
      <c r="U1364" s="9"/>
    </row>
    <row r="1365" spans="2:21" x14ac:dyDescent="0.35">
      <c r="B1365" s="9"/>
      <c r="C1365" s="2"/>
      <c r="D1365" s="2"/>
      <c r="I1365" s="9"/>
      <c r="J1365" s="2"/>
      <c r="L1365" s="9"/>
      <c r="M1365" s="2"/>
      <c r="N1365" s="9"/>
      <c r="P1365" s="3">
        <v>-2303.7224240599999</v>
      </c>
      <c r="S1365" s="9"/>
      <c r="T1365" s="2"/>
      <c r="U1365" s="9"/>
    </row>
    <row r="1366" spans="2:21" x14ac:dyDescent="0.35">
      <c r="B1366" s="9"/>
      <c r="C1366" s="2"/>
      <c r="D1366" s="2"/>
      <c r="I1366" s="9"/>
      <c r="J1366" s="2"/>
      <c r="L1366" s="9"/>
      <c r="M1366" s="2"/>
      <c r="N1366" s="9"/>
      <c r="P1366" s="3">
        <v>-2738.4824240600001</v>
      </c>
      <c r="S1366" s="9"/>
      <c r="T1366" s="2"/>
      <c r="U1366" s="9"/>
    </row>
    <row r="1367" spans="2:21" x14ac:dyDescent="0.35">
      <c r="B1367" s="9"/>
      <c r="C1367" s="2"/>
      <c r="D1367" s="2"/>
      <c r="I1367" s="9"/>
      <c r="J1367" s="2"/>
      <c r="L1367" s="9"/>
      <c r="M1367" s="2"/>
      <c r="N1367" s="9"/>
      <c r="P1367" s="3">
        <v>-2860.169492</v>
      </c>
      <c r="S1367" s="9"/>
      <c r="T1367" s="2"/>
      <c r="U1367" s="9"/>
    </row>
    <row r="1368" spans="2:21" x14ac:dyDescent="0.35">
      <c r="B1368" s="9"/>
      <c r="C1368" s="2"/>
      <c r="D1368" s="2"/>
      <c r="I1368" s="9"/>
      <c r="J1368" s="2"/>
      <c r="L1368" s="9"/>
      <c r="M1368" s="2"/>
      <c r="N1368" s="9"/>
      <c r="P1368" s="3">
        <v>-2860.169492</v>
      </c>
      <c r="S1368" s="9"/>
      <c r="T1368" s="2"/>
      <c r="U1368" s="9"/>
    </row>
    <row r="1369" spans="2:21" x14ac:dyDescent="0.35">
      <c r="B1369" s="9"/>
      <c r="C1369" s="2"/>
      <c r="D1369" s="2"/>
      <c r="I1369" s="9"/>
      <c r="J1369" s="2"/>
      <c r="L1369" s="9"/>
      <c r="M1369" s="2"/>
      <c r="N1369" s="9"/>
      <c r="P1369" s="3">
        <v>-2860.169492</v>
      </c>
      <c r="S1369" s="9"/>
      <c r="T1369" s="2"/>
      <c r="U1369" s="9"/>
    </row>
    <row r="1370" spans="2:21" x14ac:dyDescent="0.35">
      <c r="B1370" s="9"/>
      <c r="C1370" s="2"/>
      <c r="D1370" s="2"/>
      <c r="I1370" s="9"/>
      <c r="J1370" s="2"/>
      <c r="L1370" s="9"/>
      <c r="M1370" s="2"/>
      <c r="N1370" s="9"/>
      <c r="P1370" s="3">
        <v>-2860.169492</v>
      </c>
      <c r="S1370" s="9"/>
      <c r="T1370" s="2"/>
      <c r="U1370" s="9"/>
    </row>
    <row r="1371" spans="2:21" x14ac:dyDescent="0.35">
      <c r="B1371" s="9"/>
      <c r="C1371" s="2"/>
      <c r="D1371" s="2"/>
      <c r="I1371" s="9"/>
      <c r="J1371" s="2"/>
      <c r="L1371" s="9"/>
      <c r="M1371" s="2"/>
      <c r="N1371" s="9"/>
      <c r="P1371" s="3">
        <v>-2860.169492</v>
      </c>
      <c r="S1371" s="9"/>
      <c r="T1371" s="2"/>
      <c r="U1371" s="9"/>
    </row>
    <row r="1372" spans="2:21" x14ac:dyDescent="0.35">
      <c r="B1372" s="9"/>
      <c r="C1372" s="2"/>
      <c r="D1372" s="2"/>
      <c r="I1372" s="9"/>
      <c r="J1372" s="2"/>
      <c r="L1372" s="9"/>
      <c r="M1372" s="2"/>
      <c r="N1372" s="9"/>
      <c r="P1372" s="3">
        <v>-2860.169492</v>
      </c>
      <c r="S1372" s="9"/>
      <c r="T1372" s="2"/>
      <c r="U1372" s="9"/>
    </row>
    <row r="1373" spans="2:21" x14ac:dyDescent="0.35">
      <c r="B1373" s="9"/>
      <c r="C1373" s="2"/>
      <c r="D1373" s="2"/>
      <c r="I1373" s="9"/>
      <c r="J1373" s="2"/>
      <c r="L1373" s="9"/>
      <c r="M1373" s="2"/>
      <c r="N1373" s="9"/>
      <c r="P1373" s="3">
        <v>-2860.169492</v>
      </c>
      <c r="S1373" s="9"/>
      <c r="T1373" s="2"/>
      <c r="U1373" s="9"/>
    </row>
    <row r="1374" spans="2:21" x14ac:dyDescent="0.35">
      <c r="B1374" s="9"/>
      <c r="C1374" s="2"/>
      <c r="D1374" s="2"/>
      <c r="I1374" s="9"/>
      <c r="J1374" s="2"/>
      <c r="L1374" s="9"/>
      <c r="M1374" s="2"/>
      <c r="N1374" s="9"/>
      <c r="P1374" s="3">
        <v>-2860.169492</v>
      </c>
      <c r="S1374" s="9"/>
      <c r="T1374" s="2"/>
      <c r="U1374" s="9"/>
    </row>
    <row r="1375" spans="2:21" x14ac:dyDescent="0.35">
      <c r="B1375" s="9"/>
      <c r="C1375" s="2"/>
      <c r="D1375" s="2"/>
      <c r="I1375" s="9"/>
      <c r="J1375" s="2"/>
      <c r="L1375" s="9"/>
      <c r="M1375" s="2"/>
      <c r="N1375" s="9"/>
      <c r="P1375" s="3">
        <v>-2860.169492</v>
      </c>
      <c r="S1375" s="9"/>
      <c r="T1375" s="2"/>
      <c r="U1375" s="9"/>
    </row>
    <row r="1376" spans="2:21" x14ac:dyDescent="0.35">
      <c r="B1376" s="9"/>
      <c r="C1376" s="2"/>
      <c r="D1376" s="2"/>
      <c r="I1376" s="9"/>
      <c r="J1376" s="2"/>
      <c r="L1376" s="9"/>
      <c r="M1376" s="2"/>
      <c r="N1376" s="9"/>
      <c r="P1376" s="3">
        <v>-2860.169492</v>
      </c>
      <c r="S1376" s="9"/>
      <c r="T1376" s="2"/>
      <c r="U1376" s="9"/>
    </row>
    <row r="1377" spans="2:21" x14ac:dyDescent="0.35">
      <c r="B1377" s="9"/>
      <c r="C1377" s="2"/>
      <c r="D1377" s="2"/>
      <c r="I1377" s="9"/>
      <c r="J1377" s="2"/>
      <c r="L1377" s="9"/>
      <c r="M1377" s="2"/>
      <c r="N1377" s="9"/>
      <c r="P1377" s="3">
        <v>-2860.169492</v>
      </c>
      <c r="S1377" s="9"/>
      <c r="T1377" s="2"/>
      <c r="U1377" s="9"/>
    </row>
    <row r="1378" spans="2:21" x14ac:dyDescent="0.35">
      <c r="B1378" s="9"/>
      <c r="C1378" s="2"/>
      <c r="D1378" s="2"/>
      <c r="I1378" s="9"/>
      <c r="J1378" s="2"/>
      <c r="L1378" s="9"/>
      <c r="M1378" s="2"/>
      <c r="N1378" s="9"/>
      <c r="P1378" s="3">
        <v>-2860.169492</v>
      </c>
      <c r="S1378" s="9"/>
      <c r="T1378" s="2"/>
      <c r="U1378" s="9"/>
    </row>
    <row r="1379" spans="2:21" x14ac:dyDescent="0.35">
      <c r="B1379" s="9"/>
      <c r="C1379" s="2"/>
      <c r="D1379" s="2"/>
      <c r="I1379" s="9"/>
      <c r="J1379" s="2"/>
      <c r="L1379" s="9"/>
      <c r="M1379" s="2"/>
      <c r="N1379" s="9"/>
      <c r="P1379" s="3">
        <v>-2860.169492</v>
      </c>
      <c r="S1379" s="9"/>
      <c r="T1379" s="2"/>
      <c r="U1379" s="9"/>
    </row>
    <row r="1380" spans="2:21" x14ac:dyDescent="0.35">
      <c r="B1380" s="9"/>
      <c r="C1380" s="2"/>
      <c r="D1380" s="2"/>
      <c r="I1380" s="9"/>
      <c r="J1380" s="2"/>
      <c r="L1380" s="9"/>
      <c r="M1380" s="2"/>
      <c r="N1380" s="9"/>
      <c r="P1380" s="3">
        <v>-2860.169492</v>
      </c>
      <c r="S1380" s="9"/>
      <c r="T1380" s="2"/>
      <c r="U1380" s="9"/>
    </row>
    <row r="1381" spans="2:21" x14ac:dyDescent="0.35">
      <c r="B1381" s="9"/>
      <c r="C1381" s="2"/>
      <c r="D1381" s="2"/>
      <c r="I1381" s="9"/>
      <c r="J1381" s="2"/>
      <c r="L1381" s="9"/>
      <c r="M1381" s="2"/>
      <c r="N1381" s="9"/>
      <c r="P1381" s="3">
        <v>-2860.169492</v>
      </c>
      <c r="S1381" s="9"/>
      <c r="T1381" s="2"/>
      <c r="U1381" s="9"/>
    </row>
    <row r="1382" spans="2:21" x14ac:dyDescent="0.35">
      <c r="B1382" s="9"/>
      <c r="C1382" s="2"/>
      <c r="D1382" s="2"/>
      <c r="I1382" s="9"/>
      <c r="J1382" s="2"/>
      <c r="L1382" s="9"/>
      <c r="M1382" s="2"/>
      <c r="N1382" s="9"/>
      <c r="P1382" s="3">
        <v>-2425.4094919999998</v>
      </c>
      <c r="S1382" s="9"/>
      <c r="T1382" s="2"/>
      <c r="U1382" s="9"/>
    </row>
    <row r="1383" spans="2:21" x14ac:dyDescent="0.35">
      <c r="B1383" s="9"/>
      <c r="C1383" s="2"/>
      <c r="D1383" s="2"/>
      <c r="I1383" s="9"/>
      <c r="J1383" s="2"/>
      <c r="L1383" s="9"/>
      <c r="M1383" s="2"/>
      <c r="N1383" s="9"/>
      <c r="P1383" s="3">
        <v>-1990.649492</v>
      </c>
      <c r="S1383" s="9"/>
      <c r="T1383" s="2"/>
      <c r="U1383" s="9"/>
    </row>
    <row r="1384" spans="2:21" x14ac:dyDescent="0.35">
      <c r="B1384" s="9"/>
      <c r="C1384" s="2"/>
      <c r="D1384" s="2"/>
      <c r="I1384" s="9"/>
      <c r="J1384" s="2"/>
      <c r="L1384" s="9"/>
      <c r="M1384" s="2"/>
      <c r="N1384" s="9"/>
      <c r="P1384" s="3">
        <v>-1555.889492</v>
      </c>
      <c r="S1384" s="9"/>
      <c r="T1384" s="2"/>
      <c r="U1384" s="9"/>
    </row>
    <row r="1385" spans="2:21" x14ac:dyDescent="0.35">
      <c r="B1385" s="9"/>
      <c r="C1385" s="2"/>
      <c r="D1385" s="2"/>
      <c r="I1385" s="9"/>
      <c r="J1385" s="2"/>
      <c r="L1385" s="9"/>
      <c r="M1385" s="2"/>
      <c r="N1385" s="9"/>
      <c r="P1385" s="3">
        <v>-1121.129492</v>
      </c>
      <c r="S1385" s="9"/>
      <c r="T1385" s="2"/>
      <c r="U1385" s="9"/>
    </row>
    <row r="1386" spans="2:21" x14ac:dyDescent="0.35">
      <c r="B1386" s="9"/>
      <c r="C1386" s="2"/>
      <c r="D1386" s="2"/>
      <c r="I1386" s="9"/>
      <c r="J1386" s="2"/>
      <c r="L1386" s="9"/>
      <c r="M1386" s="2"/>
      <c r="N1386" s="9"/>
      <c r="P1386" s="3">
        <v>-686.36949200000004</v>
      </c>
      <c r="S1386" s="9"/>
      <c r="T1386" s="2"/>
      <c r="U1386" s="9"/>
    </row>
    <row r="1387" spans="2:21" x14ac:dyDescent="0.35">
      <c r="B1387" s="9"/>
      <c r="C1387" s="2"/>
      <c r="D1387" s="2"/>
      <c r="I1387" s="9"/>
      <c r="J1387" s="2"/>
      <c r="L1387" s="9"/>
      <c r="M1387" s="2"/>
      <c r="N1387" s="9"/>
      <c r="P1387" s="3">
        <v>-251.60949199999999</v>
      </c>
      <c r="S1387" s="9"/>
      <c r="T1387" s="2"/>
      <c r="U1387" s="9"/>
    </row>
    <row r="1388" spans="2:21" x14ac:dyDescent="0.35">
      <c r="B1388" s="9"/>
      <c r="C1388" s="2"/>
      <c r="D1388" s="2"/>
      <c r="I1388" s="9"/>
      <c r="J1388" s="2"/>
      <c r="L1388" s="9"/>
      <c r="M1388" s="2"/>
      <c r="N1388" s="9"/>
      <c r="P1388" s="3">
        <v>0</v>
      </c>
      <c r="S1388" s="9"/>
      <c r="T1388" s="2"/>
      <c r="U1388" s="9"/>
    </row>
    <row r="1389" spans="2:21" x14ac:dyDescent="0.35">
      <c r="B1389" s="9"/>
      <c r="C1389" s="2"/>
      <c r="D1389" s="2"/>
      <c r="I1389" s="9"/>
      <c r="J1389" s="2"/>
      <c r="L1389" s="9"/>
      <c r="M1389" s="2"/>
      <c r="N1389" s="9"/>
      <c r="P1389" s="3">
        <v>0</v>
      </c>
      <c r="S1389" s="9"/>
      <c r="T1389" s="2"/>
      <c r="U1389" s="9"/>
    </row>
    <row r="1390" spans="2:21" x14ac:dyDescent="0.35">
      <c r="B1390" s="9"/>
      <c r="C1390" s="2"/>
      <c r="D1390" s="2"/>
      <c r="I1390" s="9"/>
      <c r="J1390" s="2"/>
      <c r="L1390" s="9"/>
      <c r="M1390" s="2"/>
      <c r="N1390" s="9"/>
      <c r="P1390" s="3">
        <v>-251.60949199999999</v>
      </c>
      <c r="S1390" s="9"/>
      <c r="T1390" s="2"/>
      <c r="U1390" s="9"/>
    </row>
    <row r="1391" spans="2:21" x14ac:dyDescent="0.35">
      <c r="B1391" s="9"/>
      <c r="C1391" s="2"/>
      <c r="D1391" s="2"/>
      <c r="I1391" s="9"/>
      <c r="J1391" s="2"/>
      <c r="L1391" s="9"/>
      <c r="M1391" s="2"/>
      <c r="N1391" s="9"/>
      <c r="P1391" s="3">
        <v>-686.36949200000004</v>
      </c>
      <c r="S1391" s="9"/>
      <c r="T1391" s="2"/>
      <c r="U1391" s="9"/>
    </row>
    <row r="1392" spans="2:21" x14ac:dyDescent="0.35">
      <c r="B1392" s="9"/>
      <c r="C1392" s="2"/>
      <c r="D1392" s="2"/>
      <c r="I1392" s="9"/>
      <c r="J1392" s="2"/>
      <c r="L1392" s="9"/>
      <c r="M1392" s="2"/>
      <c r="N1392" s="9"/>
      <c r="P1392" s="3">
        <v>-1121.129492</v>
      </c>
      <c r="S1392" s="9"/>
      <c r="T1392" s="2"/>
      <c r="U1392" s="9"/>
    </row>
    <row r="1393" spans="2:21" x14ac:dyDescent="0.35">
      <c r="B1393" s="9"/>
      <c r="C1393" s="2"/>
      <c r="D1393" s="2"/>
      <c r="I1393" s="9"/>
      <c r="J1393" s="2"/>
      <c r="L1393" s="9"/>
      <c r="M1393" s="2"/>
      <c r="N1393" s="9"/>
      <c r="P1393" s="3">
        <v>-1555.889492</v>
      </c>
      <c r="S1393" s="9"/>
      <c r="T1393" s="2"/>
      <c r="U1393" s="9"/>
    </row>
    <row r="1394" spans="2:21" x14ac:dyDescent="0.35">
      <c r="B1394" s="9"/>
      <c r="C1394" s="2"/>
      <c r="D1394" s="2"/>
      <c r="I1394" s="9"/>
      <c r="J1394" s="2"/>
      <c r="L1394" s="9"/>
      <c r="M1394" s="2"/>
      <c r="N1394" s="9"/>
      <c r="P1394" s="3">
        <v>-1990.649492</v>
      </c>
      <c r="S1394" s="9"/>
      <c r="T1394" s="2"/>
      <c r="U1394" s="9"/>
    </row>
    <row r="1395" spans="2:21" x14ac:dyDescent="0.35">
      <c r="B1395" s="9"/>
      <c r="C1395" s="2"/>
      <c r="D1395" s="2"/>
      <c r="I1395" s="9"/>
      <c r="J1395" s="2"/>
      <c r="L1395" s="9"/>
      <c r="M1395" s="2"/>
      <c r="N1395" s="9"/>
      <c r="P1395" s="3">
        <v>-2425.4094919999998</v>
      </c>
      <c r="S1395" s="9"/>
      <c r="T1395" s="2"/>
      <c r="U1395" s="9"/>
    </row>
    <row r="1396" spans="2:21" x14ac:dyDescent="0.35">
      <c r="B1396" s="9"/>
      <c r="C1396" s="2"/>
      <c r="D1396" s="2"/>
      <c r="I1396" s="9"/>
      <c r="J1396" s="2"/>
      <c r="L1396" s="9"/>
      <c r="M1396" s="2"/>
      <c r="N1396" s="9"/>
      <c r="P1396" s="3">
        <v>-2860.169492</v>
      </c>
      <c r="S1396" s="9"/>
      <c r="T1396" s="2"/>
      <c r="U1396" s="9"/>
    </row>
    <row r="1397" spans="2:21" x14ac:dyDescent="0.35">
      <c r="B1397" s="9"/>
      <c r="C1397" s="2"/>
      <c r="D1397" s="2"/>
      <c r="I1397" s="9"/>
      <c r="J1397" s="2"/>
      <c r="L1397" s="9"/>
      <c r="M1397" s="2"/>
      <c r="N1397" s="9"/>
      <c r="P1397" s="3">
        <v>-2860.169492</v>
      </c>
      <c r="S1397" s="9"/>
      <c r="T1397" s="2"/>
      <c r="U1397" s="9"/>
    </row>
    <row r="1398" spans="2:21" x14ac:dyDescent="0.35">
      <c r="B1398" s="9"/>
      <c r="C1398" s="2"/>
      <c r="D1398" s="2"/>
      <c r="I1398" s="9"/>
      <c r="J1398" s="2"/>
      <c r="L1398" s="9"/>
      <c r="M1398" s="2"/>
      <c r="N1398" s="9"/>
      <c r="P1398" s="3">
        <v>-2860.169492</v>
      </c>
      <c r="S1398" s="9"/>
      <c r="T1398" s="2"/>
      <c r="U1398" s="9"/>
    </row>
    <row r="1399" spans="2:21" x14ac:dyDescent="0.35">
      <c r="B1399" s="9"/>
      <c r="C1399" s="2"/>
      <c r="D1399" s="2"/>
      <c r="I1399" s="9"/>
      <c r="J1399" s="2"/>
      <c r="L1399" s="9"/>
      <c r="M1399" s="2"/>
      <c r="N1399" s="9"/>
      <c r="P1399" s="3">
        <v>-2860.169492</v>
      </c>
      <c r="S1399" s="9"/>
      <c r="T1399" s="2"/>
      <c r="U1399" s="9"/>
    </row>
    <row r="1400" spans="2:21" x14ac:dyDescent="0.35">
      <c r="B1400" s="9"/>
      <c r="C1400" s="2"/>
      <c r="D1400" s="2"/>
      <c r="I1400" s="9"/>
      <c r="J1400" s="2"/>
      <c r="L1400" s="9"/>
      <c r="M1400" s="2"/>
      <c r="N1400" s="9"/>
      <c r="P1400" s="3">
        <v>-2860.169492</v>
      </c>
      <c r="S1400" s="9"/>
      <c r="T1400" s="2"/>
      <c r="U1400" s="9"/>
    </row>
    <row r="1401" spans="2:21" x14ac:dyDescent="0.35">
      <c r="B1401" s="9"/>
      <c r="C1401" s="2"/>
      <c r="D1401" s="2"/>
      <c r="I1401" s="9"/>
      <c r="J1401" s="2"/>
      <c r="L1401" s="9"/>
      <c r="M1401" s="2"/>
      <c r="N1401" s="9"/>
      <c r="P1401" s="3">
        <v>-2425.4094919999998</v>
      </c>
      <c r="S1401" s="9"/>
      <c r="T1401" s="2"/>
      <c r="U1401" s="9"/>
    </row>
    <row r="1402" spans="2:21" x14ac:dyDescent="0.35">
      <c r="B1402" s="9"/>
      <c r="C1402" s="2"/>
      <c r="D1402" s="2"/>
      <c r="I1402" s="9"/>
      <c r="J1402" s="2"/>
      <c r="L1402" s="9"/>
      <c r="M1402" s="2"/>
      <c r="N1402" s="9"/>
      <c r="P1402" s="3">
        <v>-1990.649492</v>
      </c>
      <c r="S1402" s="9"/>
      <c r="T1402" s="2"/>
      <c r="U1402" s="9"/>
    </row>
    <row r="1403" spans="2:21" x14ac:dyDescent="0.35">
      <c r="B1403" s="9"/>
      <c r="C1403" s="2"/>
      <c r="D1403" s="2"/>
      <c r="I1403" s="9"/>
      <c r="J1403" s="2"/>
      <c r="L1403" s="9"/>
      <c r="M1403" s="2"/>
      <c r="N1403" s="9"/>
      <c r="P1403" s="3">
        <v>-1555.889492</v>
      </c>
      <c r="S1403" s="9"/>
      <c r="T1403" s="2"/>
      <c r="U1403" s="9"/>
    </row>
    <row r="1404" spans="2:21" x14ac:dyDescent="0.35">
      <c r="B1404" s="9"/>
      <c r="C1404" s="2"/>
      <c r="D1404" s="2"/>
      <c r="I1404" s="9"/>
      <c r="J1404" s="2"/>
      <c r="L1404" s="9"/>
      <c r="M1404" s="2"/>
      <c r="N1404" s="9"/>
      <c r="P1404" s="3">
        <v>-1121.129492</v>
      </c>
      <c r="S1404" s="9"/>
      <c r="T1404" s="2"/>
      <c r="U1404" s="9"/>
    </row>
    <row r="1405" spans="2:21" x14ac:dyDescent="0.35">
      <c r="B1405" s="9"/>
      <c r="C1405" s="2"/>
      <c r="D1405" s="2"/>
      <c r="I1405" s="9"/>
      <c r="J1405" s="2"/>
      <c r="L1405" s="9"/>
      <c r="M1405" s="2"/>
      <c r="N1405" s="9"/>
      <c r="P1405" s="3">
        <v>-686.36949200000004</v>
      </c>
      <c r="S1405" s="9"/>
      <c r="T1405" s="2"/>
      <c r="U1405" s="9"/>
    </row>
    <row r="1406" spans="2:21" x14ac:dyDescent="0.35">
      <c r="B1406" s="9"/>
      <c r="C1406" s="2"/>
      <c r="D1406" s="2"/>
      <c r="I1406" s="9"/>
      <c r="J1406" s="2"/>
      <c r="L1406" s="9"/>
      <c r="M1406" s="2"/>
      <c r="N1406" s="9"/>
      <c r="P1406" s="3">
        <v>-251.60949199999999</v>
      </c>
      <c r="S1406" s="9"/>
      <c r="T1406" s="2"/>
      <c r="U1406" s="9"/>
    </row>
    <row r="1407" spans="2:21" x14ac:dyDescent="0.35">
      <c r="B1407" s="9"/>
      <c r="C1407" s="2"/>
      <c r="D1407" s="2"/>
      <c r="I1407" s="9"/>
      <c r="J1407" s="2"/>
      <c r="L1407" s="9"/>
      <c r="M1407" s="2"/>
      <c r="N1407" s="9"/>
      <c r="P1407" s="3">
        <v>0</v>
      </c>
      <c r="S1407" s="9"/>
      <c r="T1407" s="2"/>
      <c r="U1407" s="9"/>
    </row>
    <row r="1408" spans="2:21" x14ac:dyDescent="0.35">
      <c r="B1408" s="9"/>
      <c r="C1408" s="2"/>
      <c r="D1408" s="2"/>
      <c r="I1408" s="9"/>
      <c r="J1408" s="2"/>
      <c r="L1408" s="9"/>
      <c r="M1408" s="2"/>
      <c r="N1408" s="9"/>
      <c r="P1408" s="3">
        <v>0</v>
      </c>
      <c r="S1408" s="9"/>
      <c r="T1408" s="2"/>
      <c r="U1408" s="9"/>
    </row>
    <row r="1409" spans="2:21" x14ac:dyDescent="0.35">
      <c r="B1409" s="9"/>
      <c r="C1409" s="2"/>
      <c r="D1409" s="2"/>
      <c r="I1409" s="9"/>
      <c r="J1409" s="2"/>
      <c r="L1409" s="9"/>
      <c r="M1409" s="2"/>
      <c r="N1409" s="9"/>
      <c r="P1409" s="3">
        <v>0</v>
      </c>
      <c r="S1409" s="9"/>
      <c r="T1409" s="2"/>
      <c r="U1409" s="9"/>
    </row>
    <row r="1410" spans="2:21" x14ac:dyDescent="0.35">
      <c r="B1410" s="9"/>
      <c r="C1410" s="2"/>
      <c r="D1410" s="2"/>
      <c r="I1410" s="9"/>
      <c r="J1410" s="2"/>
      <c r="L1410" s="9"/>
      <c r="M1410" s="2"/>
      <c r="N1410" s="9"/>
      <c r="P1410" s="3">
        <v>0</v>
      </c>
      <c r="S1410" s="9"/>
      <c r="T1410" s="2"/>
      <c r="U1410" s="9"/>
    </row>
    <row r="1411" spans="2:21" x14ac:dyDescent="0.35">
      <c r="B1411" s="9"/>
      <c r="C1411" s="2"/>
      <c r="D1411" s="2"/>
      <c r="I1411" s="9"/>
      <c r="J1411" s="2"/>
      <c r="L1411" s="9"/>
      <c r="M1411" s="2"/>
      <c r="N1411" s="9"/>
      <c r="P1411" s="3">
        <v>0</v>
      </c>
      <c r="S1411" s="9"/>
      <c r="T1411" s="2"/>
      <c r="U1411" s="9"/>
    </row>
    <row r="1412" spans="2:21" x14ac:dyDescent="0.35">
      <c r="B1412" s="9"/>
      <c r="C1412" s="2"/>
      <c r="D1412" s="2"/>
      <c r="I1412" s="9"/>
      <c r="J1412" s="2"/>
      <c r="L1412" s="9"/>
      <c r="M1412" s="2"/>
      <c r="N1412" s="9"/>
      <c r="P1412" s="3">
        <v>0</v>
      </c>
      <c r="S1412" s="9"/>
      <c r="T1412" s="2"/>
      <c r="U1412" s="9"/>
    </row>
    <row r="1413" spans="2:21" x14ac:dyDescent="0.35">
      <c r="B1413" s="9"/>
      <c r="C1413" s="2"/>
      <c r="D1413" s="2"/>
      <c r="I1413" s="9"/>
      <c r="J1413" s="2"/>
      <c r="L1413" s="9"/>
      <c r="M1413" s="2"/>
      <c r="N1413" s="9"/>
      <c r="P1413" s="3">
        <v>0</v>
      </c>
      <c r="S1413" s="9"/>
      <c r="T1413" s="2"/>
      <c r="U1413" s="9"/>
    </row>
    <row r="1414" spans="2:21" x14ac:dyDescent="0.35">
      <c r="B1414" s="9"/>
      <c r="C1414" s="2"/>
      <c r="D1414" s="2"/>
      <c r="I1414" s="9"/>
      <c r="J1414" s="2"/>
      <c r="L1414" s="9"/>
      <c r="M1414" s="2"/>
      <c r="N1414" s="9"/>
      <c r="P1414" s="3">
        <v>0</v>
      </c>
      <c r="S1414" s="9"/>
      <c r="T1414" s="2"/>
      <c r="U1414" s="9"/>
    </row>
    <row r="1415" spans="2:21" x14ac:dyDescent="0.35">
      <c r="B1415" s="9"/>
      <c r="C1415" s="2"/>
      <c r="D1415" s="2"/>
      <c r="I1415" s="9"/>
      <c r="J1415" s="2"/>
      <c r="L1415" s="9"/>
      <c r="M1415" s="2"/>
      <c r="N1415" s="9"/>
      <c r="P1415" s="3">
        <v>0</v>
      </c>
      <c r="S1415" s="9"/>
      <c r="T1415" s="2"/>
      <c r="U1415" s="9"/>
    </row>
    <row r="1416" spans="2:21" x14ac:dyDescent="0.35">
      <c r="B1416" s="9"/>
      <c r="C1416" s="2"/>
      <c r="D1416" s="2"/>
      <c r="I1416" s="9"/>
      <c r="J1416" s="2"/>
      <c r="L1416" s="9"/>
      <c r="M1416" s="2"/>
      <c r="N1416" s="9"/>
      <c r="P1416" s="3">
        <v>0</v>
      </c>
      <c r="S1416" s="9"/>
      <c r="T1416" s="2"/>
      <c r="U1416" s="9"/>
    </row>
    <row r="1417" spans="2:21" x14ac:dyDescent="0.35">
      <c r="B1417" s="9"/>
      <c r="C1417" s="2"/>
      <c r="D1417" s="2"/>
      <c r="I1417" s="9"/>
      <c r="J1417" s="2"/>
      <c r="L1417" s="9"/>
      <c r="M1417" s="2"/>
      <c r="N1417" s="9"/>
      <c r="P1417" s="3">
        <v>0</v>
      </c>
      <c r="S1417" s="9"/>
      <c r="T1417" s="2"/>
      <c r="U1417" s="9"/>
    </row>
    <row r="1418" spans="2:21" x14ac:dyDescent="0.35">
      <c r="B1418" s="9"/>
      <c r="C1418" s="2"/>
      <c r="D1418" s="2"/>
      <c r="I1418" s="9"/>
      <c r="J1418" s="2"/>
      <c r="L1418" s="9"/>
      <c r="M1418" s="2"/>
      <c r="N1418" s="9"/>
      <c r="P1418" s="3">
        <v>0</v>
      </c>
      <c r="S1418" s="9"/>
      <c r="T1418" s="2"/>
      <c r="U1418" s="9"/>
    </row>
    <row r="1419" spans="2:21" x14ac:dyDescent="0.35">
      <c r="B1419" s="9"/>
      <c r="C1419" s="2"/>
      <c r="D1419" s="2"/>
      <c r="I1419" s="9"/>
      <c r="J1419" s="2"/>
      <c r="L1419" s="9"/>
      <c r="M1419" s="2"/>
      <c r="N1419" s="9"/>
      <c r="P1419" s="3">
        <v>0</v>
      </c>
      <c r="S1419" s="9"/>
      <c r="T1419" s="2"/>
      <c r="U1419" s="9"/>
    </row>
    <row r="1420" spans="2:21" x14ac:dyDescent="0.35">
      <c r="B1420" s="9"/>
      <c r="C1420" s="2"/>
      <c r="D1420" s="2"/>
      <c r="I1420" s="9"/>
      <c r="J1420" s="2"/>
      <c r="L1420" s="9"/>
      <c r="M1420" s="2"/>
      <c r="N1420" s="9"/>
      <c r="P1420" s="3">
        <v>0</v>
      </c>
      <c r="S1420" s="9"/>
      <c r="T1420" s="2"/>
      <c r="U1420" s="9"/>
    </row>
    <row r="1421" spans="2:21" x14ac:dyDescent="0.35">
      <c r="B1421" s="9"/>
      <c r="C1421" s="2"/>
      <c r="D1421" s="2"/>
      <c r="I1421" s="9"/>
      <c r="J1421" s="2"/>
      <c r="L1421" s="9"/>
      <c r="M1421" s="2"/>
      <c r="N1421" s="9"/>
      <c r="P1421" s="3">
        <v>0</v>
      </c>
      <c r="S1421" s="9"/>
      <c r="T1421" s="2"/>
      <c r="U1421" s="9"/>
    </row>
    <row r="1422" spans="2:21" x14ac:dyDescent="0.35">
      <c r="B1422" s="9"/>
      <c r="C1422" s="2"/>
      <c r="D1422" s="2"/>
      <c r="I1422" s="9"/>
      <c r="J1422" s="2"/>
      <c r="L1422" s="9"/>
      <c r="M1422" s="2"/>
      <c r="N1422" s="9"/>
      <c r="P1422" s="3">
        <v>0</v>
      </c>
      <c r="S1422" s="9"/>
      <c r="T1422" s="2"/>
      <c r="U1422" s="9"/>
    </row>
    <row r="1423" spans="2:21" x14ac:dyDescent="0.35">
      <c r="B1423" s="9"/>
      <c r="C1423" s="2"/>
      <c r="D1423" s="2"/>
      <c r="I1423" s="9"/>
      <c r="J1423" s="2"/>
      <c r="L1423" s="9"/>
      <c r="M1423" s="2"/>
      <c r="N1423" s="9"/>
      <c r="P1423" s="3">
        <v>0</v>
      </c>
      <c r="S1423" s="9"/>
      <c r="T1423" s="2"/>
      <c r="U1423" s="9"/>
    </row>
    <row r="1424" spans="2:21" x14ac:dyDescent="0.35">
      <c r="B1424" s="9"/>
      <c r="C1424" s="2"/>
      <c r="D1424" s="2"/>
      <c r="I1424" s="9"/>
      <c r="J1424" s="2"/>
      <c r="L1424" s="9"/>
      <c r="M1424" s="2"/>
      <c r="N1424" s="9"/>
      <c r="P1424" s="3">
        <v>0</v>
      </c>
      <c r="S1424" s="9"/>
      <c r="T1424" s="2"/>
      <c r="U1424" s="9"/>
    </row>
    <row r="1425" spans="2:21" x14ac:dyDescent="0.35">
      <c r="B1425" s="9"/>
      <c r="C1425" s="2"/>
      <c r="D1425" s="2"/>
      <c r="I1425" s="9"/>
      <c r="J1425" s="2"/>
      <c r="L1425" s="9"/>
      <c r="M1425" s="2"/>
      <c r="N1425" s="9"/>
      <c r="P1425" s="3">
        <v>0</v>
      </c>
      <c r="S1425" s="9"/>
      <c r="T1425" s="2"/>
      <c r="U1425" s="9"/>
    </row>
    <row r="1426" spans="2:21" x14ac:dyDescent="0.35">
      <c r="B1426" s="9"/>
      <c r="C1426" s="2"/>
      <c r="D1426" s="2"/>
      <c r="I1426" s="9"/>
      <c r="J1426" s="2"/>
      <c r="L1426" s="9"/>
      <c r="M1426" s="2"/>
      <c r="N1426" s="9"/>
      <c r="P1426" s="3">
        <v>0</v>
      </c>
      <c r="S1426" s="9"/>
      <c r="T1426" s="2"/>
      <c r="U1426" s="9"/>
    </row>
    <row r="1427" spans="2:21" x14ac:dyDescent="0.35">
      <c r="B1427" s="9"/>
      <c r="C1427" s="2"/>
      <c r="D1427" s="2"/>
      <c r="I1427" s="9"/>
      <c r="J1427" s="2"/>
      <c r="L1427" s="9"/>
      <c r="M1427" s="2"/>
      <c r="N1427" s="9"/>
      <c r="P1427" s="3">
        <v>0</v>
      </c>
      <c r="S1427" s="9"/>
      <c r="T1427" s="2"/>
      <c r="U1427" s="9"/>
    </row>
    <row r="1428" spans="2:21" x14ac:dyDescent="0.35">
      <c r="B1428" s="9"/>
      <c r="C1428" s="2"/>
      <c r="D1428" s="2"/>
      <c r="I1428" s="9"/>
      <c r="J1428" s="2"/>
      <c r="L1428" s="9"/>
      <c r="M1428" s="2"/>
      <c r="N1428" s="9"/>
      <c r="P1428" s="3">
        <v>0</v>
      </c>
      <c r="S1428" s="9"/>
      <c r="T1428" s="2"/>
      <c r="U1428" s="9"/>
    </row>
    <row r="1429" spans="2:21" x14ac:dyDescent="0.35">
      <c r="B1429" s="9"/>
      <c r="C1429" s="2"/>
      <c r="D1429" s="2"/>
      <c r="I1429" s="9"/>
      <c r="J1429" s="2"/>
      <c r="L1429" s="9"/>
      <c r="M1429" s="2"/>
      <c r="N1429" s="9"/>
      <c r="P1429" s="3">
        <v>0</v>
      </c>
      <c r="S1429" s="9"/>
      <c r="T1429" s="2"/>
      <c r="U1429" s="9"/>
    </row>
    <row r="1430" spans="2:21" x14ac:dyDescent="0.35">
      <c r="B1430" s="9"/>
      <c r="C1430" s="2"/>
      <c r="D1430" s="2"/>
      <c r="I1430" s="9"/>
      <c r="J1430" s="2"/>
      <c r="L1430" s="9"/>
      <c r="M1430" s="2"/>
      <c r="N1430" s="9"/>
      <c r="P1430" s="3">
        <v>0</v>
      </c>
      <c r="S1430" s="9"/>
      <c r="T1430" s="2"/>
      <c r="U1430" s="9"/>
    </row>
    <row r="1431" spans="2:21" x14ac:dyDescent="0.35">
      <c r="B1431" s="9"/>
      <c r="C1431" s="2"/>
      <c r="D1431" s="2"/>
      <c r="I1431" s="9"/>
      <c r="J1431" s="2"/>
      <c r="L1431" s="9"/>
      <c r="M1431" s="2"/>
      <c r="N1431" s="9"/>
      <c r="P1431" s="3">
        <v>0</v>
      </c>
      <c r="S1431" s="9"/>
      <c r="T1431" s="2"/>
      <c r="U1431" s="9"/>
    </row>
    <row r="1432" spans="2:21" x14ac:dyDescent="0.35">
      <c r="B1432" s="9"/>
      <c r="C1432" s="2"/>
      <c r="D1432" s="2"/>
      <c r="I1432" s="9"/>
      <c r="J1432" s="2"/>
      <c r="L1432" s="9"/>
      <c r="M1432" s="2"/>
      <c r="N1432" s="9"/>
      <c r="P1432" s="3">
        <v>0</v>
      </c>
      <c r="S1432" s="9"/>
      <c r="T1432" s="2"/>
      <c r="U1432" s="9"/>
    </row>
    <row r="1433" spans="2:21" x14ac:dyDescent="0.35">
      <c r="B1433" s="9"/>
      <c r="C1433" s="2"/>
      <c r="D1433" s="2"/>
      <c r="I1433" s="9"/>
      <c r="J1433" s="2"/>
      <c r="L1433" s="9"/>
      <c r="M1433" s="2"/>
      <c r="N1433" s="9"/>
      <c r="P1433" s="3">
        <v>0</v>
      </c>
      <c r="S1433" s="9"/>
      <c r="T1433" s="2"/>
      <c r="U1433" s="9"/>
    </row>
    <row r="1434" spans="2:21" x14ac:dyDescent="0.35">
      <c r="B1434" s="9"/>
      <c r="C1434" s="2"/>
      <c r="D1434" s="2"/>
      <c r="I1434" s="9"/>
      <c r="J1434" s="2"/>
      <c r="L1434" s="9"/>
      <c r="M1434" s="2"/>
      <c r="N1434" s="9"/>
      <c r="P1434" s="3">
        <v>0</v>
      </c>
      <c r="S1434" s="9"/>
      <c r="T1434" s="2"/>
      <c r="U1434" s="9"/>
    </row>
    <row r="1435" spans="2:21" x14ac:dyDescent="0.35">
      <c r="B1435" s="9"/>
      <c r="C1435" s="2"/>
      <c r="D1435" s="2"/>
      <c r="I1435" s="9"/>
      <c r="J1435" s="2"/>
      <c r="L1435" s="9"/>
      <c r="M1435" s="2"/>
      <c r="N1435" s="9"/>
      <c r="P1435" s="3">
        <v>0</v>
      </c>
      <c r="S1435" s="9"/>
      <c r="T1435" s="2"/>
      <c r="U1435" s="9"/>
    </row>
    <row r="1436" spans="2:21" x14ac:dyDescent="0.35">
      <c r="B1436" s="9"/>
      <c r="C1436" s="2"/>
      <c r="D1436" s="2"/>
      <c r="I1436" s="9"/>
      <c r="J1436" s="2"/>
      <c r="L1436" s="9"/>
      <c r="M1436" s="2"/>
      <c r="N1436" s="9"/>
      <c r="P1436" s="3">
        <v>0</v>
      </c>
      <c r="S1436" s="9"/>
      <c r="T1436" s="2"/>
      <c r="U1436" s="9"/>
    </row>
    <row r="1437" spans="2:21" x14ac:dyDescent="0.35">
      <c r="B1437" s="9"/>
      <c r="C1437" s="2"/>
      <c r="D1437" s="2"/>
      <c r="I1437" s="9"/>
      <c r="J1437" s="2"/>
      <c r="L1437" s="9"/>
      <c r="M1437" s="2"/>
      <c r="N1437" s="9"/>
      <c r="P1437" s="3">
        <v>0</v>
      </c>
      <c r="S1437" s="9"/>
      <c r="T1437" s="2"/>
      <c r="U1437" s="9"/>
    </row>
    <row r="1438" spans="2:21" x14ac:dyDescent="0.35">
      <c r="B1438" s="9"/>
      <c r="C1438" s="2"/>
      <c r="D1438" s="2"/>
      <c r="I1438" s="9"/>
      <c r="J1438" s="2"/>
      <c r="L1438" s="9"/>
      <c r="M1438" s="2"/>
      <c r="N1438" s="9"/>
      <c r="P1438" s="3">
        <v>0</v>
      </c>
      <c r="S1438" s="9"/>
      <c r="T1438" s="2"/>
      <c r="U1438" s="9"/>
    </row>
    <row r="1439" spans="2:21" x14ac:dyDescent="0.35">
      <c r="B1439" s="9"/>
      <c r="C1439" s="2"/>
      <c r="D1439" s="2"/>
      <c r="I1439" s="9"/>
      <c r="J1439" s="2"/>
      <c r="L1439" s="9"/>
      <c r="M1439" s="2"/>
      <c r="N1439" s="9"/>
      <c r="P1439" s="3">
        <v>0</v>
      </c>
      <c r="S1439" s="9"/>
      <c r="T1439" s="2"/>
      <c r="U1439" s="9"/>
    </row>
    <row r="1440" spans="2:21" x14ac:dyDescent="0.35">
      <c r="B1440" s="9"/>
      <c r="C1440" s="2"/>
      <c r="D1440" s="2"/>
      <c r="I1440" s="9"/>
      <c r="J1440" s="2"/>
      <c r="L1440" s="9"/>
      <c r="M1440" s="2"/>
      <c r="N1440" s="9"/>
      <c r="P1440" s="3">
        <v>0</v>
      </c>
      <c r="S1440" s="9"/>
      <c r="T1440" s="2"/>
      <c r="U1440" s="9"/>
    </row>
    <row r="1441" spans="2:21" x14ac:dyDescent="0.35">
      <c r="B1441" s="9"/>
      <c r="C1441" s="2"/>
      <c r="D1441" s="2"/>
      <c r="I1441" s="9"/>
      <c r="J1441" s="2"/>
      <c r="L1441" s="9"/>
      <c r="M1441" s="2"/>
      <c r="N1441" s="9"/>
      <c r="P1441" s="3">
        <v>0</v>
      </c>
      <c r="S1441" s="9"/>
      <c r="T1441" s="2"/>
      <c r="U1441" s="9"/>
    </row>
    <row r="1442" spans="2:21" x14ac:dyDescent="0.35">
      <c r="B1442" s="9"/>
      <c r="C1442" s="2"/>
      <c r="D1442" s="2"/>
      <c r="I1442" s="9"/>
      <c r="J1442" s="2"/>
      <c r="L1442" s="9"/>
      <c r="M1442" s="2"/>
      <c r="N1442" s="9"/>
      <c r="P1442" s="3">
        <v>0</v>
      </c>
      <c r="S1442" s="9"/>
      <c r="T1442" s="2"/>
      <c r="U1442" s="9"/>
    </row>
    <row r="1443" spans="2:21" x14ac:dyDescent="0.35">
      <c r="B1443" s="9"/>
      <c r="C1443" s="2"/>
      <c r="D1443" s="2"/>
      <c r="I1443" s="9"/>
      <c r="J1443" s="2"/>
      <c r="L1443" s="9"/>
      <c r="M1443" s="2"/>
      <c r="N1443" s="9"/>
      <c r="P1443" s="3">
        <v>0</v>
      </c>
      <c r="S1443" s="9"/>
      <c r="T1443" s="2"/>
      <c r="U1443" s="9"/>
    </row>
    <row r="1444" spans="2:21" x14ac:dyDescent="0.35">
      <c r="B1444" s="9"/>
      <c r="C1444" s="2"/>
      <c r="D1444" s="2"/>
      <c r="I1444" s="9"/>
      <c r="J1444" s="2"/>
      <c r="L1444" s="9"/>
      <c r="M1444" s="2"/>
      <c r="N1444" s="9"/>
      <c r="P1444" s="3">
        <v>0</v>
      </c>
      <c r="S1444" s="9"/>
      <c r="T1444" s="2"/>
      <c r="U1444" s="9"/>
    </row>
    <row r="1445" spans="2:21" x14ac:dyDescent="0.35">
      <c r="B1445" s="9"/>
      <c r="C1445" s="2"/>
      <c r="D1445" s="2"/>
      <c r="I1445" s="9"/>
      <c r="J1445" s="2"/>
      <c r="L1445" s="9"/>
      <c r="M1445" s="2"/>
      <c r="N1445" s="9"/>
      <c r="P1445" s="3">
        <v>0</v>
      </c>
      <c r="S1445" s="9"/>
      <c r="T1445" s="2"/>
      <c r="U1445" s="9"/>
    </row>
    <row r="1446" spans="2:21" x14ac:dyDescent="0.35">
      <c r="B1446" s="9"/>
      <c r="C1446" s="2"/>
      <c r="D1446" s="2"/>
      <c r="I1446" s="9"/>
      <c r="J1446" s="2"/>
      <c r="L1446" s="9"/>
      <c r="M1446" s="2"/>
      <c r="N1446" s="9"/>
      <c r="P1446" s="3">
        <v>0</v>
      </c>
      <c r="S1446" s="9"/>
      <c r="T1446" s="2"/>
      <c r="U1446" s="9"/>
    </row>
    <row r="1447" spans="2:21" x14ac:dyDescent="0.35">
      <c r="B1447" s="9"/>
      <c r="C1447" s="2"/>
      <c r="D1447" s="2"/>
      <c r="I1447" s="9"/>
      <c r="J1447" s="2"/>
      <c r="L1447" s="9"/>
      <c r="M1447" s="2"/>
      <c r="N1447" s="9"/>
      <c r="P1447" s="3">
        <v>0</v>
      </c>
      <c r="S1447" s="9"/>
      <c r="T1447" s="2"/>
      <c r="U1447" s="9"/>
    </row>
    <row r="1448" spans="2:21" x14ac:dyDescent="0.35">
      <c r="B1448" s="9"/>
      <c r="C1448" s="2"/>
      <c r="D1448" s="2"/>
      <c r="I1448" s="9"/>
      <c r="J1448" s="2"/>
      <c r="L1448" s="9"/>
      <c r="M1448" s="2"/>
      <c r="N1448" s="9"/>
      <c r="P1448" s="3">
        <v>0</v>
      </c>
      <c r="S1448" s="9"/>
      <c r="T1448" s="2"/>
      <c r="U1448" s="9"/>
    </row>
    <row r="1449" spans="2:21" x14ac:dyDescent="0.35">
      <c r="B1449" s="9"/>
      <c r="C1449" s="2"/>
      <c r="D1449" s="2"/>
      <c r="I1449" s="9"/>
      <c r="J1449" s="2"/>
      <c r="L1449" s="9"/>
      <c r="M1449" s="2"/>
      <c r="N1449" s="9"/>
      <c r="P1449" s="3">
        <v>0</v>
      </c>
      <c r="S1449" s="9"/>
      <c r="T1449" s="2"/>
      <c r="U1449" s="9"/>
    </row>
    <row r="1450" spans="2:21" x14ac:dyDescent="0.35">
      <c r="B1450" s="9"/>
      <c r="C1450" s="2"/>
      <c r="D1450" s="2"/>
      <c r="I1450" s="9"/>
      <c r="J1450" s="2"/>
      <c r="L1450" s="9"/>
      <c r="M1450" s="2"/>
      <c r="N1450" s="9"/>
      <c r="P1450" s="3">
        <v>0</v>
      </c>
      <c r="S1450" s="9"/>
      <c r="T1450" s="2"/>
      <c r="U1450" s="9"/>
    </row>
    <row r="1451" spans="2:21" x14ac:dyDescent="0.35">
      <c r="B1451" s="9"/>
      <c r="C1451" s="2"/>
      <c r="D1451" s="2"/>
      <c r="I1451" s="9"/>
      <c r="J1451" s="2"/>
      <c r="L1451" s="9"/>
      <c r="M1451" s="2"/>
      <c r="N1451" s="9"/>
      <c r="P1451" s="3">
        <v>0</v>
      </c>
      <c r="S1451" s="9"/>
      <c r="T1451" s="2"/>
      <c r="U1451" s="9"/>
    </row>
    <row r="1452" spans="2:21" x14ac:dyDescent="0.35">
      <c r="B1452" s="9"/>
      <c r="C1452" s="2"/>
      <c r="D1452" s="2"/>
      <c r="I1452" s="9"/>
      <c r="J1452" s="2"/>
      <c r="L1452" s="9"/>
      <c r="M1452" s="2"/>
      <c r="N1452" s="9"/>
      <c r="P1452" s="3">
        <v>0</v>
      </c>
      <c r="S1452" s="9"/>
      <c r="T1452" s="2"/>
      <c r="U1452" s="9"/>
    </row>
    <row r="1453" spans="2:21" x14ac:dyDescent="0.35">
      <c r="B1453" s="9"/>
      <c r="C1453" s="2"/>
      <c r="D1453" s="2"/>
      <c r="I1453" s="9"/>
      <c r="J1453" s="2"/>
      <c r="L1453" s="9"/>
      <c r="M1453" s="2"/>
      <c r="N1453" s="9"/>
      <c r="P1453" s="3">
        <v>0</v>
      </c>
      <c r="S1453" s="9"/>
      <c r="T1453" s="2"/>
      <c r="U1453" s="9"/>
    </row>
    <row r="1454" spans="2:21" x14ac:dyDescent="0.35">
      <c r="B1454" s="9"/>
      <c r="C1454" s="2"/>
      <c r="D1454" s="2"/>
      <c r="I1454" s="9"/>
      <c r="J1454" s="2"/>
      <c r="L1454" s="9"/>
      <c r="M1454" s="2"/>
      <c r="N1454" s="9"/>
      <c r="P1454" s="3">
        <v>0</v>
      </c>
      <c r="S1454" s="9"/>
      <c r="T1454" s="2"/>
      <c r="U1454" s="9"/>
    </row>
    <row r="1455" spans="2:21" x14ac:dyDescent="0.35">
      <c r="B1455" s="9"/>
      <c r="C1455" s="2"/>
      <c r="D1455" s="2"/>
      <c r="I1455" s="9"/>
      <c r="J1455" s="2"/>
      <c r="L1455" s="9"/>
      <c r="M1455" s="2"/>
      <c r="N1455" s="9"/>
      <c r="P1455" s="3">
        <v>0</v>
      </c>
      <c r="S1455" s="9"/>
      <c r="T1455" s="2"/>
      <c r="U1455" s="9"/>
    </row>
    <row r="1456" spans="2:21" x14ac:dyDescent="0.35">
      <c r="B1456" s="9"/>
      <c r="C1456" s="2"/>
      <c r="D1456" s="2"/>
      <c r="I1456" s="9"/>
      <c r="J1456" s="2"/>
      <c r="L1456" s="9"/>
      <c r="M1456" s="2"/>
      <c r="N1456" s="9"/>
      <c r="P1456" s="3">
        <v>0</v>
      </c>
      <c r="S1456" s="9"/>
      <c r="T1456" s="2"/>
      <c r="U1456" s="9"/>
    </row>
    <row r="1457" spans="2:21" x14ac:dyDescent="0.35">
      <c r="B1457" s="9"/>
      <c r="C1457" s="2"/>
      <c r="D1457" s="2"/>
      <c r="I1457" s="9"/>
      <c r="J1457" s="2"/>
      <c r="L1457" s="9"/>
      <c r="M1457" s="2"/>
      <c r="N1457" s="9"/>
      <c r="P1457" s="3">
        <v>0</v>
      </c>
      <c r="S1457" s="9"/>
      <c r="T1457" s="2"/>
      <c r="U1457" s="9"/>
    </row>
    <row r="1458" spans="2:21" x14ac:dyDescent="0.35">
      <c r="B1458" s="9"/>
      <c r="C1458" s="2"/>
      <c r="D1458" s="2"/>
      <c r="I1458" s="9"/>
      <c r="J1458" s="2"/>
      <c r="L1458" s="9"/>
      <c r="M1458" s="2"/>
      <c r="N1458" s="9"/>
      <c r="P1458" s="3">
        <v>0</v>
      </c>
      <c r="S1458" s="9"/>
      <c r="T1458" s="2"/>
      <c r="U1458" s="9"/>
    </row>
    <row r="1459" spans="2:21" x14ac:dyDescent="0.35">
      <c r="B1459" s="9"/>
      <c r="C1459" s="2"/>
      <c r="D1459" s="2"/>
      <c r="I1459" s="9"/>
      <c r="J1459" s="2"/>
      <c r="L1459" s="9"/>
      <c r="M1459" s="2"/>
      <c r="N1459" s="9"/>
      <c r="P1459" s="3">
        <v>0</v>
      </c>
      <c r="S1459" s="9"/>
      <c r="T1459" s="2"/>
      <c r="U1459" s="9"/>
    </row>
    <row r="1460" spans="2:21" x14ac:dyDescent="0.35">
      <c r="B1460" s="9"/>
      <c r="C1460" s="2"/>
      <c r="D1460" s="2"/>
      <c r="I1460" s="9"/>
      <c r="J1460" s="2"/>
      <c r="L1460" s="9"/>
      <c r="M1460" s="2"/>
      <c r="N1460" s="9"/>
      <c r="P1460" s="3">
        <v>0</v>
      </c>
      <c r="S1460" s="9"/>
      <c r="T1460" s="2"/>
      <c r="U1460" s="9"/>
    </row>
    <row r="1461" spans="2:21" x14ac:dyDescent="0.35">
      <c r="B1461" s="9"/>
      <c r="C1461" s="2"/>
      <c r="D1461" s="2"/>
      <c r="I1461" s="9"/>
      <c r="J1461" s="2"/>
      <c r="L1461" s="9"/>
      <c r="M1461" s="2"/>
      <c r="N1461" s="9"/>
      <c r="P1461" s="3">
        <v>0</v>
      </c>
      <c r="S1461" s="9"/>
      <c r="T1461" s="2"/>
      <c r="U1461" s="9"/>
    </row>
    <row r="1462" spans="2:21" x14ac:dyDescent="0.35">
      <c r="B1462" s="9"/>
      <c r="C1462" s="2"/>
      <c r="D1462" s="2"/>
      <c r="I1462" s="9"/>
      <c r="J1462" s="2"/>
      <c r="L1462" s="9"/>
      <c r="M1462" s="2"/>
      <c r="N1462" s="9"/>
      <c r="P1462" s="3">
        <v>0</v>
      </c>
      <c r="S1462" s="9"/>
      <c r="T1462" s="2"/>
      <c r="U1462" s="9"/>
    </row>
    <row r="1463" spans="2:21" x14ac:dyDescent="0.35">
      <c r="B1463" s="9"/>
      <c r="C1463" s="2"/>
      <c r="D1463" s="2"/>
      <c r="I1463" s="9"/>
      <c r="J1463" s="2"/>
      <c r="L1463" s="9"/>
      <c r="M1463" s="2"/>
      <c r="N1463" s="9"/>
      <c r="P1463" s="3">
        <v>0</v>
      </c>
      <c r="S1463" s="9"/>
      <c r="T1463" s="2"/>
      <c r="U1463" s="9"/>
    </row>
    <row r="1464" spans="2:21" x14ac:dyDescent="0.35">
      <c r="B1464" s="9"/>
      <c r="C1464" s="2"/>
      <c r="D1464" s="2"/>
      <c r="I1464" s="9"/>
      <c r="J1464" s="2"/>
      <c r="L1464" s="9"/>
      <c r="M1464" s="2"/>
      <c r="N1464" s="9"/>
      <c r="P1464" s="3">
        <v>0</v>
      </c>
      <c r="S1464" s="9"/>
      <c r="T1464" s="2"/>
      <c r="U1464" s="9"/>
    </row>
    <row r="1465" spans="2:21" x14ac:dyDescent="0.35">
      <c r="B1465" s="9"/>
      <c r="C1465" s="2"/>
      <c r="D1465" s="2"/>
      <c r="I1465" s="9"/>
      <c r="J1465" s="2"/>
      <c r="L1465" s="9"/>
      <c r="M1465" s="2"/>
      <c r="N1465" s="9"/>
      <c r="P1465" s="3">
        <v>0</v>
      </c>
      <c r="S1465" s="9"/>
      <c r="T1465" s="2"/>
      <c r="U1465" s="9"/>
    </row>
    <row r="1466" spans="2:21" x14ac:dyDescent="0.35">
      <c r="B1466" s="9"/>
      <c r="C1466" s="2"/>
      <c r="D1466" s="2"/>
      <c r="I1466" s="9"/>
      <c r="J1466" s="2"/>
      <c r="L1466" s="9"/>
      <c r="M1466" s="2"/>
      <c r="N1466" s="9"/>
      <c r="P1466" s="3">
        <v>0</v>
      </c>
      <c r="S1466" s="9"/>
      <c r="T1466" s="2"/>
      <c r="U1466" s="9"/>
    </row>
    <row r="1467" spans="2:21" x14ac:dyDescent="0.35">
      <c r="B1467" s="9"/>
      <c r="C1467" s="2"/>
      <c r="D1467" s="2"/>
      <c r="I1467" s="9"/>
      <c r="J1467" s="2"/>
      <c r="L1467" s="9"/>
      <c r="M1467" s="2"/>
      <c r="N1467" s="9"/>
      <c r="P1467" s="3">
        <v>0</v>
      </c>
      <c r="S1467" s="9"/>
      <c r="T1467" s="2"/>
      <c r="U1467" s="9"/>
    </row>
    <row r="1468" spans="2:21" x14ac:dyDescent="0.35">
      <c r="B1468" s="9"/>
      <c r="C1468" s="2"/>
      <c r="D1468" s="2"/>
      <c r="I1468" s="9"/>
      <c r="J1468" s="2"/>
      <c r="L1468" s="9"/>
      <c r="M1468" s="2"/>
      <c r="N1468" s="9"/>
      <c r="P1468" s="3">
        <v>0</v>
      </c>
      <c r="S1468" s="9"/>
      <c r="T1468" s="2"/>
      <c r="U1468" s="9"/>
    </row>
    <row r="1469" spans="2:21" x14ac:dyDescent="0.35">
      <c r="B1469" s="9"/>
      <c r="C1469" s="2"/>
      <c r="D1469" s="2"/>
      <c r="I1469" s="9"/>
      <c r="J1469" s="2"/>
      <c r="L1469" s="9"/>
      <c r="M1469" s="2"/>
      <c r="N1469" s="9"/>
      <c r="P1469" s="3">
        <v>0</v>
      </c>
      <c r="S1469" s="9"/>
      <c r="T1469" s="2"/>
      <c r="U1469" s="9"/>
    </row>
    <row r="1470" spans="2:21" x14ac:dyDescent="0.35">
      <c r="B1470" s="9"/>
      <c r="C1470" s="2"/>
      <c r="D1470" s="2"/>
      <c r="I1470" s="9"/>
      <c r="J1470" s="2"/>
      <c r="L1470" s="9"/>
      <c r="M1470" s="2"/>
      <c r="N1470" s="9"/>
      <c r="P1470" s="3">
        <v>0</v>
      </c>
      <c r="S1470" s="9"/>
      <c r="T1470" s="2"/>
      <c r="U1470" s="9"/>
    </row>
    <row r="1471" spans="2:21" x14ac:dyDescent="0.35">
      <c r="B1471" s="9"/>
      <c r="C1471" s="2"/>
      <c r="D1471" s="2"/>
      <c r="I1471" s="9"/>
      <c r="J1471" s="2"/>
      <c r="L1471" s="9"/>
      <c r="M1471" s="2"/>
      <c r="N1471" s="9"/>
      <c r="P1471" s="3">
        <v>0</v>
      </c>
      <c r="S1471" s="9"/>
      <c r="T1471" s="2"/>
      <c r="U1471" s="9"/>
    </row>
    <row r="1472" spans="2:21" x14ac:dyDescent="0.35">
      <c r="B1472" s="9"/>
      <c r="C1472" s="2"/>
      <c r="D1472" s="2"/>
      <c r="I1472" s="9"/>
      <c r="J1472" s="2"/>
      <c r="L1472" s="9"/>
      <c r="M1472" s="2"/>
      <c r="N1472" s="9"/>
      <c r="P1472" s="3">
        <v>0</v>
      </c>
      <c r="S1472" s="9"/>
      <c r="T1472" s="2"/>
      <c r="U1472" s="9"/>
    </row>
    <row r="1473" spans="2:21" x14ac:dyDescent="0.35">
      <c r="B1473" s="9"/>
      <c r="C1473" s="2"/>
      <c r="D1473" s="2"/>
      <c r="I1473" s="9"/>
      <c r="J1473" s="2"/>
      <c r="L1473" s="9"/>
      <c r="M1473" s="2"/>
      <c r="N1473" s="9"/>
      <c r="P1473" s="3">
        <v>0</v>
      </c>
      <c r="S1473" s="9"/>
      <c r="T1473" s="2"/>
      <c r="U1473" s="9"/>
    </row>
    <row r="1474" spans="2:21" x14ac:dyDescent="0.35">
      <c r="B1474" s="9"/>
      <c r="C1474" s="2"/>
      <c r="D1474" s="2"/>
      <c r="I1474" s="9"/>
      <c r="J1474" s="2"/>
      <c r="L1474" s="9"/>
      <c r="M1474" s="2"/>
      <c r="N1474" s="9"/>
      <c r="P1474" s="3">
        <v>0</v>
      </c>
      <c r="S1474" s="9"/>
      <c r="T1474" s="2"/>
      <c r="U1474" s="9"/>
    </row>
    <row r="1475" spans="2:21" x14ac:dyDescent="0.35">
      <c r="B1475" s="9"/>
      <c r="C1475" s="2"/>
      <c r="D1475" s="2"/>
      <c r="I1475" s="9"/>
      <c r="J1475" s="2"/>
      <c r="L1475" s="9"/>
      <c r="M1475" s="2"/>
      <c r="N1475" s="9"/>
      <c r="P1475" s="3">
        <v>0</v>
      </c>
      <c r="S1475" s="9"/>
      <c r="T1475" s="2"/>
      <c r="U1475" s="9"/>
    </row>
    <row r="1476" spans="2:21" x14ac:dyDescent="0.35">
      <c r="B1476" s="9"/>
      <c r="C1476" s="2"/>
      <c r="D1476" s="2"/>
      <c r="I1476" s="9"/>
      <c r="J1476" s="2"/>
      <c r="L1476" s="9"/>
      <c r="M1476" s="2"/>
      <c r="N1476" s="9"/>
      <c r="P1476" s="3">
        <v>0</v>
      </c>
      <c r="S1476" s="9"/>
      <c r="T1476" s="2"/>
      <c r="U1476" s="9"/>
    </row>
    <row r="1477" spans="2:21" x14ac:dyDescent="0.35">
      <c r="B1477" s="9"/>
      <c r="C1477" s="2"/>
      <c r="D1477" s="2"/>
      <c r="I1477" s="9"/>
      <c r="J1477" s="2"/>
      <c r="L1477" s="9"/>
      <c r="M1477" s="2"/>
      <c r="N1477" s="9"/>
      <c r="P1477" s="3">
        <v>0</v>
      </c>
      <c r="S1477" s="9"/>
      <c r="T1477" s="2"/>
      <c r="U1477" s="9"/>
    </row>
    <row r="1478" spans="2:21" x14ac:dyDescent="0.35">
      <c r="B1478" s="9"/>
      <c r="C1478" s="2"/>
      <c r="D1478" s="2"/>
      <c r="I1478" s="9"/>
      <c r="J1478" s="2"/>
      <c r="L1478" s="9"/>
      <c r="M1478" s="2"/>
      <c r="N1478" s="9"/>
      <c r="P1478" s="3">
        <v>0</v>
      </c>
      <c r="S1478" s="9"/>
      <c r="T1478" s="2"/>
      <c r="U1478" s="9"/>
    </row>
    <row r="1479" spans="2:21" x14ac:dyDescent="0.35">
      <c r="B1479" s="9"/>
      <c r="C1479" s="2"/>
      <c r="D1479" s="2"/>
      <c r="I1479" s="9"/>
      <c r="J1479" s="2"/>
      <c r="L1479" s="9"/>
      <c r="M1479" s="2"/>
      <c r="N1479" s="9"/>
      <c r="P1479" s="3">
        <v>0</v>
      </c>
      <c r="S1479" s="9"/>
      <c r="T1479" s="2"/>
      <c r="U1479" s="9"/>
    </row>
    <row r="1480" spans="2:21" x14ac:dyDescent="0.35">
      <c r="B1480" s="9"/>
      <c r="C1480" s="2"/>
      <c r="D1480" s="2"/>
      <c r="I1480" s="9"/>
      <c r="J1480" s="2"/>
      <c r="L1480" s="9"/>
      <c r="M1480" s="2"/>
      <c r="N1480" s="9"/>
      <c r="P1480" s="3">
        <v>0</v>
      </c>
      <c r="S1480" s="9"/>
      <c r="T1480" s="2"/>
      <c r="U1480" s="9"/>
    </row>
    <row r="1481" spans="2:21" x14ac:dyDescent="0.35">
      <c r="B1481" s="9"/>
      <c r="C1481" s="2"/>
      <c r="D1481" s="2"/>
      <c r="I1481" s="9"/>
      <c r="J1481" s="2"/>
      <c r="L1481" s="9"/>
      <c r="M1481" s="2"/>
      <c r="N1481" s="9"/>
      <c r="P1481" s="3">
        <v>0</v>
      </c>
      <c r="S1481" s="9"/>
      <c r="T1481" s="2"/>
      <c r="U1481" s="9"/>
    </row>
    <row r="1482" spans="2:21" x14ac:dyDescent="0.35">
      <c r="B1482" s="9"/>
      <c r="C1482" s="2"/>
      <c r="D1482" s="2"/>
      <c r="I1482" s="9"/>
      <c r="J1482" s="2"/>
      <c r="L1482" s="9"/>
      <c r="M1482" s="2"/>
      <c r="N1482" s="9"/>
      <c r="P1482" s="3">
        <v>0</v>
      </c>
      <c r="S1482" s="9"/>
      <c r="T1482" s="2"/>
      <c r="U1482" s="9"/>
    </row>
    <row r="1483" spans="2:21" x14ac:dyDescent="0.35">
      <c r="B1483" s="9"/>
      <c r="C1483" s="2"/>
      <c r="D1483" s="2"/>
      <c r="I1483" s="9"/>
      <c r="J1483" s="2"/>
      <c r="L1483" s="9"/>
      <c r="M1483" s="2"/>
      <c r="N1483" s="9"/>
      <c r="P1483" s="3">
        <v>0</v>
      </c>
      <c r="S1483" s="9"/>
      <c r="T1483" s="2"/>
      <c r="U1483" s="9"/>
    </row>
    <row r="1484" spans="2:21" x14ac:dyDescent="0.35">
      <c r="B1484" s="9"/>
      <c r="C1484" s="2"/>
      <c r="D1484" s="2"/>
      <c r="I1484" s="9"/>
      <c r="J1484" s="2"/>
      <c r="L1484" s="9"/>
      <c r="M1484" s="2"/>
      <c r="N1484" s="9"/>
      <c r="P1484" s="3">
        <v>0</v>
      </c>
      <c r="S1484" s="9"/>
      <c r="T1484" s="2"/>
      <c r="U1484" s="9"/>
    </row>
    <row r="1485" spans="2:21" x14ac:dyDescent="0.35">
      <c r="B1485" s="9"/>
      <c r="C1485" s="2"/>
      <c r="D1485" s="2"/>
      <c r="I1485" s="9"/>
      <c r="J1485" s="2"/>
      <c r="L1485" s="9"/>
      <c r="M1485" s="2"/>
      <c r="N1485" s="9"/>
      <c r="P1485" s="3">
        <v>0</v>
      </c>
      <c r="S1485" s="9"/>
      <c r="T1485" s="2"/>
      <c r="U1485" s="9"/>
    </row>
    <row r="1486" spans="2:21" x14ac:dyDescent="0.35">
      <c r="B1486" s="9"/>
      <c r="C1486" s="2"/>
      <c r="D1486" s="2"/>
      <c r="I1486" s="9"/>
      <c r="J1486" s="2"/>
      <c r="L1486" s="9"/>
      <c r="M1486" s="2"/>
      <c r="N1486" s="9"/>
      <c r="P1486" s="3">
        <v>0</v>
      </c>
      <c r="S1486" s="9"/>
      <c r="T1486" s="2"/>
      <c r="U1486" s="9"/>
    </row>
    <row r="1487" spans="2:21" x14ac:dyDescent="0.35">
      <c r="B1487" s="9"/>
      <c r="C1487" s="2"/>
      <c r="D1487" s="2"/>
      <c r="I1487" s="9"/>
      <c r="J1487" s="2"/>
      <c r="L1487" s="9"/>
      <c r="M1487" s="2"/>
      <c r="N1487" s="9"/>
      <c r="P1487" s="3">
        <v>0</v>
      </c>
      <c r="S1487" s="9"/>
      <c r="T1487" s="2"/>
      <c r="U1487" s="9"/>
    </row>
    <row r="1488" spans="2:21" x14ac:dyDescent="0.35">
      <c r="B1488" s="9"/>
      <c r="C1488" s="2"/>
      <c r="D1488" s="2"/>
      <c r="I1488" s="9"/>
      <c r="J1488" s="2"/>
      <c r="L1488" s="9"/>
      <c r="M1488" s="2"/>
      <c r="N1488" s="9"/>
      <c r="P1488" s="3">
        <v>0</v>
      </c>
      <c r="S1488" s="9"/>
      <c r="T1488" s="2"/>
      <c r="U1488" s="9"/>
    </row>
    <row r="1489" spans="2:21" x14ac:dyDescent="0.35">
      <c r="B1489" s="9"/>
      <c r="C1489" s="2"/>
      <c r="D1489" s="2"/>
      <c r="I1489" s="9"/>
      <c r="J1489" s="2"/>
      <c r="L1489" s="9"/>
      <c r="M1489" s="2"/>
      <c r="N1489" s="9"/>
      <c r="P1489" s="3">
        <v>0</v>
      </c>
      <c r="S1489" s="9"/>
      <c r="T1489" s="2"/>
      <c r="U1489" s="9"/>
    </row>
    <row r="1490" spans="2:21" x14ac:dyDescent="0.35">
      <c r="B1490" s="9"/>
      <c r="C1490" s="2"/>
      <c r="D1490" s="2"/>
      <c r="I1490" s="9"/>
      <c r="J1490" s="2"/>
      <c r="L1490" s="9"/>
      <c r="M1490" s="2"/>
      <c r="N1490" s="9"/>
      <c r="P1490" s="3">
        <v>0</v>
      </c>
      <c r="S1490" s="9"/>
      <c r="T1490" s="2"/>
      <c r="U1490" s="9"/>
    </row>
    <row r="1491" spans="2:21" x14ac:dyDescent="0.35">
      <c r="B1491" s="9"/>
      <c r="C1491" s="2"/>
      <c r="D1491" s="2"/>
      <c r="I1491" s="9"/>
      <c r="J1491" s="2"/>
      <c r="L1491" s="9"/>
      <c r="M1491" s="2"/>
      <c r="N1491" s="9"/>
      <c r="P1491" s="3">
        <v>0</v>
      </c>
      <c r="S1491" s="9"/>
      <c r="T1491" s="2"/>
      <c r="U1491" s="9"/>
    </row>
    <row r="1492" spans="2:21" x14ac:dyDescent="0.35">
      <c r="B1492" s="9"/>
      <c r="C1492" s="2"/>
      <c r="D1492" s="2"/>
      <c r="I1492" s="9"/>
      <c r="J1492" s="2"/>
      <c r="L1492" s="9"/>
      <c r="M1492" s="2"/>
      <c r="N1492" s="9"/>
      <c r="P1492" s="3">
        <v>0</v>
      </c>
      <c r="S1492" s="9"/>
      <c r="T1492" s="2"/>
      <c r="U1492" s="9"/>
    </row>
    <row r="1493" spans="2:21" x14ac:dyDescent="0.35">
      <c r="B1493" s="9"/>
      <c r="C1493" s="2"/>
      <c r="D1493" s="2"/>
      <c r="I1493" s="9"/>
      <c r="J1493" s="2"/>
      <c r="L1493" s="9"/>
      <c r="M1493" s="2"/>
      <c r="N1493" s="9"/>
      <c r="P1493" s="3">
        <v>0</v>
      </c>
      <c r="S1493" s="9"/>
      <c r="T1493" s="2"/>
      <c r="U1493" s="9"/>
    </row>
    <row r="1494" spans="2:21" x14ac:dyDescent="0.35">
      <c r="B1494" s="9"/>
      <c r="C1494" s="2"/>
      <c r="D1494" s="2"/>
      <c r="I1494" s="9"/>
      <c r="J1494" s="2"/>
      <c r="L1494" s="9"/>
      <c r="M1494" s="2"/>
      <c r="N1494" s="9"/>
      <c r="P1494" s="3">
        <v>0</v>
      </c>
      <c r="S1494" s="9"/>
      <c r="T1494" s="2"/>
      <c r="U1494" s="9"/>
    </row>
    <row r="1495" spans="2:21" x14ac:dyDescent="0.35">
      <c r="B1495" s="9"/>
      <c r="C1495" s="2"/>
      <c r="D1495" s="2"/>
      <c r="I1495" s="9"/>
      <c r="J1495" s="2"/>
      <c r="L1495" s="9"/>
      <c r="M1495" s="2"/>
      <c r="N1495" s="9"/>
      <c r="P1495" s="3">
        <v>0</v>
      </c>
      <c r="S1495" s="9"/>
      <c r="T1495" s="2"/>
      <c r="U1495" s="9"/>
    </row>
    <row r="1496" spans="2:21" x14ac:dyDescent="0.35">
      <c r="B1496" s="9"/>
      <c r="C1496" s="2"/>
      <c r="D1496" s="2"/>
      <c r="I1496" s="9"/>
      <c r="J1496" s="2"/>
      <c r="L1496" s="9"/>
      <c r="M1496" s="2"/>
      <c r="N1496" s="9"/>
      <c r="P1496" s="3">
        <v>0</v>
      </c>
      <c r="S1496" s="9"/>
      <c r="T1496" s="2"/>
      <c r="U1496" s="9"/>
    </row>
    <row r="1497" spans="2:21" x14ac:dyDescent="0.35">
      <c r="B1497" s="9"/>
      <c r="C1497" s="2"/>
      <c r="D1497" s="2"/>
      <c r="I1497" s="9"/>
      <c r="J1497" s="2"/>
      <c r="L1497" s="9"/>
      <c r="M1497" s="2"/>
      <c r="N1497" s="9"/>
      <c r="P1497" s="3">
        <v>0</v>
      </c>
      <c r="S1497" s="9"/>
      <c r="T1497" s="2"/>
      <c r="U1497" s="9"/>
    </row>
    <row r="1498" spans="2:21" x14ac:dyDescent="0.35">
      <c r="B1498" s="9"/>
      <c r="C1498" s="2"/>
      <c r="D1498" s="2"/>
      <c r="I1498" s="9"/>
      <c r="J1498" s="2"/>
      <c r="L1498" s="9"/>
      <c r="M1498" s="2"/>
      <c r="N1498" s="9"/>
      <c r="P1498" s="3">
        <v>0</v>
      </c>
      <c r="S1498" s="9"/>
      <c r="T1498" s="2"/>
      <c r="U1498" s="9"/>
    </row>
    <row r="1499" spans="2:21" x14ac:dyDescent="0.35">
      <c r="B1499" s="9"/>
      <c r="C1499" s="2"/>
      <c r="D1499" s="2"/>
      <c r="I1499" s="9"/>
      <c r="J1499" s="2"/>
      <c r="L1499" s="9"/>
      <c r="M1499" s="2"/>
      <c r="N1499" s="9"/>
      <c r="P1499" s="3">
        <v>0</v>
      </c>
      <c r="S1499" s="9"/>
      <c r="T1499" s="2"/>
      <c r="U1499" s="9"/>
    </row>
    <row r="1500" spans="2:21" x14ac:dyDescent="0.35">
      <c r="B1500" s="9"/>
      <c r="C1500" s="2"/>
      <c r="D1500" s="2"/>
      <c r="I1500" s="9"/>
      <c r="J1500" s="2"/>
      <c r="L1500" s="9"/>
      <c r="M1500" s="2"/>
      <c r="N1500" s="9"/>
      <c r="P1500" s="3">
        <v>0</v>
      </c>
      <c r="S1500" s="9"/>
      <c r="T1500" s="2"/>
      <c r="U1500" s="9"/>
    </row>
    <row r="1501" spans="2:21" x14ac:dyDescent="0.35">
      <c r="B1501" s="9"/>
      <c r="C1501" s="2"/>
      <c r="D1501" s="2"/>
      <c r="I1501" s="9"/>
      <c r="J1501" s="2"/>
      <c r="L1501" s="9"/>
      <c r="M1501" s="2"/>
      <c r="N1501" s="9"/>
      <c r="P1501" s="3">
        <v>0</v>
      </c>
      <c r="S1501" s="9"/>
      <c r="T1501" s="2"/>
      <c r="U1501" s="9"/>
    </row>
    <row r="1502" spans="2:21" x14ac:dyDescent="0.35">
      <c r="B1502" s="9"/>
      <c r="C1502" s="2"/>
      <c r="D1502" s="2"/>
      <c r="I1502" s="9"/>
      <c r="J1502" s="2"/>
      <c r="L1502" s="9"/>
      <c r="M1502" s="2"/>
      <c r="N1502" s="9"/>
      <c r="P1502" s="3">
        <v>0</v>
      </c>
      <c r="S1502" s="9"/>
      <c r="T1502" s="2"/>
      <c r="U1502" s="9"/>
    </row>
    <row r="1503" spans="2:21" x14ac:dyDescent="0.35">
      <c r="B1503" s="9"/>
      <c r="C1503" s="2"/>
      <c r="D1503" s="2"/>
      <c r="I1503" s="9"/>
      <c r="J1503" s="2"/>
      <c r="L1503" s="9"/>
      <c r="M1503" s="2"/>
      <c r="N1503" s="9"/>
      <c r="P1503" s="3">
        <v>0</v>
      </c>
      <c r="S1503" s="9"/>
      <c r="T1503" s="2"/>
      <c r="U1503" s="9"/>
    </row>
    <row r="1504" spans="2:21" x14ac:dyDescent="0.35">
      <c r="B1504" s="9"/>
      <c r="C1504" s="2"/>
      <c r="D1504" s="2"/>
      <c r="I1504" s="9"/>
      <c r="J1504" s="2"/>
      <c r="L1504" s="9"/>
      <c r="M1504" s="2"/>
      <c r="N1504" s="9"/>
      <c r="P1504" s="3">
        <v>0</v>
      </c>
      <c r="S1504" s="9"/>
      <c r="T1504" s="2"/>
      <c r="U1504" s="9"/>
    </row>
    <row r="1505" spans="2:21" x14ac:dyDescent="0.35">
      <c r="B1505" s="9"/>
      <c r="C1505" s="2"/>
      <c r="D1505" s="2"/>
      <c r="I1505" s="9"/>
      <c r="J1505" s="2"/>
      <c r="L1505" s="9"/>
      <c r="M1505" s="2"/>
      <c r="N1505" s="9"/>
      <c r="P1505" s="3">
        <v>0</v>
      </c>
      <c r="S1505" s="9"/>
      <c r="T1505" s="2"/>
      <c r="U1505" s="9"/>
    </row>
    <row r="1506" spans="2:21" x14ac:dyDescent="0.35">
      <c r="B1506" s="9"/>
      <c r="C1506" s="2"/>
      <c r="D1506" s="2"/>
      <c r="I1506" s="9"/>
      <c r="J1506" s="2"/>
      <c r="L1506" s="9"/>
      <c r="M1506" s="2"/>
      <c r="N1506" s="9"/>
      <c r="P1506" s="3">
        <v>0</v>
      </c>
      <c r="S1506" s="9"/>
      <c r="T1506" s="2"/>
      <c r="U1506" s="9"/>
    </row>
    <row r="1507" spans="2:21" x14ac:dyDescent="0.35">
      <c r="B1507" s="9"/>
      <c r="C1507" s="2"/>
      <c r="D1507" s="2"/>
      <c r="I1507" s="9"/>
      <c r="J1507" s="2"/>
      <c r="L1507" s="9"/>
      <c r="M1507" s="2"/>
      <c r="N1507" s="9"/>
      <c r="P1507" s="3">
        <v>0</v>
      </c>
      <c r="S1507" s="9"/>
      <c r="T1507" s="2"/>
      <c r="U1507" s="9"/>
    </row>
    <row r="1508" spans="2:21" x14ac:dyDescent="0.35">
      <c r="B1508" s="9"/>
      <c r="C1508" s="2"/>
      <c r="D1508" s="2"/>
      <c r="I1508" s="9"/>
      <c r="J1508" s="2"/>
      <c r="L1508" s="9"/>
      <c r="M1508" s="2"/>
      <c r="N1508" s="9"/>
      <c r="P1508" s="3">
        <v>0</v>
      </c>
      <c r="S1508" s="9"/>
      <c r="T1508" s="2"/>
      <c r="U1508" s="9"/>
    </row>
    <row r="1509" spans="2:21" x14ac:dyDescent="0.35">
      <c r="B1509" s="9"/>
      <c r="C1509" s="2"/>
      <c r="D1509" s="2"/>
      <c r="I1509" s="9"/>
      <c r="J1509" s="2"/>
      <c r="L1509" s="9"/>
      <c r="M1509" s="2"/>
      <c r="N1509" s="9"/>
      <c r="P1509" s="3">
        <v>0</v>
      </c>
      <c r="S1509" s="9"/>
      <c r="T1509" s="2"/>
      <c r="U1509" s="9"/>
    </row>
    <row r="1510" spans="2:21" x14ac:dyDescent="0.35">
      <c r="B1510" s="9"/>
      <c r="C1510" s="2"/>
      <c r="D1510" s="2"/>
      <c r="I1510" s="9"/>
      <c r="J1510" s="2"/>
      <c r="L1510" s="9"/>
      <c r="M1510" s="2"/>
      <c r="N1510" s="9"/>
      <c r="P1510" s="3">
        <v>0</v>
      </c>
      <c r="S1510" s="9"/>
      <c r="T1510" s="2"/>
      <c r="U1510" s="9"/>
    </row>
    <row r="1511" spans="2:21" x14ac:dyDescent="0.35">
      <c r="B1511" s="9"/>
      <c r="C1511" s="2"/>
      <c r="D1511" s="2"/>
      <c r="I1511" s="9"/>
      <c r="J1511" s="2"/>
      <c r="L1511" s="9"/>
      <c r="M1511" s="2"/>
      <c r="N1511" s="9"/>
      <c r="P1511" s="3">
        <v>0</v>
      </c>
      <c r="S1511" s="9"/>
      <c r="T1511" s="2"/>
      <c r="U1511" s="9"/>
    </row>
    <row r="1512" spans="2:21" x14ac:dyDescent="0.35">
      <c r="B1512" s="9"/>
      <c r="C1512" s="2"/>
      <c r="D1512" s="2"/>
      <c r="I1512" s="9"/>
      <c r="J1512" s="2"/>
      <c r="L1512" s="9"/>
      <c r="M1512" s="2"/>
      <c r="N1512" s="9"/>
      <c r="P1512" s="3">
        <v>0</v>
      </c>
      <c r="S1512" s="9"/>
      <c r="T1512" s="2"/>
      <c r="U1512" s="9"/>
    </row>
    <row r="1513" spans="2:21" x14ac:dyDescent="0.35">
      <c r="B1513" s="9"/>
      <c r="C1513" s="2"/>
      <c r="D1513" s="2"/>
      <c r="I1513" s="9"/>
      <c r="J1513" s="2"/>
      <c r="L1513" s="9"/>
      <c r="M1513" s="2"/>
      <c r="N1513" s="9"/>
      <c r="P1513" s="3">
        <v>0</v>
      </c>
      <c r="S1513" s="9"/>
      <c r="T1513" s="2"/>
      <c r="U1513" s="9"/>
    </row>
    <row r="1514" spans="2:21" x14ac:dyDescent="0.35">
      <c r="B1514" s="9"/>
      <c r="C1514" s="2"/>
      <c r="D1514" s="2"/>
      <c r="I1514" s="9"/>
      <c r="J1514" s="2"/>
      <c r="L1514" s="9"/>
      <c r="M1514" s="2"/>
      <c r="N1514" s="9"/>
      <c r="P1514" s="3">
        <v>0</v>
      </c>
      <c r="S1514" s="9"/>
      <c r="T1514" s="2"/>
      <c r="U1514" s="9"/>
    </row>
    <row r="1515" spans="2:21" x14ac:dyDescent="0.35">
      <c r="B1515" s="9"/>
      <c r="C1515" s="2"/>
      <c r="D1515" s="2"/>
      <c r="I1515" s="9"/>
      <c r="J1515" s="2"/>
      <c r="L1515" s="9"/>
      <c r="M1515" s="2"/>
      <c r="N1515" s="9"/>
      <c r="P1515" s="3">
        <v>0</v>
      </c>
      <c r="S1515" s="9"/>
      <c r="T1515" s="2"/>
      <c r="U1515" s="9"/>
    </row>
    <row r="1516" spans="2:21" x14ac:dyDescent="0.35">
      <c r="B1516" s="9"/>
      <c r="C1516" s="2"/>
      <c r="D1516" s="2"/>
      <c r="I1516" s="9"/>
      <c r="J1516" s="2"/>
      <c r="L1516" s="9"/>
      <c r="M1516" s="2"/>
      <c r="N1516" s="9"/>
      <c r="P1516" s="3">
        <v>0</v>
      </c>
      <c r="S1516" s="9"/>
      <c r="T1516" s="2"/>
      <c r="U1516" s="9"/>
    </row>
    <row r="1517" spans="2:21" x14ac:dyDescent="0.35">
      <c r="B1517" s="9"/>
      <c r="C1517" s="2"/>
      <c r="D1517" s="2"/>
      <c r="I1517" s="9"/>
      <c r="J1517" s="2"/>
      <c r="L1517" s="9"/>
      <c r="M1517" s="2"/>
      <c r="N1517" s="9"/>
      <c r="P1517" s="3">
        <v>0</v>
      </c>
      <c r="S1517" s="9"/>
      <c r="T1517" s="2"/>
      <c r="U1517" s="9"/>
    </row>
    <row r="1518" spans="2:21" x14ac:dyDescent="0.35">
      <c r="B1518" s="9"/>
      <c r="C1518" s="2"/>
      <c r="D1518" s="2"/>
      <c r="I1518" s="9"/>
      <c r="J1518" s="2"/>
      <c r="L1518" s="9"/>
      <c r="M1518" s="2"/>
      <c r="N1518" s="9"/>
      <c r="P1518" s="3">
        <v>0</v>
      </c>
      <c r="S1518" s="9"/>
      <c r="T1518" s="2"/>
      <c r="U1518" s="9"/>
    </row>
    <row r="1519" spans="2:21" x14ac:dyDescent="0.35">
      <c r="B1519" s="9"/>
      <c r="C1519" s="2"/>
      <c r="D1519" s="2"/>
      <c r="I1519" s="9"/>
      <c r="J1519" s="2"/>
      <c r="L1519" s="9"/>
      <c r="M1519" s="2"/>
      <c r="N1519" s="9"/>
      <c r="P1519" s="3">
        <v>0</v>
      </c>
      <c r="S1519" s="9"/>
      <c r="T1519" s="2"/>
      <c r="U1519" s="9"/>
    </row>
    <row r="1520" spans="2:21" x14ac:dyDescent="0.35">
      <c r="B1520" s="9"/>
      <c r="C1520" s="2"/>
      <c r="D1520" s="2"/>
      <c r="I1520" s="9"/>
      <c r="J1520" s="2"/>
      <c r="L1520" s="9"/>
      <c r="M1520" s="2"/>
      <c r="N1520" s="9"/>
      <c r="P1520" s="3">
        <v>0</v>
      </c>
      <c r="S1520" s="9"/>
      <c r="T1520" s="2"/>
      <c r="U1520" s="9"/>
    </row>
    <row r="1521" spans="2:21" x14ac:dyDescent="0.35">
      <c r="B1521" s="9"/>
      <c r="C1521" s="2"/>
      <c r="D1521" s="2"/>
      <c r="I1521" s="9"/>
      <c r="J1521" s="2"/>
      <c r="L1521" s="9"/>
      <c r="M1521" s="2"/>
      <c r="N1521" s="9"/>
      <c r="P1521" s="3">
        <v>0</v>
      </c>
      <c r="S1521" s="9"/>
      <c r="T1521" s="2"/>
      <c r="U1521" s="9"/>
    </row>
    <row r="1522" spans="2:21" x14ac:dyDescent="0.35">
      <c r="B1522" s="9"/>
      <c r="C1522" s="2"/>
      <c r="D1522" s="2"/>
      <c r="I1522" s="9"/>
      <c r="J1522" s="2"/>
      <c r="L1522" s="9"/>
      <c r="M1522" s="2"/>
      <c r="N1522" s="9"/>
      <c r="P1522" s="3">
        <v>0</v>
      </c>
      <c r="S1522" s="9"/>
      <c r="T1522" s="2"/>
      <c r="U1522" s="9"/>
    </row>
    <row r="1523" spans="2:21" x14ac:dyDescent="0.35">
      <c r="B1523" s="9"/>
      <c r="C1523" s="2"/>
      <c r="D1523" s="2"/>
      <c r="I1523" s="9"/>
      <c r="J1523" s="2"/>
      <c r="L1523" s="9"/>
      <c r="M1523" s="2"/>
      <c r="N1523" s="9"/>
      <c r="P1523" s="3">
        <v>0</v>
      </c>
      <c r="S1523" s="9"/>
      <c r="T1523" s="2"/>
      <c r="U1523" s="9"/>
    </row>
    <row r="1524" spans="2:21" x14ac:dyDescent="0.35">
      <c r="B1524" s="9"/>
      <c r="C1524" s="2"/>
      <c r="D1524" s="2"/>
      <c r="I1524" s="9"/>
      <c r="J1524" s="2"/>
      <c r="L1524" s="9"/>
      <c r="M1524" s="2"/>
      <c r="N1524" s="9"/>
      <c r="P1524" s="3">
        <v>0</v>
      </c>
      <c r="S1524" s="9"/>
      <c r="T1524" s="2"/>
      <c r="U1524" s="9"/>
    </row>
    <row r="1525" spans="2:21" x14ac:dyDescent="0.35">
      <c r="B1525" s="9"/>
      <c r="C1525" s="2"/>
      <c r="D1525" s="2"/>
      <c r="I1525" s="9"/>
      <c r="J1525" s="2"/>
      <c r="L1525" s="9"/>
      <c r="M1525" s="2"/>
      <c r="N1525" s="9"/>
      <c r="P1525" s="3">
        <v>0</v>
      </c>
      <c r="S1525" s="9"/>
      <c r="T1525" s="2"/>
      <c r="U1525" s="9"/>
    </row>
    <row r="1526" spans="2:21" x14ac:dyDescent="0.35">
      <c r="B1526" s="9"/>
      <c r="C1526" s="2"/>
      <c r="D1526" s="2"/>
      <c r="I1526" s="9"/>
      <c r="J1526" s="2"/>
      <c r="L1526" s="9"/>
      <c r="M1526" s="2"/>
      <c r="N1526" s="9"/>
      <c r="P1526" s="3">
        <v>0</v>
      </c>
      <c r="S1526" s="9"/>
      <c r="T1526" s="2"/>
      <c r="U1526" s="9"/>
    </row>
    <row r="1527" spans="2:21" x14ac:dyDescent="0.35">
      <c r="B1527" s="9"/>
      <c r="C1527" s="2"/>
      <c r="D1527" s="2"/>
      <c r="I1527" s="9"/>
      <c r="J1527" s="2"/>
      <c r="L1527" s="9"/>
      <c r="M1527" s="2"/>
      <c r="N1527" s="9"/>
      <c r="P1527" s="3">
        <v>0</v>
      </c>
      <c r="S1527" s="9"/>
      <c r="T1527" s="2"/>
      <c r="U1527" s="9"/>
    </row>
    <row r="1528" spans="2:21" x14ac:dyDescent="0.35">
      <c r="B1528" s="9"/>
      <c r="C1528" s="2"/>
      <c r="D1528" s="2"/>
      <c r="I1528" s="9"/>
      <c r="J1528" s="2"/>
      <c r="L1528" s="9"/>
      <c r="M1528" s="2"/>
      <c r="N1528" s="9"/>
      <c r="P1528" s="3">
        <v>0</v>
      </c>
      <c r="S1528" s="9"/>
      <c r="T1528" s="2"/>
      <c r="U1528" s="9"/>
    </row>
    <row r="1529" spans="2:21" x14ac:dyDescent="0.35">
      <c r="B1529" s="9"/>
      <c r="C1529" s="2"/>
      <c r="D1529" s="2"/>
      <c r="I1529" s="9"/>
      <c r="J1529" s="2"/>
      <c r="L1529" s="9"/>
      <c r="M1529" s="2"/>
      <c r="N1529" s="9"/>
      <c r="P1529" s="3">
        <v>0</v>
      </c>
      <c r="S1529" s="9"/>
      <c r="T1529" s="2"/>
      <c r="U1529" s="9"/>
    </row>
    <row r="1530" spans="2:21" x14ac:dyDescent="0.35">
      <c r="B1530" s="9"/>
      <c r="C1530" s="2"/>
      <c r="D1530" s="2"/>
      <c r="I1530" s="9"/>
      <c r="J1530" s="2"/>
      <c r="L1530" s="9"/>
      <c r="M1530" s="2"/>
      <c r="N1530" s="9"/>
      <c r="P1530" s="3">
        <v>0</v>
      </c>
      <c r="S1530" s="9"/>
      <c r="T1530" s="2"/>
      <c r="U1530" s="9"/>
    </row>
    <row r="1531" spans="2:21" x14ac:dyDescent="0.35">
      <c r="B1531" s="9"/>
      <c r="C1531" s="2"/>
      <c r="D1531" s="2"/>
      <c r="I1531" s="9"/>
      <c r="J1531" s="2"/>
      <c r="L1531" s="9"/>
      <c r="M1531" s="2"/>
      <c r="N1531" s="9"/>
      <c r="P1531" s="3">
        <v>0</v>
      </c>
      <c r="S1531" s="9"/>
      <c r="T1531" s="2"/>
      <c r="U1531" s="9"/>
    </row>
    <row r="1532" spans="2:21" x14ac:dyDescent="0.35">
      <c r="B1532" s="9"/>
      <c r="C1532" s="2"/>
      <c r="D1532" s="2"/>
      <c r="I1532" s="9"/>
      <c r="J1532" s="2"/>
      <c r="L1532" s="9"/>
      <c r="M1532" s="2"/>
      <c r="N1532" s="9"/>
      <c r="P1532" s="3">
        <v>0</v>
      </c>
      <c r="S1532" s="9"/>
      <c r="T1532" s="2"/>
      <c r="U1532" s="9"/>
    </row>
    <row r="1533" spans="2:21" x14ac:dyDescent="0.35">
      <c r="B1533" s="9"/>
      <c r="C1533" s="2"/>
      <c r="D1533" s="2"/>
      <c r="I1533" s="9"/>
      <c r="J1533" s="2"/>
      <c r="L1533" s="9"/>
      <c r="M1533" s="2"/>
      <c r="N1533" s="9"/>
      <c r="P1533" s="3">
        <v>0</v>
      </c>
      <c r="S1533" s="9"/>
      <c r="T1533" s="2"/>
      <c r="U1533" s="9"/>
    </row>
    <row r="1534" spans="2:21" x14ac:dyDescent="0.35">
      <c r="B1534" s="9"/>
      <c r="C1534" s="2"/>
      <c r="D1534" s="2"/>
      <c r="I1534" s="9"/>
      <c r="J1534" s="2"/>
      <c r="L1534" s="9"/>
      <c r="M1534" s="2"/>
      <c r="N1534" s="9"/>
      <c r="P1534" s="3">
        <v>0</v>
      </c>
      <c r="S1534" s="9"/>
      <c r="T1534" s="2"/>
      <c r="U1534" s="9"/>
    </row>
    <row r="1535" spans="2:21" x14ac:dyDescent="0.35">
      <c r="B1535" s="9"/>
      <c r="C1535" s="2"/>
      <c r="D1535" s="2"/>
      <c r="I1535" s="9"/>
      <c r="J1535" s="2"/>
      <c r="L1535" s="9"/>
      <c r="M1535" s="2"/>
      <c r="N1535" s="9"/>
      <c r="P1535" s="3">
        <v>0</v>
      </c>
      <c r="S1535" s="9"/>
      <c r="T1535" s="2"/>
      <c r="U1535" s="9"/>
    </row>
    <row r="1536" spans="2:21" x14ac:dyDescent="0.35">
      <c r="B1536" s="9"/>
      <c r="C1536" s="2"/>
      <c r="D1536" s="2"/>
      <c r="I1536" s="9"/>
      <c r="J1536" s="2"/>
      <c r="L1536" s="9"/>
      <c r="M1536" s="2"/>
      <c r="N1536" s="9"/>
      <c r="P1536" s="3">
        <v>0</v>
      </c>
      <c r="S1536" s="9"/>
      <c r="T1536" s="2"/>
      <c r="U1536" s="9"/>
    </row>
    <row r="1537" spans="2:21" x14ac:dyDescent="0.35">
      <c r="B1537" s="9"/>
      <c r="C1537" s="2"/>
      <c r="D1537" s="2"/>
      <c r="I1537" s="9"/>
      <c r="J1537" s="2"/>
      <c r="L1537" s="9"/>
      <c r="M1537" s="2"/>
      <c r="N1537" s="9"/>
      <c r="P1537" s="3">
        <v>0</v>
      </c>
      <c r="S1537" s="9"/>
      <c r="T1537" s="2"/>
      <c r="U1537" s="9"/>
    </row>
    <row r="1538" spans="2:21" x14ac:dyDescent="0.35">
      <c r="B1538" s="9"/>
      <c r="C1538" s="2"/>
      <c r="D1538" s="2"/>
      <c r="I1538" s="9"/>
      <c r="J1538" s="2"/>
      <c r="L1538" s="9"/>
      <c r="M1538" s="2"/>
      <c r="N1538" s="9"/>
      <c r="P1538" s="3">
        <v>0</v>
      </c>
      <c r="S1538" s="9"/>
      <c r="T1538" s="2"/>
      <c r="U1538" s="9"/>
    </row>
    <row r="1539" spans="2:21" x14ac:dyDescent="0.35">
      <c r="B1539" s="9"/>
      <c r="C1539" s="2"/>
      <c r="D1539" s="2"/>
      <c r="I1539" s="9"/>
      <c r="J1539" s="2"/>
      <c r="L1539" s="9"/>
      <c r="M1539" s="2"/>
      <c r="N1539" s="9"/>
      <c r="P1539" s="3">
        <v>0</v>
      </c>
      <c r="S1539" s="9"/>
      <c r="T1539" s="2"/>
      <c r="U1539" s="9"/>
    </row>
    <row r="1540" spans="2:21" x14ac:dyDescent="0.35">
      <c r="B1540" s="9"/>
      <c r="C1540" s="2"/>
      <c r="D1540" s="2"/>
      <c r="I1540" s="9"/>
      <c r="J1540" s="2"/>
      <c r="L1540" s="9"/>
      <c r="M1540" s="2"/>
      <c r="N1540" s="9"/>
      <c r="P1540" s="3">
        <v>0</v>
      </c>
      <c r="S1540" s="9"/>
      <c r="T1540" s="2"/>
      <c r="U1540" s="9"/>
    </row>
    <row r="1541" spans="2:21" x14ac:dyDescent="0.35">
      <c r="B1541" s="9"/>
      <c r="C1541" s="2"/>
      <c r="D1541" s="2"/>
      <c r="I1541" s="9"/>
      <c r="J1541" s="2"/>
      <c r="L1541" s="9"/>
      <c r="M1541" s="2"/>
      <c r="N1541" s="9"/>
      <c r="P1541" s="3">
        <v>-251.60949199999999</v>
      </c>
      <c r="S1541" s="9"/>
      <c r="T1541" s="2"/>
      <c r="U1541" s="9"/>
    </row>
    <row r="1542" spans="2:21" x14ac:dyDescent="0.35">
      <c r="B1542" s="9"/>
      <c r="C1542" s="2"/>
      <c r="D1542" s="2"/>
      <c r="I1542" s="9"/>
      <c r="J1542" s="2"/>
      <c r="L1542" s="9"/>
      <c r="M1542" s="2"/>
      <c r="N1542" s="9"/>
      <c r="P1542" s="3">
        <v>-686.36949200000004</v>
      </c>
      <c r="S1542" s="9"/>
      <c r="T1542" s="2"/>
      <c r="U1542" s="9"/>
    </row>
    <row r="1543" spans="2:21" x14ac:dyDescent="0.35">
      <c r="B1543" s="9"/>
      <c r="C1543" s="2"/>
      <c r="D1543" s="2"/>
      <c r="I1543" s="9"/>
      <c r="J1543" s="2"/>
      <c r="L1543" s="9"/>
      <c r="M1543" s="2"/>
      <c r="N1543" s="9"/>
      <c r="P1543" s="3">
        <v>-1121.129492</v>
      </c>
      <c r="S1543" s="9"/>
      <c r="T1543" s="2"/>
      <c r="U1543" s="9"/>
    </row>
    <row r="1544" spans="2:21" x14ac:dyDescent="0.35">
      <c r="B1544" s="9"/>
      <c r="C1544" s="2"/>
      <c r="D1544" s="2"/>
      <c r="I1544" s="9"/>
      <c r="J1544" s="2"/>
      <c r="L1544" s="9"/>
      <c r="M1544" s="2"/>
      <c r="N1544" s="9"/>
      <c r="P1544" s="3">
        <v>-1555.889492</v>
      </c>
      <c r="S1544" s="9"/>
      <c r="T1544" s="2"/>
      <c r="U1544" s="9"/>
    </row>
    <row r="1545" spans="2:21" x14ac:dyDescent="0.35">
      <c r="B1545" s="9"/>
      <c r="C1545" s="2"/>
      <c r="D1545" s="2"/>
      <c r="I1545" s="9"/>
      <c r="J1545" s="2"/>
      <c r="L1545" s="9"/>
      <c r="M1545" s="2"/>
      <c r="N1545" s="9"/>
      <c r="P1545" s="3">
        <v>-1990.649492</v>
      </c>
      <c r="S1545" s="9"/>
      <c r="T1545" s="2"/>
      <c r="U1545" s="9"/>
    </row>
    <row r="1546" spans="2:21" x14ac:dyDescent="0.35">
      <c r="B1546" s="9"/>
      <c r="C1546" s="2"/>
      <c r="D1546" s="2"/>
      <c r="I1546" s="9"/>
      <c r="J1546" s="2"/>
      <c r="L1546" s="9"/>
      <c r="M1546" s="2"/>
      <c r="N1546" s="9"/>
      <c r="P1546" s="3">
        <v>-2425.4094919999998</v>
      </c>
      <c r="S1546" s="9"/>
      <c r="T1546" s="2"/>
      <c r="U1546" s="9"/>
    </row>
    <row r="1547" spans="2:21" x14ac:dyDescent="0.35">
      <c r="B1547" s="9"/>
      <c r="C1547" s="2"/>
      <c r="D1547" s="2"/>
      <c r="I1547" s="9"/>
      <c r="J1547" s="2"/>
      <c r="L1547" s="9"/>
      <c r="M1547" s="2"/>
      <c r="N1547" s="9"/>
      <c r="P1547" s="3">
        <v>-2860.169492</v>
      </c>
      <c r="S1547" s="9"/>
      <c r="T1547" s="2"/>
      <c r="U1547" s="9"/>
    </row>
    <row r="1548" spans="2:21" x14ac:dyDescent="0.35">
      <c r="B1548" s="9"/>
      <c r="C1548" s="2"/>
      <c r="D1548" s="2"/>
      <c r="I1548" s="9"/>
      <c r="J1548" s="2"/>
      <c r="L1548" s="9"/>
      <c r="M1548" s="2"/>
      <c r="N1548" s="9"/>
      <c r="P1548" s="3">
        <v>-2860.169492</v>
      </c>
      <c r="S1548" s="9"/>
      <c r="T1548" s="2"/>
      <c r="U1548" s="9"/>
    </row>
    <row r="1549" spans="2:21" x14ac:dyDescent="0.35">
      <c r="B1549" s="9"/>
      <c r="C1549" s="2"/>
      <c r="D1549" s="2"/>
      <c r="I1549" s="9"/>
      <c r="J1549" s="2"/>
      <c r="L1549" s="9"/>
      <c r="M1549" s="2"/>
      <c r="N1549" s="9"/>
      <c r="P1549" s="3">
        <v>-2860.169492</v>
      </c>
      <c r="S1549" s="9"/>
      <c r="T1549" s="2"/>
      <c r="U1549" s="9"/>
    </row>
    <row r="1550" spans="2:21" x14ac:dyDescent="0.35">
      <c r="B1550" s="9"/>
      <c r="C1550" s="2"/>
      <c r="D1550" s="2"/>
      <c r="I1550" s="9"/>
      <c r="J1550" s="2"/>
      <c r="L1550" s="9"/>
      <c r="M1550" s="2"/>
      <c r="N1550" s="9"/>
      <c r="P1550" s="3">
        <v>-2860.169492</v>
      </c>
      <c r="S1550" s="9"/>
      <c r="T1550" s="2"/>
      <c r="U1550" s="9"/>
    </row>
    <row r="1551" spans="2:21" x14ac:dyDescent="0.35">
      <c r="B1551" s="9"/>
      <c r="C1551" s="2"/>
      <c r="D1551" s="2"/>
      <c r="I1551" s="9"/>
      <c r="J1551" s="2"/>
      <c r="L1551" s="9"/>
      <c r="M1551" s="2"/>
      <c r="N1551" s="9"/>
      <c r="P1551" s="3">
        <v>-2860.169492</v>
      </c>
      <c r="S1551" s="9"/>
      <c r="T1551" s="2"/>
      <c r="U1551" s="9"/>
    </row>
    <row r="1552" spans="2:21" x14ac:dyDescent="0.35">
      <c r="B1552" s="9"/>
      <c r="C1552" s="2"/>
      <c r="D1552" s="2"/>
      <c r="I1552" s="9"/>
      <c r="J1552" s="2"/>
      <c r="L1552" s="9"/>
      <c r="M1552" s="2"/>
      <c r="N1552" s="9"/>
      <c r="P1552" s="3">
        <v>-2425.4094919999998</v>
      </c>
      <c r="S1552" s="9"/>
      <c r="T1552" s="2"/>
      <c r="U1552" s="9"/>
    </row>
    <row r="1553" spans="2:21" x14ac:dyDescent="0.35">
      <c r="B1553" s="9"/>
      <c r="C1553" s="2"/>
      <c r="D1553" s="2"/>
      <c r="I1553" s="9"/>
      <c r="J1553" s="2"/>
      <c r="L1553" s="9"/>
      <c r="M1553" s="2"/>
      <c r="N1553" s="9"/>
      <c r="P1553" s="3">
        <v>-1990.649492</v>
      </c>
      <c r="S1553" s="9"/>
      <c r="T1553" s="2"/>
      <c r="U1553" s="9"/>
    </row>
    <row r="1554" spans="2:21" x14ac:dyDescent="0.35">
      <c r="B1554" s="9"/>
      <c r="C1554" s="2"/>
      <c r="D1554" s="2"/>
      <c r="I1554" s="9"/>
      <c r="J1554" s="2"/>
      <c r="L1554" s="9"/>
      <c r="M1554" s="2"/>
      <c r="N1554" s="9"/>
      <c r="P1554" s="3">
        <v>-1555.889492</v>
      </c>
      <c r="S1554" s="9"/>
      <c r="T1554" s="2"/>
      <c r="U1554" s="9"/>
    </row>
    <row r="1555" spans="2:21" x14ac:dyDescent="0.35">
      <c r="B1555" s="9"/>
      <c r="C1555" s="2"/>
      <c r="D1555" s="2"/>
      <c r="I1555" s="9"/>
      <c r="J1555" s="2"/>
      <c r="L1555" s="9"/>
      <c r="M1555" s="2"/>
      <c r="N1555" s="9"/>
      <c r="P1555" s="3">
        <v>-1121.129492</v>
      </c>
      <c r="S1555" s="9"/>
      <c r="T1555" s="2"/>
      <c r="U1555" s="9"/>
    </row>
    <row r="1556" spans="2:21" x14ac:dyDescent="0.35">
      <c r="B1556" s="9"/>
      <c r="C1556" s="2"/>
      <c r="D1556" s="2"/>
      <c r="I1556" s="9"/>
      <c r="J1556" s="2"/>
      <c r="L1556" s="9"/>
      <c r="M1556" s="2"/>
      <c r="N1556" s="9"/>
      <c r="P1556" s="3">
        <v>-686.36949200000004</v>
      </c>
      <c r="S1556" s="9"/>
      <c r="T1556" s="2"/>
      <c r="U1556" s="9"/>
    </row>
    <row r="1557" spans="2:21" x14ac:dyDescent="0.35">
      <c r="B1557" s="9"/>
      <c r="C1557" s="2"/>
      <c r="D1557" s="2"/>
      <c r="I1557" s="9"/>
      <c r="J1557" s="2"/>
      <c r="L1557" s="9"/>
      <c r="M1557" s="2"/>
      <c r="N1557" s="9"/>
      <c r="P1557" s="3">
        <v>-251.60949199999999</v>
      </c>
      <c r="S1557" s="9"/>
      <c r="T1557" s="2"/>
      <c r="U1557" s="9"/>
    </row>
    <row r="1558" spans="2:21" x14ac:dyDescent="0.35">
      <c r="B1558" s="9"/>
      <c r="C1558" s="2"/>
      <c r="D1558" s="2"/>
      <c r="I1558" s="9"/>
      <c r="J1558" s="2"/>
      <c r="L1558" s="9"/>
      <c r="M1558" s="2"/>
      <c r="N1558" s="9"/>
      <c r="P1558" s="3">
        <v>0</v>
      </c>
      <c r="S1558" s="9"/>
      <c r="T1558" s="2"/>
      <c r="U1558" s="9"/>
    </row>
    <row r="1559" spans="2:21" x14ac:dyDescent="0.35">
      <c r="B1559" s="9"/>
      <c r="C1559" s="2"/>
      <c r="D1559" s="2"/>
      <c r="I1559" s="9"/>
      <c r="J1559" s="2"/>
      <c r="L1559" s="9"/>
      <c r="M1559" s="2"/>
      <c r="N1559" s="9"/>
      <c r="P1559" s="3">
        <v>0</v>
      </c>
      <c r="S1559" s="9"/>
      <c r="T1559" s="2"/>
      <c r="U1559" s="9"/>
    </row>
    <row r="1560" spans="2:21" x14ac:dyDescent="0.35">
      <c r="B1560" s="9"/>
      <c r="C1560" s="2"/>
      <c r="D1560" s="2"/>
      <c r="I1560" s="9"/>
      <c r="J1560" s="2"/>
      <c r="L1560" s="9"/>
      <c r="M1560" s="2"/>
      <c r="N1560" s="9"/>
      <c r="P1560" s="3">
        <v>0</v>
      </c>
      <c r="S1560" s="9"/>
      <c r="T1560" s="2"/>
      <c r="U1560" s="9"/>
    </row>
    <row r="1561" spans="2:21" x14ac:dyDescent="0.35">
      <c r="B1561" s="9"/>
      <c r="C1561" s="2"/>
      <c r="D1561" s="2"/>
      <c r="I1561" s="9"/>
      <c r="J1561" s="2"/>
      <c r="L1561" s="9"/>
      <c r="M1561" s="2"/>
      <c r="N1561" s="9"/>
      <c r="P1561" s="3">
        <v>0</v>
      </c>
      <c r="S1561" s="9"/>
      <c r="T1561" s="2"/>
      <c r="U1561" s="9"/>
    </row>
    <row r="1562" spans="2:21" x14ac:dyDescent="0.35">
      <c r="B1562" s="9"/>
      <c r="C1562" s="2"/>
      <c r="D1562" s="2"/>
      <c r="I1562" s="9"/>
      <c r="J1562" s="2"/>
      <c r="L1562" s="9"/>
      <c r="M1562" s="2"/>
      <c r="N1562" s="9"/>
      <c r="P1562" s="3">
        <v>0</v>
      </c>
      <c r="S1562" s="9"/>
      <c r="T1562" s="2"/>
      <c r="U1562" s="9"/>
    </row>
    <row r="1563" spans="2:21" x14ac:dyDescent="0.35">
      <c r="B1563" s="9"/>
      <c r="C1563" s="2"/>
      <c r="D1563" s="2"/>
      <c r="I1563" s="9"/>
      <c r="J1563" s="2"/>
      <c r="L1563" s="9"/>
      <c r="M1563" s="2"/>
      <c r="N1563" s="9"/>
      <c r="P1563" s="3">
        <v>0</v>
      </c>
      <c r="S1563" s="9"/>
      <c r="T1563" s="2"/>
      <c r="U1563" s="9"/>
    </row>
    <row r="1564" spans="2:21" x14ac:dyDescent="0.35">
      <c r="B1564" s="9"/>
      <c r="C1564" s="2"/>
      <c r="D1564" s="2"/>
      <c r="I1564" s="9"/>
      <c r="J1564" s="2"/>
      <c r="L1564" s="9"/>
      <c r="M1564" s="2"/>
      <c r="N1564" s="9"/>
      <c r="P1564" s="3">
        <v>0</v>
      </c>
      <c r="S1564" s="9"/>
      <c r="T1564" s="2"/>
      <c r="U1564" s="9"/>
    </row>
    <row r="1565" spans="2:21" x14ac:dyDescent="0.35">
      <c r="B1565" s="9"/>
      <c r="C1565" s="2"/>
      <c r="D1565" s="2"/>
      <c r="I1565" s="9"/>
      <c r="J1565" s="2"/>
      <c r="L1565" s="9"/>
      <c r="M1565" s="2"/>
      <c r="N1565" s="9"/>
      <c r="P1565" s="3">
        <v>0</v>
      </c>
      <c r="S1565" s="9"/>
      <c r="T1565" s="2"/>
      <c r="U1565" s="9"/>
    </row>
    <row r="1566" spans="2:21" x14ac:dyDescent="0.35">
      <c r="B1566" s="9"/>
      <c r="C1566" s="2"/>
      <c r="D1566" s="2"/>
      <c r="I1566" s="9"/>
      <c r="J1566" s="2"/>
      <c r="L1566" s="9"/>
      <c r="M1566" s="2"/>
      <c r="N1566" s="9"/>
      <c r="P1566" s="3">
        <v>0</v>
      </c>
      <c r="S1566" s="9"/>
      <c r="T1566" s="2"/>
      <c r="U1566" s="9"/>
    </row>
    <row r="1567" spans="2:21" x14ac:dyDescent="0.35">
      <c r="B1567" s="9"/>
      <c r="C1567" s="2"/>
      <c r="D1567" s="2"/>
      <c r="I1567" s="9"/>
      <c r="J1567" s="2"/>
      <c r="L1567" s="9"/>
      <c r="M1567" s="2"/>
      <c r="N1567" s="9"/>
      <c r="P1567" s="3">
        <v>0</v>
      </c>
      <c r="S1567" s="9"/>
      <c r="T1567" s="2"/>
      <c r="U1567" s="9"/>
    </row>
    <row r="1568" spans="2:21" x14ac:dyDescent="0.35">
      <c r="B1568" s="9"/>
      <c r="C1568" s="2"/>
      <c r="D1568" s="2"/>
      <c r="I1568" s="9"/>
      <c r="J1568" s="2"/>
      <c r="L1568" s="9"/>
      <c r="M1568" s="2"/>
      <c r="N1568" s="9"/>
      <c r="P1568" s="3">
        <v>0</v>
      </c>
      <c r="S1568" s="9"/>
      <c r="T1568" s="2"/>
      <c r="U1568" s="9"/>
    </row>
    <row r="1569" spans="2:21" x14ac:dyDescent="0.35">
      <c r="B1569" s="9"/>
      <c r="C1569" s="2"/>
      <c r="D1569" s="2"/>
      <c r="I1569" s="9"/>
      <c r="J1569" s="2"/>
      <c r="L1569" s="9"/>
      <c r="M1569" s="2"/>
      <c r="N1569" s="9"/>
      <c r="P1569" s="3">
        <v>0</v>
      </c>
      <c r="S1569" s="9"/>
      <c r="T1569" s="2"/>
      <c r="U1569" s="9"/>
    </row>
    <row r="1570" spans="2:21" x14ac:dyDescent="0.35">
      <c r="B1570" s="9"/>
      <c r="C1570" s="2"/>
      <c r="D1570" s="2"/>
      <c r="I1570" s="9"/>
      <c r="J1570" s="2"/>
      <c r="L1570" s="9"/>
      <c r="M1570" s="2"/>
      <c r="N1570" s="9"/>
      <c r="P1570" s="3">
        <v>0</v>
      </c>
      <c r="S1570" s="9"/>
      <c r="T1570" s="2"/>
      <c r="U1570" s="9"/>
    </row>
    <row r="1571" spans="2:21" x14ac:dyDescent="0.35">
      <c r="B1571" s="9"/>
      <c r="C1571" s="2"/>
      <c r="D1571" s="2"/>
      <c r="I1571" s="9"/>
      <c r="J1571" s="2"/>
      <c r="L1571" s="9"/>
      <c r="M1571" s="2"/>
      <c r="N1571" s="9"/>
      <c r="P1571" s="3">
        <v>0</v>
      </c>
      <c r="S1571" s="9"/>
      <c r="T1571" s="2"/>
      <c r="U1571" s="9"/>
    </row>
    <row r="1572" spans="2:21" x14ac:dyDescent="0.35">
      <c r="B1572" s="9"/>
      <c r="C1572" s="2"/>
      <c r="D1572" s="2"/>
      <c r="I1572" s="9"/>
      <c r="J1572" s="2"/>
      <c r="L1572" s="9"/>
      <c r="M1572" s="2"/>
      <c r="N1572" s="9"/>
      <c r="P1572" s="3">
        <v>0</v>
      </c>
      <c r="S1572" s="9"/>
      <c r="T1572" s="2"/>
      <c r="U1572" s="9"/>
    </row>
    <row r="1573" spans="2:21" x14ac:dyDescent="0.35">
      <c r="B1573" s="9"/>
      <c r="C1573" s="2"/>
      <c r="D1573" s="2"/>
      <c r="I1573" s="9"/>
      <c r="J1573" s="2"/>
      <c r="L1573" s="9"/>
      <c r="M1573" s="2"/>
      <c r="N1573" s="9"/>
      <c r="P1573" s="3">
        <v>0</v>
      </c>
      <c r="S1573" s="9"/>
      <c r="T1573" s="2"/>
      <c r="U1573" s="9"/>
    </row>
    <row r="1574" spans="2:21" x14ac:dyDescent="0.35">
      <c r="B1574" s="9"/>
      <c r="C1574" s="2"/>
      <c r="D1574" s="2"/>
      <c r="I1574" s="9"/>
      <c r="J1574" s="2"/>
      <c r="L1574" s="9"/>
      <c r="M1574" s="2"/>
      <c r="N1574" s="9"/>
      <c r="P1574" s="3">
        <v>0</v>
      </c>
      <c r="S1574" s="9"/>
      <c r="T1574" s="2"/>
      <c r="U1574" s="9"/>
    </row>
    <row r="1575" spans="2:21" x14ac:dyDescent="0.35">
      <c r="B1575" s="9"/>
      <c r="C1575" s="2"/>
      <c r="D1575" s="2"/>
      <c r="I1575" s="9"/>
      <c r="J1575" s="2"/>
      <c r="L1575" s="9"/>
      <c r="M1575" s="2"/>
      <c r="N1575" s="9"/>
      <c r="P1575" s="3">
        <v>0</v>
      </c>
      <c r="S1575" s="9"/>
      <c r="T1575" s="2"/>
      <c r="U1575" s="9"/>
    </row>
    <row r="1576" spans="2:21" x14ac:dyDescent="0.35">
      <c r="B1576" s="9"/>
      <c r="C1576" s="2"/>
      <c r="D1576" s="2"/>
      <c r="I1576" s="9"/>
      <c r="J1576" s="2"/>
      <c r="L1576" s="9"/>
      <c r="M1576" s="2"/>
      <c r="N1576" s="9"/>
      <c r="P1576" s="3">
        <v>0</v>
      </c>
      <c r="S1576" s="9"/>
      <c r="T1576" s="2"/>
      <c r="U1576" s="9"/>
    </row>
    <row r="1577" spans="2:21" x14ac:dyDescent="0.35">
      <c r="B1577" s="9"/>
      <c r="C1577" s="2"/>
      <c r="D1577" s="2"/>
      <c r="I1577" s="9"/>
      <c r="J1577" s="2"/>
      <c r="L1577" s="9"/>
      <c r="M1577" s="2"/>
      <c r="N1577" s="9"/>
      <c r="P1577" s="3">
        <v>0</v>
      </c>
      <c r="S1577" s="9"/>
      <c r="T1577" s="2"/>
      <c r="U1577" s="9"/>
    </row>
    <row r="1578" spans="2:21" x14ac:dyDescent="0.35">
      <c r="B1578" s="9"/>
      <c r="C1578" s="2"/>
      <c r="D1578" s="2"/>
      <c r="I1578" s="9"/>
      <c r="J1578" s="2"/>
      <c r="L1578" s="9"/>
      <c r="M1578" s="2"/>
      <c r="N1578" s="9"/>
      <c r="P1578" s="3">
        <v>0</v>
      </c>
      <c r="S1578" s="9"/>
      <c r="T1578" s="2"/>
      <c r="U1578" s="9"/>
    </row>
    <row r="1579" spans="2:21" x14ac:dyDescent="0.35">
      <c r="B1579" s="9"/>
      <c r="C1579" s="2"/>
      <c r="D1579" s="2"/>
      <c r="I1579" s="9"/>
      <c r="J1579" s="2"/>
      <c r="L1579" s="9"/>
      <c r="M1579" s="2"/>
      <c r="N1579" s="9"/>
      <c r="P1579" s="3">
        <v>0</v>
      </c>
      <c r="S1579" s="9"/>
      <c r="T1579" s="2"/>
      <c r="U1579" s="9"/>
    </row>
    <row r="1580" spans="2:21" x14ac:dyDescent="0.35">
      <c r="B1580" s="9"/>
      <c r="C1580" s="2"/>
      <c r="D1580" s="2"/>
      <c r="I1580" s="9"/>
      <c r="J1580" s="2"/>
      <c r="L1580" s="9"/>
      <c r="M1580" s="2"/>
      <c r="N1580" s="9"/>
      <c r="P1580" s="3">
        <v>0</v>
      </c>
      <c r="S1580" s="9"/>
      <c r="T1580" s="2"/>
      <c r="U1580" s="9"/>
    </row>
    <row r="1581" spans="2:21" x14ac:dyDescent="0.35">
      <c r="B1581" s="9"/>
      <c r="C1581" s="2"/>
      <c r="D1581" s="2"/>
      <c r="I1581" s="9"/>
      <c r="J1581" s="2"/>
      <c r="L1581" s="9"/>
      <c r="M1581" s="2"/>
      <c r="N1581" s="9"/>
      <c r="P1581" s="3">
        <v>0</v>
      </c>
      <c r="S1581" s="9"/>
      <c r="T1581" s="2"/>
      <c r="U1581" s="9"/>
    </row>
    <row r="1582" spans="2:21" x14ac:dyDescent="0.35">
      <c r="B1582" s="9"/>
      <c r="C1582" s="2"/>
      <c r="D1582" s="2"/>
      <c r="I1582" s="9"/>
      <c r="J1582" s="2"/>
      <c r="L1582" s="9"/>
      <c r="M1582" s="2"/>
      <c r="N1582" s="9"/>
      <c r="P1582" s="3">
        <v>0</v>
      </c>
      <c r="S1582" s="9"/>
      <c r="T1582" s="2"/>
      <c r="U1582" s="9"/>
    </row>
    <row r="1583" spans="2:21" x14ac:dyDescent="0.35">
      <c r="B1583" s="9"/>
      <c r="C1583" s="2"/>
      <c r="D1583" s="2"/>
      <c r="I1583" s="9"/>
      <c r="J1583" s="2"/>
      <c r="L1583" s="9"/>
      <c r="M1583" s="2"/>
      <c r="N1583" s="9"/>
      <c r="P1583" s="3">
        <v>0</v>
      </c>
      <c r="S1583" s="9"/>
      <c r="T1583" s="2"/>
      <c r="U1583" s="9"/>
    </row>
    <row r="1584" spans="2:21" x14ac:dyDescent="0.35">
      <c r="B1584" s="9"/>
      <c r="C1584" s="2"/>
      <c r="D1584" s="2"/>
      <c r="I1584" s="9"/>
      <c r="J1584" s="2"/>
      <c r="L1584" s="9"/>
      <c r="M1584" s="2"/>
      <c r="N1584" s="9"/>
      <c r="P1584" s="3">
        <v>-434.76</v>
      </c>
      <c r="S1584" s="9"/>
      <c r="T1584" s="2"/>
      <c r="U1584" s="9"/>
    </row>
    <row r="1585" spans="2:21" x14ac:dyDescent="0.35">
      <c r="B1585" s="9"/>
      <c r="C1585" s="2"/>
      <c r="D1585" s="2"/>
      <c r="I1585" s="9"/>
      <c r="J1585" s="2"/>
      <c r="L1585" s="9"/>
      <c r="M1585" s="2"/>
      <c r="N1585" s="9"/>
      <c r="P1585" s="3">
        <v>-869.52</v>
      </c>
      <c r="S1585" s="9"/>
      <c r="T1585" s="2"/>
      <c r="U1585" s="9"/>
    </row>
    <row r="1586" spans="2:21" x14ac:dyDescent="0.35">
      <c r="B1586" s="9"/>
      <c r="C1586" s="2"/>
      <c r="D1586" s="2"/>
      <c r="I1586" s="9"/>
      <c r="J1586" s="2"/>
      <c r="L1586" s="9"/>
      <c r="M1586" s="2"/>
      <c r="N1586" s="9"/>
      <c r="P1586" s="3">
        <v>-1304.28</v>
      </c>
      <c r="S1586" s="9"/>
      <c r="T1586" s="2"/>
      <c r="U1586" s="9"/>
    </row>
    <row r="1587" spans="2:21" x14ac:dyDescent="0.35">
      <c r="B1587" s="9"/>
      <c r="C1587" s="2"/>
      <c r="D1587" s="2"/>
      <c r="I1587" s="9"/>
      <c r="J1587" s="2"/>
      <c r="L1587" s="9"/>
      <c r="M1587" s="2"/>
      <c r="N1587" s="9"/>
      <c r="P1587" s="3">
        <v>-1739.04</v>
      </c>
      <c r="S1587" s="9"/>
      <c r="T1587" s="2"/>
      <c r="U1587" s="9"/>
    </row>
    <row r="1588" spans="2:21" x14ac:dyDescent="0.35">
      <c r="B1588" s="9"/>
      <c r="C1588" s="2"/>
      <c r="D1588" s="2"/>
      <c r="I1588" s="9"/>
      <c r="J1588" s="2"/>
      <c r="L1588" s="9"/>
      <c r="M1588" s="2"/>
      <c r="N1588" s="9"/>
      <c r="P1588" s="3">
        <v>-2173.8000000000002</v>
      </c>
      <c r="S1588" s="9"/>
      <c r="T1588" s="2"/>
      <c r="U1588" s="9"/>
    </row>
    <row r="1589" spans="2:21" x14ac:dyDescent="0.35">
      <c r="B1589" s="9"/>
      <c r="C1589" s="2"/>
      <c r="D1589" s="2"/>
      <c r="I1589" s="9"/>
      <c r="J1589" s="2"/>
      <c r="L1589" s="9"/>
      <c r="M1589" s="2"/>
      <c r="N1589" s="9"/>
      <c r="P1589" s="3">
        <v>-2557.5118062699999</v>
      </c>
      <c r="S1589" s="9"/>
      <c r="T1589" s="2"/>
      <c r="U1589" s="9"/>
    </row>
    <row r="1590" spans="2:21" x14ac:dyDescent="0.35">
      <c r="B1590" s="9"/>
      <c r="C1590" s="2"/>
      <c r="D1590" s="2"/>
      <c r="I1590" s="9"/>
      <c r="J1590" s="2"/>
      <c r="L1590" s="9"/>
      <c r="M1590" s="2"/>
      <c r="N1590" s="9"/>
      <c r="P1590" s="3">
        <v>-2122.7518062700001</v>
      </c>
      <c r="S1590" s="9"/>
      <c r="T1590" s="2"/>
      <c r="U1590" s="9"/>
    </row>
    <row r="1591" spans="2:21" x14ac:dyDescent="0.35">
      <c r="B1591" s="9"/>
      <c r="C1591" s="2"/>
      <c r="D1591" s="2"/>
      <c r="I1591" s="9"/>
      <c r="J1591" s="2"/>
      <c r="L1591" s="9"/>
      <c r="M1591" s="2"/>
      <c r="N1591" s="9"/>
      <c r="P1591" s="3">
        <v>-1687.9918062700001</v>
      </c>
      <c r="S1591" s="9"/>
      <c r="T1591" s="2"/>
      <c r="U1591" s="9"/>
    </row>
    <row r="1592" spans="2:21" x14ac:dyDescent="0.35">
      <c r="B1592" s="9"/>
      <c r="C1592" s="2"/>
      <c r="D1592" s="2"/>
      <c r="I1592" s="9"/>
      <c r="J1592" s="2"/>
      <c r="L1592" s="9"/>
      <c r="M1592" s="2"/>
      <c r="N1592" s="9"/>
      <c r="P1592" s="3">
        <v>-1336.96283627</v>
      </c>
      <c r="S1592" s="9"/>
      <c r="T1592" s="2"/>
      <c r="U1592" s="9"/>
    </row>
    <row r="1593" spans="2:21" x14ac:dyDescent="0.35">
      <c r="B1593" s="9"/>
      <c r="C1593" s="2"/>
      <c r="D1593" s="2"/>
      <c r="I1593" s="9"/>
      <c r="J1593" s="2"/>
      <c r="L1593" s="9"/>
      <c r="M1593" s="2"/>
      <c r="N1593" s="9"/>
      <c r="P1593" s="3">
        <v>-1079.6886562699999</v>
      </c>
      <c r="S1593" s="9"/>
      <c r="T1593" s="2"/>
      <c r="U1593" s="9"/>
    </row>
    <row r="1594" spans="2:21" x14ac:dyDescent="0.35">
      <c r="B1594" s="9"/>
      <c r="C1594" s="2"/>
      <c r="D1594" s="2"/>
      <c r="I1594" s="9"/>
      <c r="J1594" s="2"/>
      <c r="L1594" s="9"/>
      <c r="M1594" s="2"/>
      <c r="N1594" s="9"/>
      <c r="P1594" s="3">
        <v>-894.51071626999999</v>
      </c>
      <c r="S1594" s="9"/>
      <c r="T1594" s="2"/>
      <c r="U1594" s="9"/>
    </row>
    <row r="1595" spans="2:21" x14ac:dyDescent="0.35">
      <c r="B1595" s="9"/>
      <c r="C1595" s="2"/>
      <c r="D1595" s="2"/>
      <c r="I1595" s="9"/>
      <c r="J1595" s="2"/>
      <c r="L1595" s="9"/>
      <c r="M1595" s="2"/>
      <c r="N1595" s="9"/>
      <c r="P1595" s="3">
        <v>-728.43754979000005</v>
      </c>
      <c r="S1595" s="9"/>
      <c r="T1595" s="2"/>
      <c r="U1595" s="9"/>
    </row>
    <row r="1596" spans="2:21" x14ac:dyDescent="0.35">
      <c r="B1596" s="9"/>
      <c r="C1596" s="2"/>
      <c r="D1596" s="2"/>
      <c r="I1596" s="9"/>
      <c r="J1596" s="2"/>
      <c r="L1596" s="9"/>
      <c r="M1596" s="2"/>
      <c r="N1596" s="9"/>
      <c r="P1596" s="3">
        <v>-528.38165332000005</v>
      </c>
      <c r="S1596" s="9"/>
      <c r="T1596" s="2"/>
      <c r="U1596" s="9"/>
    </row>
    <row r="1597" spans="2:21" x14ac:dyDescent="0.35">
      <c r="B1597" s="9"/>
      <c r="C1597" s="2"/>
      <c r="D1597" s="2"/>
      <c r="I1597" s="9"/>
      <c r="J1597" s="2"/>
      <c r="L1597" s="9"/>
      <c r="M1597" s="2"/>
      <c r="N1597" s="9"/>
      <c r="P1597" s="3">
        <v>-279.99209087000003</v>
      </c>
      <c r="S1597" s="9"/>
      <c r="T1597" s="2"/>
      <c r="U1597" s="9"/>
    </row>
    <row r="1598" spans="2:21" x14ac:dyDescent="0.35">
      <c r="B1598" s="9"/>
      <c r="C1598" s="2"/>
      <c r="D1598" s="2"/>
      <c r="I1598" s="9"/>
      <c r="J1598" s="2"/>
      <c r="L1598" s="9"/>
      <c r="M1598" s="2"/>
      <c r="N1598" s="9"/>
      <c r="P1598" s="3">
        <v>-434.76</v>
      </c>
      <c r="S1598" s="9"/>
      <c r="T1598" s="2"/>
      <c r="U1598" s="9"/>
    </row>
    <row r="1599" spans="2:21" x14ac:dyDescent="0.35">
      <c r="B1599" s="9"/>
      <c r="C1599" s="2"/>
      <c r="D1599" s="2"/>
      <c r="I1599" s="9"/>
      <c r="J1599" s="2"/>
      <c r="L1599" s="9"/>
      <c r="M1599" s="2"/>
      <c r="N1599" s="9"/>
      <c r="P1599" s="3">
        <v>0</v>
      </c>
      <c r="S1599" s="9"/>
      <c r="T1599" s="2"/>
      <c r="U1599" s="9"/>
    </row>
    <row r="1600" spans="2:21" x14ac:dyDescent="0.35">
      <c r="B1600" s="9"/>
      <c r="C1600" s="2"/>
      <c r="D1600" s="2"/>
      <c r="I1600" s="9"/>
      <c r="J1600" s="2"/>
      <c r="L1600" s="9"/>
      <c r="M1600" s="2"/>
      <c r="N1600" s="9"/>
      <c r="P1600" s="3">
        <v>0</v>
      </c>
      <c r="S1600" s="9"/>
      <c r="T1600" s="2"/>
      <c r="U1600" s="9"/>
    </row>
    <row r="1601" spans="2:21" x14ac:dyDescent="0.35">
      <c r="B1601" s="9"/>
      <c r="C1601" s="2"/>
      <c r="D1601" s="2"/>
      <c r="I1601" s="9"/>
      <c r="J1601" s="2"/>
      <c r="L1601" s="9"/>
      <c r="M1601" s="2"/>
      <c r="N1601" s="9"/>
      <c r="P1601" s="3">
        <v>0</v>
      </c>
      <c r="S1601" s="9"/>
      <c r="T1601" s="2"/>
      <c r="U1601" s="9"/>
    </row>
    <row r="1602" spans="2:21" x14ac:dyDescent="0.35">
      <c r="B1602" s="9"/>
      <c r="C1602" s="2"/>
      <c r="D1602" s="2"/>
      <c r="I1602" s="9"/>
      <c r="J1602" s="2"/>
      <c r="L1602" s="9"/>
      <c r="M1602" s="2"/>
      <c r="N1602" s="9"/>
      <c r="P1602" s="3">
        <v>0</v>
      </c>
      <c r="S1602" s="9"/>
      <c r="T1602" s="2"/>
      <c r="U1602" s="9"/>
    </row>
    <row r="1603" spans="2:21" x14ac:dyDescent="0.35">
      <c r="B1603" s="9"/>
      <c r="C1603" s="2"/>
      <c r="D1603" s="2"/>
      <c r="I1603" s="9"/>
      <c r="J1603" s="2"/>
      <c r="L1603" s="9"/>
      <c r="M1603" s="2"/>
      <c r="N1603" s="9"/>
      <c r="P1603" s="3">
        <v>0</v>
      </c>
      <c r="S1603" s="9"/>
      <c r="T1603" s="2"/>
      <c r="U1603" s="9"/>
    </row>
    <row r="1604" spans="2:21" x14ac:dyDescent="0.35">
      <c r="B1604" s="9"/>
      <c r="C1604" s="2"/>
      <c r="D1604" s="2"/>
      <c r="I1604" s="9"/>
      <c r="J1604" s="2"/>
      <c r="L1604" s="9"/>
      <c r="M1604" s="2"/>
      <c r="N1604" s="9"/>
      <c r="P1604" s="3">
        <v>0</v>
      </c>
      <c r="S1604" s="9"/>
      <c r="T1604" s="2"/>
      <c r="U1604" s="9"/>
    </row>
    <row r="1605" spans="2:21" x14ac:dyDescent="0.35">
      <c r="B1605" s="9"/>
      <c r="C1605" s="2"/>
      <c r="D1605" s="2"/>
      <c r="I1605" s="9"/>
      <c r="J1605" s="2"/>
      <c r="L1605" s="9"/>
      <c r="M1605" s="2"/>
      <c r="N1605" s="9"/>
      <c r="P1605" s="3">
        <v>0</v>
      </c>
      <c r="S1605" s="9"/>
      <c r="T1605" s="2"/>
      <c r="U1605" s="9"/>
    </row>
    <row r="1606" spans="2:21" x14ac:dyDescent="0.35">
      <c r="B1606" s="9"/>
      <c r="C1606" s="2"/>
      <c r="D1606" s="2"/>
      <c r="I1606" s="9"/>
      <c r="J1606" s="2"/>
      <c r="L1606" s="9"/>
      <c r="M1606" s="2"/>
      <c r="N1606" s="9"/>
      <c r="P1606" s="3">
        <v>0</v>
      </c>
      <c r="S1606" s="9"/>
      <c r="T1606" s="2"/>
      <c r="U1606" s="9"/>
    </row>
    <row r="1607" spans="2:21" x14ac:dyDescent="0.35">
      <c r="B1607" s="9"/>
      <c r="C1607" s="2"/>
      <c r="D1607" s="2"/>
      <c r="I1607" s="9"/>
      <c r="J1607" s="2"/>
      <c r="L1607" s="9"/>
      <c r="M1607" s="2"/>
      <c r="N1607" s="9"/>
      <c r="P1607" s="3">
        <v>0</v>
      </c>
      <c r="S1607" s="9"/>
      <c r="T1607" s="2"/>
      <c r="U1607" s="9"/>
    </row>
    <row r="1608" spans="2:21" x14ac:dyDescent="0.35">
      <c r="B1608" s="9"/>
      <c r="C1608" s="2"/>
      <c r="D1608" s="2"/>
      <c r="I1608" s="9"/>
      <c r="J1608" s="2"/>
      <c r="L1608" s="9"/>
      <c r="M1608" s="2"/>
      <c r="N1608" s="9"/>
      <c r="P1608" s="3">
        <v>6.8900948599999996</v>
      </c>
      <c r="S1608" s="9"/>
      <c r="T1608" s="2"/>
      <c r="U1608" s="9"/>
    </row>
    <row r="1609" spans="2:21" x14ac:dyDescent="0.35">
      <c r="B1609" s="9"/>
      <c r="C1609" s="2"/>
      <c r="D1609" s="2"/>
      <c r="I1609" s="9"/>
      <c r="J1609" s="2"/>
      <c r="L1609" s="9"/>
      <c r="M1609" s="2"/>
      <c r="N1609" s="9"/>
      <c r="P1609" s="3">
        <v>441.65009486000002</v>
      </c>
      <c r="S1609" s="9"/>
      <c r="T1609" s="2"/>
      <c r="U1609" s="9"/>
    </row>
    <row r="1610" spans="2:21" x14ac:dyDescent="0.35">
      <c r="B1610" s="9"/>
      <c r="C1610" s="2"/>
      <c r="D1610" s="2"/>
      <c r="I1610" s="9"/>
      <c r="J1610" s="2"/>
      <c r="L1610" s="9"/>
      <c r="M1610" s="2"/>
      <c r="N1610" s="9"/>
      <c r="P1610" s="3">
        <v>436.33057436000001</v>
      </c>
      <c r="S1610" s="9"/>
      <c r="T1610" s="2"/>
      <c r="U1610" s="9"/>
    </row>
    <row r="1611" spans="2:21" x14ac:dyDescent="0.35">
      <c r="B1611" s="9"/>
      <c r="C1611" s="2"/>
      <c r="D1611" s="2"/>
      <c r="I1611" s="9"/>
      <c r="J1611" s="2"/>
      <c r="L1611" s="9"/>
      <c r="M1611" s="2"/>
      <c r="N1611" s="9"/>
      <c r="P1611" s="3">
        <v>453.80210398000003</v>
      </c>
      <c r="S1611" s="9"/>
      <c r="T1611" s="2"/>
      <c r="U1611" s="9"/>
    </row>
    <row r="1612" spans="2:21" x14ac:dyDescent="0.35">
      <c r="B1612" s="9"/>
      <c r="C1612" s="2"/>
      <c r="D1612" s="2"/>
      <c r="I1612" s="9"/>
      <c r="J1612" s="2"/>
      <c r="L1612" s="9"/>
      <c r="M1612" s="2"/>
      <c r="N1612" s="9"/>
      <c r="P1612" s="3">
        <v>527.80317373000003</v>
      </c>
      <c r="S1612" s="9"/>
      <c r="T1612" s="2"/>
      <c r="U1612" s="9"/>
    </row>
    <row r="1613" spans="2:21" x14ac:dyDescent="0.35">
      <c r="B1613" s="9"/>
      <c r="C1613" s="2"/>
      <c r="D1613" s="2"/>
      <c r="I1613" s="9"/>
      <c r="J1613" s="2"/>
      <c r="L1613" s="9"/>
      <c r="M1613" s="2"/>
      <c r="N1613" s="9"/>
      <c r="P1613" s="3">
        <v>591.29918372999998</v>
      </c>
      <c r="S1613" s="9"/>
      <c r="T1613" s="2"/>
      <c r="U1613" s="9"/>
    </row>
    <row r="1614" spans="2:21" x14ac:dyDescent="0.35">
      <c r="B1614" s="9"/>
      <c r="C1614" s="2"/>
      <c r="D1614" s="2"/>
      <c r="I1614" s="9"/>
      <c r="J1614" s="2"/>
      <c r="L1614" s="9"/>
      <c r="M1614" s="2"/>
      <c r="N1614" s="9"/>
      <c r="P1614" s="3">
        <v>700.38584553999999</v>
      </c>
      <c r="S1614" s="9"/>
      <c r="T1614" s="2"/>
      <c r="U1614" s="9"/>
    </row>
    <row r="1615" spans="2:21" x14ac:dyDescent="0.35">
      <c r="B1615" s="9"/>
      <c r="C1615" s="2"/>
      <c r="D1615" s="2"/>
      <c r="I1615" s="9"/>
      <c r="J1615" s="2"/>
      <c r="L1615" s="9"/>
      <c r="M1615" s="2"/>
      <c r="N1615" s="9"/>
      <c r="P1615" s="3">
        <v>694.64975554</v>
      </c>
      <c r="S1615" s="9"/>
      <c r="T1615" s="2"/>
      <c r="U1615" s="9"/>
    </row>
    <row r="1616" spans="2:21" x14ac:dyDescent="0.35">
      <c r="B1616" s="9"/>
      <c r="C1616" s="2"/>
      <c r="D1616" s="2"/>
      <c r="I1616" s="9"/>
      <c r="J1616" s="2"/>
      <c r="L1616" s="9"/>
      <c r="M1616" s="2"/>
      <c r="N1616" s="9"/>
      <c r="P1616" s="3">
        <v>697.03109554000002</v>
      </c>
      <c r="S1616" s="9"/>
      <c r="T1616" s="2"/>
      <c r="U1616" s="9"/>
    </row>
    <row r="1617" spans="2:21" x14ac:dyDescent="0.35">
      <c r="B1617" s="9"/>
      <c r="C1617" s="2"/>
      <c r="D1617" s="2"/>
      <c r="I1617" s="9"/>
      <c r="J1617" s="2"/>
      <c r="L1617" s="9"/>
      <c r="M1617" s="2"/>
      <c r="N1617" s="9"/>
      <c r="P1617" s="3">
        <v>686.72686553999995</v>
      </c>
      <c r="S1617" s="9"/>
      <c r="T1617" s="2"/>
      <c r="U1617" s="9"/>
    </row>
    <row r="1618" spans="2:21" x14ac:dyDescent="0.35">
      <c r="B1618" s="9"/>
      <c r="C1618" s="2"/>
      <c r="D1618" s="2"/>
      <c r="I1618" s="9"/>
      <c r="J1618" s="2"/>
      <c r="L1618" s="9"/>
      <c r="M1618" s="2"/>
      <c r="N1618" s="9"/>
      <c r="P1618" s="3">
        <v>704.49816553999995</v>
      </c>
      <c r="S1618" s="9"/>
      <c r="T1618" s="2"/>
      <c r="U1618" s="9"/>
    </row>
    <row r="1619" spans="2:21" x14ac:dyDescent="0.35">
      <c r="B1619" s="9"/>
      <c r="C1619" s="2"/>
      <c r="D1619" s="2"/>
      <c r="I1619" s="9"/>
      <c r="J1619" s="2"/>
      <c r="L1619" s="9"/>
      <c r="M1619" s="2"/>
      <c r="N1619" s="9"/>
      <c r="P1619" s="3">
        <v>778.42682202000003</v>
      </c>
      <c r="S1619" s="9"/>
      <c r="T1619" s="2"/>
      <c r="U1619" s="9"/>
    </row>
    <row r="1620" spans="2:21" x14ac:dyDescent="0.35">
      <c r="B1620" s="9"/>
      <c r="C1620" s="2"/>
      <c r="D1620" s="2"/>
      <c r="I1620" s="9"/>
      <c r="J1620" s="2"/>
      <c r="L1620" s="9"/>
      <c r="M1620" s="2"/>
      <c r="N1620" s="9"/>
      <c r="P1620" s="3">
        <v>848.77849849999996</v>
      </c>
      <c r="S1620" s="9"/>
      <c r="T1620" s="2"/>
      <c r="U1620" s="9"/>
    </row>
    <row r="1621" spans="2:21" x14ac:dyDescent="0.35">
      <c r="B1621" s="9"/>
      <c r="C1621" s="2"/>
      <c r="D1621" s="2"/>
      <c r="I1621" s="9"/>
      <c r="J1621" s="2"/>
      <c r="L1621" s="9"/>
      <c r="M1621" s="2"/>
      <c r="N1621" s="9"/>
      <c r="P1621" s="3">
        <v>892.81515094999997</v>
      </c>
      <c r="S1621" s="9"/>
      <c r="T1621" s="2"/>
      <c r="U1621" s="9"/>
    </row>
    <row r="1622" spans="2:21" x14ac:dyDescent="0.35">
      <c r="B1622" s="9"/>
      <c r="C1622" s="2"/>
      <c r="D1622" s="2"/>
      <c r="I1622" s="9"/>
      <c r="J1622" s="2"/>
      <c r="L1622" s="9"/>
      <c r="M1622" s="2"/>
      <c r="N1622" s="9"/>
      <c r="P1622" s="3">
        <v>577.24845742000002</v>
      </c>
      <c r="S1622" s="9"/>
      <c r="T1622" s="2"/>
      <c r="U1622" s="9"/>
    </row>
    <row r="1623" spans="2:21" x14ac:dyDescent="0.35">
      <c r="B1623" s="9"/>
      <c r="C1623" s="2"/>
      <c r="D1623" s="2"/>
      <c r="I1623" s="9"/>
      <c r="J1623" s="2"/>
      <c r="L1623" s="9"/>
      <c r="M1623" s="2"/>
      <c r="N1623" s="9"/>
      <c r="P1623" s="3">
        <v>142.48845742</v>
      </c>
      <c r="S1623" s="9"/>
      <c r="T1623" s="2"/>
      <c r="U1623" s="9"/>
    </row>
    <row r="1624" spans="2:21" x14ac:dyDescent="0.35">
      <c r="B1624" s="9"/>
      <c r="C1624" s="2"/>
      <c r="D1624" s="2"/>
      <c r="I1624" s="9"/>
      <c r="J1624" s="2"/>
      <c r="L1624" s="9"/>
      <c r="M1624" s="2"/>
      <c r="N1624" s="9"/>
      <c r="P1624" s="3">
        <v>0</v>
      </c>
      <c r="S1624" s="9"/>
      <c r="T1624" s="2"/>
      <c r="U1624" s="9"/>
    </row>
    <row r="1625" spans="2:21" x14ac:dyDescent="0.35">
      <c r="B1625" s="9"/>
      <c r="C1625" s="2"/>
      <c r="D1625" s="2"/>
      <c r="I1625" s="9"/>
      <c r="J1625" s="2"/>
      <c r="L1625" s="9"/>
      <c r="M1625" s="2"/>
      <c r="N1625" s="9"/>
      <c r="P1625" s="3">
        <v>-251.60949199999999</v>
      </c>
      <c r="S1625" s="9"/>
      <c r="T1625" s="2"/>
      <c r="U1625" s="9"/>
    </row>
    <row r="1626" spans="2:21" x14ac:dyDescent="0.35">
      <c r="B1626" s="9"/>
      <c r="C1626" s="2"/>
      <c r="D1626" s="2"/>
      <c r="I1626" s="9"/>
      <c r="J1626" s="2"/>
      <c r="L1626" s="9"/>
      <c r="M1626" s="2"/>
      <c r="N1626" s="9"/>
      <c r="P1626" s="3">
        <v>-686.36949200000004</v>
      </c>
      <c r="S1626" s="9"/>
      <c r="T1626" s="2"/>
      <c r="U1626" s="9"/>
    </row>
    <row r="1627" spans="2:21" x14ac:dyDescent="0.35">
      <c r="B1627" s="9"/>
      <c r="C1627" s="2"/>
      <c r="D1627" s="2"/>
      <c r="I1627" s="9"/>
      <c r="J1627" s="2"/>
      <c r="L1627" s="9"/>
      <c r="M1627" s="2"/>
      <c r="N1627" s="9"/>
      <c r="P1627" s="3">
        <v>-1121.129492</v>
      </c>
      <c r="S1627" s="9"/>
      <c r="T1627" s="2"/>
      <c r="U1627" s="9"/>
    </row>
    <row r="1628" spans="2:21" x14ac:dyDescent="0.35">
      <c r="B1628" s="9"/>
      <c r="C1628" s="2"/>
      <c r="D1628" s="2"/>
      <c r="I1628" s="9"/>
      <c r="J1628" s="2"/>
      <c r="L1628" s="9"/>
      <c r="M1628" s="2"/>
      <c r="N1628" s="9"/>
      <c r="P1628" s="3">
        <v>-1555.889492</v>
      </c>
      <c r="S1628" s="9"/>
      <c r="T1628" s="2"/>
      <c r="U1628" s="9"/>
    </row>
    <row r="1629" spans="2:21" x14ac:dyDescent="0.35">
      <c r="B1629" s="9"/>
      <c r="C1629" s="2"/>
      <c r="D1629" s="2"/>
      <c r="I1629" s="9"/>
      <c r="J1629" s="2"/>
      <c r="L1629" s="9"/>
      <c r="M1629" s="2"/>
      <c r="N1629" s="9"/>
      <c r="P1629" s="3">
        <v>-1990.649492</v>
      </c>
      <c r="S1629" s="9"/>
      <c r="T1629" s="2"/>
      <c r="U1629" s="9"/>
    </row>
    <row r="1630" spans="2:21" x14ac:dyDescent="0.35">
      <c r="B1630" s="9"/>
      <c r="C1630" s="2"/>
      <c r="D1630" s="2"/>
      <c r="I1630" s="9"/>
      <c r="J1630" s="2"/>
      <c r="L1630" s="9"/>
      <c r="M1630" s="2"/>
      <c r="N1630" s="9"/>
      <c r="P1630" s="3">
        <v>-2425.4094919999998</v>
      </c>
      <c r="S1630" s="9"/>
      <c r="T1630" s="2"/>
      <c r="U1630" s="9"/>
    </row>
    <row r="1631" spans="2:21" x14ac:dyDescent="0.35">
      <c r="B1631" s="9"/>
      <c r="C1631" s="2"/>
      <c r="D1631" s="2"/>
      <c r="I1631" s="9"/>
      <c r="J1631" s="2"/>
      <c r="L1631" s="9"/>
      <c r="M1631" s="2"/>
      <c r="N1631" s="9"/>
      <c r="P1631" s="3">
        <v>-2860.169492</v>
      </c>
      <c r="S1631" s="9"/>
      <c r="T1631" s="2"/>
      <c r="U1631" s="9"/>
    </row>
    <row r="1632" spans="2:21" x14ac:dyDescent="0.35">
      <c r="B1632" s="9"/>
      <c r="C1632" s="2"/>
      <c r="D1632" s="2"/>
      <c r="I1632" s="9"/>
      <c r="J1632" s="2"/>
      <c r="L1632" s="9"/>
      <c r="M1632" s="2"/>
      <c r="N1632" s="9"/>
      <c r="P1632" s="3">
        <v>-2443.51683258</v>
      </c>
      <c r="S1632" s="9"/>
      <c r="T1632" s="2"/>
      <c r="U1632" s="9"/>
    </row>
    <row r="1633" spans="2:21" x14ac:dyDescent="0.35">
      <c r="B1633" s="9"/>
      <c r="C1633" s="2"/>
      <c r="D1633" s="2"/>
      <c r="I1633" s="9"/>
      <c r="J1633" s="2"/>
      <c r="L1633" s="9"/>
      <c r="M1633" s="2"/>
      <c r="N1633" s="9"/>
      <c r="P1633" s="3">
        <v>-2051.84918333</v>
      </c>
      <c r="S1633" s="9"/>
      <c r="T1633" s="2"/>
      <c r="U1633" s="9"/>
    </row>
    <row r="1634" spans="2:21" x14ac:dyDescent="0.35">
      <c r="B1634" s="9"/>
      <c r="C1634" s="2"/>
      <c r="D1634" s="2"/>
      <c r="I1634" s="9"/>
      <c r="J1634" s="2"/>
      <c r="L1634" s="9"/>
      <c r="M1634" s="2"/>
      <c r="N1634" s="9"/>
      <c r="P1634" s="3">
        <v>-2335.6292838300001</v>
      </c>
      <c r="S1634" s="9"/>
      <c r="T1634" s="2"/>
      <c r="U1634" s="9"/>
    </row>
    <row r="1635" spans="2:21" x14ac:dyDescent="0.35">
      <c r="B1635" s="9"/>
      <c r="C1635" s="2"/>
      <c r="D1635" s="2"/>
      <c r="I1635" s="9"/>
      <c r="J1635" s="2"/>
      <c r="L1635" s="9"/>
      <c r="M1635" s="2"/>
      <c r="N1635" s="9"/>
      <c r="P1635" s="3">
        <v>-2499.8801242099998</v>
      </c>
      <c r="S1635" s="9"/>
      <c r="T1635" s="2"/>
      <c r="U1635" s="9"/>
    </row>
    <row r="1636" spans="2:21" x14ac:dyDescent="0.35">
      <c r="B1636" s="9"/>
      <c r="C1636" s="2"/>
      <c r="D1636" s="2"/>
      <c r="I1636" s="9"/>
      <c r="J1636" s="2"/>
      <c r="L1636" s="9"/>
      <c r="M1636" s="2"/>
      <c r="N1636" s="9"/>
      <c r="P1636" s="3">
        <v>-2304.2984435799999</v>
      </c>
      <c r="S1636" s="9"/>
      <c r="T1636" s="2"/>
      <c r="U1636" s="9"/>
    </row>
    <row r="1637" spans="2:21" x14ac:dyDescent="0.35">
      <c r="B1637" s="9"/>
      <c r="C1637" s="2"/>
      <c r="D1637" s="2"/>
      <c r="I1637" s="9"/>
      <c r="J1637" s="2"/>
      <c r="L1637" s="9"/>
      <c r="M1637" s="2"/>
      <c r="N1637" s="9"/>
      <c r="P1637" s="3">
        <v>-1869.5384435799999</v>
      </c>
      <c r="S1637" s="9"/>
      <c r="T1637" s="2"/>
      <c r="U1637" s="9"/>
    </row>
    <row r="1638" spans="2:21" x14ac:dyDescent="0.35">
      <c r="B1638" s="9"/>
      <c r="C1638" s="2"/>
      <c r="D1638" s="2"/>
      <c r="I1638" s="9"/>
      <c r="J1638" s="2"/>
      <c r="L1638" s="9"/>
      <c r="M1638" s="2"/>
      <c r="N1638" s="9"/>
      <c r="P1638" s="3">
        <v>-1434.7784435799999</v>
      </c>
      <c r="S1638" s="9"/>
      <c r="T1638" s="2"/>
      <c r="U1638" s="9"/>
    </row>
    <row r="1639" spans="2:21" x14ac:dyDescent="0.35">
      <c r="B1639" s="9"/>
      <c r="C1639" s="2"/>
      <c r="D1639" s="2"/>
      <c r="I1639" s="9"/>
      <c r="J1639" s="2"/>
      <c r="L1639" s="9"/>
      <c r="M1639" s="2"/>
      <c r="N1639" s="9"/>
      <c r="P1639" s="3">
        <v>-1149.3662535799999</v>
      </c>
      <c r="S1639" s="9"/>
      <c r="T1639" s="2"/>
      <c r="U1639" s="9"/>
    </row>
    <row r="1640" spans="2:21" x14ac:dyDescent="0.35">
      <c r="B1640" s="9"/>
      <c r="C1640" s="2"/>
      <c r="D1640" s="2"/>
      <c r="I1640" s="9"/>
      <c r="J1640" s="2"/>
      <c r="L1640" s="9"/>
      <c r="M1640" s="2"/>
      <c r="N1640" s="9"/>
      <c r="P1640" s="3">
        <v>-930.80553357999997</v>
      </c>
      <c r="S1640" s="9"/>
      <c r="T1640" s="2"/>
      <c r="U1640" s="9"/>
    </row>
    <row r="1641" spans="2:21" x14ac:dyDescent="0.35">
      <c r="B1641" s="9"/>
      <c r="C1641" s="2"/>
      <c r="D1641" s="2"/>
      <c r="I1641" s="9"/>
      <c r="J1641" s="2"/>
      <c r="L1641" s="9"/>
      <c r="M1641" s="2"/>
      <c r="N1641" s="9"/>
      <c r="P1641" s="3">
        <v>-734.86470357999997</v>
      </c>
      <c r="S1641" s="9"/>
      <c r="T1641" s="2"/>
      <c r="U1641" s="9"/>
    </row>
    <row r="1642" spans="2:21" x14ac:dyDescent="0.35">
      <c r="B1642" s="9"/>
      <c r="C1642" s="2"/>
      <c r="D1642" s="2"/>
      <c r="I1642" s="9"/>
      <c r="J1642" s="2"/>
      <c r="L1642" s="9"/>
      <c r="M1642" s="2"/>
      <c r="N1642" s="9"/>
      <c r="P1642" s="3">
        <v>-467.01223357999999</v>
      </c>
      <c r="S1642" s="9"/>
      <c r="T1642" s="2"/>
      <c r="U1642" s="9"/>
    </row>
    <row r="1643" spans="2:21" x14ac:dyDescent="0.35">
      <c r="B1643" s="9"/>
      <c r="C1643" s="2"/>
      <c r="D1643" s="2"/>
      <c r="I1643" s="9"/>
      <c r="J1643" s="2"/>
      <c r="L1643" s="9"/>
      <c r="M1643" s="2"/>
      <c r="N1643" s="9"/>
      <c r="P1643" s="3">
        <v>-215.22209358000001</v>
      </c>
      <c r="S1643" s="9"/>
      <c r="T1643" s="2"/>
      <c r="U1643" s="9"/>
    </row>
    <row r="1644" spans="2:21" x14ac:dyDescent="0.35">
      <c r="B1644" s="9"/>
      <c r="C1644" s="2"/>
      <c r="D1644" s="2"/>
      <c r="I1644" s="9"/>
      <c r="J1644" s="2"/>
      <c r="L1644" s="9"/>
      <c r="M1644" s="2"/>
      <c r="N1644" s="9"/>
      <c r="P1644" s="3">
        <v>-75.535983580000007</v>
      </c>
      <c r="S1644" s="9"/>
      <c r="T1644" s="2"/>
      <c r="U1644" s="9"/>
    </row>
    <row r="1645" spans="2:21" x14ac:dyDescent="0.35">
      <c r="B1645" s="9"/>
      <c r="C1645" s="2"/>
      <c r="D1645" s="2"/>
      <c r="I1645" s="9"/>
      <c r="J1645" s="2"/>
      <c r="L1645" s="9"/>
      <c r="M1645" s="2"/>
      <c r="N1645" s="9"/>
      <c r="P1645" s="3">
        <v>160.97353641999999</v>
      </c>
      <c r="S1645" s="9"/>
      <c r="T1645" s="2"/>
      <c r="U1645" s="9"/>
    </row>
    <row r="1646" spans="2:21" x14ac:dyDescent="0.35">
      <c r="B1646" s="9"/>
      <c r="C1646" s="2"/>
      <c r="D1646" s="2"/>
      <c r="I1646" s="9"/>
      <c r="J1646" s="2"/>
      <c r="L1646" s="9"/>
      <c r="M1646" s="2"/>
      <c r="N1646" s="9"/>
      <c r="P1646" s="3">
        <v>190.54432642</v>
      </c>
      <c r="S1646" s="9"/>
      <c r="T1646" s="2"/>
      <c r="U1646" s="9"/>
    </row>
    <row r="1647" spans="2:21" x14ac:dyDescent="0.35">
      <c r="B1647" s="9"/>
      <c r="C1647" s="2"/>
      <c r="D1647" s="2"/>
      <c r="I1647" s="9"/>
      <c r="J1647" s="2"/>
      <c r="L1647" s="9"/>
      <c r="M1647" s="2"/>
      <c r="N1647" s="9"/>
      <c r="P1647" s="3">
        <v>-244.21567357999999</v>
      </c>
      <c r="S1647" s="9"/>
      <c r="T1647" s="2"/>
      <c r="U1647" s="9"/>
    </row>
    <row r="1648" spans="2:21" x14ac:dyDescent="0.35">
      <c r="B1648" s="9"/>
      <c r="C1648" s="2"/>
      <c r="D1648" s="2"/>
      <c r="I1648" s="9"/>
      <c r="J1648" s="2"/>
      <c r="L1648" s="9"/>
      <c r="M1648" s="2"/>
      <c r="N1648" s="9"/>
      <c r="P1648" s="3">
        <v>-678.97567358000003</v>
      </c>
      <c r="S1648" s="9"/>
      <c r="T1648" s="2"/>
      <c r="U1648" s="9"/>
    </row>
    <row r="1649" spans="2:21" x14ac:dyDescent="0.35">
      <c r="B1649" s="9"/>
      <c r="C1649" s="2"/>
      <c r="D1649" s="2"/>
      <c r="I1649" s="9"/>
      <c r="J1649" s="2"/>
      <c r="L1649" s="9"/>
      <c r="M1649" s="2"/>
      <c r="N1649" s="9"/>
      <c r="P1649" s="3">
        <v>-1113.7356735799999</v>
      </c>
      <c r="S1649" s="9"/>
      <c r="T1649" s="2"/>
      <c r="U1649" s="9"/>
    </row>
    <row r="1650" spans="2:21" x14ac:dyDescent="0.35">
      <c r="B1650" s="9"/>
      <c r="C1650" s="2"/>
      <c r="D1650" s="2"/>
      <c r="I1650" s="9"/>
      <c r="J1650" s="2"/>
      <c r="L1650" s="9"/>
      <c r="M1650" s="2"/>
      <c r="N1650" s="9"/>
      <c r="P1650" s="3">
        <v>-1548.4956735799999</v>
      </c>
      <c r="S1650" s="9"/>
      <c r="T1650" s="2"/>
      <c r="U1650" s="9"/>
    </row>
    <row r="1651" spans="2:21" x14ac:dyDescent="0.35">
      <c r="B1651" s="9"/>
      <c r="C1651" s="2"/>
      <c r="D1651" s="2"/>
      <c r="I1651" s="9"/>
      <c r="J1651" s="2"/>
      <c r="L1651" s="9"/>
      <c r="M1651" s="2"/>
      <c r="N1651" s="9"/>
      <c r="P1651" s="3">
        <v>-1283.6213404499999</v>
      </c>
      <c r="S1651" s="9"/>
      <c r="T1651" s="2"/>
      <c r="U1651" s="9"/>
    </row>
    <row r="1652" spans="2:21" x14ac:dyDescent="0.35">
      <c r="B1652" s="9"/>
      <c r="C1652" s="2"/>
      <c r="D1652" s="2"/>
      <c r="I1652" s="9"/>
      <c r="J1652" s="2"/>
      <c r="L1652" s="9"/>
      <c r="M1652" s="2"/>
      <c r="N1652" s="9"/>
      <c r="P1652" s="3">
        <v>-1453.6389835800001</v>
      </c>
      <c r="S1652" s="9"/>
      <c r="T1652" s="2"/>
      <c r="U1652" s="9"/>
    </row>
    <row r="1653" spans="2:21" x14ac:dyDescent="0.35">
      <c r="B1653" s="9"/>
      <c r="C1653" s="2"/>
      <c r="D1653" s="2"/>
      <c r="I1653" s="9"/>
      <c r="J1653" s="2"/>
      <c r="L1653" s="9"/>
      <c r="M1653" s="2"/>
      <c r="N1653" s="9"/>
      <c r="P1653" s="3">
        <v>-1018.87898358</v>
      </c>
      <c r="S1653" s="9"/>
      <c r="T1653" s="2"/>
      <c r="U1653" s="9"/>
    </row>
    <row r="1654" spans="2:21" x14ac:dyDescent="0.35">
      <c r="B1654" s="9"/>
      <c r="C1654" s="2"/>
      <c r="D1654" s="2"/>
      <c r="I1654" s="9"/>
      <c r="J1654" s="2"/>
      <c r="L1654" s="9"/>
      <c r="M1654" s="2"/>
      <c r="N1654" s="9"/>
      <c r="P1654" s="3">
        <v>-584.11898357999996</v>
      </c>
      <c r="S1654" s="9"/>
      <c r="T1654" s="2"/>
      <c r="U1654" s="9"/>
    </row>
    <row r="1655" spans="2:21" x14ac:dyDescent="0.35">
      <c r="B1655" s="9"/>
      <c r="C1655" s="2"/>
      <c r="D1655" s="2"/>
      <c r="I1655" s="9"/>
      <c r="J1655" s="2"/>
      <c r="L1655" s="9"/>
      <c r="M1655" s="2"/>
      <c r="N1655" s="9"/>
      <c r="P1655" s="3">
        <v>-149.35898358</v>
      </c>
      <c r="S1655" s="9"/>
      <c r="T1655" s="2"/>
      <c r="U1655" s="9"/>
    </row>
    <row r="1656" spans="2:21" x14ac:dyDescent="0.35">
      <c r="B1656" s="9"/>
      <c r="C1656" s="2"/>
      <c r="D1656" s="2"/>
      <c r="I1656" s="9"/>
      <c r="J1656" s="2"/>
      <c r="L1656" s="9"/>
      <c r="M1656" s="2"/>
      <c r="N1656" s="9"/>
      <c r="P1656" s="3">
        <v>285.40101642000002</v>
      </c>
      <c r="S1656" s="9"/>
      <c r="T1656" s="2"/>
      <c r="U1656" s="9"/>
    </row>
    <row r="1657" spans="2:21" x14ac:dyDescent="0.35">
      <c r="B1657" s="9"/>
      <c r="C1657" s="2"/>
      <c r="D1657" s="2"/>
      <c r="I1657" s="9"/>
      <c r="J1657" s="2"/>
      <c r="L1657" s="9"/>
      <c r="M1657" s="2"/>
      <c r="N1657" s="9"/>
      <c r="P1657" s="3">
        <v>720.16101642000001</v>
      </c>
      <c r="S1657" s="9"/>
      <c r="T1657" s="2"/>
      <c r="U1657" s="9"/>
    </row>
    <row r="1658" spans="2:21" x14ac:dyDescent="0.35">
      <c r="B1658" s="9"/>
      <c r="C1658" s="2"/>
      <c r="D1658" s="2"/>
      <c r="I1658" s="9"/>
      <c r="J1658" s="2"/>
      <c r="L1658" s="9"/>
      <c r="M1658" s="2"/>
      <c r="N1658" s="9"/>
      <c r="P1658" s="3">
        <v>824.53385642000001</v>
      </c>
      <c r="S1658" s="9"/>
      <c r="T1658" s="2"/>
      <c r="U1658" s="9"/>
    </row>
    <row r="1659" spans="2:21" x14ac:dyDescent="0.35">
      <c r="B1659" s="9"/>
      <c r="C1659" s="2"/>
      <c r="D1659" s="2"/>
      <c r="I1659" s="9"/>
      <c r="J1659" s="2"/>
      <c r="L1659" s="9"/>
      <c r="M1659" s="2"/>
      <c r="N1659" s="9"/>
      <c r="P1659" s="3">
        <v>882.47908642000004</v>
      </c>
      <c r="S1659" s="9"/>
      <c r="T1659" s="2"/>
      <c r="U1659" s="9"/>
    </row>
    <row r="1660" spans="2:21" x14ac:dyDescent="0.35">
      <c r="B1660" s="9"/>
      <c r="C1660" s="2"/>
      <c r="D1660" s="2"/>
      <c r="I1660" s="9"/>
      <c r="J1660" s="2"/>
      <c r="L1660" s="9"/>
      <c r="M1660" s="2"/>
      <c r="N1660" s="9"/>
      <c r="P1660" s="3">
        <v>893.17026641999996</v>
      </c>
      <c r="S1660" s="9"/>
      <c r="T1660" s="2"/>
      <c r="U1660" s="9"/>
    </row>
    <row r="1661" spans="2:21" x14ac:dyDescent="0.35">
      <c r="B1661" s="9"/>
      <c r="C1661" s="2"/>
      <c r="D1661" s="2"/>
      <c r="I1661" s="9"/>
      <c r="J1661" s="2"/>
      <c r="L1661" s="9"/>
      <c r="M1661" s="2"/>
      <c r="N1661" s="9"/>
      <c r="P1661" s="3">
        <v>881.82517642000005</v>
      </c>
      <c r="S1661" s="9"/>
      <c r="T1661" s="2"/>
      <c r="U1661" s="9"/>
    </row>
    <row r="1662" spans="2:21" x14ac:dyDescent="0.35">
      <c r="B1662" s="9"/>
      <c r="C1662" s="2"/>
      <c r="D1662" s="2"/>
      <c r="I1662" s="9"/>
      <c r="J1662" s="2"/>
      <c r="L1662" s="9"/>
      <c r="M1662" s="2"/>
      <c r="N1662" s="9"/>
      <c r="P1662" s="3">
        <v>837.15956452</v>
      </c>
      <c r="S1662" s="9"/>
      <c r="T1662" s="2"/>
      <c r="U1662" s="9"/>
    </row>
    <row r="1663" spans="2:21" x14ac:dyDescent="0.35">
      <c r="B1663" s="9"/>
      <c r="C1663" s="2"/>
      <c r="D1663" s="2"/>
      <c r="I1663" s="9"/>
      <c r="J1663" s="2"/>
      <c r="L1663" s="9"/>
      <c r="M1663" s="2"/>
      <c r="N1663" s="9"/>
      <c r="P1663" s="3">
        <v>812.88395451999997</v>
      </c>
      <c r="S1663" s="9"/>
      <c r="T1663" s="2"/>
      <c r="U1663" s="9"/>
    </row>
    <row r="1664" spans="2:21" x14ac:dyDescent="0.35">
      <c r="B1664" s="9"/>
      <c r="C1664" s="2"/>
      <c r="D1664" s="2"/>
      <c r="I1664" s="9"/>
      <c r="J1664" s="2"/>
      <c r="L1664" s="9"/>
      <c r="M1664" s="2"/>
      <c r="N1664" s="9"/>
      <c r="P1664" s="3">
        <v>791.11535451999998</v>
      </c>
      <c r="S1664" s="9"/>
      <c r="T1664" s="2"/>
      <c r="U1664" s="9"/>
    </row>
    <row r="1665" spans="2:21" x14ac:dyDescent="0.35">
      <c r="B1665" s="9"/>
      <c r="C1665" s="2"/>
      <c r="D1665" s="2"/>
      <c r="I1665" s="9"/>
      <c r="J1665" s="2"/>
      <c r="L1665" s="9"/>
      <c r="M1665" s="2"/>
      <c r="N1665" s="9"/>
      <c r="P1665" s="3">
        <v>771.82110451999995</v>
      </c>
      <c r="S1665" s="9"/>
      <c r="T1665" s="2"/>
      <c r="U1665" s="9"/>
    </row>
    <row r="1666" spans="2:21" x14ac:dyDescent="0.35">
      <c r="B1666" s="9"/>
      <c r="C1666" s="2"/>
      <c r="D1666" s="2"/>
      <c r="I1666" s="9"/>
      <c r="J1666" s="2"/>
      <c r="L1666" s="9"/>
      <c r="M1666" s="2"/>
      <c r="N1666" s="9"/>
      <c r="P1666" s="3">
        <v>769.05494452000005</v>
      </c>
      <c r="S1666" s="9"/>
      <c r="T1666" s="2"/>
      <c r="U1666" s="9"/>
    </row>
    <row r="1667" spans="2:21" x14ac:dyDescent="0.35">
      <c r="B1667" s="9"/>
      <c r="C1667" s="2"/>
      <c r="D1667" s="2"/>
      <c r="I1667" s="9"/>
      <c r="J1667" s="2"/>
      <c r="L1667" s="9"/>
      <c r="M1667" s="2"/>
      <c r="N1667" s="9"/>
      <c r="P1667" s="3">
        <v>740.08978451999997</v>
      </c>
      <c r="S1667" s="9"/>
      <c r="T1667" s="2"/>
      <c r="U1667" s="9"/>
    </row>
    <row r="1668" spans="2:21" x14ac:dyDescent="0.35">
      <c r="B1668" s="9"/>
      <c r="C1668" s="2"/>
      <c r="D1668" s="2"/>
      <c r="I1668" s="9"/>
      <c r="J1668" s="2"/>
      <c r="L1668" s="9"/>
      <c r="M1668" s="2"/>
      <c r="N1668" s="9"/>
      <c r="P1668" s="3">
        <v>688.94990452000002</v>
      </c>
      <c r="S1668" s="9"/>
      <c r="T1668" s="2"/>
      <c r="U1668" s="9"/>
    </row>
    <row r="1669" spans="2:21" x14ac:dyDescent="0.35">
      <c r="B1669" s="9"/>
      <c r="C1669" s="2"/>
      <c r="D1669" s="2"/>
      <c r="I1669" s="9"/>
      <c r="J1669" s="2"/>
      <c r="L1669" s="9"/>
      <c r="M1669" s="2"/>
      <c r="N1669" s="9"/>
      <c r="P1669" s="3">
        <v>605.45248451999998</v>
      </c>
      <c r="S1669" s="9"/>
      <c r="T1669" s="2"/>
      <c r="U1669" s="9"/>
    </row>
    <row r="1670" spans="2:21" x14ac:dyDescent="0.35">
      <c r="B1670" s="9"/>
      <c r="C1670" s="2"/>
      <c r="D1670" s="2"/>
      <c r="I1670" s="9"/>
      <c r="J1670" s="2"/>
      <c r="L1670" s="9"/>
      <c r="M1670" s="2"/>
      <c r="N1670" s="9"/>
      <c r="P1670" s="3">
        <v>170.69248451999999</v>
      </c>
      <c r="S1670" s="9"/>
      <c r="T1670" s="2"/>
      <c r="U1670" s="9"/>
    </row>
    <row r="1671" spans="2:21" x14ac:dyDescent="0.35">
      <c r="B1671" s="9"/>
      <c r="C1671" s="2"/>
      <c r="D1671" s="2"/>
      <c r="I1671" s="9"/>
      <c r="J1671" s="2"/>
      <c r="L1671" s="9"/>
      <c r="M1671" s="2"/>
      <c r="N1671" s="9"/>
      <c r="P1671" s="3">
        <v>-264.06751548</v>
      </c>
      <c r="S1671" s="9"/>
      <c r="T1671" s="2"/>
      <c r="U1671" s="9"/>
    </row>
    <row r="1672" spans="2:21" x14ac:dyDescent="0.35">
      <c r="B1672" s="9"/>
      <c r="C1672" s="2"/>
      <c r="D1672" s="2"/>
      <c r="I1672" s="9"/>
      <c r="J1672" s="2"/>
      <c r="L1672" s="9"/>
      <c r="M1672" s="2"/>
      <c r="N1672" s="9"/>
      <c r="P1672" s="3">
        <v>-698.82751547999999</v>
      </c>
      <c r="S1672" s="9"/>
      <c r="T1672" s="2"/>
      <c r="U1672" s="9"/>
    </row>
    <row r="1673" spans="2:21" x14ac:dyDescent="0.35">
      <c r="B1673" s="9"/>
      <c r="C1673" s="2"/>
      <c r="D1673" s="2"/>
      <c r="I1673" s="9"/>
      <c r="J1673" s="2"/>
      <c r="L1673" s="9"/>
      <c r="M1673" s="2"/>
      <c r="N1673" s="9"/>
      <c r="P1673" s="3">
        <v>-1133.5875154800001</v>
      </c>
      <c r="S1673" s="9"/>
      <c r="T1673" s="2"/>
      <c r="U1673" s="9"/>
    </row>
    <row r="1674" spans="2:21" x14ac:dyDescent="0.35">
      <c r="B1674" s="9"/>
      <c r="C1674" s="2"/>
      <c r="D1674" s="2"/>
      <c r="I1674" s="9"/>
      <c r="J1674" s="2"/>
      <c r="L1674" s="9"/>
      <c r="M1674" s="2"/>
      <c r="N1674" s="9"/>
      <c r="P1674" s="3">
        <v>-1568.3475154800001</v>
      </c>
      <c r="S1674" s="9"/>
      <c r="T1674" s="2"/>
      <c r="U1674" s="9"/>
    </row>
    <row r="1675" spans="2:21" x14ac:dyDescent="0.35">
      <c r="B1675" s="9"/>
      <c r="C1675" s="2"/>
      <c r="D1675" s="2"/>
      <c r="I1675" s="9"/>
      <c r="J1675" s="2"/>
      <c r="L1675" s="9"/>
      <c r="M1675" s="2"/>
      <c r="N1675" s="9"/>
      <c r="P1675" s="3">
        <v>-2003.1075154800001</v>
      </c>
      <c r="S1675" s="9"/>
      <c r="T1675" s="2"/>
      <c r="U1675" s="9"/>
    </row>
    <row r="1676" spans="2:21" x14ac:dyDescent="0.35">
      <c r="B1676" s="9"/>
      <c r="C1676" s="2"/>
      <c r="D1676" s="2"/>
      <c r="I1676" s="9"/>
      <c r="J1676" s="2"/>
      <c r="L1676" s="9"/>
      <c r="M1676" s="2"/>
      <c r="N1676" s="9"/>
      <c r="P1676" s="3">
        <v>-2437.8675154799998</v>
      </c>
      <c r="S1676" s="9"/>
      <c r="T1676" s="2"/>
      <c r="U1676" s="9"/>
    </row>
    <row r="1677" spans="2:21" x14ac:dyDescent="0.35">
      <c r="B1677" s="9"/>
      <c r="C1677" s="2"/>
      <c r="D1677" s="2"/>
      <c r="I1677" s="9"/>
      <c r="J1677" s="2"/>
      <c r="L1677" s="9"/>
      <c r="M1677" s="2"/>
      <c r="N1677" s="9"/>
      <c r="P1677" s="3">
        <v>-2645.6368854799998</v>
      </c>
      <c r="S1677" s="9"/>
      <c r="T1677" s="2"/>
      <c r="U1677" s="9"/>
    </row>
    <row r="1678" spans="2:21" x14ac:dyDescent="0.35">
      <c r="B1678" s="9"/>
      <c r="C1678" s="2"/>
      <c r="D1678" s="2"/>
      <c r="I1678" s="9"/>
      <c r="J1678" s="2"/>
      <c r="L1678" s="9"/>
      <c r="M1678" s="2"/>
      <c r="N1678" s="9"/>
      <c r="P1678" s="3">
        <v>-2210.8768854800001</v>
      </c>
      <c r="S1678" s="9"/>
      <c r="T1678" s="2"/>
      <c r="U1678" s="9"/>
    </row>
    <row r="1679" spans="2:21" x14ac:dyDescent="0.35">
      <c r="B1679" s="9"/>
      <c r="C1679" s="2"/>
      <c r="D1679" s="2"/>
      <c r="I1679" s="9"/>
      <c r="J1679" s="2"/>
      <c r="L1679" s="9"/>
      <c r="M1679" s="2"/>
      <c r="N1679" s="9"/>
      <c r="P1679" s="3">
        <v>-1776.1168854800001</v>
      </c>
      <c r="S1679" s="9"/>
      <c r="T1679" s="2"/>
      <c r="U1679" s="9"/>
    </row>
    <row r="1680" spans="2:21" x14ac:dyDescent="0.35">
      <c r="B1680" s="9"/>
      <c r="C1680" s="2"/>
      <c r="D1680" s="2"/>
      <c r="I1680" s="9"/>
      <c r="J1680" s="2"/>
      <c r="L1680" s="9"/>
      <c r="M1680" s="2"/>
      <c r="N1680" s="9"/>
      <c r="P1680" s="3">
        <v>-1341.3568854800001</v>
      </c>
      <c r="S1680" s="9"/>
      <c r="T1680" s="2"/>
      <c r="U1680" s="9"/>
    </row>
    <row r="1681" spans="2:21" x14ac:dyDescent="0.35">
      <c r="B1681" s="9"/>
      <c r="C1681" s="2"/>
      <c r="D1681" s="2"/>
      <c r="I1681" s="9"/>
      <c r="J1681" s="2"/>
      <c r="L1681" s="9"/>
      <c r="M1681" s="2"/>
      <c r="N1681" s="9"/>
      <c r="P1681" s="3">
        <v>-906.59688547999997</v>
      </c>
      <c r="S1681" s="9"/>
      <c r="T1681" s="2"/>
      <c r="U1681" s="9"/>
    </row>
    <row r="1682" spans="2:21" x14ac:dyDescent="0.35">
      <c r="B1682" s="9"/>
      <c r="C1682" s="2"/>
      <c r="D1682" s="2"/>
      <c r="I1682" s="9"/>
      <c r="J1682" s="2"/>
      <c r="L1682" s="9"/>
      <c r="M1682" s="2"/>
      <c r="N1682" s="9"/>
      <c r="P1682" s="3">
        <v>-836.91322548000005</v>
      </c>
      <c r="S1682" s="9"/>
      <c r="T1682" s="2"/>
      <c r="U1682" s="9"/>
    </row>
    <row r="1683" spans="2:21" x14ac:dyDescent="0.35">
      <c r="B1683" s="9"/>
      <c r="C1683" s="2"/>
      <c r="D1683" s="2"/>
      <c r="I1683" s="9"/>
      <c r="J1683" s="2"/>
      <c r="L1683" s="9"/>
      <c r="M1683" s="2"/>
      <c r="N1683" s="9"/>
      <c r="P1683" s="3">
        <v>-895.09062547999997</v>
      </c>
      <c r="S1683" s="9"/>
      <c r="T1683" s="2"/>
      <c r="U1683" s="9"/>
    </row>
    <row r="1684" spans="2:21" x14ac:dyDescent="0.35">
      <c r="B1684" s="9"/>
      <c r="C1684" s="2"/>
      <c r="D1684" s="2"/>
      <c r="I1684" s="9"/>
      <c r="J1684" s="2"/>
      <c r="L1684" s="9"/>
      <c r="M1684" s="2"/>
      <c r="N1684" s="9"/>
      <c r="P1684" s="3">
        <v>-926.46907548000001</v>
      </c>
      <c r="S1684" s="9"/>
      <c r="T1684" s="2"/>
      <c r="U1684" s="9"/>
    </row>
    <row r="1685" spans="2:21" x14ac:dyDescent="0.35">
      <c r="B1685" s="9"/>
      <c r="C1685" s="2"/>
      <c r="D1685" s="2"/>
      <c r="I1685" s="9"/>
      <c r="J1685" s="2"/>
      <c r="L1685" s="9"/>
      <c r="M1685" s="2"/>
      <c r="N1685" s="9"/>
      <c r="P1685" s="3">
        <v>-1046.40014548</v>
      </c>
      <c r="S1685" s="9"/>
      <c r="T1685" s="2"/>
      <c r="U1685" s="9"/>
    </row>
    <row r="1686" spans="2:21" x14ac:dyDescent="0.35">
      <c r="B1686" s="9"/>
      <c r="C1686" s="2"/>
      <c r="D1686" s="2"/>
      <c r="I1686" s="9"/>
      <c r="J1686" s="2"/>
      <c r="L1686" s="9"/>
      <c r="M1686" s="2"/>
      <c r="N1686" s="9"/>
      <c r="P1686" s="3">
        <v>-1481.16014548</v>
      </c>
      <c r="S1686" s="9"/>
      <c r="T1686" s="2"/>
      <c r="U1686" s="9"/>
    </row>
    <row r="1687" spans="2:21" x14ac:dyDescent="0.35">
      <c r="B1687" s="9"/>
      <c r="C1687" s="2"/>
      <c r="D1687" s="2"/>
      <c r="I1687" s="9"/>
      <c r="J1687" s="2"/>
      <c r="L1687" s="9"/>
      <c r="M1687" s="2"/>
      <c r="N1687" s="9"/>
      <c r="P1687" s="3">
        <v>-1640.5787717799999</v>
      </c>
      <c r="S1687" s="9"/>
      <c r="T1687" s="2"/>
      <c r="U1687" s="9"/>
    </row>
    <row r="1688" spans="2:21" x14ac:dyDescent="0.35">
      <c r="B1688" s="9"/>
      <c r="C1688" s="2"/>
      <c r="D1688" s="2"/>
      <c r="I1688" s="9"/>
      <c r="J1688" s="2"/>
      <c r="L1688" s="9"/>
      <c r="M1688" s="2"/>
      <c r="N1688" s="9"/>
      <c r="P1688" s="3">
        <v>-1791.36502178</v>
      </c>
      <c r="S1688" s="9"/>
      <c r="T1688" s="2"/>
      <c r="U1688" s="9"/>
    </row>
    <row r="1689" spans="2:21" x14ac:dyDescent="0.35">
      <c r="B1689" s="9"/>
      <c r="C1689" s="2"/>
      <c r="D1689" s="2"/>
      <c r="I1689" s="9"/>
      <c r="J1689" s="2"/>
      <c r="L1689" s="9"/>
      <c r="M1689" s="2"/>
      <c r="N1689" s="9"/>
      <c r="P1689" s="3">
        <v>-1960.3173317799999</v>
      </c>
      <c r="S1689" s="9"/>
      <c r="T1689" s="2"/>
      <c r="U1689" s="9"/>
    </row>
    <row r="1690" spans="2:21" x14ac:dyDescent="0.35">
      <c r="B1690" s="9"/>
      <c r="C1690" s="2"/>
      <c r="D1690" s="2"/>
      <c r="I1690" s="9"/>
      <c r="J1690" s="2"/>
      <c r="L1690" s="9"/>
      <c r="M1690" s="2"/>
      <c r="N1690" s="9"/>
      <c r="P1690" s="3">
        <v>-2261.2423117799999</v>
      </c>
      <c r="S1690" s="9"/>
      <c r="T1690" s="2"/>
      <c r="U1690" s="9"/>
    </row>
    <row r="1691" spans="2:21" x14ac:dyDescent="0.35">
      <c r="B1691" s="9"/>
      <c r="C1691" s="2"/>
      <c r="D1691" s="2"/>
      <c r="I1691" s="9"/>
      <c r="J1691" s="2"/>
      <c r="L1691" s="9"/>
      <c r="M1691" s="2"/>
      <c r="N1691" s="9"/>
      <c r="P1691" s="3">
        <v>-2448.7150652999999</v>
      </c>
      <c r="S1691" s="9"/>
      <c r="T1691" s="2"/>
      <c r="U1691" s="9"/>
    </row>
    <row r="1692" spans="2:21" x14ac:dyDescent="0.35">
      <c r="B1692" s="9"/>
      <c r="C1692" s="2"/>
      <c r="D1692" s="2"/>
      <c r="I1692" s="9"/>
      <c r="J1692" s="2"/>
      <c r="L1692" s="9"/>
      <c r="M1692" s="2"/>
      <c r="N1692" s="9"/>
      <c r="P1692" s="3">
        <v>-2689.10127883</v>
      </c>
      <c r="S1692" s="9"/>
      <c r="T1692" s="2"/>
      <c r="U1692" s="9"/>
    </row>
    <row r="1693" spans="2:21" x14ac:dyDescent="0.35">
      <c r="B1693" s="9"/>
      <c r="C1693" s="2"/>
      <c r="D1693" s="2"/>
      <c r="I1693" s="9"/>
      <c r="J1693" s="2"/>
      <c r="L1693" s="9"/>
      <c r="M1693" s="2"/>
      <c r="N1693" s="9"/>
      <c r="P1693" s="3">
        <v>-2860.169492</v>
      </c>
      <c r="S1693" s="9"/>
      <c r="T1693" s="2"/>
      <c r="U1693" s="9"/>
    </row>
    <row r="1694" spans="2:21" x14ac:dyDescent="0.35">
      <c r="B1694" s="9"/>
      <c r="C1694" s="2"/>
      <c r="D1694" s="2"/>
      <c r="I1694" s="9"/>
      <c r="J1694" s="2"/>
      <c r="L1694" s="9"/>
      <c r="M1694" s="2"/>
      <c r="N1694" s="9"/>
      <c r="P1694" s="3">
        <v>-2860.169492</v>
      </c>
      <c r="S1694" s="9"/>
      <c r="T1694" s="2"/>
      <c r="U1694" s="9"/>
    </row>
    <row r="1695" spans="2:21" x14ac:dyDescent="0.35">
      <c r="B1695" s="9"/>
      <c r="C1695" s="2"/>
      <c r="D1695" s="2"/>
      <c r="I1695" s="9"/>
      <c r="J1695" s="2"/>
      <c r="L1695" s="9"/>
      <c r="M1695" s="2"/>
      <c r="N1695" s="9"/>
      <c r="P1695" s="3">
        <v>-2860.169492</v>
      </c>
      <c r="S1695" s="9"/>
      <c r="T1695" s="2"/>
      <c r="U1695" s="9"/>
    </row>
    <row r="1696" spans="2:21" x14ac:dyDescent="0.35">
      <c r="B1696" s="9"/>
      <c r="C1696" s="2"/>
      <c r="D1696" s="2"/>
      <c r="I1696" s="9"/>
      <c r="J1696" s="2"/>
      <c r="L1696" s="9"/>
      <c r="M1696" s="2"/>
      <c r="N1696" s="9"/>
      <c r="P1696" s="3">
        <v>-2425.4094919999998</v>
      </c>
      <c r="S1696" s="9"/>
      <c r="T1696" s="2"/>
      <c r="U1696" s="9"/>
    </row>
    <row r="1697" spans="2:21" x14ac:dyDescent="0.35">
      <c r="B1697" s="9"/>
      <c r="C1697" s="2"/>
      <c r="D1697" s="2"/>
      <c r="I1697" s="9"/>
      <c r="J1697" s="2"/>
      <c r="L1697" s="9"/>
      <c r="M1697" s="2"/>
      <c r="N1697" s="9"/>
      <c r="P1697" s="3">
        <v>-1990.649492</v>
      </c>
      <c r="S1697" s="9"/>
      <c r="T1697" s="2"/>
      <c r="U1697" s="9"/>
    </row>
    <row r="1698" spans="2:21" x14ac:dyDescent="0.35">
      <c r="B1698" s="9"/>
      <c r="C1698" s="2"/>
      <c r="D1698" s="2"/>
      <c r="I1698" s="9"/>
      <c r="J1698" s="2"/>
      <c r="L1698" s="9"/>
      <c r="M1698" s="2"/>
      <c r="N1698" s="9"/>
      <c r="P1698" s="3">
        <v>-1555.889492</v>
      </c>
      <c r="S1698" s="9"/>
      <c r="T1698" s="2"/>
      <c r="U1698" s="9"/>
    </row>
    <row r="1699" spans="2:21" x14ac:dyDescent="0.35">
      <c r="B1699" s="9"/>
      <c r="C1699" s="2"/>
      <c r="D1699" s="2"/>
      <c r="I1699" s="9"/>
      <c r="J1699" s="2"/>
      <c r="L1699" s="9"/>
      <c r="M1699" s="2"/>
      <c r="N1699" s="9"/>
      <c r="P1699" s="3">
        <v>-1121.129492</v>
      </c>
      <c r="S1699" s="9"/>
      <c r="T1699" s="2"/>
      <c r="U1699" s="9"/>
    </row>
    <row r="1700" spans="2:21" x14ac:dyDescent="0.35">
      <c r="B1700" s="9"/>
      <c r="C1700" s="2"/>
      <c r="D1700" s="2"/>
      <c r="I1700" s="9"/>
      <c r="J1700" s="2"/>
      <c r="L1700" s="9"/>
      <c r="M1700" s="2"/>
      <c r="N1700" s="9"/>
      <c r="P1700" s="3">
        <v>-686.36949200000004</v>
      </c>
      <c r="S1700" s="9"/>
      <c r="T1700" s="2"/>
      <c r="U1700" s="9"/>
    </row>
    <row r="1701" spans="2:21" x14ac:dyDescent="0.35">
      <c r="B1701" s="9"/>
      <c r="C1701" s="2"/>
      <c r="D1701" s="2"/>
      <c r="I1701" s="9"/>
      <c r="J1701" s="2"/>
      <c r="L1701" s="9"/>
      <c r="M1701" s="2"/>
      <c r="N1701" s="9"/>
      <c r="P1701" s="3">
        <v>-251.60949199999999</v>
      </c>
      <c r="S1701" s="9"/>
      <c r="T1701" s="2"/>
      <c r="U1701" s="9"/>
    </row>
    <row r="1702" spans="2:21" x14ac:dyDescent="0.35">
      <c r="B1702" s="9"/>
      <c r="C1702" s="2"/>
      <c r="D1702" s="2"/>
      <c r="I1702" s="9"/>
      <c r="J1702" s="2"/>
      <c r="L1702" s="9"/>
      <c r="M1702" s="2"/>
      <c r="N1702" s="9"/>
      <c r="P1702" s="3">
        <v>0</v>
      </c>
      <c r="S1702" s="9"/>
      <c r="T1702" s="2"/>
      <c r="U1702" s="9"/>
    </row>
    <row r="1703" spans="2:21" x14ac:dyDescent="0.35">
      <c r="B1703" s="9"/>
      <c r="C1703" s="2"/>
      <c r="D1703" s="2"/>
      <c r="I1703" s="9"/>
      <c r="J1703" s="2"/>
      <c r="L1703" s="9"/>
      <c r="M1703" s="2"/>
      <c r="N1703" s="9"/>
      <c r="P1703" s="3">
        <v>0</v>
      </c>
      <c r="S1703" s="9"/>
      <c r="T1703" s="2"/>
      <c r="U1703" s="9"/>
    </row>
    <row r="1704" spans="2:21" x14ac:dyDescent="0.35">
      <c r="B1704" s="9"/>
      <c r="C1704" s="2"/>
      <c r="D1704" s="2"/>
      <c r="I1704" s="9"/>
      <c r="J1704" s="2"/>
      <c r="L1704" s="9"/>
      <c r="M1704" s="2"/>
      <c r="N1704" s="9"/>
      <c r="P1704" s="3">
        <v>0</v>
      </c>
      <c r="S1704" s="9"/>
      <c r="T1704" s="2"/>
      <c r="U1704" s="9"/>
    </row>
    <row r="1705" spans="2:21" x14ac:dyDescent="0.35">
      <c r="B1705" s="9"/>
      <c r="C1705" s="2"/>
      <c r="D1705" s="2"/>
      <c r="I1705" s="9"/>
      <c r="J1705" s="2"/>
      <c r="L1705" s="9"/>
      <c r="M1705" s="2"/>
      <c r="N1705" s="9"/>
      <c r="P1705" s="3">
        <v>0</v>
      </c>
      <c r="S1705" s="9"/>
      <c r="T1705" s="2"/>
      <c r="U1705" s="9"/>
    </row>
    <row r="1706" spans="2:21" x14ac:dyDescent="0.35">
      <c r="B1706" s="9"/>
      <c r="C1706" s="2"/>
      <c r="D1706" s="2"/>
      <c r="I1706" s="9"/>
      <c r="J1706" s="2"/>
      <c r="L1706" s="9"/>
      <c r="M1706" s="2"/>
      <c r="N1706" s="9"/>
      <c r="P1706" s="3">
        <v>0</v>
      </c>
      <c r="S1706" s="9"/>
      <c r="T1706" s="2"/>
      <c r="U1706" s="9"/>
    </row>
    <row r="1707" spans="2:21" x14ac:dyDescent="0.35">
      <c r="B1707" s="9"/>
      <c r="C1707" s="2"/>
      <c r="D1707" s="2"/>
      <c r="I1707" s="9"/>
      <c r="J1707" s="2"/>
      <c r="L1707" s="9"/>
      <c r="M1707" s="2"/>
      <c r="N1707" s="9"/>
      <c r="P1707" s="3">
        <v>0</v>
      </c>
      <c r="S1707" s="9"/>
      <c r="T1707" s="2"/>
      <c r="U1707" s="9"/>
    </row>
    <row r="1708" spans="2:21" x14ac:dyDescent="0.35">
      <c r="B1708" s="9"/>
      <c r="C1708" s="2"/>
      <c r="D1708" s="2"/>
      <c r="I1708" s="9"/>
      <c r="J1708" s="2"/>
      <c r="L1708" s="9"/>
      <c r="M1708" s="2"/>
      <c r="N1708" s="9"/>
      <c r="P1708" s="3">
        <v>0</v>
      </c>
      <c r="S1708" s="9"/>
      <c r="T1708" s="2"/>
      <c r="U1708" s="9"/>
    </row>
    <row r="1709" spans="2:21" x14ac:dyDescent="0.35">
      <c r="B1709" s="9"/>
      <c r="C1709" s="2"/>
      <c r="D1709" s="2"/>
      <c r="I1709" s="9"/>
      <c r="J1709" s="2"/>
      <c r="L1709" s="9"/>
      <c r="M1709" s="2"/>
      <c r="N1709" s="9"/>
      <c r="P1709" s="3">
        <v>0</v>
      </c>
      <c r="S1709" s="9"/>
      <c r="T1709" s="2"/>
      <c r="U1709" s="9"/>
    </row>
    <row r="1710" spans="2:21" x14ac:dyDescent="0.35">
      <c r="B1710" s="9"/>
      <c r="C1710" s="2"/>
      <c r="D1710" s="2"/>
      <c r="I1710" s="9"/>
      <c r="J1710" s="2"/>
      <c r="L1710" s="9"/>
      <c r="M1710" s="2"/>
      <c r="N1710" s="9"/>
      <c r="P1710" s="3">
        <v>0</v>
      </c>
      <c r="S1710" s="9"/>
      <c r="T1710" s="2"/>
      <c r="U1710" s="9"/>
    </row>
    <row r="1711" spans="2:21" x14ac:dyDescent="0.35">
      <c r="B1711" s="9"/>
      <c r="C1711" s="2"/>
      <c r="D1711" s="2"/>
      <c r="I1711" s="9"/>
      <c r="J1711" s="2"/>
      <c r="L1711" s="9"/>
      <c r="M1711" s="2"/>
      <c r="N1711" s="9"/>
      <c r="P1711" s="3">
        <v>0</v>
      </c>
      <c r="S1711" s="9"/>
      <c r="T1711" s="2"/>
      <c r="U1711" s="9"/>
    </row>
    <row r="1712" spans="2:21" x14ac:dyDescent="0.35">
      <c r="B1712" s="9"/>
      <c r="C1712" s="2"/>
      <c r="D1712" s="2"/>
      <c r="I1712" s="9"/>
      <c r="J1712" s="2"/>
      <c r="L1712" s="9"/>
      <c r="M1712" s="2"/>
      <c r="N1712" s="9"/>
      <c r="P1712" s="3">
        <v>0</v>
      </c>
      <c r="S1712" s="9"/>
      <c r="T1712" s="2"/>
      <c r="U1712" s="9"/>
    </row>
    <row r="1713" spans="2:21" x14ac:dyDescent="0.35">
      <c r="B1713" s="9"/>
      <c r="C1713" s="2"/>
      <c r="D1713" s="2"/>
      <c r="I1713" s="9"/>
      <c r="J1713" s="2"/>
      <c r="L1713" s="9"/>
      <c r="M1713" s="2"/>
      <c r="N1713" s="9"/>
      <c r="P1713" s="3">
        <v>0</v>
      </c>
      <c r="S1713" s="9"/>
      <c r="T1713" s="2"/>
      <c r="U1713" s="9"/>
    </row>
    <row r="1714" spans="2:21" x14ac:dyDescent="0.35">
      <c r="B1714" s="9"/>
      <c r="C1714" s="2"/>
      <c r="D1714" s="2"/>
      <c r="I1714" s="9"/>
      <c r="J1714" s="2"/>
      <c r="L1714" s="9"/>
      <c r="M1714" s="2"/>
      <c r="N1714" s="9"/>
      <c r="P1714" s="3">
        <v>0</v>
      </c>
      <c r="S1714" s="9"/>
      <c r="T1714" s="2"/>
      <c r="U1714" s="9"/>
    </row>
    <row r="1715" spans="2:21" x14ac:dyDescent="0.35">
      <c r="B1715" s="9"/>
      <c r="C1715" s="2"/>
      <c r="D1715" s="2"/>
      <c r="I1715" s="9"/>
      <c r="J1715" s="2"/>
      <c r="L1715" s="9"/>
      <c r="M1715" s="2"/>
      <c r="N1715" s="9"/>
      <c r="P1715" s="3">
        <v>0</v>
      </c>
      <c r="S1715" s="9"/>
      <c r="T1715" s="2"/>
      <c r="U1715" s="9"/>
    </row>
    <row r="1716" spans="2:21" x14ac:dyDescent="0.35">
      <c r="B1716" s="9"/>
      <c r="C1716" s="2"/>
      <c r="D1716" s="2"/>
      <c r="I1716" s="9"/>
      <c r="J1716" s="2"/>
      <c r="L1716" s="9"/>
      <c r="M1716" s="2"/>
      <c r="N1716" s="9"/>
      <c r="P1716" s="3">
        <v>0</v>
      </c>
      <c r="S1716" s="9"/>
      <c r="T1716" s="2"/>
      <c r="U1716" s="9"/>
    </row>
    <row r="1717" spans="2:21" x14ac:dyDescent="0.35">
      <c r="B1717" s="9"/>
      <c r="C1717" s="2"/>
      <c r="D1717" s="2"/>
      <c r="I1717" s="9"/>
      <c r="J1717" s="2"/>
      <c r="L1717" s="9"/>
      <c r="M1717" s="2"/>
      <c r="N1717" s="9"/>
      <c r="P1717" s="3">
        <v>0</v>
      </c>
      <c r="S1717" s="9"/>
      <c r="T1717" s="2"/>
      <c r="U1717" s="9"/>
    </row>
    <row r="1718" spans="2:21" x14ac:dyDescent="0.35">
      <c r="B1718" s="9"/>
      <c r="C1718" s="2"/>
      <c r="D1718" s="2"/>
      <c r="I1718" s="9"/>
      <c r="J1718" s="2"/>
      <c r="L1718" s="9"/>
      <c r="M1718" s="2"/>
      <c r="N1718" s="9"/>
      <c r="P1718" s="3">
        <v>0</v>
      </c>
      <c r="S1718" s="9"/>
      <c r="T1718" s="2"/>
      <c r="U1718" s="9"/>
    </row>
    <row r="1719" spans="2:21" x14ac:dyDescent="0.35">
      <c r="B1719" s="9"/>
      <c r="C1719" s="2"/>
      <c r="D1719" s="2"/>
      <c r="I1719" s="9"/>
      <c r="J1719" s="2"/>
      <c r="L1719" s="9"/>
      <c r="M1719" s="2"/>
      <c r="N1719" s="9"/>
      <c r="P1719" s="3">
        <v>0</v>
      </c>
      <c r="S1719" s="9"/>
      <c r="T1719" s="2"/>
      <c r="U1719" s="9"/>
    </row>
    <row r="1720" spans="2:21" x14ac:dyDescent="0.35">
      <c r="B1720" s="9"/>
      <c r="C1720" s="2"/>
      <c r="D1720" s="2"/>
      <c r="I1720" s="9"/>
      <c r="J1720" s="2"/>
      <c r="L1720" s="9"/>
      <c r="M1720" s="2"/>
      <c r="N1720" s="9"/>
      <c r="P1720" s="3">
        <v>0</v>
      </c>
      <c r="S1720" s="9"/>
      <c r="T1720" s="2"/>
      <c r="U1720" s="9"/>
    </row>
    <row r="1721" spans="2:21" x14ac:dyDescent="0.35">
      <c r="B1721" s="9"/>
      <c r="C1721" s="2"/>
      <c r="D1721" s="2"/>
      <c r="I1721" s="9"/>
      <c r="J1721" s="2"/>
      <c r="L1721" s="9"/>
      <c r="M1721" s="2"/>
      <c r="N1721" s="9"/>
      <c r="P1721" s="3">
        <v>0</v>
      </c>
      <c r="S1721" s="9"/>
      <c r="T1721" s="2"/>
      <c r="U1721" s="9"/>
    </row>
    <row r="1722" spans="2:21" x14ac:dyDescent="0.35">
      <c r="B1722" s="9"/>
      <c r="C1722" s="2"/>
      <c r="D1722" s="2"/>
      <c r="I1722" s="9"/>
      <c r="J1722" s="2"/>
      <c r="L1722" s="9"/>
      <c r="M1722" s="2"/>
      <c r="N1722" s="9"/>
      <c r="P1722" s="3">
        <v>0</v>
      </c>
      <c r="S1722" s="9"/>
      <c r="T1722" s="2"/>
      <c r="U1722" s="9"/>
    </row>
    <row r="1723" spans="2:21" x14ac:dyDescent="0.35">
      <c r="B1723" s="9"/>
      <c r="C1723" s="2"/>
      <c r="D1723" s="2"/>
      <c r="I1723" s="9"/>
      <c r="J1723" s="2"/>
      <c r="L1723" s="9"/>
      <c r="M1723" s="2"/>
      <c r="N1723" s="9"/>
      <c r="P1723" s="3">
        <v>0</v>
      </c>
      <c r="S1723" s="9"/>
      <c r="T1723" s="2"/>
      <c r="U1723" s="9"/>
    </row>
    <row r="1724" spans="2:21" x14ac:dyDescent="0.35">
      <c r="B1724" s="9"/>
      <c r="C1724" s="2"/>
      <c r="D1724" s="2"/>
      <c r="I1724" s="9"/>
      <c r="J1724" s="2"/>
      <c r="L1724" s="9"/>
      <c r="M1724" s="2"/>
      <c r="N1724" s="9"/>
      <c r="P1724" s="3">
        <v>0</v>
      </c>
      <c r="S1724" s="9"/>
      <c r="T1724" s="2"/>
      <c r="U1724" s="9"/>
    </row>
    <row r="1725" spans="2:21" x14ac:dyDescent="0.35">
      <c r="B1725" s="9"/>
      <c r="C1725" s="2"/>
      <c r="D1725" s="2"/>
      <c r="I1725" s="9"/>
      <c r="J1725" s="2"/>
      <c r="L1725" s="9"/>
      <c r="M1725" s="2"/>
      <c r="N1725" s="9"/>
      <c r="P1725" s="3">
        <v>0</v>
      </c>
      <c r="S1725" s="9"/>
      <c r="T1725" s="2"/>
      <c r="U1725" s="9"/>
    </row>
    <row r="1726" spans="2:21" x14ac:dyDescent="0.35">
      <c r="B1726" s="9"/>
      <c r="C1726" s="2"/>
      <c r="D1726" s="2"/>
      <c r="I1726" s="9"/>
      <c r="J1726" s="2"/>
      <c r="L1726" s="9"/>
      <c r="M1726" s="2"/>
      <c r="N1726" s="9"/>
      <c r="P1726" s="3">
        <v>0</v>
      </c>
      <c r="S1726" s="9"/>
      <c r="T1726" s="2"/>
      <c r="U1726" s="9"/>
    </row>
    <row r="1727" spans="2:21" x14ac:dyDescent="0.35">
      <c r="B1727" s="9"/>
      <c r="C1727" s="2"/>
      <c r="D1727" s="2"/>
      <c r="I1727" s="9"/>
      <c r="J1727" s="2"/>
      <c r="L1727" s="9"/>
      <c r="M1727" s="2"/>
      <c r="N1727" s="9"/>
      <c r="P1727" s="3">
        <v>0</v>
      </c>
      <c r="S1727" s="9"/>
      <c r="T1727" s="2"/>
      <c r="U1727" s="9"/>
    </row>
    <row r="1728" spans="2:21" x14ac:dyDescent="0.35">
      <c r="B1728" s="9"/>
      <c r="C1728" s="2"/>
      <c r="D1728" s="2"/>
      <c r="I1728" s="9"/>
      <c r="J1728" s="2"/>
      <c r="L1728" s="9"/>
      <c r="M1728" s="2"/>
      <c r="N1728" s="9"/>
      <c r="P1728" s="3">
        <v>0</v>
      </c>
      <c r="S1728" s="9"/>
      <c r="T1728" s="2"/>
      <c r="U1728" s="9"/>
    </row>
    <row r="1729" spans="2:21" x14ac:dyDescent="0.35">
      <c r="B1729" s="9"/>
      <c r="C1729" s="2"/>
      <c r="D1729" s="2"/>
      <c r="I1729" s="9"/>
      <c r="J1729" s="2"/>
      <c r="L1729" s="9"/>
      <c r="M1729" s="2"/>
      <c r="N1729" s="9"/>
      <c r="P1729" s="3">
        <v>0</v>
      </c>
      <c r="S1729" s="9"/>
      <c r="T1729" s="2"/>
      <c r="U1729" s="9"/>
    </row>
    <row r="1730" spans="2:21" x14ac:dyDescent="0.35">
      <c r="B1730" s="9"/>
      <c r="C1730" s="2"/>
      <c r="D1730" s="2"/>
      <c r="I1730" s="9"/>
      <c r="J1730" s="2"/>
      <c r="L1730" s="9"/>
      <c r="M1730" s="2"/>
      <c r="N1730" s="9"/>
      <c r="P1730" s="3">
        <v>0</v>
      </c>
      <c r="S1730" s="9"/>
      <c r="T1730" s="2"/>
      <c r="U1730" s="9"/>
    </row>
    <row r="1731" spans="2:21" x14ac:dyDescent="0.35">
      <c r="B1731" s="9"/>
      <c r="C1731" s="2"/>
      <c r="D1731" s="2"/>
      <c r="I1731" s="9"/>
      <c r="J1731" s="2"/>
      <c r="L1731" s="9"/>
      <c r="M1731" s="2"/>
      <c r="N1731" s="9"/>
      <c r="P1731" s="3">
        <v>0</v>
      </c>
      <c r="S1731" s="9"/>
      <c r="T1731" s="2"/>
      <c r="U1731" s="9"/>
    </row>
    <row r="1732" spans="2:21" x14ac:dyDescent="0.35">
      <c r="B1732" s="9"/>
      <c r="C1732" s="2"/>
      <c r="D1732" s="2"/>
      <c r="I1732" s="9"/>
      <c r="J1732" s="2"/>
      <c r="L1732" s="9"/>
      <c r="M1732" s="2"/>
      <c r="N1732" s="9"/>
      <c r="P1732" s="3">
        <v>0</v>
      </c>
      <c r="S1732" s="9"/>
      <c r="T1732" s="2"/>
      <c r="U1732" s="9"/>
    </row>
    <row r="1733" spans="2:21" x14ac:dyDescent="0.35">
      <c r="B1733" s="9"/>
      <c r="C1733" s="2"/>
      <c r="D1733" s="2"/>
      <c r="I1733" s="9"/>
      <c r="J1733" s="2"/>
      <c r="L1733" s="9"/>
      <c r="M1733" s="2"/>
      <c r="N1733" s="9"/>
      <c r="P1733" s="3">
        <v>0</v>
      </c>
      <c r="S1733" s="9"/>
      <c r="T1733" s="2"/>
      <c r="U1733" s="9"/>
    </row>
    <row r="1734" spans="2:21" x14ac:dyDescent="0.35">
      <c r="B1734" s="9"/>
      <c r="C1734" s="2"/>
      <c r="D1734" s="2"/>
      <c r="I1734" s="9"/>
      <c r="J1734" s="2"/>
      <c r="L1734" s="9"/>
      <c r="M1734" s="2"/>
      <c r="N1734" s="9"/>
      <c r="P1734" s="3">
        <v>0</v>
      </c>
      <c r="S1734" s="9"/>
      <c r="T1734" s="2"/>
      <c r="U1734" s="9"/>
    </row>
    <row r="1735" spans="2:21" x14ac:dyDescent="0.35">
      <c r="B1735" s="9"/>
      <c r="C1735" s="2"/>
      <c r="D1735" s="2"/>
      <c r="I1735" s="9"/>
      <c r="J1735" s="2"/>
      <c r="L1735" s="9"/>
      <c r="M1735" s="2"/>
      <c r="N1735" s="9"/>
      <c r="P1735" s="3">
        <v>0</v>
      </c>
      <c r="S1735" s="9"/>
      <c r="T1735" s="2"/>
      <c r="U1735" s="9"/>
    </row>
    <row r="1736" spans="2:21" x14ac:dyDescent="0.35">
      <c r="B1736" s="9"/>
      <c r="C1736" s="2"/>
      <c r="D1736" s="2"/>
      <c r="I1736" s="9"/>
      <c r="J1736" s="2"/>
      <c r="L1736" s="9"/>
      <c r="M1736" s="2"/>
      <c r="N1736" s="9"/>
      <c r="P1736" s="3">
        <v>0</v>
      </c>
      <c r="S1736" s="9"/>
      <c r="T1736" s="2"/>
      <c r="U1736" s="9"/>
    </row>
    <row r="1737" spans="2:21" x14ac:dyDescent="0.35">
      <c r="B1737" s="9"/>
      <c r="C1737" s="2"/>
      <c r="D1737" s="2"/>
      <c r="I1737" s="9"/>
      <c r="J1737" s="2"/>
      <c r="L1737" s="9"/>
      <c r="M1737" s="2"/>
      <c r="N1737" s="9"/>
      <c r="P1737" s="3">
        <v>0</v>
      </c>
      <c r="S1737" s="9"/>
      <c r="T1737" s="2"/>
      <c r="U1737" s="9"/>
    </row>
    <row r="1738" spans="2:21" x14ac:dyDescent="0.35">
      <c r="B1738" s="9"/>
      <c r="C1738" s="2"/>
      <c r="D1738" s="2"/>
      <c r="I1738" s="9"/>
      <c r="J1738" s="2"/>
      <c r="L1738" s="9"/>
      <c r="M1738" s="2"/>
      <c r="N1738" s="9"/>
      <c r="P1738" s="3">
        <v>0</v>
      </c>
      <c r="S1738" s="9"/>
      <c r="T1738" s="2"/>
      <c r="U1738" s="9"/>
    </row>
    <row r="1739" spans="2:21" x14ac:dyDescent="0.35">
      <c r="B1739" s="9"/>
      <c r="C1739" s="2"/>
      <c r="D1739" s="2"/>
      <c r="I1739" s="9"/>
      <c r="J1739" s="2"/>
      <c r="L1739" s="9"/>
      <c r="M1739" s="2"/>
      <c r="N1739" s="9"/>
      <c r="P1739" s="3">
        <v>0</v>
      </c>
      <c r="S1739" s="9"/>
      <c r="T1739" s="2"/>
      <c r="U1739" s="9"/>
    </row>
    <row r="1740" spans="2:21" x14ac:dyDescent="0.35">
      <c r="B1740" s="9"/>
      <c r="C1740" s="2"/>
      <c r="D1740" s="2"/>
      <c r="I1740" s="9"/>
      <c r="J1740" s="2"/>
      <c r="L1740" s="9"/>
      <c r="M1740" s="2"/>
      <c r="N1740" s="9"/>
      <c r="P1740" s="3">
        <v>0</v>
      </c>
      <c r="S1740" s="9"/>
      <c r="T1740" s="2"/>
      <c r="U1740" s="9"/>
    </row>
    <row r="1741" spans="2:21" x14ac:dyDescent="0.35">
      <c r="B1741" s="9"/>
      <c r="C1741" s="2"/>
      <c r="D1741" s="2"/>
      <c r="I1741" s="9"/>
      <c r="J1741" s="2"/>
      <c r="L1741" s="9"/>
      <c r="M1741" s="2"/>
      <c r="N1741" s="9"/>
      <c r="P1741" s="3">
        <v>0</v>
      </c>
      <c r="S1741" s="9"/>
      <c r="T1741" s="2"/>
      <c r="U1741" s="9"/>
    </row>
    <row r="1742" spans="2:21" x14ac:dyDescent="0.35">
      <c r="B1742" s="9"/>
      <c r="C1742" s="2"/>
      <c r="D1742" s="2"/>
      <c r="I1742" s="9"/>
      <c r="J1742" s="2"/>
      <c r="L1742" s="9"/>
      <c r="M1742" s="2"/>
      <c r="N1742" s="9"/>
      <c r="P1742" s="3">
        <v>0</v>
      </c>
      <c r="S1742" s="9"/>
      <c r="T1742" s="2"/>
      <c r="U1742" s="9"/>
    </row>
    <row r="1743" spans="2:21" x14ac:dyDescent="0.35">
      <c r="B1743" s="9"/>
      <c r="C1743" s="2"/>
      <c r="D1743" s="2"/>
      <c r="I1743" s="9"/>
      <c r="J1743" s="2"/>
      <c r="L1743" s="9"/>
      <c r="M1743" s="2"/>
      <c r="N1743" s="9"/>
      <c r="P1743" s="3">
        <v>0</v>
      </c>
      <c r="S1743" s="9"/>
      <c r="T1743" s="2"/>
      <c r="U1743" s="9"/>
    </row>
    <row r="1744" spans="2:21" x14ac:dyDescent="0.35">
      <c r="B1744" s="9"/>
      <c r="C1744" s="2"/>
      <c r="D1744" s="2"/>
      <c r="I1744" s="9"/>
      <c r="J1744" s="2"/>
      <c r="L1744" s="9"/>
      <c r="M1744" s="2"/>
      <c r="N1744" s="9"/>
      <c r="P1744" s="3">
        <v>0</v>
      </c>
      <c r="S1744" s="9"/>
      <c r="T1744" s="2"/>
      <c r="U1744" s="9"/>
    </row>
    <row r="1745" spans="2:21" x14ac:dyDescent="0.35">
      <c r="B1745" s="9"/>
      <c r="C1745" s="2"/>
      <c r="D1745" s="2"/>
      <c r="I1745" s="9"/>
      <c r="J1745" s="2"/>
      <c r="L1745" s="9"/>
      <c r="M1745" s="2"/>
      <c r="N1745" s="9"/>
      <c r="P1745" s="3">
        <v>0</v>
      </c>
      <c r="S1745" s="9"/>
      <c r="T1745" s="2"/>
      <c r="U1745" s="9"/>
    </row>
    <row r="1746" spans="2:21" x14ac:dyDescent="0.35">
      <c r="B1746" s="9"/>
      <c r="C1746" s="2"/>
      <c r="D1746" s="2"/>
      <c r="I1746" s="9"/>
      <c r="J1746" s="2"/>
      <c r="L1746" s="9"/>
      <c r="M1746" s="2"/>
      <c r="N1746" s="9"/>
      <c r="P1746" s="3">
        <v>0</v>
      </c>
      <c r="S1746" s="9"/>
      <c r="T1746" s="2"/>
      <c r="U1746" s="9"/>
    </row>
    <row r="1747" spans="2:21" x14ac:dyDescent="0.35">
      <c r="B1747" s="9"/>
      <c r="C1747" s="2"/>
      <c r="D1747" s="2"/>
      <c r="I1747" s="9"/>
      <c r="J1747" s="2"/>
      <c r="L1747" s="9"/>
      <c r="M1747" s="2"/>
      <c r="N1747" s="9"/>
      <c r="P1747" s="3">
        <v>0</v>
      </c>
      <c r="S1747" s="9"/>
      <c r="T1747" s="2"/>
      <c r="U1747" s="9"/>
    </row>
    <row r="1748" spans="2:21" x14ac:dyDescent="0.35">
      <c r="B1748" s="9"/>
      <c r="C1748" s="2"/>
      <c r="D1748" s="2"/>
      <c r="I1748" s="9"/>
      <c r="J1748" s="2"/>
      <c r="L1748" s="9"/>
      <c r="M1748" s="2"/>
      <c r="N1748" s="9"/>
      <c r="P1748" s="3">
        <v>0</v>
      </c>
      <c r="S1748" s="9"/>
      <c r="T1748" s="2"/>
      <c r="U1748" s="9"/>
    </row>
    <row r="1749" spans="2:21" x14ac:dyDescent="0.35">
      <c r="B1749" s="9"/>
      <c r="C1749" s="2"/>
      <c r="D1749" s="2"/>
      <c r="I1749" s="9"/>
      <c r="J1749" s="2"/>
      <c r="L1749" s="9"/>
      <c r="M1749" s="2"/>
      <c r="N1749" s="9"/>
      <c r="P1749" s="3">
        <v>0</v>
      </c>
      <c r="S1749" s="9"/>
      <c r="T1749" s="2"/>
      <c r="U1749" s="9"/>
    </row>
    <row r="1750" spans="2:21" x14ac:dyDescent="0.35">
      <c r="B1750" s="9"/>
      <c r="C1750" s="2"/>
      <c r="D1750" s="2"/>
      <c r="I1750" s="9"/>
      <c r="J1750" s="2"/>
      <c r="L1750" s="9"/>
      <c r="M1750" s="2"/>
      <c r="N1750" s="9"/>
      <c r="P1750" s="3">
        <v>0</v>
      </c>
      <c r="S1750" s="9"/>
      <c r="T1750" s="2"/>
      <c r="U1750" s="9"/>
    </row>
    <row r="1751" spans="2:21" x14ac:dyDescent="0.35">
      <c r="B1751" s="9"/>
      <c r="C1751" s="2"/>
      <c r="D1751" s="2"/>
      <c r="I1751" s="9"/>
      <c r="J1751" s="2"/>
      <c r="L1751" s="9"/>
      <c r="M1751" s="2"/>
      <c r="N1751" s="9"/>
      <c r="P1751" s="3">
        <v>0</v>
      </c>
      <c r="S1751" s="9"/>
      <c r="T1751" s="2"/>
      <c r="U1751" s="9"/>
    </row>
    <row r="1752" spans="2:21" x14ac:dyDescent="0.35">
      <c r="B1752" s="9"/>
      <c r="C1752" s="2"/>
      <c r="D1752" s="2"/>
      <c r="I1752" s="9"/>
      <c r="J1752" s="2"/>
      <c r="L1752" s="9"/>
      <c r="M1752" s="2"/>
      <c r="N1752" s="9"/>
      <c r="P1752" s="3">
        <v>-342.69115027999999</v>
      </c>
      <c r="S1752" s="9"/>
      <c r="T1752" s="2"/>
      <c r="U1752" s="9"/>
    </row>
    <row r="1753" spans="2:21" x14ac:dyDescent="0.35">
      <c r="B1753" s="9"/>
      <c r="C1753" s="2"/>
      <c r="D1753" s="2"/>
      <c r="I1753" s="9"/>
      <c r="J1753" s="2"/>
      <c r="L1753" s="9"/>
      <c r="M1753" s="2"/>
      <c r="N1753" s="9"/>
      <c r="P1753" s="3">
        <v>-777.45115027999998</v>
      </c>
      <c r="S1753" s="9"/>
      <c r="T1753" s="2"/>
      <c r="U1753" s="9"/>
    </row>
    <row r="1754" spans="2:21" x14ac:dyDescent="0.35">
      <c r="B1754" s="9"/>
      <c r="C1754" s="2"/>
      <c r="D1754" s="2"/>
      <c r="I1754" s="9"/>
      <c r="J1754" s="2"/>
      <c r="L1754" s="9"/>
      <c r="M1754" s="2"/>
      <c r="N1754" s="9"/>
      <c r="P1754" s="3">
        <v>-1212.2111502800001</v>
      </c>
      <c r="S1754" s="9"/>
      <c r="T1754" s="2"/>
      <c r="U1754" s="9"/>
    </row>
    <row r="1755" spans="2:21" x14ac:dyDescent="0.35">
      <c r="B1755" s="9"/>
      <c r="C1755" s="2"/>
      <c r="D1755" s="2"/>
      <c r="I1755" s="9"/>
      <c r="J1755" s="2"/>
      <c r="L1755" s="9"/>
      <c r="M1755" s="2"/>
      <c r="N1755" s="9"/>
      <c r="P1755" s="3">
        <v>-1646.9711502800001</v>
      </c>
      <c r="S1755" s="9"/>
      <c r="T1755" s="2"/>
      <c r="U1755" s="9"/>
    </row>
    <row r="1756" spans="2:21" x14ac:dyDescent="0.35">
      <c r="B1756" s="9"/>
      <c r="C1756" s="2"/>
      <c r="D1756" s="2"/>
      <c r="I1756" s="9"/>
      <c r="J1756" s="2"/>
      <c r="L1756" s="9"/>
      <c r="M1756" s="2"/>
      <c r="N1756" s="9"/>
      <c r="P1756" s="3">
        <v>-2081.7311502799998</v>
      </c>
      <c r="S1756" s="9"/>
      <c r="T1756" s="2"/>
      <c r="U1756" s="9"/>
    </row>
    <row r="1757" spans="2:21" x14ac:dyDescent="0.35">
      <c r="B1757" s="9"/>
      <c r="C1757" s="2"/>
      <c r="D1757" s="2"/>
      <c r="I1757" s="9"/>
      <c r="J1757" s="2"/>
      <c r="L1757" s="9"/>
      <c r="M1757" s="2"/>
      <c r="N1757" s="9"/>
      <c r="P1757" s="3">
        <v>-2516.4911502800001</v>
      </c>
      <c r="S1757" s="9"/>
      <c r="T1757" s="2"/>
      <c r="U1757" s="9"/>
    </row>
    <row r="1758" spans="2:21" x14ac:dyDescent="0.35">
      <c r="B1758" s="9"/>
      <c r="C1758" s="2"/>
      <c r="D1758" s="2"/>
      <c r="I1758" s="9"/>
      <c r="J1758" s="2"/>
      <c r="L1758" s="9"/>
      <c r="M1758" s="2"/>
      <c r="N1758" s="9"/>
      <c r="P1758" s="3">
        <v>-2860.169492</v>
      </c>
      <c r="S1758" s="9"/>
      <c r="T1758" s="2"/>
      <c r="U1758" s="9"/>
    </row>
    <row r="1759" spans="2:21" x14ac:dyDescent="0.35">
      <c r="B1759" s="9"/>
      <c r="C1759" s="2"/>
      <c r="D1759" s="2"/>
      <c r="I1759" s="9"/>
      <c r="J1759" s="2"/>
      <c r="L1759" s="9"/>
      <c r="M1759" s="2"/>
      <c r="N1759" s="9"/>
      <c r="P1759" s="3">
        <v>-2860.169492</v>
      </c>
      <c r="S1759" s="9"/>
      <c r="T1759" s="2"/>
      <c r="U1759" s="9"/>
    </row>
    <row r="1760" spans="2:21" x14ac:dyDescent="0.35">
      <c r="B1760" s="9"/>
      <c r="C1760" s="2"/>
      <c r="D1760" s="2"/>
      <c r="I1760" s="9"/>
      <c r="J1760" s="2"/>
      <c r="L1760" s="9"/>
      <c r="M1760" s="2"/>
      <c r="N1760" s="9"/>
      <c r="P1760" s="3">
        <v>-2860.169492</v>
      </c>
      <c r="S1760" s="9"/>
      <c r="T1760" s="2"/>
      <c r="U1760" s="9"/>
    </row>
    <row r="1761" spans="2:21" x14ac:dyDescent="0.35">
      <c r="B1761" s="9"/>
      <c r="C1761" s="2"/>
      <c r="D1761" s="2"/>
      <c r="I1761" s="9"/>
      <c r="J1761" s="2"/>
      <c r="L1761" s="9"/>
      <c r="M1761" s="2"/>
      <c r="N1761" s="9"/>
      <c r="P1761" s="3">
        <v>-2860.169492</v>
      </c>
      <c r="S1761" s="9"/>
      <c r="T1761" s="2"/>
      <c r="U1761" s="9"/>
    </row>
    <row r="1762" spans="2:21" x14ac:dyDescent="0.35">
      <c r="B1762" s="9"/>
      <c r="C1762" s="2"/>
      <c r="D1762" s="2"/>
      <c r="I1762" s="9"/>
      <c r="J1762" s="2"/>
      <c r="L1762" s="9"/>
      <c r="M1762" s="2"/>
      <c r="N1762" s="9"/>
      <c r="P1762" s="3">
        <v>-2860.169492</v>
      </c>
      <c r="S1762" s="9"/>
      <c r="T1762" s="2"/>
      <c r="U1762" s="9"/>
    </row>
    <row r="1763" spans="2:21" x14ac:dyDescent="0.35">
      <c r="B1763" s="9"/>
      <c r="C1763" s="2"/>
      <c r="D1763" s="2"/>
      <c r="I1763" s="9"/>
      <c r="J1763" s="2"/>
      <c r="L1763" s="9"/>
      <c r="M1763" s="2"/>
      <c r="N1763" s="9"/>
      <c r="P1763" s="3">
        <v>-2860.169492</v>
      </c>
      <c r="S1763" s="9"/>
      <c r="T1763" s="2"/>
      <c r="U1763" s="9"/>
    </row>
    <row r="1764" spans="2:21" x14ac:dyDescent="0.35">
      <c r="B1764" s="9"/>
      <c r="C1764" s="2"/>
      <c r="D1764" s="2"/>
      <c r="I1764" s="9"/>
      <c r="J1764" s="2"/>
      <c r="L1764" s="9"/>
      <c r="M1764" s="2"/>
      <c r="N1764" s="9"/>
      <c r="P1764" s="3">
        <v>-2860.169492</v>
      </c>
      <c r="S1764" s="9"/>
      <c r="T1764" s="2"/>
      <c r="U1764" s="9"/>
    </row>
    <row r="1765" spans="2:21" x14ac:dyDescent="0.35">
      <c r="B1765" s="9"/>
      <c r="C1765" s="2"/>
      <c r="D1765" s="2"/>
      <c r="I1765" s="9"/>
      <c r="J1765" s="2"/>
      <c r="L1765" s="9"/>
      <c r="M1765" s="2"/>
      <c r="N1765" s="9"/>
      <c r="P1765" s="3">
        <v>-2860.169492</v>
      </c>
      <c r="S1765" s="9"/>
      <c r="T1765" s="2"/>
      <c r="U1765" s="9"/>
    </row>
    <row r="1766" spans="2:21" x14ac:dyDescent="0.35">
      <c r="B1766" s="9"/>
      <c r="C1766" s="2"/>
      <c r="D1766" s="2"/>
      <c r="I1766" s="9"/>
      <c r="J1766" s="2"/>
      <c r="L1766" s="9"/>
      <c r="M1766" s="2"/>
      <c r="N1766" s="9"/>
      <c r="P1766" s="3">
        <v>-2425.4094919999998</v>
      </c>
      <c r="S1766" s="9"/>
      <c r="T1766" s="2"/>
      <c r="U1766" s="9"/>
    </row>
    <row r="1767" spans="2:21" x14ac:dyDescent="0.35">
      <c r="B1767" s="9"/>
      <c r="C1767" s="2"/>
      <c r="D1767" s="2"/>
      <c r="I1767" s="9"/>
      <c r="J1767" s="2"/>
      <c r="L1767" s="9"/>
      <c r="M1767" s="2"/>
      <c r="N1767" s="9"/>
      <c r="P1767" s="3">
        <v>-1990.649492</v>
      </c>
      <c r="S1767" s="9"/>
      <c r="T1767" s="2"/>
      <c r="U1767" s="9"/>
    </row>
    <row r="1768" spans="2:21" x14ac:dyDescent="0.35">
      <c r="B1768" s="9"/>
      <c r="C1768" s="2"/>
      <c r="D1768" s="2"/>
      <c r="I1768" s="9"/>
      <c r="J1768" s="2"/>
      <c r="L1768" s="9"/>
      <c r="M1768" s="2"/>
      <c r="N1768" s="9"/>
      <c r="P1768" s="3">
        <v>-1555.889492</v>
      </c>
      <c r="S1768" s="9"/>
      <c r="T1768" s="2"/>
      <c r="U1768" s="9"/>
    </row>
    <row r="1769" spans="2:21" x14ac:dyDescent="0.35">
      <c r="B1769" s="9"/>
      <c r="C1769" s="2"/>
      <c r="D1769" s="2"/>
      <c r="I1769" s="9"/>
      <c r="J1769" s="2"/>
      <c r="L1769" s="9"/>
      <c r="M1769" s="2"/>
      <c r="N1769" s="9"/>
      <c r="P1769" s="3">
        <v>-1121.129492</v>
      </c>
      <c r="S1769" s="9"/>
      <c r="T1769" s="2"/>
      <c r="U1769" s="9"/>
    </row>
    <row r="1770" spans="2:21" x14ac:dyDescent="0.35">
      <c r="B1770" s="9"/>
      <c r="C1770" s="2"/>
      <c r="D1770" s="2"/>
      <c r="I1770" s="9"/>
      <c r="J1770" s="2"/>
      <c r="L1770" s="9"/>
      <c r="M1770" s="2"/>
      <c r="N1770" s="9"/>
      <c r="P1770" s="3">
        <v>-686.36949200000004</v>
      </c>
      <c r="S1770" s="9"/>
      <c r="T1770" s="2"/>
      <c r="U1770" s="9"/>
    </row>
    <row r="1771" spans="2:21" x14ac:dyDescent="0.35">
      <c r="B1771" s="9"/>
      <c r="C1771" s="2"/>
      <c r="D1771" s="2"/>
      <c r="I1771" s="9"/>
      <c r="J1771" s="2"/>
      <c r="L1771" s="9"/>
      <c r="M1771" s="2"/>
      <c r="N1771" s="9"/>
      <c r="P1771" s="3">
        <v>-251.60949199999999</v>
      </c>
      <c r="S1771" s="9"/>
      <c r="T1771" s="2"/>
      <c r="U1771" s="9"/>
    </row>
    <row r="1772" spans="2:21" x14ac:dyDescent="0.35">
      <c r="B1772" s="9"/>
      <c r="C1772" s="2"/>
      <c r="D1772" s="2"/>
      <c r="I1772" s="9"/>
      <c r="J1772" s="2"/>
      <c r="L1772" s="9"/>
      <c r="M1772" s="2"/>
      <c r="N1772" s="9"/>
      <c r="P1772" s="3">
        <v>0</v>
      </c>
      <c r="S1772" s="9"/>
      <c r="T1772" s="2"/>
      <c r="U1772" s="9"/>
    </row>
    <row r="1773" spans="2:21" x14ac:dyDescent="0.35">
      <c r="B1773" s="9"/>
      <c r="C1773" s="2"/>
      <c r="D1773" s="2"/>
      <c r="I1773" s="9"/>
      <c r="J1773" s="2"/>
      <c r="L1773" s="9"/>
      <c r="M1773" s="2"/>
      <c r="N1773" s="9"/>
      <c r="P1773" s="3">
        <v>0</v>
      </c>
      <c r="S1773" s="9"/>
      <c r="T1773" s="2"/>
      <c r="U1773" s="9"/>
    </row>
    <row r="1774" spans="2:21" x14ac:dyDescent="0.35">
      <c r="B1774" s="9"/>
      <c r="C1774" s="2"/>
      <c r="D1774" s="2"/>
      <c r="I1774" s="9"/>
      <c r="J1774" s="2"/>
      <c r="L1774" s="9"/>
      <c r="M1774" s="2"/>
      <c r="N1774" s="9"/>
      <c r="P1774" s="3">
        <v>0</v>
      </c>
      <c r="S1774" s="9"/>
      <c r="T1774" s="2"/>
      <c r="U1774" s="9"/>
    </row>
    <row r="1775" spans="2:21" x14ac:dyDescent="0.35">
      <c r="B1775" s="9"/>
      <c r="C1775" s="2"/>
      <c r="D1775" s="2"/>
      <c r="I1775" s="9"/>
      <c r="J1775" s="2"/>
      <c r="L1775" s="9"/>
      <c r="M1775" s="2"/>
      <c r="N1775" s="9"/>
      <c r="P1775" s="3">
        <v>0</v>
      </c>
      <c r="S1775" s="9"/>
      <c r="T1775" s="2"/>
      <c r="U1775" s="9"/>
    </row>
    <row r="1776" spans="2:21" x14ac:dyDescent="0.35">
      <c r="B1776" s="9"/>
      <c r="C1776" s="2"/>
      <c r="D1776" s="2"/>
      <c r="I1776" s="9"/>
      <c r="J1776" s="2"/>
      <c r="L1776" s="9"/>
      <c r="M1776" s="2"/>
      <c r="N1776" s="9"/>
      <c r="P1776" s="3">
        <v>0</v>
      </c>
      <c r="S1776" s="9"/>
      <c r="T1776" s="2"/>
      <c r="U1776" s="9"/>
    </row>
    <row r="1777" spans="2:21" x14ac:dyDescent="0.35">
      <c r="B1777" s="9"/>
      <c r="C1777" s="2"/>
      <c r="D1777" s="2"/>
      <c r="I1777" s="9"/>
      <c r="J1777" s="2"/>
      <c r="L1777" s="9"/>
      <c r="M1777" s="2"/>
      <c r="N1777" s="9"/>
      <c r="P1777" s="3">
        <v>0</v>
      </c>
      <c r="S1777" s="9"/>
      <c r="T1777" s="2"/>
      <c r="U1777" s="9"/>
    </row>
    <row r="1778" spans="2:21" x14ac:dyDescent="0.35">
      <c r="B1778" s="9"/>
      <c r="C1778" s="2"/>
      <c r="D1778" s="2"/>
      <c r="I1778" s="9"/>
      <c r="J1778" s="2"/>
      <c r="L1778" s="9"/>
      <c r="M1778" s="2"/>
      <c r="N1778" s="9"/>
      <c r="P1778" s="3">
        <v>0</v>
      </c>
      <c r="S1778" s="9"/>
      <c r="T1778" s="2"/>
      <c r="U1778" s="9"/>
    </row>
    <row r="1779" spans="2:21" x14ac:dyDescent="0.35">
      <c r="B1779" s="9"/>
      <c r="C1779" s="2"/>
      <c r="D1779" s="2"/>
      <c r="I1779" s="9"/>
      <c r="J1779" s="2"/>
      <c r="L1779" s="9"/>
      <c r="M1779" s="2"/>
      <c r="N1779" s="9"/>
      <c r="P1779" s="3">
        <v>0</v>
      </c>
      <c r="S1779" s="9"/>
      <c r="T1779" s="2"/>
      <c r="U1779" s="9"/>
    </row>
    <row r="1780" spans="2:21" x14ac:dyDescent="0.35">
      <c r="B1780" s="9"/>
      <c r="C1780" s="2"/>
      <c r="D1780" s="2"/>
      <c r="I1780" s="9"/>
      <c r="J1780" s="2"/>
      <c r="L1780" s="9"/>
      <c r="M1780" s="2"/>
      <c r="N1780" s="9"/>
      <c r="P1780" s="3">
        <v>0</v>
      </c>
      <c r="S1780" s="9"/>
      <c r="T1780" s="2"/>
      <c r="U1780" s="9"/>
    </row>
    <row r="1781" spans="2:21" x14ac:dyDescent="0.35">
      <c r="B1781" s="9"/>
      <c r="C1781" s="2"/>
      <c r="D1781" s="2"/>
      <c r="I1781" s="9"/>
      <c r="J1781" s="2"/>
      <c r="L1781" s="9"/>
      <c r="M1781" s="2"/>
      <c r="N1781" s="9"/>
      <c r="P1781" s="3">
        <v>0</v>
      </c>
      <c r="S1781" s="9"/>
      <c r="T1781" s="2"/>
      <c r="U1781" s="9"/>
    </row>
    <row r="1782" spans="2:21" x14ac:dyDescent="0.35">
      <c r="B1782" s="9"/>
      <c r="C1782" s="2"/>
      <c r="D1782" s="2"/>
      <c r="I1782" s="9"/>
      <c r="J1782" s="2"/>
      <c r="L1782" s="9"/>
      <c r="M1782" s="2"/>
      <c r="N1782" s="9"/>
      <c r="P1782" s="3">
        <v>0</v>
      </c>
      <c r="S1782" s="9"/>
      <c r="T1782" s="2"/>
      <c r="U1782" s="9"/>
    </row>
    <row r="1783" spans="2:21" x14ac:dyDescent="0.35">
      <c r="B1783" s="9"/>
      <c r="C1783" s="2"/>
      <c r="D1783" s="2"/>
      <c r="I1783" s="9"/>
      <c r="J1783" s="2"/>
      <c r="L1783" s="9"/>
      <c r="M1783" s="2"/>
      <c r="N1783" s="9"/>
      <c r="P1783" s="3">
        <v>0</v>
      </c>
      <c r="S1783" s="9"/>
      <c r="T1783" s="2"/>
      <c r="U1783" s="9"/>
    </row>
    <row r="1784" spans="2:21" x14ac:dyDescent="0.35">
      <c r="B1784" s="9"/>
      <c r="C1784" s="2"/>
      <c r="D1784" s="2"/>
      <c r="I1784" s="9"/>
      <c r="J1784" s="2"/>
      <c r="L1784" s="9"/>
      <c r="M1784" s="2"/>
      <c r="N1784" s="9"/>
      <c r="P1784" s="3">
        <v>0</v>
      </c>
      <c r="S1784" s="9"/>
      <c r="T1784" s="2"/>
      <c r="U1784" s="9"/>
    </row>
    <row r="1785" spans="2:21" x14ac:dyDescent="0.35">
      <c r="B1785" s="9"/>
      <c r="C1785" s="2"/>
      <c r="D1785" s="2"/>
      <c r="I1785" s="9"/>
      <c r="J1785" s="2"/>
      <c r="L1785" s="9"/>
      <c r="M1785" s="2"/>
      <c r="N1785" s="9"/>
      <c r="P1785" s="3">
        <v>0</v>
      </c>
      <c r="S1785" s="9"/>
      <c r="T1785" s="2"/>
      <c r="U1785" s="9"/>
    </row>
    <row r="1786" spans="2:21" x14ac:dyDescent="0.35">
      <c r="B1786" s="9"/>
      <c r="C1786" s="2"/>
      <c r="D1786" s="2"/>
      <c r="I1786" s="9"/>
      <c r="J1786" s="2"/>
      <c r="L1786" s="9"/>
      <c r="M1786" s="2"/>
      <c r="N1786" s="9"/>
      <c r="P1786" s="3">
        <v>0</v>
      </c>
      <c r="S1786" s="9"/>
      <c r="T1786" s="2"/>
      <c r="U1786" s="9"/>
    </row>
    <row r="1787" spans="2:21" x14ac:dyDescent="0.35">
      <c r="B1787" s="9"/>
      <c r="C1787" s="2"/>
      <c r="D1787" s="2"/>
      <c r="I1787" s="9"/>
      <c r="J1787" s="2"/>
      <c r="L1787" s="9"/>
      <c r="M1787" s="2"/>
      <c r="N1787" s="9"/>
      <c r="P1787" s="3">
        <v>0</v>
      </c>
      <c r="S1787" s="9"/>
      <c r="T1787" s="2"/>
      <c r="U1787" s="9"/>
    </row>
    <row r="1788" spans="2:21" x14ac:dyDescent="0.35">
      <c r="B1788" s="9"/>
      <c r="C1788" s="2"/>
      <c r="D1788" s="2"/>
      <c r="I1788" s="9"/>
      <c r="J1788" s="2"/>
      <c r="L1788" s="9"/>
      <c r="M1788" s="2"/>
      <c r="N1788" s="9"/>
      <c r="P1788" s="3">
        <v>0</v>
      </c>
      <c r="S1788" s="9"/>
      <c r="T1788" s="2"/>
      <c r="U1788" s="9"/>
    </row>
    <row r="1789" spans="2:21" x14ac:dyDescent="0.35">
      <c r="B1789" s="9"/>
      <c r="C1789" s="2"/>
      <c r="D1789" s="2"/>
      <c r="I1789" s="9"/>
      <c r="J1789" s="2"/>
      <c r="L1789" s="9"/>
      <c r="M1789" s="2"/>
      <c r="N1789" s="9"/>
      <c r="P1789" s="3">
        <v>0</v>
      </c>
      <c r="S1789" s="9"/>
      <c r="T1789" s="2"/>
      <c r="U1789" s="9"/>
    </row>
    <row r="1790" spans="2:21" x14ac:dyDescent="0.35">
      <c r="B1790" s="9"/>
      <c r="C1790" s="2"/>
      <c r="D1790" s="2"/>
      <c r="I1790" s="9"/>
      <c r="J1790" s="2"/>
      <c r="L1790" s="9"/>
      <c r="M1790" s="2"/>
      <c r="N1790" s="9"/>
      <c r="P1790" s="3">
        <v>0</v>
      </c>
      <c r="S1790" s="9"/>
      <c r="T1790" s="2"/>
      <c r="U1790" s="9"/>
    </row>
    <row r="1791" spans="2:21" x14ac:dyDescent="0.35">
      <c r="B1791" s="9"/>
      <c r="C1791" s="2"/>
      <c r="D1791" s="2"/>
      <c r="I1791" s="9"/>
      <c r="J1791" s="2"/>
      <c r="L1791" s="9"/>
      <c r="M1791" s="2"/>
      <c r="N1791" s="9"/>
      <c r="P1791" s="3">
        <v>0</v>
      </c>
      <c r="S1791" s="9"/>
      <c r="T1791" s="2"/>
      <c r="U1791" s="9"/>
    </row>
    <row r="1792" spans="2:21" x14ac:dyDescent="0.35">
      <c r="B1792" s="9"/>
      <c r="C1792" s="2"/>
      <c r="D1792" s="2"/>
      <c r="I1792" s="9"/>
      <c r="J1792" s="2"/>
      <c r="L1792" s="9"/>
      <c r="M1792" s="2"/>
      <c r="N1792" s="9"/>
      <c r="P1792" s="3">
        <v>0</v>
      </c>
      <c r="S1792" s="9"/>
      <c r="T1792" s="2"/>
      <c r="U1792" s="9"/>
    </row>
    <row r="1793" spans="2:21" x14ac:dyDescent="0.35">
      <c r="B1793" s="9"/>
      <c r="C1793" s="2"/>
      <c r="D1793" s="2"/>
      <c r="I1793" s="9"/>
      <c r="J1793" s="2"/>
      <c r="L1793" s="9"/>
      <c r="M1793" s="2"/>
      <c r="N1793" s="9"/>
      <c r="P1793" s="3">
        <v>0</v>
      </c>
      <c r="S1793" s="9"/>
      <c r="T1793" s="2"/>
      <c r="U1793" s="9"/>
    </row>
    <row r="1794" spans="2:21" x14ac:dyDescent="0.35">
      <c r="B1794" s="9"/>
      <c r="C1794" s="2"/>
      <c r="D1794" s="2"/>
      <c r="I1794" s="9"/>
      <c r="J1794" s="2"/>
      <c r="L1794" s="9"/>
      <c r="M1794" s="2"/>
      <c r="N1794" s="9"/>
      <c r="P1794" s="3">
        <v>0</v>
      </c>
      <c r="S1794" s="9"/>
      <c r="T1794" s="2"/>
      <c r="U1794" s="9"/>
    </row>
    <row r="1795" spans="2:21" x14ac:dyDescent="0.35">
      <c r="B1795" s="9"/>
      <c r="C1795" s="2"/>
      <c r="D1795" s="2"/>
      <c r="I1795" s="9"/>
      <c r="J1795" s="2"/>
      <c r="L1795" s="9"/>
      <c r="M1795" s="2"/>
      <c r="N1795" s="9"/>
      <c r="P1795" s="3">
        <v>0</v>
      </c>
      <c r="S1795" s="9"/>
      <c r="T1795" s="2"/>
      <c r="U1795" s="9"/>
    </row>
    <row r="1796" spans="2:21" x14ac:dyDescent="0.35">
      <c r="B1796" s="9"/>
      <c r="C1796" s="2"/>
      <c r="D1796" s="2"/>
      <c r="I1796" s="9"/>
      <c r="J1796" s="2"/>
      <c r="L1796" s="9"/>
      <c r="M1796" s="2"/>
      <c r="N1796" s="9"/>
      <c r="P1796" s="3">
        <v>0</v>
      </c>
      <c r="S1796" s="9"/>
      <c r="T1796" s="2"/>
      <c r="U1796" s="9"/>
    </row>
    <row r="1797" spans="2:21" x14ac:dyDescent="0.35">
      <c r="B1797" s="9"/>
      <c r="C1797" s="2"/>
      <c r="D1797" s="2"/>
      <c r="I1797" s="9"/>
      <c r="J1797" s="2"/>
      <c r="L1797" s="9"/>
      <c r="M1797" s="2"/>
      <c r="N1797" s="9"/>
      <c r="P1797" s="3">
        <v>0</v>
      </c>
      <c r="S1797" s="9"/>
      <c r="T1797" s="2"/>
      <c r="U1797" s="9"/>
    </row>
    <row r="1798" spans="2:21" x14ac:dyDescent="0.35">
      <c r="B1798" s="9"/>
      <c r="C1798" s="2"/>
      <c r="D1798" s="2"/>
      <c r="I1798" s="9"/>
      <c r="J1798" s="2"/>
      <c r="L1798" s="9"/>
      <c r="M1798" s="2"/>
      <c r="N1798" s="9"/>
      <c r="P1798" s="3">
        <v>0</v>
      </c>
      <c r="S1798" s="9"/>
      <c r="T1798" s="2"/>
      <c r="U1798" s="9"/>
    </row>
    <row r="1799" spans="2:21" x14ac:dyDescent="0.35">
      <c r="B1799" s="9"/>
      <c r="C1799" s="2"/>
      <c r="D1799" s="2"/>
      <c r="I1799" s="9"/>
      <c r="J1799" s="2"/>
      <c r="L1799" s="9"/>
      <c r="M1799" s="2"/>
      <c r="N1799" s="9"/>
      <c r="P1799" s="3">
        <v>-434.76</v>
      </c>
      <c r="S1799" s="9"/>
      <c r="T1799" s="2"/>
      <c r="U1799" s="9"/>
    </row>
    <row r="1800" spans="2:21" x14ac:dyDescent="0.35">
      <c r="B1800" s="9"/>
      <c r="C1800" s="2"/>
      <c r="D1800" s="2"/>
      <c r="I1800" s="9"/>
      <c r="J1800" s="2"/>
      <c r="L1800" s="9"/>
      <c r="M1800" s="2"/>
      <c r="N1800" s="9"/>
      <c r="P1800" s="3">
        <v>-869.52</v>
      </c>
      <c r="S1800" s="9"/>
      <c r="T1800" s="2"/>
      <c r="U1800" s="9"/>
    </row>
    <row r="1801" spans="2:21" x14ac:dyDescent="0.35">
      <c r="B1801" s="9"/>
      <c r="C1801" s="2"/>
      <c r="D1801" s="2"/>
      <c r="I1801" s="9"/>
      <c r="J1801" s="2"/>
      <c r="L1801" s="9"/>
      <c r="M1801" s="2"/>
      <c r="N1801" s="9"/>
      <c r="P1801" s="3">
        <v>-1304.28</v>
      </c>
      <c r="S1801" s="9"/>
      <c r="T1801" s="2"/>
      <c r="U1801" s="9"/>
    </row>
    <row r="1802" spans="2:21" x14ac:dyDescent="0.35">
      <c r="B1802" s="9"/>
      <c r="C1802" s="2"/>
      <c r="D1802" s="2"/>
      <c r="I1802" s="9"/>
      <c r="J1802" s="2"/>
      <c r="L1802" s="9"/>
      <c r="M1802" s="2"/>
      <c r="N1802" s="9"/>
      <c r="P1802" s="3">
        <v>-1739.04</v>
      </c>
      <c r="S1802" s="9"/>
      <c r="T1802" s="2"/>
      <c r="U1802" s="9"/>
    </row>
    <row r="1803" spans="2:21" x14ac:dyDescent="0.35">
      <c r="B1803" s="9"/>
      <c r="C1803" s="2"/>
      <c r="D1803" s="2"/>
      <c r="I1803" s="9"/>
      <c r="J1803" s="2"/>
      <c r="L1803" s="9"/>
      <c r="M1803" s="2"/>
      <c r="N1803" s="9"/>
      <c r="P1803" s="3">
        <v>-2173.8000000000002</v>
      </c>
      <c r="S1803" s="9"/>
      <c r="T1803" s="2"/>
      <c r="U1803" s="9"/>
    </row>
    <row r="1804" spans="2:21" x14ac:dyDescent="0.35">
      <c r="B1804" s="9"/>
      <c r="C1804" s="2"/>
      <c r="D1804" s="2"/>
      <c r="I1804" s="9"/>
      <c r="J1804" s="2"/>
      <c r="L1804" s="9"/>
      <c r="M1804" s="2"/>
      <c r="N1804" s="9"/>
      <c r="P1804" s="3">
        <v>-2608.56</v>
      </c>
      <c r="S1804" s="9"/>
      <c r="T1804" s="2"/>
      <c r="U1804" s="9"/>
    </row>
    <row r="1805" spans="2:21" x14ac:dyDescent="0.35">
      <c r="B1805" s="9"/>
      <c r="C1805" s="2"/>
      <c r="D1805" s="2"/>
      <c r="I1805" s="9"/>
      <c r="J1805" s="2"/>
      <c r="L1805" s="9"/>
      <c r="M1805" s="2"/>
      <c r="N1805" s="9"/>
      <c r="P1805" s="3">
        <v>-2860.169492</v>
      </c>
      <c r="S1805" s="9"/>
      <c r="T1805" s="2"/>
      <c r="U1805" s="9"/>
    </row>
    <row r="1806" spans="2:21" x14ac:dyDescent="0.35">
      <c r="B1806" s="9"/>
      <c r="C1806" s="2"/>
      <c r="D1806" s="2"/>
      <c r="I1806" s="9"/>
      <c r="J1806" s="2"/>
      <c r="L1806" s="9"/>
      <c r="M1806" s="2"/>
      <c r="N1806" s="9"/>
      <c r="P1806" s="3">
        <v>-2425.4094919999998</v>
      </c>
      <c r="S1806" s="9"/>
      <c r="T1806" s="2"/>
      <c r="U1806" s="9"/>
    </row>
    <row r="1807" spans="2:21" x14ac:dyDescent="0.35">
      <c r="B1807" s="9"/>
      <c r="C1807" s="2"/>
      <c r="D1807" s="2"/>
      <c r="I1807" s="9"/>
      <c r="J1807" s="2"/>
      <c r="L1807" s="9"/>
      <c r="M1807" s="2"/>
      <c r="N1807" s="9"/>
      <c r="P1807" s="3">
        <v>-1990.649492</v>
      </c>
      <c r="S1807" s="9"/>
      <c r="T1807" s="2"/>
      <c r="U1807" s="9"/>
    </row>
    <row r="1808" spans="2:21" x14ac:dyDescent="0.35">
      <c r="B1808" s="9"/>
      <c r="C1808" s="2"/>
      <c r="D1808" s="2"/>
      <c r="I1808" s="9"/>
      <c r="J1808" s="2"/>
      <c r="L1808" s="9"/>
      <c r="M1808" s="2"/>
      <c r="N1808" s="9"/>
      <c r="P1808" s="3">
        <v>-1555.889492</v>
      </c>
      <c r="S1808" s="9"/>
      <c r="T1808" s="2"/>
      <c r="U1808" s="9"/>
    </row>
    <row r="1809" spans="2:21" x14ac:dyDescent="0.35">
      <c r="B1809" s="9"/>
      <c r="C1809" s="2"/>
      <c r="D1809" s="2"/>
      <c r="I1809" s="9"/>
      <c r="J1809" s="2"/>
      <c r="L1809" s="9"/>
      <c r="M1809" s="2"/>
      <c r="N1809" s="9"/>
      <c r="P1809" s="3">
        <v>-1121.129492</v>
      </c>
      <c r="S1809" s="9"/>
      <c r="T1809" s="2"/>
      <c r="U1809" s="9"/>
    </row>
    <row r="1810" spans="2:21" x14ac:dyDescent="0.35">
      <c r="B1810" s="9"/>
      <c r="C1810" s="2"/>
      <c r="D1810" s="2"/>
      <c r="I1810" s="9"/>
      <c r="J1810" s="2"/>
      <c r="L1810" s="9"/>
      <c r="M1810" s="2"/>
      <c r="N1810" s="9"/>
      <c r="P1810" s="3">
        <v>-686.36949200000004</v>
      </c>
      <c r="S1810" s="9"/>
      <c r="T1810" s="2"/>
      <c r="U1810" s="9"/>
    </row>
    <row r="1811" spans="2:21" x14ac:dyDescent="0.35">
      <c r="B1811" s="9"/>
      <c r="C1811" s="2"/>
      <c r="D1811" s="2"/>
      <c r="I1811" s="9"/>
      <c r="J1811" s="2"/>
      <c r="L1811" s="9"/>
      <c r="M1811" s="2"/>
      <c r="N1811" s="9"/>
      <c r="P1811" s="3">
        <v>-251.60949199999999</v>
      </c>
      <c r="S1811" s="9"/>
      <c r="T1811" s="2"/>
      <c r="U1811" s="9"/>
    </row>
    <row r="1812" spans="2:21" x14ac:dyDescent="0.35">
      <c r="B1812" s="9"/>
      <c r="C1812" s="2"/>
      <c r="D1812" s="2"/>
      <c r="I1812" s="9"/>
      <c r="J1812" s="2"/>
      <c r="L1812" s="9"/>
      <c r="M1812" s="2"/>
      <c r="N1812" s="9"/>
      <c r="P1812" s="3">
        <v>0</v>
      </c>
      <c r="S1812" s="9"/>
      <c r="T1812" s="2"/>
      <c r="U1812" s="9"/>
    </row>
    <row r="1813" spans="2:21" x14ac:dyDescent="0.35">
      <c r="B1813" s="9"/>
      <c r="C1813" s="2"/>
      <c r="D1813" s="2"/>
      <c r="I1813" s="9"/>
      <c r="J1813" s="2"/>
      <c r="L1813" s="9"/>
      <c r="M1813" s="2"/>
      <c r="N1813" s="9"/>
      <c r="P1813" s="3">
        <v>0</v>
      </c>
      <c r="S1813" s="9"/>
      <c r="T1813" s="2"/>
      <c r="U1813" s="9"/>
    </row>
    <row r="1814" spans="2:21" x14ac:dyDescent="0.35">
      <c r="B1814" s="9"/>
      <c r="C1814" s="2"/>
      <c r="D1814" s="2"/>
      <c r="I1814" s="9"/>
      <c r="J1814" s="2"/>
      <c r="L1814" s="9"/>
      <c r="M1814" s="2"/>
      <c r="N1814" s="9"/>
      <c r="P1814" s="3">
        <v>0</v>
      </c>
      <c r="S1814" s="9"/>
      <c r="T1814" s="2"/>
      <c r="U1814" s="9"/>
    </row>
    <row r="1815" spans="2:21" x14ac:dyDescent="0.35">
      <c r="B1815" s="9"/>
      <c r="C1815" s="2"/>
      <c r="D1815" s="2"/>
      <c r="I1815" s="9"/>
      <c r="J1815" s="2"/>
      <c r="L1815" s="9"/>
      <c r="M1815" s="2"/>
      <c r="N1815" s="9"/>
      <c r="P1815" s="3">
        <v>0</v>
      </c>
      <c r="S1815" s="9"/>
      <c r="T1815" s="2"/>
      <c r="U1815" s="9"/>
    </row>
    <row r="1816" spans="2:21" x14ac:dyDescent="0.35">
      <c r="B1816" s="9"/>
      <c r="C1816" s="2"/>
      <c r="D1816" s="2"/>
      <c r="I1816" s="9"/>
      <c r="J1816" s="2"/>
      <c r="L1816" s="9"/>
      <c r="M1816" s="2"/>
      <c r="N1816" s="9"/>
      <c r="P1816" s="3">
        <v>0</v>
      </c>
      <c r="S1816" s="9"/>
      <c r="T1816" s="2"/>
      <c r="U1816" s="9"/>
    </row>
    <row r="1817" spans="2:21" x14ac:dyDescent="0.35">
      <c r="B1817" s="9"/>
      <c r="C1817" s="2"/>
      <c r="D1817" s="2"/>
      <c r="I1817" s="9"/>
      <c r="J1817" s="2"/>
      <c r="L1817" s="9"/>
      <c r="M1817" s="2"/>
      <c r="N1817" s="9"/>
      <c r="P1817" s="3">
        <v>0</v>
      </c>
      <c r="S1817" s="9"/>
      <c r="T1817" s="2"/>
      <c r="U1817" s="9"/>
    </row>
    <row r="1818" spans="2:21" x14ac:dyDescent="0.35">
      <c r="B1818" s="9"/>
      <c r="C1818" s="2"/>
      <c r="D1818" s="2"/>
      <c r="I1818" s="9"/>
      <c r="J1818" s="2"/>
      <c r="L1818" s="9"/>
      <c r="M1818" s="2"/>
      <c r="N1818" s="9"/>
      <c r="P1818" s="3">
        <v>-251.60949199999999</v>
      </c>
      <c r="S1818" s="9"/>
      <c r="T1818" s="2"/>
      <c r="U1818" s="9"/>
    </row>
    <row r="1819" spans="2:21" x14ac:dyDescent="0.35">
      <c r="B1819" s="9"/>
      <c r="C1819" s="2"/>
      <c r="D1819" s="2"/>
      <c r="I1819" s="9"/>
      <c r="J1819" s="2"/>
      <c r="L1819" s="9"/>
      <c r="M1819" s="2"/>
      <c r="N1819" s="9"/>
      <c r="P1819" s="3">
        <v>-686.36949200000004</v>
      </c>
      <c r="S1819" s="9"/>
      <c r="T1819" s="2"/>
      <c r="U1819" s="9"/>
    </row>
    <row r="1820" spans="2:21" x14ac:dyDescent="0.35">
      <c r="B1820" s="9"/>
      <c r="C1820" s="2"/>
      <c r="D1820" s="2"/>
      <c r="I1820" s="9"/>
      <c r="J1820" s="2"/>
      <c r="L1820" s="9"/>
      <c r="M1820" s="2"/>
      <c r="N1820" s="9"/>
      <c r="P1820" s="3">
        <v>-1121.129492</v>
      </c>
      <c r="S1820" s="9"/>
      <c r="T1820" s="2"/>
      <c r="U1820" s="9"/>
    </row>
    <row r="1821" spans="2:21" x14ac:dyDescent="0.35">
      <c r="B1821" s="9"/>
      <c r="C1821" s="2"/>
      <c r="D1821" s="2"/>
      <c r="I1821" s="9"/>
      <c r="J1821" s="2"/>
      <c r="L1821" s="9"/>
      <c r="M1821" s="2"/>
      <c r="N1821" s="9"/>
      <c r="P1821" s="3">
        <v>-1555.889492</v>
      </c>
      <c r="S1821" s="9"/>
      <c r="T1821" s="2"/>
      <c r="U1821" s="9"/>
    </row>
    <row r="1822" spans="2:21" x14ac:dyDescent="0.35">
      <c r="B1822" s="9"/>
      <c r="C1822" s="2"/>
      <c r="D1822" s="2"/>
      <c r="I1822" s="9"/>
      <c r="J1822" s="2"/>
      <c r="L1822" s="9"/>
      <c r="M1822" s="2"/>
      <c r="N1822" s="9"/>
      <c r="P1822" s="3">
        <v>-1990.649492</v>
      </c>
      <c r="S1822" s="9"/>
      <c r="T1822" s="2"/>
      <c r="U1822" s="9"/>
    </row>
    <row r="1823" spans="2:21" x14ac:dyDescent="0.35">
      <c r="B1823" s="9"/>
      <c r="C1823" s="2"/>
      <c r="D1823" s="2"/>
      <c r="I1823" s="9"/>
      <c r="J1823" s="2"/>
      <c r="L1823" s="9"/>
      <c r="M1823" s="2"/>
      <c r="N1823" s="9"/>
      <c r="P1823" s="3">
        <v>-2425.4094919999998</v>
      </c>
      <c r="S1823" s="9"/>
      <c r="T1823" s="2"/>
      <c r="U1823" s="9"/>
    </row>
    <row r="1824" spans="2:21" x14ac:dyDescent="0.35">
      <c r="B1824" s="9"/>
      <c r="C1824" s="2"/>
      <c r="D1824" s="2"/>
      <c r="I1824" s="9"/>
      <c r="J1824" s="2"/>
      <c r="L1824" s="9"/>
      <c r="M1824" s="2"/>
      <c r="N1824" s="9"/>
      <c r="P1824" s="3">
        <v>-2860.169492</v>
      </c>
      <c r="S1824" s="9"/>
      <c r="T1824" s="2"/>
      <c r="U1824" s="9"/>
    </row>
    <row r="1825" spans="2:21" x14ac:dyDescent="0.35">
      <c r="B1825" s="9"/>
      <c r="C1825" s="2"/>
      <c r="D1825" s="2"/>
      <c r="I1825" s="9"/>
      <c r="J1825" s="2"/>
      <c r="L1825" s="9"/>
      <c r="M1825" s="2"/>
      <c r="N1825" s="9"/>
      <c r="P1825" s="3">
        <v>-2860.169492</v>
      </c>
      <c r="S1825" s="9"/>
      <c r="T1825" s="2"/>
      <c r="U1825" s="9"/>
    </row>
    <row r="1826" spans="2:21" x14ac:dyDescent="0.35">
      <c r="B1826" s="9"/>
      <c r="C1826" s="2"/>
      <c r="D1826" s="2"/>
      <c r="I1826" s="9"/>
      <c r="J1826" s="2"/>
      <c r="L1826" s="9"/>
      <c r="M1826" s="2"/>
      <c r="N1826" s="9"/>
      <c r="P1826" s="3">
        <v>-2860.169492</v>
      </c>
      <c r="S1826" s="9"/>
      <c r="T1826" s="2"/>
      <c r="U1826" s="9"/>
    </row>
    <row r="1827" spans="2:21" x14ac:dyDescent="0.35">
      <c r="B1827" s="9"/>
      <c r="C1827" s="2"/>
      <c r="D1827" s="2"/>
      <c r="I1827" s="9"/>
      <c r="J1827" s="2"/>
      <c r="L1827" s="9"/>
      <c r="M1827" s="2"/>
      <c r="N1827" s="9"/>
      <c r="P1827" s="3">
        <v>-2860.169492</v>
      </c>
      <c r="S1827" s="9"/>
      <c r="T1827" s="2"/>
      <c r="U1827" s="9"/>
    </row>
    <row r="1828" spans="2:21" x14ac:dyDescent="0.35">
      <c r="B1828" s="9"/>
      <c r="C1828" s="2"/>
      <c r="D1828" s="2"/>
      <c r="I1828" s="9"/>
      <c r="J1828" s="2"/>
      <c r="L1828" s="9"/>
      <c r="M1828" s="2"/>
      <c r="N1828" s="9"/>
      <c r="P1828" s="3">
        <v>-2860.169492</v>
      </c>
      <c r="S1828" s="9"/>
      <c r="T1828" s="2"/>
      <c r="U1828" s="9"/>
    </row>
    <row r="1829" spans="2:21" x14ac:dyDescent="0.35">
      <c r="B1829" s="9"/>
      <c r="C1829" s="2"/>
      <c r="D1829" s="2"/>
      <c r="I1829" s="9"/>
      <c r="J1829" s="2"/>
      <c r="L1829" s="9"/>
      <c r="M1829" s="2"/>
      <c r="N1829" s="9"/>
      <c r="P1829" s="3">
        <v>-2860.169492</v>
      </c>
      <c r="S1829" s="9"/>
      <c r="T1829" s="2"/>
      <c r="U1829" s="9"/>
    </row>
    <row r="1830" spans="2:21" x14ac:dyDescent="0.35">
      <c r="B1830" s="9"/>
      <c r="C1830" s="2"/>
      <c r="D1830" s="2"/>
      <c r="I1830" s="9"/>
      <c r="J1830" s="2"/>
      <c r="L1830" s="9"/>
      <c r="M1830" s="2"/>
      <c r="N1830" s="9"/>
      <c r="P1830" s="3">
        <v>-2860.169492</v>
      </c>
      <c r="S1830" s="9"/>
      <c r="T1830" s="2"/>
      <c r="U1830" s="9"/>
    </row>
    <row r="1831" spans="2:21" x14ac:dyDescent="0.35">
      <c r="B1831" s="9"/>
      <c r="C1831" s="2"/>
      <c r="D1831" s="2"/>
      <c r="I1831" s="9"/>
      <c r="J1831" s="2"/>
      <c r="L1831" s="9"/>
      <c r="M1831" s="2"/>
      <c r="N1831" s="9"/>
      <c r="P1831" s="3">
        <v>-2860.169492</v>
      </c>
      <c r="S1831" s="9"/>
      <c r="T1831" s="2"/>
      <c r="U1831" s="9"/>
    </row>
    <row r="1832" spans="2:21" x14ac:dyDescent="0.35">
      <c r="B1832" s="9"/>
      <c r="C1832" s="2"/>
      <c r="D1832" s="2"/>
      <c r="I1832" s="9"/>
      <c r="J1832" s="2"/>
      <c r="L1832" s="9"/>
      <c r="M1832" s="2"/>
      <c r="N1832" s="9"/>
      <c r="P1832" s="3">
        <v>-2860.169492</v>
      </c>
      <c r="S1832" s="9"/>
      <c r="T1832" s="2"/>
      <c r="U1832" s="9"/>
    </row>
    <row r="1833" spans="2:21" x14ac:dyDescent="0.35">
      <c r="B1833" s="9"/>
      <c r="C1833" s="2"/>
      <c r="D1833" s="2"/>
      <c r="I1833" s="9"/>
      <c r="J1833" s="2"/>
      <c r="L1833" s="9"/>
      <c r="M1833" s="2"/>
      <c r="N1833" s="9"/>
      <c r="P1833" s="3">
        <v>-2860.169492</v>
      </c>
      <c r="S1833" s="9"/>
      <c r="T1833" s="2"/>
      <c r="U1833" s="9"/>
    </row>
    <row r="1834" spans="2:21" x14ac:dyDescent="0.35">
      <c r="B1834" s="9"/>
      <c r="C1834" s="2"/>
      <c r="D1834" s="2"/>
      <c r="I1834" s="9"/>
      <c r="J1834" s="2"/>
      <c r="L1834" s="9"/>
      <c r="M1834" s="2"/>
      <c r="N1834" s="9"/>
      <c r="P1834" s="3">
        <v>-2860.169492</v>
      </c>
      <c r="S1834" s="9"/>
      <c r="T1834" s="2"/>
      <c r="U1834" s="9"/>
    </row>
    <row r="1835" spans="2:21" x14ac:dyDescent="0.35">
      <c r="B1835" s="9"/>
      <c r="C1835" s="2"/>
      <c r="D1835" s="2"/>
      <c r="I1835" s="9"/>
      <c r="J1835" s="2"/>
      <c r="L1835" s="9"/>
      <c r="M1835" s="2"/>
      <c r="N1835" s="9"/>
      <c r="P1835" s="3">
        <v>-2860.169492</v>
      </c>
      <c r="S1835" s="9"/>
      <c r="T1835" s="2"/>
      <c r="U1835" s="9"/>
    </row>
    <row r="1836" spans="2:21" x14ac:dyDescent="0.35">
      <c r="B1836" s="9"/>
      <c r="C1836" s="2"/>
      <c r="D1836" s="2"/>
      <c r="I1836" s="9"/>
      <c r="J1836" s="2"/>
      <c r="L1836" s="9"/>
      <c r="M1836" s="2"/>
      <c r="N1836" s="9"/>
      <c r="P1836" s="3">
        <v>-2860.169492</v>
      </c>
      <c r="S1836" s="9"/>
      <c r="T1836" s="2"/>
      <c r="U1836" s="9"/>
    </row>
    <row r="1837" spans="2:21" x14ac:dyDescent="0.35">
      <c r="B1837" s="9"/>
      <c r="C1837" s="2"/>
      <c r="D1837" s="2"/>
      <c r="I1837" s="9"/>
      <c r="J1837" s="2"/>
      <c r="L1837" s="9"/>
      <c r="M1837" s="2"/>
      <c r="N1837" s="9"/>
      <c r="P1837" s="3">
        <v>-2860.169492</v>
      </c>
      <c r="S1837" s="9"/>
      <c r="T1837" s="2"/>
      <c r="U1837" s="9"/>
    </row>
    <row r="1838" spans="2:21" x14ac:dyDescent="0.35">
      <c r="B1838" s="9"/>
      <c r="C1838" s="2"/>
      <c r="D1838" s="2"/>
      <c r="I1838" s="9"/>
      <c r="J1838" s="2"/>
      <c r="L1838" s="9"/>
      <c r="M1838" s="2"/>
      <c r="N1838" s="9"/>
      <c r="P1838" s="3">
        <v>-2860.169492</v>
      </c>
      <c r="S1838" s="9"/>
      <c r="T1838" s="2"/>
      <c r="U1838" s="9"/>
    </row>
    <row r="1839" spans="2:21" x14ac:dyDescent="0.35">
      <c r="B1839" s="9"/>
      <c r="C1839" s="2"/>
      <c r="D1839" s="2"/>
      <c r="I1839" s="9"/>
      <c r="J1839" s="2"/>
      <c r="L1839" s="9"/>
      <c r="M1839" s="2"/>
      <c r="N1839" s="9"/>
      <c r="P1839" s="3">
        <v>-2425.4094919999998</v>
      </c>
      <c r="S1839" s="9"/>
      <c r="T1839" s="2"/>
      <c r="U1839" s="9"/>
    </row>
    <row r="1840" spans="2:21" x14ac:dyDescent="0.35">
      <c r="B1840" s="9"/>
      <c r="C1840" s="2"/>
      <c r="D1840" s="2"/>
      <c r="I1840" s="9"/>
      <c r="J1840" s="2"/>
      <c r="L1840" s="9"/>
      <c r="M1840" s="2"/>
      <c r="N1840" s="9"/>
      <c r="P1840" s="3">
        <v>-1990.649492</v>
      </c>
      <c r="S1840" s="9"/>
      <c r="T1840" s="2"/>
      <c r="U1840" s="9"/>
    </row>
    <row r="1841" spans="2:21" x14ac:dyDescent="0.35">
      <c r="B1841" s="9"/>
      <c r="C1841" s="2"/>
      <c r="D1841" s="2"/>
      <c r="I1841" s="9"/>
      <c r="J1841" s="2"/>
      <c r="L1841" s="9"/>
      <c r="M1841" s="2"/>
      <c r="N1841" s="9"/>
      <c r="P1841" s="3">
        <v>-1555.889492</v>
      </c>
      <c r="S1841" s="9"/>
      <c r="T1841" s="2"/>
      <c r="U1841" s="9"/>
    </row>
    <row r="1842" spans="2:21" x14ac:dyDescent="0.35">
      <c r="B1842" s="9"/>
      <c r="C1842" s="2"/>
      <c r="D1842" s="2"/>
      <c r="I1842" s="9"/>
      <c r="J1842" s="2"/>
      <c r="L1842" s="9"/>
      <c r="M1842" s="2"/>
      <c r="N1842" s="9"/>
      <c r="P1842" s="3">
        <v>-1121.129492</v>
      </c>
      <c r="S1842" s="9"/>
      <c r="T1842" s="2"/>
      <c r="U1842" s="9"/>
    </row>
    <row r="1843" spans="2:21" x14ac:dyDescent="0.35">
      <c r="B1843" s="9"/>
      <c r="C1843" s="2"/>
      <c r="D1843" s="2"/>
      <c r="I1843" s="9"/>
      <c r="J1843" s="2"/>
      <c r="L1843" s="9"/>
      <c r="M1843" s="2"/>
      <c r="N1843" s="9"/>
      <c r="P1843" s="3">
        <v>-686.36949200000004</v>
      </c>
      <c r="S1843" s="9"/>
      <c r="T1843" s="2"/>
      <c r="U1843" s="9"/>
    </row>
    <row r="1844" spans="2:21" x14ac:dyDescent="0.35">
      <c r="B1844" s="9"/>
      <c r="C1844" s="2"/>
      <c r="D1844" s="2"/>
      <c r="I1844" s="9"/>
      <c r="J1844" s="2"/>
      <c r="L1844" s="9"/>
      <c r="M1844" s="2"/>
      <c r="N1844" s="9"/>
      <c r="P1844" s="3">
        <v>-1121.129492</v>
      </c>
      <c r="S1844" s="9"/>
      <c r="T1844" s="2"/>
      <c r="U1844" s="9"/>
    </row>
    <row r="1845" spans="2:21" x14ac:dyDescent="0.35">
      <c r="B1845" s="9"/>
      <c r="C1845" s="2"/>
      <c r="D1845" s="2"/>
      <c r="I1845" s="9"/>
      <c r="J1845" s="2"/>
      <c r="L1845" s="9"/>
      <c r="M1845" s="2"/>
      <c r="N1845" s="9"/>
      <c r="P1845" s="3">
        <v>-1555.889492</v>
      </c>
      <c r="S1845" s="9"/>
      <c r="T1845" s="2"/>
      <c r="U1845" s="9"/>
    </row>
    <row r="1846" spans="2:21" x14ac:dyDescent="0.35">
      <c r="B1846" s="9"/>
      <c r="C1846" s="2"/>
      <c r="D1846" s="2"/>
      <c r="I1846" s="9"/>
      <c r="J1846" s="2"/>
      <c r="L1846" s="9"/>
      <c r="M1846" s="2"/>
      <c r="N1846" s="9"/>
      <c r="P1846" s="3">
        <v>-1990.649492</v>
      </c>
      <c r="S1846" s="9"/>
      <c r="T1846" s="2"/>
      <c r="U1846" s="9"/>
    </row>
    <row r="1847" spans="2:21" x14ac:dyDescent="0.35">
      <c r="B1847" s="9"/>
      <c r="C1847" s="2"/>
      <c r="D1847" s="2"/>
      <c r="I1847" s="9"/>
      <c r="J1847" s="2"/>
      <c r="L1847" s="9"/>
      <c r="M1847" s="2"/>
      <c r="N1847" s="9"/>
      <c r="P1847" s="3">
        <v>-2425.4094919999998</v>
      </c>
      <c r="S1847" s="9"/>
      <c r="T1847" s="2"/>
      <c r="U1847" s="9"/>
    </row>
    <row r="1848" spans="2:21" x14ac:dyDescent="0.35">
      <c r="B1848" s="9"/>
      <c r="C1848" s="2"/>
      <c r="D1848" s="2"/>
      <c r="I1848" s="9"/>
      <c r="J1848" s="2"/>
      <c r="L1848" s="9"/>
      <c r="M1848" s="2"/>
      <c r="N1848" s="9"/>
      <c r="P1848" s="3">
        <v>-2860.169492</v>
      </c>
      <c r="S1848" s="9"/>
      <c r="T1848" s="2"/>
      <c r="U1848" s="9"/>
    </row>
    <row r="1849" spans="2:21" x14ac:dyDescent="0.35">
      <c r="B1849" s="9"/>
      <c r="C1849" s="2"/>
      <c r="D1849" s="2"/>
      <c r="I1849" s="9"/>
      <c r="J1849" s="2"/>
      <c r="L1849" s="9"/>
      <c r="M1849" s="2"/>
      <c r="N1849" s="9"/>
      <c r="P1849" s="3">
        <v>-2823.5438517900002</v>
      </c>
      <c r="S1849" s="9"/>
      <c r="T1849" s="2"/>
      <c r="U1849" s="9"/>
    </row>
    <row r="1850" spans="2:21" x14ac:dyDescent="0.35">
      <c r="B1850" s="9"/>
      <c r="C1850" s="2"/>
      <c r="D1850" s="2"/>
      <c r="I1850" s="9"/>
      <c r="J1850" s="2"/>
      <c r="L1850" s="9"/>
      <c r="M1850" s="2"/>
      <c r="N1850" s="9"/>
      <c r="P1850" s="3">
        <v>-2860.169492</v>
      </c>
      <c r="S1850" s="9"/>
      <c r="T1850" s="2"/>
      <c r="U1850" s="9"/>
    </row>
    <row r="1851" spans="2:21" x14ac:dyDescent="0.35">
      <c r="B1851" s="9"/>
      <c r="C1851" s="2"/>
      <c r="D1851" s="2"/>
      <c r="I1851" s="9"/>
      <c r="J1851" s="2"/>
      <c r="L1851" s="9"/>
      <c r="M1851" s="2"/>
      <c r="N1851" s="9"/>
      <c r="P1851" s="3">
        <v>-2860.169492</v>
      </c>
      <c r="S1851" s="9"/>
      <c r="T1851" s="2"/>
      <c r="U1851" s="9"/>
    </row>
    <row r="1852" spans="2:21" x14ac:dyDescent="0.35">
      <c r="B1852" s="9"/>
      <c r="C1852" s="2"/>
      <c r="D1852" s="2"/>
      <c r="I1852" s="9"/>
      <c r="J1852" s="2"/>
      <c r="L1852" s="9"/>
      <c r="M1852" s="2"/>
      <c r="N1852" s="9"/>
      <c r="P1852" s="3">
        <v>-2860.169492</v>
      </c>
      <c r="S1852" s="9"/>
      <c r="T1852" s="2"/>
      <c r="U1852" s="9"/>
    </row>
    <row r="1853" spans="2:21" x14ac:dyDescent="0.35">
      <c r="B1853" s="9"/>
      <c r="C1853" s="2"/>
      <c r="D1853" s="2"/>
      <c r="I1853" s="9"/>
      <c r="J1853" s="2"/>
      <c r="L1853" s="9"/>
      <c r="M1853" s="2"/>
      <c r="N1853" s="9"/>
      <c r="P1853" s="3">
        <v>-2860.169492</v>
      </c>
      <c r="S1853" s="9"/>
      <c r="T1853" s="2"/>
      <c r="U1853" s="9"/>
    </row>
    <row r="1854" spans="2:21" x14ac:dyDescent="0.35">
      <c r="B1854" s="9"/>
      <c r="C1854" s="2"/>
      <c r="D1854" s="2"/>
      <c r="I1854" s="9"/>
      <c r="J1854" s="2"/>
      <c r="L1854" s="9"/>
      <c r="M1854" s="2"/>
      <c r="N1854" s="9"/>
      <c r="P1854" s="3">
        <v>-2860.169492</v>
      </c>
      <c r="S1854" s="9"/>
      <c r="T1854" s="2"/>
      <c r="U1854" s="9"/>
    </row>
    <row r="1855" spans="2:21" x14ac:dyDescent="0.35">
      <c r="B1855" s="9"/>
      <c r="C1855" s="2"/>
      <c r="D1855" s="2"/>
      <c r="I1855" s="9"/>
      <c r="J1855" s="2"/>
      <c r="L1855" s="9"/>
      <c r="M1855" s="2"/>
      <c r="N1855" s="9"/>
      <c r="P1855" s="3">
        <v>-2860.169492</v>
      </c>
      <c r="S1855" s="9"/>
      <c r="T1855" s="2"/>
      <c r="U1855" s="9"/>
    </row>
    <row r="1856" spans="2:21" x14ac:dyDescent="0.35">
      <c r="B1856" s="9"/>
      <c r="C1856" s="2"/>
      <c r="D1856" s="2"/>
      <c r="I1856" s="9"/>
      <c r="J1856" s="2"/>
      <c r="L1856" s="9"/>
      <c r="M1856" s="2"/>
      <c r="N1856" s="9"/>
      <c r="P1856" s="3">
        <v>-2860.169492</v>
      </c>
      <c r="S1856" s="9"/>
      <c r="T1856" s="2"/>
      <c r="U1856" s="9"/>
    </row>
    <row r="1857" spans="2:21" x14ac:dyDescent="0.35">
      <c r="B1857" s="9"/>
      <c r="C1857" s="2"/>
      <c r="D1857" s="2"/>
      <c r="I1857" s="9"/>
      <c r="J1857" s="2"/>
      <c r="L1857" s="9"/>
      <c r="M1857" s="2"/>
      <c r="N1857" s="9"/>
      <c r="P1857" s="3">
        <v>-2860.169492</v>
      </c>
      <c r="S1857" s="9"/>
      <c r="T1857" s="2"/>
      <c r="U1857" s="9"/>
    </row>
    <row r="1858" spans="2:21" x14ac:dyDescent="0.35">
      <c r="B1858" s="9"/>
      <c r="C1858" s="2"/>
      <c r="D1858" s="2"/>
      <c r="I1858" s="9"/>
      <c r="J1858" s="2"/>
      <c r="L1858" s="9"/>
      <c r="M1858" s="2"/>
      <c r="N1858" s="9"/>
      <c r="P1858" s="3">
        <v>-2860.169492</v>
      </c>
      <c r="S1858" s="9"/>
      <c r="T1858" s="2"/>
      <c r="U1858" s="9"/>
    </row>
    <row r="1859" spans="2:21" x14ac:dyDescent="0.35">
      <c r="B1859" s="9"/>
      <c r="C1859" s="2"/>
      <c r="D1859" s="2"/>
      <c r="I1859" s="9"/>
      <c r="J1859" s="2"/>
      <c r="L1859" s="9"/>
      <c r="M1859" s="2"/>
      <c r="N1859" s="9"/>
      <c r="P1859" s="3">
        <v>-2860.169492</v>
      </c>
      <c r="S1859" s="9"/>
      <c r="T1859" s="2"/>
      <c r="U1859" s="9"/>
    </row>
    <row r="1860" spans="2:21" x14ac:dyDescent="0.35">
      <c r="B1860" s="9"/>
      <c r="C1860" s="2"/>
      <c r="D1860" s="2"/>
      <c r="I1860" s="9"/>
      <c r="J1860" s="2"/>
      <c r="L1860" s="9"/>
      <c r="M1860" s="2"/>
      <c r="N1860" s="9"/>
      <c r="P1860" s="3">
        <v>-2860.169492</v>
      </c>
      <c r="S1860" s="9"/>
      <c r="T1860" s="2"/>
      <c r="U1860" s="9"/>
    </row>
    <row r="1861" spans="2:21" x14ac:dyDescent="0.35">
      <c r="B1861" s="9"/>
      <c r="C1861" s="2"/>
      <c r="D1861" s="2"/>
      <c r="I1861" s="9"/>
      <c r="J1861" s="2"/>
      <c r="L1861" s="9"/>
      <c r="M1861" s="2"/>
      <c r="N1861" s="9"/>
      <c r="P1861" s="3">
        <v>-2860.169492</v>
      </c>
      <c r="S1861" s="9"/>
      <c r="T1861" s="2"/>
      <c r="U1861" s="9"/>
    </row>
    <row r="1862" spans="2:21" x14ac:dyDescent="0.35">
      <c r="B1862" s="9"/>
      <c r="C1862" s="2"/>
      <c r="D1862" s="2"/>
      <c r="I1862" s="9"/>
      <c r="J1862" s="2"/>
      <c r="L1862" s="9"/>
      <c r="M1862" s="2"/>
      <c r="N1862" s="9"/>
      <c r="P1862" s="3">
        <v>-2860.169492</v>
      </c>
      <c r="S1862" s="9"/>
      <c r="T1862" s="2"/>
      <c r="U1862" s="9"/>
    </row>
    <row r="1863" spans="2:21" x14ac:dyDescent="0.35">
      <c r="B1863" s="9"/>
      <c r="C1863" s="2"/>
      <c r="D1863" s="2"/>
      <c r="I1863" s="9"/>
      <c r="J1863" s="2"/>
      <c r="L1863" s="9"/>
      <c r="M1863" s="2"/>
      <c r="N1863" s="9"/>
      <c r="P1863" s="3">
        <v>-2425.4094919999998</v>
      </c>
      <c r="S1863" s="9"/>
      <c r="T1863" s="2"/>
      <c r="U1863" s="9"/>
    </row>
    <row r="1864" spans="2:21" x14ac:dyDescent="0.35">
      <c r="B1864" s="9"/>
      <c r="C1864" s="2"/>
      <c r="D1864" s="2"/>
      <c r="I1864" s="9"/>
      <c r="J1864" s="2"/>
      <c r="L1864" s="9"/>
      <c r="M1864" s="2"/>
      <c r="N1864" s="9"/>
      <c r="P1864" s="3">
        <v>-1990.649492</v>
      </c>
      <c r="S1864" s="9"/>
      <c r="T1864" s="2"/>
      <c r="U1864" s="9"/>
    </row>
    <row r="1865" spans="2:21" x14ac:dyDescent="0.35">
      <c r="B1865" s="9"/>
      <c r="C1865" s="2"/>
      <c r="D1865" s="2"/>
      <c r="I1865" s="9"/>
      <c r="J1865" s="2"/>
      <c r="L1865" s="9"/>
      <c r="M1865" s="2"/>
      <c r="N1865" s="9"/>
      <c r="P1865" s="3">
        <v>-1555.889492</v>
      </c>
      <c r="S1865" s="9"/>
      <c r="T1865" s="2"/>
      <c r="U1865" s="9"/>
    </row>
    <row r="1866" spans="2:21" x14ac:dyDescent="0.35">
      <c r="B1866" s="9"/>
      <c r="C1866" s="2"/>
      <c r="D1866" s="2"/>
      <c r="I1866" s="9"/>
      <c r="J1866" s="2"/>
      <c r="L1866" s="9"/>
      <c r="M1866" s="2"/>
      <c r="N1866" s="9"/>
      <c r="P1866" s="3">
        <v>-1121.129492</v>
      </c>
      <c r="S1866" s="9"/>
      <c r="T1866" s="2"/>
      <c r="U1866" s="9"/>
    </row>
    <row r="1867" spans="2:21" x14ac:dyDescent="0.35">
      <c r="B1867" s="9"/>
      <c r="C1867" s="2"/>
      <c r="D1867" s="2"/>
      <c r="I1867" s="9"/>
      <c r="J1867" s="2"/>
      <c r="L1867" s="9"/>
      <c r="M1867" s="2"/>
      <c r="N1867" s="9"/>
      <c r="P1867" s="3">
        <v>-686.36949200000004</v>
      </c>
      <c r="S1867" s="9"/>
      <c r="T1867" s="2"/>
      <c r="U1867" s="9"/>
    </row>
    <row r="1868" spans="2:21" x14ac:dyDescent="0.35">
      <c r="B1868" s="9"/>
      <c r="C1868" s="2"/>
      <c r="D1868" s="2"/>
      <c r="I1868" s="9"/>
      <c r="J1868" s="2"/>
      <c r="L1868" s="9"/>
      <c r="M1868" s="2"/>
      <c r="N1868" s="9"/>
      <c r="P1868" s="3">
        <v>-1121.129492</v>
      </c>
      <c r="S1868" s="9"/>
      <c r="T1868" s="2"/>
      <c r="U1868" s="9"/>
    </row>
    <row r="1869" spans="2:21" x14ac:dyDescent="0.35">
      <c r="B1869" s="9"/>
      <c r="C1869" s="2"/>
      <c r="D1869" s="2"/>
      <c r="I1869" s="9"/>
      <c r="J1869" s="2"/>
      <c r="L1869" s="9"/>
      <c r="M1869" s="2"/>
      <c r="N1869" s="9"/>
      <c r="P1869" s="3">
        <v>-1555.889492</v>
      </c>
      <c r="S1869" s="9"/>
      <c r="T1869" s="2"/>
      <c r="U1869" s="9"/>
    </row>
    <row r="1870" spans="2:21" x14ac:dyDescent="0.35">
      <c r="B1870" s="9"/>
      <c r="C1870" s="2"/>
      <c r="D1870" s="2"/>
      <c r="I1870" s="9"/>
      <c r="J1870" s="2"/>
      <c r="L1870" s="9"/>
      <c r="M1870" s="2"/>
      <c r="N1870" s="9"/>
      <c r="P1870" s="3">
        <v>-1990.649492</v>
      </c>
      <c r="S1870" s="9"/>
      <c r="T1870" s="2"/>
      <c r="U1870" s="9"/>
    </row>
    <row r="1871" spans="2:21" x14ac:dyDescent="0.35">
      <c r="B1871" s="9"/>
      <c r="C1871" s="2"/>
      <c r="D1871" s="2"/>
      <c r="I1871" s="9"/>
      <c r="J1871" s="2"/>
      <c r="L1871" s="9"/>
      <c r="M1871" s="2"/>
      <c r="N1871" s="9"/>
      <c r="P1871" s="3">
        <v>-2425.4094919999998</v>
      </c>
      <c r="S1871" s="9"/>
      <c r="T1871" s="2"/>
      <c r="U1871" s="9"/>
    </row>
    <row r="1872" spans="2:21" x14ac:dyDescent="0.35">
      <c r="B1872" s="9"/>
      <c r="C1872" s="2"/>
      <c r="D1872" s="2"/>
      <c r="I1872" s="9"/>
      <c r="J1872" s="2"/>
      <c r="L1872" s="9"/>
      <c r="M1872" s="2"/>
      <c r="N1872" s="9"/>
      <c r="P1872" s="3">
        <v>-2860.169492</v>
      </c>
      <c r="S1872" s="9"/>
      <c r="T1872" s="2"/>
      <c r="U1872" s="9"/>
    </row>
    <row r="1873" spans="2:21" x14ac:dyDescent="0.35">
      <c r="B1873" s="9"/>
      <c r="C1873" s="2"/>
      <c r="D1873" s="2"/>
      <c r="I1873" s="9"/>
      <c r="J1873" s="2"/>
      <c r="L1873" s="9"/>
      <c r="M1873" s="2"/>
      <c r="N1873" s="9"/>
      <c r="P1873" s="3">
        <v>-2551.7945606600001</v>
      </c>
      <c r="S1873" s="9"/>
      <c r="T1873" s="2"/>
      <c r="U1873" s="9"/>
    </row>
    <row r="1874" spans="2:21" x14ac:dyDescent="0.35">
      <c r="B1874" s="9"/>
      <c r="C1874" s="2"/>
      <c r="D1874" s="2"/>
      <c r="I1874" s="9"/>
      <c r="J1874" s="2"/>
      <c r="L1874" s="9"/>
      <c r="M1874" s="2"/>
      <c r="N1874" s="9"/>
      <c r="P1874" s="3">
        <v>-2344.6558111600002</v>
      </c>
      <c r="S1874" s="9"/>
      <c r="T1874" s="2"/>
      <c r="U1874" s="9"/>
    </row>
    <row r="1875" spans="2:21" x14ac:dyDescent="0.35">
      <c r="B1875" s="9"/>
      <c r="C1875" s="2"/>
      <c r="D1875" s="2"/>
      <c r="I1875" s="9"/>
      <c r="J1875" s="2"/>
      <c r="L1875" s="9"/>
      <c r="M1875" s="2"/>
      <c r="N1875" s="9"/>
      <c r="P1875" s="3">
        <v>-2215.5261315399998</v>
      </c>
      <c r="S1875" s="9"/>
      <c r="T1875" s="2"/>
      <c r="U1875" s="9"/>
    </row>
    <row r="1876" spans="2:21" x14ac:dyDescent="0.35">
      <c r="B1876" s="9"/>
      <c r="C1876" s="2"/>
      <c r="D1876" s="2"/>
      <c r="I1876" s="9"/>
      <c r="J1876" s="2"/>
      <c r="L1876" s="9"/>
      <c r="M1876" s="2"/>
      <c r="N1876" s="9"/>
      <c r="P1876" s="3">
        <v>-1993.8422217899999</v>
      </c>
      <c r="S1876" s="9"/>
      <c r="T1876" s="2"/>
      <c r="U1876" s="9"/>
    </row>
    <row r="1877" spans="2:21" x14ac:dyDescent="0.35">
      <c r="B1877" s="9"/>
      <c r="C1877" s="2"/>
      <c r="D1877" s="2"/>
      <c r="I1877" s="9"/>
      <c r="J1877" s="2"/>
      <c r="L1877" s="9"/>
      <c r="M1877" s="2"/>
      <c r="N1877" s="9"/>
      <c r="P1877" s="3">
        <v>-1801.5543417900001</v>
      </c>
      <c r="S1877" s="9"/>
      <c r="T1877" s="2"/>
      <c r="U1877" s="9"/>
    </row>
    <row r="1878" spans="2:21" x14ac:dyDescent="0.35">
      <c r="B1878" s="9"/>
      <c r="C1878" s="2"/>
      <c r="D1878" s="2"/>
      <c r="I1878" s="9"/>
      <c r="J1878" s="2"/>
      <c r="L1878" s="9"/>
      <c r="M1878" s="2"/>
      <c r="N1878" s="9"/>
      <c r="P1878" s="3">
        <v>-1663.81643175</v>
      </c>
      <c r="S1878" s="9"/>
      <c r="T1878" s="2"/>
      <c r="U1878" s="9"/>
    </row>
    <row r="1879" spans="2:21" x14ac:dyDescent="0.35">
      <c r="B1879" s="9"/>
      <c r="C1879" s="2"/>
      <c r="D1879" s="2"/>
      <c r="I1879" s="9"/>
      <c r="J1879" s="2"/>
      <c r="L1879" s="9"/>
      <c r="M1879" s="2"/>
      <c r="N1879" s="9"/>
      <c r="P1879" s="3">
        <v>-1579.8319517499999</v>
      </c>
      <c r="S1879" s="9"/>
      <c r="T1879" s="2"/>
      <c r="U1879" s="9"/>
    </row>
    <row r="1880" spans="2:21" x14ac:dyDescent="0.35">
      <c r="B1880" s="9"/>
      <c r="C1880" s="2"/>
      <c r="D1880" s="2"/>
      <c r="I1880" s="9"/>
      <c r="J1880" s="2"/>
      <c r="L1880" s="9"/>
      <c r="M1880" s="2"/>
      <c r="N1880" s="9"/>
      <c r="P1880" s="3">
        <v>-1512.57578175</v>
      </c>
      <c r="S1880" s="9"/>
      <c r="T1880" s="2"/>
      <c r="U1880" s="9"/>
    </row>
    <row r="1881" spans="2:21" x14ac:dyDescent="0.35">
      <c r="B1881" s="9"/>
      <c r="C1881" s="2"/>
      <c r="D1881" s="2"/>
      <c r="I1881" s="9"/>
      <c r="J1881" s="2"/>
      <c r="L1881" s="9"/>
      <c r="M1881" s="2"/>
      <c r="N1881" s="9"/>
      <c r="P1881" s="3">
        <v>-1464.6039217499999</v>
      </c>
      <c r="S1881" s="9"/>
      <c r="T1881" s="2"/>
      <c r="U1881" s="9"/>
    </row>
    <row r="1882" spans="2:21" x14ac:dyDescent="0.35">
      <c r="B1882" s="9"/>
      <c r="C1882" s="2"/>
      <c r="D1882" s="2"/>
      <c r="I1882" s="9"/>
      <c r="J1882" s="2"/>
      <c r="L1882" s="9"/>
      <c r="M1882" s="2"/>
      <c r="N1882" s="9"/>
      <c r="P1882" s="3">
        <v>-1438.12731175</v>
      </c>
      <c r="S1882" s="9"/>
      <c r="T1882" s="2"/>
      <c r="U1882" s="9"/>
    </row>
    <row r="1883" spans="2:21" x14ac:dyDescent="0.35">
      <c r="B1883" s="9"/>
      <c r="C1883" s="2"/>
      <c r="D1883" s="2"/>
      <c r="I1883" s="9"/>
      <c r="J1883" s="2"/>
      <c r="L1883" s="9"/>
      <c r="M1883" s="2"/>
      <c r="N1883" s="9"/>
      <c r="P1883" s="3">
        <v>-1293.5643052800001</v>
      </c>
      <c r="S1883" s="9"/>
      <c r="T1883" s="2"/>
      <c r="U1883" s="9"/>
    </row>
    <row r="1884" spans="2:21" x14ac:dyDescent="0.35">
      <c r="B1884" s="9"/>
      <c r="C1884" s="2"/>
      <c r="D1884" s="2"/>
      <c r="I1884" s="9"/>
      <c r="J1884" s="2"/>
      <c r="L1884" s="9"/>
      <c r="M1884" s="2"/>
      <c r="N1884" s="9"/>
      <c r="P1884" s="3">
        <v>-1141.3176788000001</v>
      </c>
      <c r="S1884" s="9"/>
      <c r="T1884" s="2"/>
      <c r="U1884" s="9"/>
    </row>
    <row r="1885" spans="2:21" x14ac:dyDescent="0.35">
      <c r="B1885" s="9"/>
      <c r="C1885" s="2"/>
      <c r="D1885" s="2"/>
      <c r="I1885" s="9"/>
      <c r="J1885" s="2"/>
      <c r="L1885" s="9"/>
      <c r="M1885" s="2"/>
      <c r="N1885" s="9"/>
      <c r="P1885" s="3">
        <v>-861.64125635000005</v>
      </c>
      <c r="S1885" s="9"/>
      <c r="T1885" s="2"/>
      <c r="U1885" s="9"/>
    </row>
    <row r="1886" spans="2:21" x14ac:dyDescent="0.35">
      <c r="B1886" s="9"/>
      <c r="C1886" s="2"/>
      <c r="D1886" s="2"/>
      <c r="I1886" s="9"/>
      <c r="J1886" s="2"/>
      <c r="L1886" s="9"/>
      <c r="M1886" s="2"/>
      <c r="N1886" s="9"/>
      <c r="P1886" s="3">
        <v>-1047.6059698700001</v>
      </c>
      <c r="S1886" s="9"/>
      <c r="T1886" s="2"/>
      <c r="U1886" s="9"/>
    </row>
    <row r="1887" spans="2:21" x14ac:dyDescent="0.35">
      <c r="B1887" s="9"/>
      <c r="C1887" s="2"/>
      <c r="D1887" s="2"/>
      <c r="I1887" s="9"/>
      <c r="J1887" s="2"/>
      <c r="L1887" s="9"/>
      <c r="M1887" s="2"/>
      <c r="N1887" s="9"/>
      <c r="P1887" s="3">
        <v>-612.84596986999998</v>
      </c>
      <c r="S1887" s="9"/>
      <c r="T1887" s="2"/>
      <c r="U1887" s="9"/>
    </row>
    <row r="1888" spans="2:21" x14ac:dyDescent="0.35">
      <c r="B1888" s="9"/>
      <c r="C1888" s="2"/>
      <c r="D1888" s="2"/>
      <c r="I1888" s="9"/>
      <c r="J1888" s="2"/>
      <c r="L1888" s="9"/>
      <c r="M1888" s="2"/>
      <c r="N1888" s="9"/>
      <c r="P1888" s="3">
        <v>-178.08596987000001</v>
      </c>
      <c r="S1888" s="9"/>
      <c r="T1888" s="2"/>
      <c r="U1888" s="9"/>
    </row>
    <row r="1889" spans="2:21" x14ac:dyDescent="0.35">
      <c r="B1889" s="9"/>
      <c r="C1889" s="2"/>
      <c r="D1889" s="2"/>
      <c r="I1889" s="9"/>
      <c r="J1889" s="2"/>
      <c r="L1889" s="9"/>
      <c r="M1889" s="2"/>
      <c r="N1889" s="9"/>
      <c r="P1889" s="3">
        <v>0</v>
      </c>
      <c r="S1889" s="9"/>
      <c r="T1889" s="2"/>
      <c r="U1889" s="9"/>
    </row>
    <row r="1890" spans="2:21" x14ac:dyDescent="0.35">
      <c r="B1890" s="9"/>
      <c r="C1890" s="2"/>
      <c r="D1890" s="2"/>
      <c r="I1890" s="9"/>
      <c r="J1890" s="2"/>
      <c r="L1890" s="9"/>
      <c r="M1890" s="2"/>
      <c r="N1890" s="9"/>
      <c r="P1890" s="3">
        <v>0</v>
      </c>
      <c r="S1890" s="9"/>
      <c r="T1890" s="2"/>
      <c r="U1890" s="9"/>
    </row>
    <row r="1891" spans="2:21" x14ac:dyDescent="0.35">
      <c r="B1891" s="9"/>
      <c r="C1891" s="2"/>
      <c r="D1891" s="2"/>
      <c r="I1891" s="9"/>
      <c r="J1891" s="2"/>
      <c r="L1891" s="9"/>
      <c r="M1891" s="2"/>
      <c r="N1891" s="9"/>
      <c r="P1891" s="3">
        <v>0</v>
      </c>
      <c r="S1891" s="9"/>
      <c r="T1891" s="2"/>
      <c r="U1891" s="9"/>
    </row>
    <row r="1892" spans="2:21" x14ac:dyDescent="0.35">
      <c r="B1892" s="9"/>
      <c r="C1892" s="2"/>
      <c r="D1892" s="2"/>
      <c r="I1892" s="9"/>
      <c r="J1892" s="2"/>
      <c r="L1892" s="9"/>
      <c r="M1892" s="2"/>
      <c r="N1892" s="9"/>
      <c r="P1892" s="3">
        <v>0</v>
      </c>
      <c r="S1892" s="9"/>
      <c r="T1892" s="2"/>
      <c r="U1892" s="9"/>
    </row>
    <row r="1893" spans="2:21" x14ac:dyDescent="0.35">
      <c r="B1893" s="9"/>
      <c r="C1893" s="2"/>
      <c r="D1893" s="2"/>
      <c r="I1893" s="9"/>
      <c r="J1893" s="2"/>
      <c r="L1893" s="9"/>
      <c r="M1893" s="2"/>
      <c r="N1893" s="9"/>
      <c r="P1893" s="3">
        <v>0</v>
      </c>
      <c r="S1893" s="9"/>
      <c r="T1893" s="2"/>
      <c r="U1893" s="9"/>
    </row>
    <row r="1894" spans="2:21" x14ac:dyDescent="0.35">
      <c r="B1894" s="9"/>
      <c r="C1894" s="2"/>
      <c r="D1894" s="2"/>
      <c r="I1894" s="9"/>
      <c r="J1894" s="2"/>
      <c r="L1894" s="9"/>
      <c r="M1894" s="2"/>
      <c r="N1894" s="9"/>
      <c r="P1894" s="3">
        <v>0</v>
      </c>
      <c r="S1894" s="9"/>
      <c r="T1894" s="2"/>
      <c r="U1894" s="9"/>
    </row>
    <row r="1895" spans="2:21" x14ac:dyDescent="0.35">
      <c r="B1895" s="9"/>
      <c r="C1895" s="2"/>
      <c r="D1895" s="2"/>
      <c r="I1895" s="9"/>
      <c r="J1895" s="2"/>
      <c r="L1895" s="9"/>
      <c r="M1895" s="2"/>
      <c r="N1895" s="9"/>
      <c r="P1895" s="3">
        <v>0</v>
      </c>
      <c r="S1895" s="9"/>
      <c r="T1895" s="2"/>
      <c r="U1895" s="9"/>
    </row>
    <row r="1896" spans="2:21" x14ac:dyDescent="0.35">
      <c r="B1896" s="9"/>
      <c r="C1896" s="2"/>
      <c r="D1896" s="2"/>
      <c r="I1896" s="9"/>
      <c r="J1896" s="2"/>
      <c r="L1896" s="9"/>
      <c r="M1896" s="2"/>
      <c r="N1896" s="9"/>
      <c r="P1896" s="3">
        <v>-239.45234062</v>
      </c>
      <c r="S1896" s="9"/>
      <c r="T1896" s="2"/>
      <c r="U1896" s="9"/>
    </row>
    <row r="1897" spans="2:21" x14ac:dyDescent="0.35">
      <c r="B1897" s="9"/>
      <c r="C1897" s="2"/>
      <c r="D1897" s="2"/>
      <c r="I1897" s="9"/>
      <c r="J1897" s="2"/>
      <c r="L1897" s="9"/>
      <c r="M1897" s="2"/>
      <c r="N1897" s="9"/>
      <c r="P1897" s="3">
        <v>195.30765937999999</v>
      </c>
      <c r="S1897" s="9"/>
      <c r="T1897" s="2"/>
      <c r="U1897" s="9"/>
    </row>
    <row r="1898" spans="2:21" x14ac:dyDescent="0.35">
      <c r="B1898" s="9"/>
      <c r="C1898" s="2"/>
      <c r="D1898" s="2"/>
      <c r="I1898" s="9"/>
      <c r="J1898" s="2"/>
      <c r="L1898" s="9"/>
      <c r="M1898" s="2"/>
      <c r="N1898" s="9"/>
      <c r="P1898" s="3">
        <v>351.38320886999998</v>
      </c>
      <c r="S1898" s="9"/>
      <c r="T1898" s="2"/>
      <c r="U1898" s="9"/>
    </row>
    <row r="1899" spans="2:21" x14ac:dyDescent="0.35">
      <c r="B1899" s="9"/>
      <c r="C1899" s="2"/>
      <c r="D1899" s="2"/>
      <c r="I1899" s="9"/>
      <c r="J1899" s="2"/>
      <c r="L1899" s="9"/>
      <c r="M1899" s="2"/>
      <c r="N1899" s="9"/>
      <c r="P1899" s="3">
        <v>394.29119850000001</v>
      </c>
      <c r="S1899" s="9"/>
      <c r="T1899" s="2"/>
      <c r="U1899" s="9"/>
    </row>
    <row r="1900" spans="2:21" x14ac:dyDescent="0.35">
      <c r="B1900" s="9"/>
      <c r="C1900" s="2"/>
      <c r="D1900" s="2"/>
      <c r="I1900" s="9"/>
      <c r="J1900" s="2"/>
      <c r="L1900" s="9"/>
      <c r="M1900" s="2"/>
      <c r="N1900" s="9"/>
      <c r="P1900" s="3">
        <v>489.39843825000003</v>
      </c>
      <c r="S1900" s="9"/>
      <c r="T1900" s="2"/>
      <c r="U1900" s="9"/>
    </row>
    <row r="1901" spans="2:21" x14ac:dyDescent="0.35">
      <c r="B1901" s="9"/>
      <c r="C1901" s="2"/>
      <c r="D1901" s="2"/>
      <c r="I1901" s="9"/>
      <c r="J1901" s="2"/>
      <c r="L1901" s="9"/>
      <c r="M1901" s="2"/>
      <c r="N1901" s="9"/>
      <c r="P1901" s="3">
        <v>565.21578824999995</v>
      </c>
      <c r="S1901" s="9"/>
      <c r="T1901" s="2"/>
      <c r="U1901" s="9"/>
    </row>
    <row r="1902" spans="2:21" x14ac:dyDescent="0.35">
      <c r="B1902" s="9"/>
      <c r="C1902" s="2"/>
      <c r="D1902" s="2"/>
      <c r="I1902" s="9"/>
      <c r="J1902" s="2"/>
      <c r="L1902" s="9"/>
      <c r="M1902" s="2"/>
      <c r="N1902" s="9"/>
      <c r="P1902" s="3">
        <v>541.66551671000002</v>
      </c>
      <c r="S1902" s="9"/>
      <c r="T1902" s="2"/>
      <c r="U1902" s="9"/>
    </row>
    <row r="1903" spans="2:21" x14ac:dyDescent="0.35">
      <c r="B1903" s="9"/>
      <c r="C1903" s="2"/>
      <c r="D1903" s="2"/>
      <c r="I1903" s="9"/>
      <c r="J1903" s="2"/>
      <c r="L1903" s="9"/>
      <c r="M1903" s="2"/>
      <c r="N1903" s="9"/>
      <c r="P1903" s="3">
        <v>562.65524671000003</v>
      </c>
      <c r="S1903" s="9"/>
      <c r="T1903" s="2"/>
      <c r="U1903" s="9"/>
    </row>
    <row r="1904" spans="2:21" x14ac:dyDescent="0.35">
      <c r="B1904" s="9"/>
      <c r="C1904" s="2"/>
      <c r="D1904" s="2"/>
      <c r="I1904" s="9"/>
      <c r="J1904" s="2"/>
      <c r="L1904" s="9"/>
      <c r="M1904" s="2"/>
      <c r="N1904" s="9"/>
      <c r="P1904" s="3">
        <v>551.02544670999998</v>
      </c>
      <c r="S1904" s="9"/>
      <c r="T1904" s="2"/>
      <c r="U1904" s="9"/>
    </row>
    <row r="1905" spans="2:21" x14ac:dyDescent="0.35">
      <c r="B1905" s="9"/>
      <c r="C1905" s="2"/>
      <c r="D1905" s="2"/>
      <c r="I1905" s="9"/>
      <c r="J1905" s="2"/>
      <c r="L1905" s="9"/>
      <c r="M1905" s="2"/>
      <c r="N1905" s="9"/>
      <c r="P1905" s="3">
        <v>523.76499670999999</v>
      </c>
      <c r="S1905" s="9"/>
      <c r="T1905" s="2"/>
      <c r="U1905" s="9"/>
    </row>
    <row r="1906" spans="2:21" x14ac:dyDescent="0.35">
      <c r="B1906" s="9"/>
      <c r="C1906" s="2"/>
      <c r="D1906" s="2"/>
      <c r="I1906" s="9"/>
      <c r="J1906" s="2"/>
      <c r="L1906" s="9"/>
      <c r="M1906" s="2"/>
      <c r="N1906" s="9"/>
      <c r="P1906" s="3">
        <v>508.26072670999997</v>
      </c>
      <c r="S1906" s="9"/>
      <c r="T1906" s="2"/>
      <c r="U1906" s="9"/>
    </row>
    <row r="1907" spans="2:21" x14ac:dyDescent="0.35">
      <c r="B1907" s="9"/>
      <c r="C1907" s="2"/>
      <c r="D1907" s="2"/>
      <c r="I1907" s="9"/>
      <c r="J1907" s="2"/>
      <c r="L1907" s="9"/>
      <c r="M1907" s="2"/>
      <c r="N1907" s="9"/>
      <c r="P1907" s="3">
        <v>594.66195317999995</v>
      </c>
      <c r="S1907" s="9"/>
      <c r="T1907" s="2"/>
      <c r="U1907" s="9"/>
    </row>
    <row r="1908" spans="2:21" x14ac:dyDescent="0.35">
      <c r="B1908" s="9"/>
      <c r="C1908" s="2"/>
      <c r="D1908" s="2"/>
      <c r="I1908" s="9"/>
      <c r="J1908" s="2"/>
      <c r="L1908" s="9"/>
      <c r="M1908" s="2"/>
      <c r="N1908" s="9"/>
      <c r="P1908" s="3">
        <v>686.54792966000002</v>
      </c>
      <c r="S1908" s="9"/>
      <c r="T1908" s="2"/>
      <c r="U1908" s="9"/>
    </row>
    <row r="1909" spans="2:21" x14ac:dyDescent="0.35">
      <c r="B1909" s="9"/>
      <c r="C1909" s="2"/>
      <c r="D1909" s="2"/>
      <c r="I1909" s="9"/>
      <c r="J1909" s="2"/>
      <c r="L1909" s="9"/>
      <c r="M1909" s="2"/>
      <c r="N1909" s="9"/>
      <c r="P1909" s="3">
        <v>768.84648211000001</v>
      </c>
      <c r="S1909" s="9"/>
      <c r="T1909" s="2"/>
      <c r="U1909" s="9"/>
    </row>
    <row r="1910" spans="2:21" x14ac:dyDescent="0.35">
      <c r="B1910" s="9"/>
      <c r="C1910" s="2"/>
      <c r="D1910" s="2"/>
      <c r="I1910" s="9"/>
      <c r="J1910" s="2"/>
      <c r="L1910" s="9"/>
      <c r="M1910" s="2"/>
      <c r="N1910" s="9"/>
      <c r="P1910" s="3">
        <v>482.04827859</v>
      </c>
      <c r="S1910" s="9"/>
      <c r="T1910" s="2"/>
      <c r="U1910" s="9"/>
    </row>
    <row r="1911" spans="2:21" x14ac:dyDescent="0.35">
      <c r="B1911" s="9"/>
      <c r="C1911" s="2"/>
      <c r="D1911" s="2"/>
      <c r="I1911" s="9"/>
      <c r="J1911" s="2"/>
      <c r="L1911" s="9"/>
      <c r="M1911" s="2"/>
      <c r="N1911" s="9"/>
      <c r="P1911" s="3">
        <v>47.288278589999997</v>
      </c>
      <c r="S1911" s="9"/>
      <c r="T1911" s="2"/>
      <c r="U1911" s="9"/>
    </row>
    <row r="1912" spans="2:21" x14ac:dyDescent="0.35">
      <c r="B1912" s="9"/>
      <c r="C1912" s="2"/>
      <c r="D1912" s="2"/>
      <c r="I1912" s="9"/>
      <c r="J1912" s="2"/>
      <c r="L1912" s="9"/>
      <c r="M1912" s="2"/>
      <c r="N1912" s="9"/>
      <c r="P1912" s="3">
        <v>-387.47172140999999</v>
      </c>
      <c r="S1912" s="9"/>
      <c r="T1912" s="2"/>
      <c r="U1912" s="9"/>
    </row>
    <row r="1913" spans="2:21" x14ac:dyDescent="0.35">
      <c r="B1913" s="9"/>
      <c r="C1913" s="2"/>
      <c r="D1913" s="2"/>
      <c r="I1913" s="9"/>
      <c r="J1913" s="2"/>
      <c r="L1913" s="9"/>
      <c r="M1913" s="2"/>
      <c r="N1913" s="9"/>
      <c r="P1913" s="3">
        <v>-822.23172140999998</v>
      </c>
      <c r="S1913" s="9"/>
      <c r="T1913" s="2"/>
      <c r="U1913" s="9"/>
    </row>
    <row r="1914" spans="2:21" x14ac:dyDescent="0.35">
      <c r="B1914" s="9"/>
      <c r="C1914" s="2"/>
      <c r="D1914" s="2"/>
      <c r="I1914" s="9"/>
      <c r="J1914" s="2"/>
      <c r="L1914" s="9"/>
      <c r="M1914" s="2"/>
      <c r="N1914" s="9"/>
      <c r="P1914" s="3">
        <v>-1256.9917214100001</v>
      </c>
      <c r="S1914" s="9"/>
      <c r="T1914" s="2"/>
      <c r="U1914" s="9"/>
    </row>
    <row r="1915" spans="2:21" x14ac:dyDescent="0.35">
      <c r="B1915" s="9"/>
      <c r="C1915" s="2"/>
      <c r="D1915" s="2"/>
      <c r="I1915" s="9"/>
      <c r="J1915" s="2"/>
      <c r="L1915" s="9"/>
      <c r="M1915" s="2"/>
      <c r="N1915" s="9"/>
      <c r="P1915" s="3">
        <v>-1691.7517214100001</v>
      </c>
      <c r="S1915" s="9"/>
      <c r="T1915" s="2"/>
      <c r="U1915" s="9"/>
    </row>
    <row r="1916" spans="2:21" x14ac:dyDescent="0.35">
      <c r="B1916" s="9"/>
      <c r="C1916" s="2"/>
      <c r="D1916" s="2"/>
      <c r="I1916" s="9"/>
      <c r="J1916" s="2"/>
      <c r="L1916" s="9"/>
      <c r="M1916" s="2"/>
      <c r="N1916" s="9"/>
      <c r="P1916" s="3">
        <v>-1988.44824217</v>
      </c>
      <c r="S1916" s="9"/>
      <c r="T1916" s="2"/>
      <c r="U1916" s="9"/>
    </row>
    <row r="1917" spans="2:21" x14ac:dyDescent="0.35">
      <c r="B1917" s="9"/>
      <c r="C1917" s="2"/>
      <c r="D1917" s="2"/>
      <c r="I1917" s="9"/>
      <c r="J1917" s="2"/>
      <c r="L1917" s="9"/>
      <c r="M1917" s="2"/>
      <c r="N1917" s="9"/>
      <c r="P1917" s="3">
        <v>-1553.68824217</v>
      </c>
      <c r="S1917" s="9"/>
      <c r="T1917" s="2"/>
      <c r="U1917" s="9"/>
    </row>
    <row r="1918" spans="2:21" x14ac:dyDescent="0.35">
      <c r="B1918" s="9"/>
      <c r="C1918" s="2"/>
      <c r="D1918" s="2"/>
      <c r="I1918" s="9"/>
      <c r="J1918" s="2"/>
      <c r="L1918" s="9"/>
      <c r="M1918" s="2"/>
      <c r="N1918" s="9"/>
      <c r="P1918" s="3">
        <v>-1118.92824217</v>
      </c>
      <c r="S1918" s="9"/>
      <c r="T1918" s="2"/>
      <c r="U1918" s="9"/>
    </row>
    <row r="1919" spans="2:21" x14ac:dyDescent="0.35">
      <c r="B1919" s="9"/>
      <c r="C1919" s="2"/>
      <c r="D1919" s="2"/>
      <c r="I1919" s="9"/>
      <c r="J1919" s="2"/>
      <c r="L1919" s="9"/>
      <c r="M1919" s="2"/>
      <c r="N1919" s="9"/>
      <c r="P1919" s="3">
        <v>-684.16824216999998</v>
      </c>
      <c r="S1919" s="9"/>
      <c r="T1919" s="2"/>
      <c r="U1919" s="9"/>
    </row>
    <row r="1920" spans="2:21" x14ac:dyDescent="0.35">
      <c r="B1920" s="9"/>
      <c r="C1920" s="2"/>
      <c r="D1920" s="2"/>
      <c r="I1920" s="9"/>
      <c r="J1920" s="2"/>
      <c r="L1920" s="9"/>
      <c r="M1920" s="2"/>
      <c r="N1920" s="9"/>
      <c r="P1920" s="3">
        <v>-249.40824216999999</v>
      </c>
      <c r="S1920" s="9"/>
      <c r="T1920" s="2"/>
      <c r="U1920" s="9"/>
    </row>
    <row r="1921" spans="2:21" x14ac:dyDescent="0.35">
      <c r="B1921" s="9"/>
      <c r="C1921" s="2"/>
      <c r="D1921" s="2"/>
      <c r="I1921" s="9"/>
      <c r="J1921" s="2"/>
      <c r="L1921" s="9"/>
      <c r="M1921" s="2"/>
      <c r="N1921" s="9"/>
      <c r="P1921" s="3">
        <v>185.35175783</v>
      </c>
      <c r="S1921" s="9"/>
      <c r="T1921" s="2"/>
      <c r="U1921" s="9"/>
    </row>
    <row r="1922" spans="2:21" x14ac:dyDescent="0.35">
      <c r="B1922" s="9"/>
      <c r="C1922" s="2"/>
      <c r="D1922" s="2"/>
      <c r="I1922" s="9"/>
      <c r="J1922" s="2"/>
      <c r="L1922" s="9"/>
      <c r="M1922" s="2"/>
      <c r="N1922" s="9"/>
      <c r="P1922" s="3">
        <v>100.82321733000001</v>
      </c>
      <c r="S1922" s="9"/>
      <c r="T1922" s="2"/>
      <c r="U1922" s="9"/>
    </row>
    <row r="1923" spans="2:21" x14ac:dyDescent="0.35">
      <c r="B1923" s="9"/>
      <c r="C1923" s="2"/>
      <c r="D1923" s="2"/>
      <c r="I1923" s="9"/>
      <c r="J1923" s="2"/>
      <c r="L1923" s="9"/>
      <c r="M1923" s="2"/>
      <c r="N1923" s="9"/>
      <c r="P1923" s="3">
        <v>-38.172213040000003</v>
      </c>
      <c r="S1923" s="9"/>
      <c r="T1923" s="2"/>
      <c r="U1923" s="9"/>
    </row>
    <row r="1924" spans="2:21" x14ac:dyDescent="0.35">
      <c r="B1924" s="9"/>
      <c r="C1924" s="2"/>
      <c r="D1924" s="2"/>
      <c r="I1924" s="9"/>
      <c r="J1924" s="2"/>
      <c r="L1924" s="9"/>
      <c r="M1924" s="2"/>
      <c r="N1924" s="9"/>
      <c r="P1924" s="3">
        <v>-85.031603290000007</v>
      </c>
      <c r="S1924" s="9"/>
      <c r="T1924" s="2"/>
      <c r="U1924" s="9"/>
    </row>
    <row r="1925" spans="2:21" x14ac:dyDescent="0.35">
      <c r="B1925" s="9"/>
      <c r="C1925" s="2"/>
      <c r="D1925" s="2"/>
      <c r="I1925" s="9"/>
      <c r="J1925" s="2"/>
      <c r="L1925" s="9"/>
      <c r="M1925" s="2"/>
      <c r="N1925" s="9"/>
      <c r="P1925" s="3">
        <v>-48.972833289999997</v>
      </c>
      <c r="S1925" s="9"/>
      <c r="T1925" s="2"/>
      <c r="U1925" s="9"/>
    </row>
    <row r="1926" spans="2:21" x14ac:dyDescent="0.35">
      <c r="B1926" s="9"/>
      <c r="C1926" s="2"/>
      <c r="D1926" s="2"/>
      <c r="I1926" s="9"/>
      <c r="J1926" s="2"/>
      <c r="L1926" s="9"/>
      <c r="M1926" s="2"/>
      <c r="N1926" s="9"/>
      <c r="P1926" s="3">
        <v>-56.895047730000002</v>
      </c>
      <c r="S1926" s="9"/>
      <c r="T1926" s="2"/>
      <c r="U1926" s="9"/>
    </row>
    <row r="1927" spans="2:21" x14ac:dyDescent="0.35">
      <c r="B1927" s="9"/>
      <c r="C1927" s="2"/>
      <c r="D1927" s="2"/>
      <c r="I1927" s="9"/>
      <c r="J1927" s="2"/>
      <c r="L1927" s="9"/>
      <c r="M1927" s="2"/>
      <c r="N1927" s="9"/>
      <c r="P1927" s="3">
        <v>-7.7346477299999998</v>
      </c>
      <c r="S1927" s="9"/>
      <c r="T1927" s="2"/>
      <c r="U1927" s="9"/>
    </row>
    <row r="1928" spans="2:21" x14ac:dyDescent="0.35">
      <c r="B1928" s="9"/>
      <c r="C1928" s="2"/>
      <c r="D1928" s="2"/>
      <c r="I1928" s="9"/>
      <c r="J1928" s="2"/>
      <c r="L1928" s="9"/>
      <c r="M1928" s="2"/>
      <c r="N1928" s="9"/>
      <c r="P1928" s="3">
        <v>28.107572269999999</v>
      </c>
      <c r="S1928" s="9"/>
      <c r="T1928" s="2"/>
      <c r="U1928" s="9"/>
    </row>
    <row r="1929" spans="2:21" x14ac:dyDescent="0.35">
      <c r="B1929" s="9"/>
      <c r="C1929" s="2"/>
      <c r="D1929" s="2"/>
      <c r="I1929" s="9"/>
      <c r="J1929" s="2"/>
      <c r="L1929" s="9"/>
      <c r="M1929" s="2"/>
      <c r="N1929" s="9"/>
      <c r="P1929" s="3">
        <v>85.986062270000005</v>
      </c>
      <c r="S1929" s="9"/>
      <c r="T1929" s="2"/>
      <c r="U1929" s="9"/>
    </row>
    <row r="1930" spans="2:21" x14ac:dyDescent="0.35">
      <c r="B1930" s="9"/>
      <c r="C1930" s="2"/>
      <c r="D1930" s="2"/>
      <c r="I1930" s="9"/>
      <c r="J1930" s="2"/>
      <c r="L1930" s="9"/>
      <c r="M1930" s="2"/>
      <c r="N1930" s="9"/>
      <c r="P1930" s="3">
        <v>127.70921226999999</v>
      </c>
      <c r="S1930" s="9"/>
      <c r="T1930" s="2"/>
      <c r="U1930" s="9"/>
    </row>
    <row r="1931" spans="2:21" x14ac:dyDescent="0.35">
      <c r="B1931" s="9"/>
      <c r="C1931" s="2"/>
      <c r="D1931" s="2"/>
      <c r="I1931" s="9"/>
      <c r="J1931" s="2"/>
      <c r="L1931" s="9"/>
      <c r="M1931" s="2"/>
      <c r="N1931" s="9"/>
      <c r="P1931" s="3">
        <v>205.85029875000001</v>
      </c>
      <c r="S1931" s="9"/>
      <c r="T1931" s="2"/>
      <c r="U1931" s="9"/>
    </row>
    <row r="1932" spans="2:21" x14ac:dyDescent="0.35">
      <c r="B1932" s="9"/>
      <c r="C1932" s="2"/>
      <c r="D1932" s="2"/>
      <c r="I1932" s="9"/>
      <c r="J1932" s="2"/>
      <c r="L1932" s="9"/>
      <c r="M1932" s="2"/>
      <c r="N1932" s="9"/>
      <c r="P1932" s="3">
        <v>308.96421522000003</v>
      </c>
      <c r="S1932" s="9"/>
      <c r="T1932" s="2"/>
      <c r="U1932" s="9"/>
    </row>
    <row r="1933" spans="2:21" x14ac:dyDescent="0.35">
      <c r="B1933" s="9"/>
      <c r="C1933" s="2"/>
      <c r="D1933" s="2"/>
      <c r="I1933" s="9"/>
      <c r="J1933" s="2"/>
      <c r="L1933" s="9"/>
      <c r="M1933" s="2"/>
      <c r="N1933" s="9"/>
      <c r="P1933" s="3">
        <v>387.44651766999999</v>
      </c>
      <c r="S1933" s="9"/>
      <c r="T1933" s="2"/>
      <c r="U1933" s="9"/>
    </row>
    <row r="1934" spans="2:21" x14ac:dyDescent="0.35">
      <c r="B1934" s="9"/>
      <c r="C1934" s="2"/>
      <c r="D1934" s="2"/>
      <c r="I1934" s="9"/>
      <c r="J1934" s="2"/>
      <c r="L1934" s="9"/>
      <c r="M1934" s="2"/>
      <c r="N1934" s="9"/>
      <c r="P1934" s="3">
        <v>-47.313482329999999</v>
      </c>
      <c r="S1934" s="9"/>
      <c r="T1934" s="2"/>
      <c r="U1934" s="9"/>
    </row>
    <row r="1935" spans="2:21" x14ac:dyDescent="0.35">
      <c r="B1935" s="9"/>
      <c r="C1935" s="2"/>
      <c r="D1935" s="2"/>
      <c r="I1935" s="9"/>
      <c r="J1935" s="2"/>
      <c r="L1935" s="9"/>
      <c r="M1935" s="2"/>
      <c r="N1935" s="9"/>
      <c r="P1935" s="3">
        <v>-482.07348232999999</v>
      </c>
      <c r="S1935" s="9"/>
      <c r="T1935" s="2"/>
      <c r="U1935" s="9"/>
    </row>
    <row r="1936" spans="2:21" x14ac:dyDescent="0.35">
      <c r="B1936" s="9"/>
      <c r="C1936" s="2"/>
      <c r="D1936" s="2"/>
      <c r="I1936" s="9"/>
      <c r="J1936" s="2"/>
      <c r="L1936" s="9"/>
      <c r="M1936" s="2"/>
      <c r="N1936" s="9"/>
      <c r="P1936" s="3">
        <v>-47.313482329999999</v>
      </c>
      <c r="S1936" s="9"/>
      <c r="T1936" s="2"/>
      <c r="U1936" s="9"/>
    </row>
    <row r="1937" spans="2:21" x14ac:dyDescent="0.35">
      <c r="B1937" s="9"/>
      <c r="C1937" s="2"/>
      <c r="D1937" s="2"/>
      <c r="I1937" s="9"/>
      <c r="J1937" s="2"/>
      <c r="L1937" s="9"/>
      <c r="M1937" s="2"/>
      <c r="N1937" s="9"/>
      <c r="P1937" s="3">
        <v>0</v>
      </c>
      <c r="S1937" s="9"/>
      <c r="T1937" s="2"/>
      <c r="U1937" s="9"/>
    </row>
    <row r="1938" spans="2:21" x14ac:dyDescent="0.35">
      <c r="B1938" s="9"/>
      <c r="C1938" s="2"/>
      <c r="D1938" s="2"/>
      <c r="I1938" s="9"/>
      <c r="J1938" s="2"/>
      <c r="L1938" s="9"/>
      <c r="M1938" s="2"/>
      <c r="N1938" s="9"/>
      <c r="P1938" s="3">
        <v>0</v>
      </c>
      <c r="S1938" s="9"/>
      <c r="T1938" s="2"/>
      <c r="U1938" s="9"/>
    </row>
    <row r="1939" spans="2:21" x14ac:dyDescent="0.35">
      <c r="B1939" s="9"/>
      <c r="C1939" s="2"/>
      <c r="D1939" s="2"/>
      <c r="I1939" s="9"/>
      <c r="J1939" s="2"/>
      <c r="L1939" s="9"/>
      <c r="M1939" s="2"/>
      <c r="N1939" s="9"/>
      <c r="P1939" s="3">
        <v>-16.301766600000001</v>
      </c>
      <c r="S1939" s="9"/>
      <c r="T1939" s="2"/>
      <c r="U1939" s="9"/>
    </row>
    <row r="1940" spans="2:21" x14ac:dyDescent="0.35">
      <c r="B1940" s="9"/>
      <c r="C1940" s="2"/>
      <c r="D1940" s="2"/>
      <c r="I1940" s="9"/>
      <c r="J1940" s="2"/>
      <c r="L1940" s="9"/>
      <c r="M1940" s="2"/>
      <c r="N1940" s="9"/>
      <c r="P1940" s="3">
        <v>-451.0617666</v>
      </c>
      <c r="S1940" s="9"/>
      <c r="T1940" s="2"/>
      <c r="U1940" s="9"/>
    </row>
    <row r="1941" spans="2:21" x14ac:dyDescent="0.35">
      <c r="B1941" s="9"/>
      <c r="C1941" s="2"/>
      <c r="D1941" s="2"/>
      <c r="I1941" s="9"/>
      <c r="J1941" s="2"/>
      <c r="L1941" s="9"/>
      <c r="M1941" s="2"/>
      <c r="N1941" s="9"/>
      <c r="P1941" s="3">
        <v>-885.82176660000005</v>
      </c>
      <c r="S1941" s="9"/>
      <c r="T1941" s="2"/>
      <c r="U1941" s="9"/>
    </row>
    <row r="1942" spans="2:21" x14ac:dyDescent="0.35">
      <c r="B1942" s="9"/>
      <c r="C1942" s="2"/>
      <c r="D1942" s="2"/>
      <c r="I1942" s="9"/>
      <c r="J1942" s="2"/>
      <c r="L1942" s="9"/>
      <c r="M1942" s="2"/>
      <c r="N1942" s="9"/>
      <c r="P1942" s="3">
        <v>-1320.5817666</v>
      </c>
      <c r="S1942" s="9"/>
      <c r="T1942" s="2"/>
      <c r="U1942" s="9"/>
    </row>
    <row r="1943" spans="2:21" x14ac:dyDescent="0.35">
      <c r="B1943" s="9"/>
      <c r="C1943" s="2"/>
      <c r="D1943" s="2"/>
      <c r="I1943" s="9"/>
      <c r="J1943" s="2"/>
      <c r="L1943" s="9"/>
      <c r="M1943" s="2"/>
      <c r="N1943" s="9"/>
      <c r="P1943" s="3">
        <v>-885.82176660000005</v>
      </c>
      <c r="S1943" s="9"/>
      <c r="T1943" s="2"/>
      <c r="U1943" s="9"/>
    </row>
    <row r="1944" spans="2:21" x14ac:dyDescent="0.35">
      <c r="B1944" s="9"/>
      <c r="C1944" s="2"/>
      <c r="D1944" s="2"/>
      <c r="I1944" s="9"/>
      <c r="J1944" s="2"/>
      <c r="L1944" s="9"/>
      <c r="M1944" s="2"/>
      <c r="N1944" s="9"/>
      <c r="P1944" s="3">
        <v>-451.0617666</v>
      </c>
      <c r="S1944" s="9"/>
      <c r="T1944" s="2"/>
      <c r="U1944" s="9"/>
    </row>
    <row r="1945" spans="2:21" x14ac:dyDescent="0.35">
      <c r="B1945" s="9"/>
      <c r="C1945" s="2"/>
      <c r="D1945" s="2"/>
      <c r="I1945" s="9"/>
      <c r="J1945" s="2"/>
      <c r="L1945" s="9"/>
      <c r="M1945" s="2"/>
      <c r="N1945" s="9"/>
      <c r="P1945" s="3">
        <v>-16.301766600000001</v>
      </c>
      <c r="S1945" s="9"/>
      <c r="T1945" s="2"/>
      <c r="U1945" s="9"/>
    </row>
    <row r="1946" spans="2:21" x14ac:dyDescent="0.35">
      <c r="B1946" s="9"/>
      <c r="C1946" s="2"/>
      <c r="D1946" s="2"/>
      <c r="I1946" s="9"/>
      <c r="J1946" s="2"/>
      <c r="L1946" s="9"/>
      <c r="M1946" s="2"/>
      <c r="N1946" s="9"/>
      <c r="P1946" s="3">
        <v>-71.754387100000002</v>
      </c>
      <c r="S1946" s="9"/>
      <c r="T1946" s="2"/>
      <c r="U1946" s="9"/>
    </row>
    <row r="1947" spans="2:21" x14ac:dyDescent="0.35">
      <c r="B1947" s="9"/>
      <c r="C1947" s="2"/>
      <c r="D1947" s="2"/>
      <c r="I1947" s="9"/>
      <c r="J1947" s="2"/>
      <c r="L1947" s="9"/>
      <c r="M1947" s="2"/>
      <c r="N1947" s="9"/>
      <c r="P1947" s="3">
        <v>-202.53795747999999</v>
      </c>
      <c r="S1947" s="9"/>
      <c r="T1947" s="2"/>
      <c r="U1947" s="9"/>
    </row>
    <row r="1948" spans="2:21" x14ac:dyDescent="0.35">
      <c r="B1948" s="9"/>
      <c r="C1948" s="2"/>
      <c r="D1948" s="2"/>
      <c r="I1948" s="9"/>
      <c r="J1948" s="2"/>
      <c r="L1948" s="9"/>
      <c r="M1948" s="2"/>
      <c r="N1948" s="9"/>
      <c r="P1948" s="3">
        <v>-212.58810772999999</v>
      </c>
      <c r="S1948" s="9"/>
      <c r="T1948" s="2"/>
      <c r="U1948" s="9"/>
    </row>
    <row r="1949" spans="2:21" x14ac:dyDescent="0.35">
      <c r="B1949" s="9"/>
      <c r="C1949" s="2"/>
      <c r="D1949" s="2"/>
      <c r="I1949" s="9"/>
      <c r="J1949" s="2"/>
      <c r="L1949" s="9"/>
      <c r="M1949" s="2"/>
      <c r="N1949" s="9"/>
      <c r="P1949" s="3">
        <v>-162.76953773</v>
      </c>
      <c r="S1949" s="9"/>
      <c r="T1949" s="2"/>
      <c r="U1949" s="9"/>
    </row>
    <row r="1950" spans="2:21" x14ac:dyDescent="0.35">
      <c r="B1950" s="9"/>
      <c r="C1950" s="2"/>
      <c r="D1950" s="2"/>
      <c r="I1950" s="9"/>
      <c r="J1950" s="2"/>
      <c r="L1950" s="9"/>
      <c r="M1950" s="2"/>
      <c r="N1950" s="9"/>
      <c r="P1950" s="3">
        <v>-111.19629015</v>
      </c>
      <c r="S1950" s="9"/>
      <c r="T1950" s="2"/>
      <c r="U1950" s="9"/>
    </row>
    <row r="1951" spans="2:21" x14ac:dyDescent="0.35">
      <c r="B1951" s="9"/>
      <c r="C1951" s="2"/>
      <c r="D1951" s="2"/>
      <c r="I1951" s="9"/>
      <c r="J1951" s="2"/>
      <c r="L1951" s="9"/>
      <c r="M1951" s="2"/>
      <c r="N1951" s="9"/>
      <c r="P1951" s="3">
        <v>-12.52901015</v>
      </c>
      <c r="S1951" s="9"/>
      <c r="T1951" s="2"/>
      <c r="U1951" s="9"/>
    </row>
    <row r="1952" spans="2:21" x14ac:dyDescent="0.35">
      <c r="B1952" s="9"/>
      <c r="C1952" s="2"/>
      <c r="D1952" s="2"/>
      <c r="I1952" s="9"/>
      <c r="J1952" s="2"/>
      <c r="L1952" s="9"/>
      <c r="M1952" s="2"/>
      <c r="N1952" s="9"/>
      <c r="P1952" s="3">
        <v>51.117519850000001</v>
      </c>
      <c r="S1952" s="9"/>
      <c r="T1952" s="2"/>
      <c r="U1952" s="9"/>
    </row>
    <row r="1953" spans="2:21" x14ac:dyDescent="0.35">
      <c r="B1953" s="9"/>
      <c r="C1953" s="2"/>
      <c r="D1953" s="2"/>
      <c r="I1953" s="9"/>
      <c r="J1953" s="2"/>
      <c r="L1953" s="9"/>
      <c r="M1953" s="2"/>
      <c r="N1953" s="9"/>
      <c r="P1953" s="3">
        <v>85.162019849999993</v>
      </c>
      <c r="S1953" s="9"/>
      <c r="T1953" s="2"/>
      <c r="U1953" s="9"/>
    </row>
    <row r="1954" spans="2:21" x14ac:dyDescent="0.35">
      <c r="B1954" s="9"/>
      <c r="C1954" s="2"/>
      <c r="D1954" s="2"/>
      <c r="I1954" s="9"/>
      <c r="J1954" s="2"/>
      <c r="L1954" s="9"/>
      <c r="M1954" s="2"/>
      <c r="N1954" s="9"/>
      <c r="P1954" s="3">
        <v>152.61059985</v>
      </c>
      <c r="S1954" s="9"/>
      <c r="T1954" s="2"/>
      <c r="U1954" s="9"/>
    </row>
    <row r="1955" spans="2:21" x14ac:dyDescent="0.35">
      <c r="B1955" s="9"/>
      <c r="C1955" s="2"/>
      <c r="D1955" s="2"/>
      <c r="I1955" s="9"/>
      <c r="J1955" s="2"/>
      <c r="L1955" s="9"/>
      <c r="M1955" s="2"/>
      <c r="N1955" s="9"/>
      <c r="P1955" s="3">
        <v>317.36742633</v>
      </c>
      <c r="S1955" s="9"/>
      <c r="T1955" s="2"/>
      <c r="U1955" s="9"/>
    </row>
    <row r="1956" spans="2:21" x14ac:dyDescent="0.35">
      <c r="B1956" s="9"/>
      <c r="C1956" s="2"/>
      <c r="D1956" s="2"/>
      <c r="I1956" s="9"/>
      <c r="J1956" s="2"/>
      <c r="L1956" s="9"/>
      <c r="M1956" s="2"/>
      <c r="N1956" s="9"/>
      <c r="P1956" s="3">
        <v>482.36991281000002</v>
      </c>
      <c r="S1956" s="9"/>
      <c r="T1956" s="2"/>
      <c r="U1956" s="9"/>
    </row>
    <row r="1957" spans="2:21" x14ac:dyDescent="0.35">
      <c r="B1957" s="9"/>
      <c r="C1957" s="2"/>
      <c r="D1957" s="2"/>
      <c r="I1957" s="9"/>
      <c r="J1957" s="2"/>
      <c r="L1957" s="9"/>
      <c r="M1957" s="2"/>
      <c r="N1957" s="9"/>
      <c r="P1957" s="3">
        <v>600.10314526000002</v>
      </c>
      <c r="S1957" s="9"/>
      <c r="T1957" s="2"/>
      <c r="U1957" s="9"/>
    </row>
    <row r="1958" spans="2:21" x14ac:dyDescent="0.35">
      <c r="B1958" s="9"/>
      <c r="C1958" s="2"/>
      <c r="D1958" s="2"/>
      <c r="I1958" s="9"/>
      <c r="J1958" s="2"/>
      <c r="L1958" s="9"/>
      <c r="M1958" s="2"/>
      <c r="N1958" s="9"/>
      <c r="P1958" s="3">
        <v>165.34314526</v>
      </c>
      <c r="S1958" s="9"/>
      <c r="T1958" s="2"/>
      <c r="U1958" s="9"/>
    </row>
    <row r="1959" spans="2:21" x14ac:dyDescent="0.35">
      <c r="B1959" s="9"/>
      <c r="C1959" s="2"/>
      <c r="D1959" s="2"/>
      <c r="I1959" s="9"/>
      <c r="J1959" s="2"/>
      <c r="L1959" s="9"/>
      <c r="M1959" s="2"/>
      <c r="N1959" s="9"/>
      <c r="P1959" s="3">
        <v>-269.41685474000002</v>
      </c>
      <c r="S1959" s="9"/>
      <c r="T1959" s="2"/>
      <c r="U1959" s="9"/>
    </row>
    <row r="1960" spans="2:21" x14ac:dyDescent="0.35">
      <c r="B1960" s="9"/>
      <c r="C1960" s="2"/>
      <c r="D1960" s="2"/>
      <c r="I1960" s="9"/>
      <c r="J1960" s="2"/>
      <c r="L1960" s="9"/>
      <c r="M1960" s="2"/>
      <c r="N1960" s="9"/>
      <c r="P1960" s="3">
        <v>0</v>
      </c>
      <c r="S1960" s="9"/>
      <c r="T1960" s="2"/>
      <c r="U1960" s="9"/>
    </row>
    <row r="1961" spans="2:21" x14ac:dyDescent="0.35">
      <c r="B1961" s="9"/>
      <c r="C1961" s="2"/>
      <c r="D1961" s="2"/>
      <c r="I1961" s="9"/>
      <c r="J1961" s="2"/>
      <c r="L1961" s="9"/>
      <c r="M1961" s="2"/>
      <c r="N1961" s="9"/>
      <c r="P1961" s="3">
        <v>0</v>
      </c>
      <c r="S1961" s="9"/>
      <c r="T1961" s="2"/>
      <c r="U1961" s="9"/>
    </row>
    <row r="1962" spans="2:21" x14ac:dyDescent="0.35">
      <c r="B1962" s="9"/>
      <c r="C1962" s="2"/>
      <c r="D1962" s="2"/>
      <c r="I1962" s="9"/>
      <c r="J1962" s="2"/>
      <c r="L1962" s="9"/>
      <c r="M1962" s="2"/>
      <c r="N1962" s="9"/>
      <c r="P1962" s="3">
        <v>0</v>
      </c>
      <c r="S1962" s="9"/>
      <c r="T1962" s="2"/>
      <c r="U1962" s="9"/>
    </row>
    <row r="1963" spans="2:21" x14ac:dyDescent="0.35">
      <c r="B1963" s="9"/>
      <c r="C1963" s="2"/>
      <c r="D1963" s="2"/>
      <c r="I1963" s="9"/>
      <c r="J1963" s="2"/>
      <c r="L1963" s="9"/>
      <c r="M1963" s="2"/>
      <c r="N1963" s="9"/>
      <c r="P1963" s="3">
        <v>0</v>
      </c>
      <c r="S1963" s="9"/>
      <c r="T1963" s="2"/>
      <c r="U1963" s="9"/>
    </row>
    <row r="1964" spans="2:21" x14ac:dyDescent="0.35">
      <c r="B1964" s="9"/>
      <c r="C1964" s="2"/>
      <c r="D1964" s="2"/>
      <c r="I1964" s="9"/>
      <c r="J1964" s="2"/>
      <c r="L1964" s="9"/>
      <c r="M1964" s="2"/>
      <c r="N1964" s="9"/>
      <c r="P1964" s="3">
        <v>0</v>
      </c>
      <c r="S1964" s="9"/>
      <c r="T1964" s="2"/>
      <c r="U1964" s="9"/>
    </row>
    <row r="1965" spans="2:21" x14ac:dyDescent="0.35">
      <c r="B1965" s="9"/>
      <c r="C1965" s="2"/>
      <c r="D1965" s="2"/>
      <c r="I1965" s="9"/>
      <c r="J1965" s="2"/>
      <c r="L1965" s="9"/>
      <c r="M1965" s="2"/>
      <c r="N1965" s="9"/>
      <c r="P1965" s="3">
        <v>0</v>
      </c>
      <c r="S1965" s="9"/>
      <c r="T1965" s="2"/>
      <c r="U1965" s="9"/>
    </row>
    <row r="1966" spans="2:21" x14ac:dyDescent="0.35">
      <c r="B1966" s="9"/>
      <c r="C1966" s="2"/>
      <c r="D1966" s="2"/>
      <c r="I1966" s="9"/>
      <c r="J1966" s="2"/>
      <c r="L1966" s="9"/>
      <c r="M1966" s="2"/>
      <c r="N1966" s="9"/>
      <c r="P1966" s="3">
        <v>0</v>
      </c>
      <c r="S1966" s="9"/>
      <c r="T1966" s="2"/>
      <c r="U1966" s="9"/>
    </row>
    <row r="1967" spans="2:21" x14ac:dyDescent="0.35">
      <c r="B1967" s="9"/>
      <c r="C1967" s="2"/>
      <c r="D1967" s="2"/>
      <c r="I1967" s="9"/>
      <c r="J1967" s="2"/>
      <c r="L1967" s="9"/>
      <c r="M1967" s="2"/>
      <c r="N1967" s="9"/>
      <c r="P1967" s="3">
        <v>-253.62258901999999</v>
      </c>
      <c r="S1967" s="9"/>
      <c r="T1967" s="2"/>
      <c r="U1967" s="9"/>
    </row>
    <row r="1968" spans="2:21" x14ac:dyDescent="0.35">
      <c r="B1968" s="9"/>
      <c r="C1968" s="2"/>
      <c r="D1968" s="2"/>
      <c r="I1968" s="9"/>
      <c r="J1968" s="2"/>
      <c r="L1968" s="9"/>
      <c r="M1968" s="2"/>
      <c r="N1968" s="9"/>
      <c r="P1968" s="3">
        <v>181.13741098</v>
      </c>
      <c r="S1968" s="9"/>
      <c r="T1968" s="2"/>
      <c r="U1968" s="9"/>
    </row>
    <row r="1969" spans="2:21" x14ac:dyDescent="0.35">
      <c r="B1969" s="9"/>
      <c r="C1969" s="2"/>
      <c r="D1969" s="2"/>
      <c r="I1969" s="9"/>
      <c r="J1969" s="2"/>
      <c r="L1969" s="9"/>
      <c r="M1969" s="2"/>
      <c r="N1969" s="9"/>
      <c r="P1969" s="3">
        <v>615.89741098000002</v>
      </c>
      <c r="S1969" s="9"/>
      <c r="T1969" s="2"/>
      <c r="U1969" s="9"/>
    </row>
    <row r="1970" spans="2:21" x14ac:dyDescent="0.35">
      <c r="B1970" s="9"/>
      <c r="C1970" s="2"/>
      <c r="D1970" s="2"/>
      <c r="I1970" s="9"/>
      <c r="J1970" s="2"/>
      <c r="L1970" s="9"/>
      <c r="M1970" s="2"/>
      <c r="N1970" s="9"/>
      <c r="P1970" s="3">
        <v>535.36546048000002</v>
      </c>
      <c r="S1970" s="9"/>
      <c r="T1970" s="2"/>
      <c r="U1970" s="9"/>
    </row>
    <row r="1971" spans="2:21" x14ac:dyDescent="0.35">
      <c r="B1971" s="9"/>
      <c r="C1971" s="2"/>
      <c r="D1971" s="2"/>
      <c r="I1971" s="9"/>
      <c r="J1971" s="2"/>
      <c r="L1971" s="9"/>
      <c r="M1971" s="2"/>
      <c r="N1971" s="9"/>
      <c r="P1971" s="3">
        <v>404.34049010000001</v>
      </c>
      <c r="S1971" s="9"/>
      <c r="T1971" s="2"/>
      <c r="U1971" s="9"/>
    </row>
    <row r="1972" spans="2:21" x14ac:dyDescent="0.35">
      <c r="B1972" s="9"/>
      <c r="C1972" s="2"/>
      <c r="D1972" s="2"/>
      <c r="I1972" s="9"/>
      <c r="J1972" s="2"/>
      <c r="L1972" s="9"/>
      <c r="M1972" s="2"/>
      <c r="N1972" s="9"/>
      <c r="P1972" s="3">
        <v>347.62132985</v>
      </c>
      <c r="S1972" s="9"/>
      <c r="T1972" s="2"/>
      <c r="U1972" s="9"/>
    </row>
    <row r="1973" spans="2:21" x14ac:dyDescent="0.35">
      <c r="B1973" s="9"/>
      <c r="C1973" s="2"/>
      <c r="D1973" s="2"/>
      <c r="I1973" s="9"/>
      <c r="J1973" s="2"/>
      <c r="L1973" s="9"/>
      <c r="M1973" s="2"/>
      <c r="N1973" s="9"/>
      <c r="P1973" s="3">
        <v>322.38721985000001</v>
      </c>
      <c r="S1973" s="9"/>
      <c r="T1973" s="2"/>
      <c r="U1973" s="9"/>
    </row>
    <row r="1974" spans="2:21" x14ac:dyDescent="0.35">
      <c r="B1974" s="9"/>
      <c r="C1974" s="2"/>
      <c r="D1974" s="2"/>
      <c r="I1974" s="9"/>
      <c r="J1974" s="2"/>
      <c r="L1974" s="9"/>
      <c r="M1974" s="2"/>
      <c r="N1974" s="9"/>
      <c r="P1974" s="3">
        <v>599.33449863999999</v>
      </c>
      <c r="S1974" s="9"/>
      <c r="T1974" s="2"/>
      <c r="U1974" s="9"/>
    </row>
    <row r="1975" spans="2:21" x14ac:dyDescent="0.35">
      <c r="B1975" s="9"/>
      <c r="C1975" s="2"/>
      <c r="D1975" s="2"/>
      <c r="I1975" s="9"/>
      <c r="J1975" s="2"/>
      <c r="L1975" s="9"/>
      <c r="M1975" s="2"/>
      <c r="N1975" s="9"/>
      <c r="P1975" s="3">
        <v>567.69760864</v>
      </c>
      <c r="S1975" s="9"/>
      <c r="T1975" s="2"/>
      <c r="U1975" s="9"/>
    </row>
    <row r="1976" spans="2:21" x14ac:dyDescent="0.35">
      <c r="B1976" s="9"/>
      <c r="C1976" s="2"/>
      <c r="D1976" s="2"/>
      <c r="I1976" s="9"/>
      <c r="J1976" s="2"/>
      <c r="L1976" s="9"/>
      <c r="M1976" s="2"/>
      <c r="N1976" s="9"/>
      <c r="P1976" s="3">
        <v>521.08468863999997</v>
      </c>
      <c r="S1976" s="9"/>
      <c r="T1976" s="2"/>
      <c r="U1976" s="9"/>
    </row>
    <row r="1977" spans="2:21" x14ac:dyDescent="0.35">
      <c r="B1977" s="9"/>
      <c r="C1977" s="2"/>
      <c r="D1977" s="2"/>
      <c r="I1977" s="9"/>
      <c r="J1977" s="2"/>
      <c r="L1977" s="9"/>
      <c r="M1977" s="2"/>
      <c r="N1977" s="9"/>
      <c r="P1977" s="3">
        <v>441.65343863999999</v>
      </c>
      <c r="S1977" s="9"/>
      <c r="T1977" s="2"/>
      <c r="U1977" s="9"/>
    </row>
    <row r="1978" spans="2:21" x14ac:dyDescent="0.35">
      <c r="B1978" s="9"/>
      <c r="C1978" s="2"/>
      <c r="D1978" s="2"/>
      <c r="I1978" s="9"/>
      <c r="J1978" s="2"/>
      <c r="L1978" s="9"/>
      <c r="M1978" s="2"/>
      <c r="N1978" s="9"/>
      <c r="P1978" s="3">
        <v>357.26709863999997</v>
      </c>
      <c r="S1978" s="9"/>
      <c r="T1978" s="2"/>
      <c r="U1978" s="9"/>
    </row>
    <row r="1979" spans="2:21" x14ac:dyDescent="0.35">
      <c r="B1979" s="9"/>
      <c r="C1979" s="2"/>
      <c r="D1979" s="2"/>
      <c r="I1979" s="9"/>
      <c r="J1979" s="2"/>
      <c r="L1979" s="9"/>
      <c r="M1979" s="2"/>
      <c r="N1979" s="9"/>
      <c r="P1979" s="3">
        <v>330.47524864000002</v>
      </c>
      <c r="S1979" s="9"/>
      <c r="T1979" s="2"/>
      <c r="U1979" s="9"/>
    </row>
    <row r="1980" spans="2:21" x14ac:dyDescent="0.35">
      <c r="B1980" s="9"/>
      <c r="C1980" s="2"/>
      <c r="D1980" s="2"/>
      <c r="I1980" s="9"/>
      <c r="J1980" s="2"/>
      <c r="L1980" s="9"/>
      <c r="M1980" s="2"/>
      <c r="N1980" s="9"/>
      <c r="P1980" s="3">
        <v>275.56881864000002</v>
      </c>
      <c r="S1980" s="9"/>
      <c r="T1980" s="2"/>
      <c r="U1980" s="9"/>
    </row>
    <row r="1981" spans="2:21" x14ac:dyDescent="0.35">
      <c r="B1981" s="9"/>
      <c r="C1981" s="2"/>
      <c r="D1981" s="2"/>
      <c r="I1981" s="9"/>
      <c r="J1981" s="2"/>
      <c r="L1981" s="9"/>
      <c r="M1981" s="2"/>
      <c r="N1981" s="9"/>
      <c r="P1981" s="3">
        <v>177.83163863999999</v>
      </c>
      <c r="S1981" s="9"/>
      <c r="T1981" s="2"/>
      <c r="U1981" s="9"/>
    </row>
    <row r="1982" spans="2:21" x14ac:dyDescent="0.35">
      <c r="B1982" s="9"/>
      <c r="C1982" s="2"/>
      <c r="D1982" s="2"/>
      <c r="I1982" s="9"/>
      <c r="J1982" s="2"/>
      <c r="L1982" s="9"/>
      <c r="M1982" s="2"/>
      <c r="N1982" s="9"/>
      <c r="P1982" s="3">
        <v>-256.92836136</v>
      </c>
      <c r="S1982" s="9"/>
      <c r="T1982" s="2"/>
      <c r="U1982" s="9"/>
    </row>
    <row r="1983" spans="2:21" x14ac:dyDescent="0.35">
      <c r="B1983" s="9"/>
      <c r="C1983" s="2"/>
      <c r="D1983" s="2"/>
      <c r="I1983" s="9"/>
      <c r="J1983" s="2"/>
      <c r="L1983" s="9"/>
      <c r="M1983" s="2"/>
      <c r="N1983" s="9"/>
      <c r="P1983" s="3">
        <v>0</v>
      </c>
      <c r="S1983" s="9"/>
      <c r="T1983" s="2"/>
      <c r="U1983" s="9"/>
    </row>
    <row r="1984" spans="2:21" x14ac:dyDescent="0.35">
      <c r="B1984" s="9"/>
      <c r="C1984" s="2"/>
      <c r="D1984" s="2"/>
      <c r="I1984" s="9"/>
      <c r="J1984" s="2"/>
      <c r="L1984" s="9"/>
      <c r="M1984" s="2"/>
      <c r="N1984" s="9"/>
      <c r="P1984" s="3">
        <v>0</v>
      </c>
      <c r="S1984" s="9"/>
      <c r="T1984" s="2"/>
      <c r="U1984" s="9"/>
    </row>
    <row r="1985" spans="2:21" x14ac:dyDescent="0.35">
      <c r="B1985" s="9"/>
      <c r="C1985" s="2"/>
      <c r="D1985" s="2"/>
      <c r="I1985" s="9"/>
      <c r="J1985" s="2"/>
      <c r="L1985" s="9"/>
      <c r="M1985" s="2"/>
      <c r="N1985" s="9"/>
      <c r="P1985" s="3">
        <v>0</v>
      </c>
      <c r="S1985" s="9"/>
      <c r="T1985" s="2"/>
      <c r="U1985" s="9"/>
    </row>
    <row r="1986" spans="2:21" x14ac:dyDescent="0.35">
      <c r="B1986" s="9"/>
      <c r="C1986" s="2"/>
      <c r="D1986" s="2"/>
      <c r="I1986" s="9"/>
      <c r="J1986" s="2"/>
      <c r="L1986" s="9"/>
      <c r="M1986" s="2"/>
      <c r="N1986" s="9"/>
      <c r="P1986" s="3">
        <v>0</v>
      </c>
      <c r="S1986" s="9"/>
      <c r="T1986" s="2"/>
      <c r="U1986" s="9"/>
    </row>
    <row r="1987" spans="2:21" x14ac:dyDescent="0.35">
      <c r="B1987" s="9"/>
      <c r="C1987" s="2"/>
      <c r="D1987" s="2"/>
      <c r="I1987" s="9"/>
      <c r="J1987" s="2"/>
      <c r="L1987" s="9"/>
      <c r="M1987" s="2"/>
      <c r="N1987" s="9"/>
      <c r="P1987" s="3">
        <v>0</v>
      </c>
      <c r="S1987" s="9"/>
      <c r="T1987" s="2"/>
      <c r="U1987" s="9"/>
    </row>
    <row r="1988" spans="2:21" x14ac:dyDescent="0.35">
      <c r="B1988" s="9"/>
      <c r="C1988" s="2"/>
      <c r="D1988" s="2"/>
      <c r="I1988" s="9"/>
      <c r="J1988" s="2"/>
      <c r="L1988" s="9"/>
      <c r="M1988" s="2"/>
      <c r="N1988" s="9"/>
      <c r="P1988" s="3">
        <v>0</v>
      </c>
      <c r="S1988" s="9"/>
      <c r="T1988" s="2"/>
      <c r="U1988" s="9"/>
    </row>
    <row r="1989" spans="2:21" x14ac:dyDescent="0.35">
      <c r="B1989" s="9"/>
      <c r="C1989" s="2"/>
      <c r="D1989" s="2"/>
      <c r="I1989" s="9"/>
      <c r="J1989" s="2"/>
      <c r="L1989" s="9"/>
      <c r="M1989" s="2"/>
      <c r="N1989" s="9"/>
      <c r="P1989" s="3">
        <v>0</v>
      </c>
      <c r="S1989" s="9"/>
      <c r="T1989" s="2"/>
      <c r="U1989" s="9"/>
    </row>
    <row r="1990" spans="2:21" x14ac:dyDescent="0.35">
      <c r="B1990" s="9"/>
      <c r="C1990" s="2"/>
      <c r="D1990" s="2"/>
      <c r="I1990" s="9"/>
      <c r="J1990" s="2"/>
      <c r="L1990" s="9"/>
      <c r="M1990" s="2"/>
      <c r="N1990" s="9"/>
      <c r="P1990" s="3">
        <v>-263.73016136000001</v>
      </c>
      <c r="S1990" s="9"/>
      <c r="T1990" s="2"/>
      <c r="U1990" s="9"/>
    </row>
    <row r="1991" spans="2:21" x14ac:dyDescent="0.35">
      <c r="B1991" s="9"/>
      <c r="C1991" s="2"/>
      <c r="D1991" s="2"/>
      <c r="I1991" s="9"/>
      <c r="J1991" s="2"/>
      <c r="L1991" s="9"/>
      <c r="M1991" s="2"/>
      <c r="N1991" s="9"/>
      <c r="P1991" s="3">
        <v>-698.49016136</v>
      </c>
      <c r="S1991" s="9"/>
      <c r="T1991" s="2"/>
      <c r="U1991" s="9"/>
    </row>
    <row r="1992" spans="2:21" x14ac:dyDescent="0.35">
      <c r="B1992" s="9"/>
      <c r="C1992" s="2"/>
      <c r="D1992" s="2"/>
      <c r="I1992" s="9"/>
      <c r="J1992" s="2"/>
      <c r="L1992" s="9"/>
      <c r="M1992" s="2"/>
      <c r="N1992" s="9"/>
      <c r="P1992" s="3">
        <v>-263.73016136000001</v>
      </c>
      <c r="S1992" s="9"/>
      <c r="T1992" s="2"/>
      <c r="U1992" s="9"/>
    </row>
    <row r="1993" spans="2:21" x14ac:dyDescent="0.35">
      <c r="B1993" s="9"/>
      <c r="C1993" s="2"/>
      <c r="D1993" s="2"/>
      <c r="I1993" s="9"/>
      <c r="J1993" s="2"/>
      <c r="L1993" s="9"/>
      <c r="M1993" s="2"/>
      <c r="N1993" s="9"/>
      <c r="P1993" s="3">
        <v>171.02983864000001</v>
      </c>
      <c r="S1993" s="9"/>
      <c r="T1993" s="2"/>
      <c r="U1993" s="9"/>
    </row>
    <row r="1994" spans="2:21" x14ac:dyDescent="0.35">
      <c r="B1994" s="9"/>
      <c r="C1994" s="2"/>
      <c r="D1994" s="2"/>
      <c r="I1994" s="9"/>
      <c r="J1994" s="2"/>
      <c r="L1994" s="9"/>
      <c r="M1994" s="2"/>
      <c r="N1994" s="9"/>
      <c r="P1994" s="3">
        <v>311.96696864</v>
      </c>
      <c r="S1994" s="9"/>
      <c r="T1994" s="2"/>
      <c r="U1994" s="9"/>
    </row>
    <row r="1995" spans="2:21" x14ac:dyDescent="0.35">
      <c r="B1995" s="9"/>
      <c r="C1995" s="2"/>
      <c r="D1995" s="2"/>
      <c r="I1995" s="9"/>
      <c r="J1995" s="2"/>
      <c r="L1995" s="9"/>
      <c r="M1995" s="2"/>
      <c r="N1995" s="9"/>
      <c r="P1995" s="3">
        <v>243.77004864</v>
      </c>
      <c r="S1995" s="9"/>
      <c r="T1995" s="2"/>
      <c r="U1995" s="9"/>
    </row>
    <row r="1996" spans="2:21" x14ac:dyDescent="0.35">
      <c r="B1996" s="9"/>
      <c r="C1996" s="2"/>
      <c r="D1996" s="2"/>
      <c r="I1996" s="9"/>
      <c r="J1996" s="2"/>
      <c r="L1996" s="9"/>
      <c r="M1996" s="2"/>
      <c r="N1996" s="9"/>
      <c r="P1996" s="3">
        <v>209.78873863999999</v>
      </c>
      <c r="S1996" s="9"/>
      <c r="T1996" s="2"/>
      <c r="U1996" s="9"/>
    </row>
    <row r="1997" spans="2:21" x14ac:dyDescent="0.35">
      <c r="B1997" s="9"/>
      <c r="C1997" s="2"/>
      <c r="D1997" s="2"/>
      <c r="I1997" s="9"/>
      <c r="J1997" s="2"/>
      <c r="L1997" s="9"/>
      <c r="M1997" s="2"/>
      <c r="N1997" s="9"/>
      <c r="P1997" s="3">
        <v>192.63513864000001</v>
      </c>
      <c r="S1997" s="9"/>
      <c r="T1997" s="2"/>
      <c r="U1997" s="9"/>
    </row>
    <row r="1998" spans="2:21" x14ac:dyDescent="0.35">
      <c r="B1998" s="9"/>
      <c r="C1998" s="2"/>
      <c r="D1998" s="2"/>
      <c r="I1998" s="9"/>
      <c r="J1998" s="2"/>
      <c r="L1998" s="9"/>
      <c r="M1998" s="2"/>
      <c r="N1998" s="9"/>
      <c r="P1998" s="3">
        <v>195.34762161</v>
      </c>
      <c r="S1998" s="9"/>
      <c r="T1998" s="2"/>
      <c r="U1998" s="9"/>
    </row>
    <row r="1999" spans="2:21" x14ac:dyDescent="0.35">
      <c r="B1999" s="9"/>
      <c r="C1999" s="2"/>
      <c r="D1999" s="2"/>
      <c r="I1999" s="9"/>
      <c r="J1999" s="2"/>
      <c r="L1999" s="9"/>
      <c r="M1999" s="2"/>
      <c r="N1999" s="9"/>
      <c r="P1999" s="3">
        <v>169.10531161</v>
      </c>
      <c r="S1999" s="9"/>
      <c r="T1999" s="2"/>
      <c r="U1999" s="9"/>
    </row>
    <row r="2000" spans="2:21" x14ac:dyDescent="0.35">
      <c r="B2000" s="9"/>
      <c r="C2000" s="2"/>
      <c r="D2000" s="2"/>
      <c r="I2000" s="9"/>
      <c r="J2000" s="2"/>
      <c r="L2000" s="9"/>
      <c r="M2000" s="2"/>
      <c r="N2000" s="9"/>
      <c r="P2000" s="3">
        <v>63.848521609999999</v>
      </c>
      <c r="S2000" s="9"/>
      <c r="T2000" s="2"/>
      <c r="U2000" s="9"/>
    </row>
    <row r="2001" spans="2:21" x14ac:dyDescent="0.35">
      <c r="B2001" s="9"/>
      <c r="C2001" s="2"/>
      <c r="D2001" s="2"/>
      <c r="I2001" s="9"/>
      <c r="J2001" s="2"/>
      <c r="L2001" s="9"/>
      <c r="M2001" s="2"/>
      <c r="N2001" s="9"/>
      <c r="P2001" s="3">
        <v>-54.577348389999997</v>
      </c>
      <c r="S2001" s="9"/>
      <c r="T2001" s="2"/>
      <c r="U2001" s="9"/>
    </row>
    <row r="2002" spans="2:21" x14ac:dyDescent="0.35">
      <c r="B2002" s="9"/>
      <c r="C2002" s="2"/>
      <c r="D2002" s="2"/>
      <c r="I2002" s="9"/>
      <c r="J2002" s="2"/>
      <c r="L2002" s="9"/>
      <c r="M2002" s="2"/>
      <c r="N2002" s="9"/>
      <c r="P2002" s="3">
        <v>-169.77768839000001</v>
      </c>
      <c r="S2002" s="9"/>
      <c r="T2002" s="2"/>
      <c r="U2002" s="9"/>
    </row>
    <row r="2003" spans="2:21" x14ac:dyDescent="0.35">
      <c r="B2003" s="9"/>
      <c r="C2003" s="2"/>
      <c r="D2003" s="2"/>
      <c r="I2003" s="9"/>
      <c r="J2003" s="2"/>
      <c r="L2003" s="9"/>
      <c r="M2003" s="2"/>
      <c r="N2003" s="9"/>
      <c r="P2003" s="3">
        <v>-275.98942839</v>
      </c>
      <c r="S2003" s="9"/>
      <c r="T2003" s="2"/>
      <c r="U2003" s="9"/>
    </row>
    <row r="2004" spans="2:21" x14ac:dyDescent="0.35">
      <c r="B2004" s="9"/>
      <c r="C2004" s="2"/>
      <c r="D2004" s="2"/>
      <c r="I2004" s="9"/>
      <c r="J2004" s="2"/>
      <c r="L2004" s="9"/>
      <c r="M2004" s="2"/>
      <c r="N2004" s="9"/>
      <c r="P2004" s="3">
        <v>-354.62973839</v>
      </c>
      <c r="S2004" s="9"/>
      <c r="T2004" s="2"/>
      <c r="U2004" s="9"/>
    </row>
    <row r="2005" spans="2:21" x14ac:dyDescent="0.35">
      <c r="B2005" s="9"/>
      <c r="C2005" s="2"/>
      <c r="D2005" s="2"/>
      <c r="I2005" s="9"/>
      <c r="J2005" s="2"/>
      <c r="L2005" s="9"/>
      <c r="M2005" s="2"/>
      <c r="N2005" s="9"/>
      <c r="P2005" s="3">
        <v>-509.61350838999999</v>
      </c>
      <c r="S2005" s="9"/>
      <c r="T2005" s="2"/>
      <c r="U2005" s="9"/>
    </row>
    <row r="2006" spans="2:21" x14ac:dyDescent="0.35">
      <c r="B2006" s="9"/>
      <c r="C2006" s="2"/>
      <c r="D2006" s="2"/>
      <c r="I2006" s="9"/>
      <c r="J2006" s="2"/>
      <c r="L2006" s="9"/>
      <c r="M2006" s="2"/>
      <c r="N2006" s="9"/>
      <c r="P2006" s="3">
        <v>-944.37350838999998</v>
      </c>
      <c r="S2006" s="9"/>
      <c r="T2006" s="2"/>
      <c r="U2006" s="9"/>
    </row>
    <row r="2007" spans="2:21" x14ac:dyDescent="0.35">
      <c r="B2007" s="9"/>
      <c r="C2007" s="2"/>
      <c r="D2007" s="2"/>
      <c r="I2007" s="9"/>
      <c r="J2007" s="2"/>
      <c r="L2007" s="9"/>
      <c r="M2007" s="2"/>
      <c r="N2007" s="9"/>
      <c r="P2007" s="3">
        <v>-509.61350838999999</v>
      </c>
      <c r="S2007" s="9"/>
      <c r="T2007" s="2"/>
      <c r="U2007" s="9"/>
    </row>
    <row r="2008" spans="2:21" x14ac:dyDescent="0.35">
      <c r="B2008" s="9"/>
      <c r="C2008" s="2"/>
      <c r="D2008" s="2"/>
      <c r="I2008" s="9"/>
      <c r="J2008" s="2"/>
      <c r="L2008" s="9"/>
      <c r="M2008" s="2"/>
      <c r="N2008" s="9"/>
      <c r="P2008" s="3">
        <v>-74.853508390000002</v>
      </c>
      <c r="S2008" s="9"/>
      <c r="T2008" s="2"/>
      <c r="U2008" s="9"/>
    </row>
    <row r="2009" spans="2:21" x14ac:dyDescent="0.35">
      <c r="B2009" s="9"/>
      <c r="C2009" s="2"/>
      <c r="D2009" s="2"/>
      <c r="I2009" s="9"/>
      <c r="J2009" s="2"/>
      <c r="L2009" s="9"/>
      <c r="M2009" s="2"/>
      <c r="N2009" s="9"/>
      <c r="P2009" s="3">
        <v>0</v>
      </c>
      <c r="S2009" s="9"/>
      <c r="T2009" s="2"/>
      <c r="U2009" s="9"/>
    </row>
    <row r="2010" spans="2:21" x14ac:dyDescent="0.35">
      <c r="B2010" s="9"/>
      <c r="C2010" s="2"/>
      <c r="D2010" s="2"/>
      <c r="I2010" s="9"/>
      <c r="J2010" s="2"/>
      <c r="L2010" s="9"/>
      <c r="M2010" s="2"/>
      <c r="N2010" s="9"/>
      <c r="P2010" s="3">
        <v>0</v>
      </c>
      <c r="S2010" s="9"/>
      <c r="T2010" s="2"/>
      <c r="U2010" s="9"/>
    </row>
    <row r="2011" spans="2:21" x14ac:dyDescent="0.35">
      <c r="B2011" s="9"/>
      <c r="C2011" s="2"/>
      <c r="D2011" s="2"/>
      <c r="I2011" s="9"/>
      <c r="J2011" s="2"/>
      <c r="L2011" s="9"/>
      <c r="M2011" s="2"/>
      <c r="N2011" s="9"/>
      <c r="P2011" s="3">
        <v>0</v>
      </c>
      <c r="S2011" s="9"/>
      <c r="T2011" s="2"/>
      <c r="U2011" s="9"/>
    </row>
    <row r="2012" spans="2:21" x14ac:dyDescent="0.35">
      <c r="B2012" s="9"/>
      <c r="C2012" s="2"/>
      <c r="D2012" s="2"/>
      <c r="I2012" s="9"/>
      <c r="J2012" s="2"/>
      <c r="L2012" s="9"/>
      <c r="M2012" s="2"/>
      <c r="N2012" s="9"/>
      <c r="P2012" s="3">
        <v>0</v>
      </c>
      <c r="S2012" s="9"/>
      <c r="T2012" s="2"/>
      <c r="U2012" s="9"/>
    </row>
    <row r="2013" spans="2:21" x14ac:dyDescent="0.35">
      <c r="B2013" s="9"/>
      <c r="C2013" s="2"/>
      <c r="D2013" s="2"/>
      <c r="I2013" s="9"/>
      <c r="J2013" s="2"/>
      <c r="L2013" s="9"/>
      <c r="M2013" s="2"/>
      <c r="N2013" s="9"/>
      <c r="P2013" s="3">
        <v>0</v>
      </c>
      <c r="S2013" s="9"/>
      <c r="T2013" s="2"/>
      <c r="U2013" s="9"/>
    </row>
    <row r="2014" spans="2:21" x14ac:dyDescent="0.35">
      <c r="B2014" s="9"/>
      <c r="C2014" s="2"/>
      <c r="D2014" s="2"/>
      <c r="I2014" s="9"/>
      <c r="J2014" s="2"/>
      <c r="L2014" s="9"/>
      <c r="M2014" s="2"/>
      <c r="N2014" s="9"/>
      <c r="P2014" s="3">
        <v>-332.96903838999998</v>
      </c>
      <c r="S2014" s="9"/>
      <c r="T2014" s="2"/>
      <c r="U2014" s="9"/>
    </row>
    <row r="2015" spans="2:21" x14ac:dyDescent="0.35">
      <c r="B2015" s="9"/>
      <c r="C2015" s="2"/>
      <c r="D2015" s="2"/>
      <c r="I2015" s="9"/>
      <c r="J2015" s="2"/>
      <c r="L2015" s="9"/>
      <c r="M2015" s="2"/>
      <c r="N2015" s="9"/>
      <c r="P2015" s="3">
        <v>-767.72903839000003</v>
      </c>
      <c r="S2015" s="9"/>
      <c r="T2015" s="2"/>
      <c r="U2015" s="9"/>
    </row>
    <row r="2016" spans="2:21" x14ac:dyDescent="0.35">
      <c r="B2016" s="9"/>
      <c r="C2016" s="2"/>
      <c r="D2016" s="2"/>
      <c r="I2016" s="9"/>
      <c r="J2016" s="2"/>
      <c r="L2016" s="9"/>
      <c r="M2016" s="2"/>
      <c r="N2016" s="9"/>
      <c r="P2016" s="3">
        <v>-1202.4890383899999</v>
      </c>
      <c r="S2016" s="9"/>
      <c r="T2016" s="2"/>
      <c r="U2016" s="9"/>
    </row>
    <row r="2017" spans="2:21" x14ac:dyDescent="0.35">
      <c r="B2017" s="9"/>
      <c r="C2017" s="2"/>
      <c r="D2017" s="2"/>
      <c r="I2017" s="9"/>
      <c r="J2017" s="2"/>
      <c r="L2017" s="9"/>
      <c r="M2017" s="2"/>
      <c r="N2017" s="9"/>
      <c r="P2017" s="3">
        <v>-767.72903839000003</v>
      </c>
      <c r="S2017" s="9"/>
      <c r="T2017" s="2"/>
      <c r="U2017" s="9"/>
    </row>
    <row r="2018" spans="2:21" x14ac:dyDescent="0.35">
      <c r="B2018" s="9"/>
      <c r="C2018" s="2"/>
      <c r="D2018" s="2"/>
      <c r="I2018" s="9"/>
      <c r="J2018" s="2"/>
      <c r="L2018" s="9"/>
      <c r="M2018" s="2"/>
      <c r="N2018" s="9"/>
      <c r="P2018" s="3">
        <v>-641.50381838999999</v>
      </c>
      <c r="S2018" s="9"/>
      <c r="T2018" s="2"/>
      <c r="U2018" s="9"/>
    </row>
    <row r="2019" spans="2:21" x14ac:dyDescent="0.35">
      <c r="B2019" s="9"/>
      <c r="C2019" s="2"/>
      <c r="D2019" s="2"/>
      <c r="I2019" s="9"/>
      <c r="J2019" s="2"/>
      <c r="L2019" s="9"/>
      <c r="M2019" s="2"/>
      <c r="N2019" s="9"/>
      <c r="P2019" s="3">
        <v>-680.91236838999998</v>
      </c>
      <c r="S2019" s="9"/>
      <c r="T2019" s="2"/>
      <c r="U2019" s="9"/>
    </row>
    <row r="2020" spans="2:21" x14ac:dyDescent="0.35">
      <c r="B2020" s="9"/>
      <c r="C2020" s="2"/>
      <c r="D2020" s="2"/>
      <c r="I2020" s="9"/>
      <c r="J2020" s="2"/>
      <c r="L2020" s="9"/>
      <c r="M2020" s="2"/>
      <c r="N2020" s="9"/>
      <c r="P2020" s="3">
        <v>-525.33432839</v>
      </c>
      <c r="S2020" s="9"/>
      <c r="T2020" s="2"/>
      <c r="U2020" s="9"/>
    </row>
    <row r="2021" spans="2:21" x14ac:dyDescent="0.35">
      <c r="B2021" s="9"/>
      <c r="C2021" s="2"/>
      <c r="D2021" s="2"/>
      <c r="I2021" s="9"/>
      <c r="J2021" s="2"/>
      <c r="L2021" s="9"/>
      <c r="M2021" s="2"/>
      <c r="N2021" s="9"/>
      <c r="P2021" s="3">
        <v>-430.57843838999997</v>
      </c>
      <c r="S2021" s="9"/>
      <c r="T2021" s="2"/>
      <c r="U2021" s="9"/>
    </row>
    <row r="2022" spans="2:21" x14ac:dyDescent="0.35">
      <c r="B2022" s="9"/>
      <c r="C2022" s="2"/>
      <c r="D2022" s="2"/>
      <c r="I2022" s="9"/>
      <c r="J2022" s="2"/>
      <c r="L2022" s="9"/>
      <c r="M2022" s="2"/>
      <c r="N2022" s="9"/>
      <c r="P2022" s="3">
        <v>-669.91834886000004</v>
      </c>
      <c r="S2022" s="9"/>
      <c r="T2022" s="2"/>
      <c r="U2022" s="9"/>
    </row>
    <row r="2023" spans="2:21" x14ac:dyDescent="0.35">
      <c r="B2023" s="9"/>
      <c r="C2023" s="2"/>
      <c r="D2023" s="2"/>
      <c r="I2023" s="9"/>
      <c r="J2023" s="2"/>
      <c r="L2023" s="9"/>
      <c r="M2023" s="2"/>
      <c r="N2023" s="9"/>
      <c r="P2023" s="3">
        <v>-741.24352885999997</v>
      </c>
      <c r="S2023" s="9"/>
      <c r="T2023" s="2"/>
      <c r="U2023" s="9"/>
    </row>
    <row r="2024" spans="2:21" x14ac:dyDescent="0.35">
      <c r="B2024" s="9"/>
      <c r="C2024" s="2"/>
      <c r="D2024" s="2"/>
      <c r="I2024" s="9"/>
      <c r="J2024" s="2"/>
      <c r="L2024" s="9"/>
      <c r="M2024" s="2"/>
      <c r="N2024" s="9"/>
      <c r="P2024" s="3">
        <v>-821.62404886000002</v>
      </c>
      <c r="S2024" s="9"/>
      <c r="T2024" s="2"/>
      <c r="U2024" s="9"/>
    </row>
    <row r="2025" spans="2:21" x14ac:dyDescent="0.35">
      <c r="B2025" s="9"/>
      <c r="C2025" s="2"/>
      <c r="D2025" s="2"/>
      <c r="I2025" s="9"/>
      <c r="J2025" s="2"/>
      <c r="L2025" s="9"/>
      <c r="M2025" s="2"/>
      <c r="N2025" s="9"/>
      <c r="P2025" s="3">
        <v>-902.44973886000002</v>
      </c>
      <c r="S2025" s="9"/>
      <c r="T2025" s="2"/>
      <c r="U2025" s="9"/>
    </row>
    <row r="2026" spans="2:21" x14ac:dyDescent="0.35">
      <c r="B2026" s="9"/>
      <c r="C2026" s="2"/>
      <c r="D2026" s="2"/>
      <c r="I2026" s="9"/>
      <c r="J2026" s="2"/>
      <c r="L2026" s="9"/>
      <c r="M2026" s="2"/>
      <c r="N2026" s="9"/>
      <c r="P2026" s="3">
        <v>-933.00884885999994</v>
      </c>
      <c r="S2026" s="9"/>
      <c r="T2026" s="2"/>
      <c r="U2026" s="9"/>
    </row>
    <row r="2027" spans="2:21" x14ac:dyDescent="0.35">
      <c r="B2027" s="9"/>
      <c r="C2027" s="2"/>
      <c r="D2027" s="2"/>
      <c r="I2027" s="9"/>
      <c r="J2027" s="2"/>
      <c r="L2027" s="9"/>
      <c r="M2027" s="2"/>
      <c r="N2027" s="9"/>
      <c r="P2027" s="3">
        <v>-875.92778238000005</v>
      </c>
      <c r="S2027" s="9"/>
      <c r="T2027" s="2"/>
      <c r="U2027" s="9"/>
    </row>
    <row r="2028" spans="2:21" x14ac:dyDescent="0.35">
      <c r="B2028" s="9"/>
      <c r="C2028" s="2"/>
      <c r="D2028" s="2"/>
      <c r="I2028" s="9"/>
      <c r="J2028" s="2"/>
      <c r="L2028" s="9"/>
      <c r="M2028" s="2"/>
      <c r="N2028" s="9"/>
      <c r="P2028" s="3">
        <v>-822.00408589999995</v>
      </c>
      <c r="S2028" s="9"/>
      <c r="T2028" s="2"/>
      <c r="U2028" s="9"/>
    </row>
    <row r="2029" spans="2:21" x14ac:dyDescent="0.35">
      <c r="B2029" s="9"/>
      <c r="C2029" s="2"/>
      <c r="D2029" s="2"/>
      <c r="I2029" s="9"/>
      <c r="J2029" s="2"/>
      <c r="L2029" s="9"/>
      <c r="M2029" s="2"/>
      <c r="N2029" s="9"/>
      <c r="P2029" s="3">
        <v>-922.86920344999999</v>
      </c>
      <c r="S2029" s="9"/>
      <c r="T2029" s="2"/>
      <c r="U2029" s="9"/>
    </row>
    <row r="2030" spans="2:21" x14ac:dyDescent="0.35">
      <c r="B2030" s="9"/>
      <c r="C2030" s="2"/>
      <c r="D2030" s="2"/>
      <c r="I2030" s="9"/>
      <c r="J2030" s="2"/>
      <c r="L2030" s="9"/>
      <c r="M2030" s="2"/>
      <c r="N2030" s="9"/>
      <c r="P2030" s="3">
        <v>-1357.62920345</v>
      </c>
      <c r="S2030" s="9"/>
      <c r="T2030" s="2"/>
      <c r="U2030" s="9"/>
    </row>
    <row r="2031" spans="2:21" x14ac:dyDescent="0.35">
      <c r="B2031" s="9"/>
      <c r="C2031" s="2"/>
      <c r="D2031" s="2"/>
      <c r="I2031" s="9"/>
      <c r="J2031" s="2"/>
      <c r="L2031" s="9"/>
      <c r="M2031" s="2"/>
      <c r="N2031" s="9"/>
      <c r="P2031" s="3">
        <v>-922.86920344999999</v>
      </c>
      <c r="S2031" s="9"/>
      <c r="T2031" s="2"/>
      <c r="U2031" s="9"/>
    </row>
    <row r="2032" spans="2:21" x14ac:dyDescent="0.35">
      <c r="B2032" s="9"/>
      <c r="C2032" s="2"/>
      <c r="D2032" s="2"/>
      <c r="I2032" s="9"/>
      <c r="J2032" s="2"/>
      <c r="L2032" s="9"/>
      <c r="M2032" s="2"/>
      <c r="N2032" s="9"/>
      <c r="P2032" s="3">
        <v>-488.10920345</v>
      </c>
      <c r="S2032" s="9"/>
      <c r="T2032" s="2"/>
      <c r="U2032" s="9"/>
    </row>
    <row r="2033" spans="2:21" x14ac:dyDescent="0.35">
      <c r="B2033" s="9"/>
      <c r="C2033" s="2"/>
      <c r="D2033" s="2"/>
      <c r="I2033" s="9"/>
      <c r="J2033" s="2"/>
      <c r="L2033" s="9"/>
      <c r="M2033" s="2"/>
      <c r="N2033" s="9"/>
      <c r="P2033" s="3">
        <v>-53.349203449999997</v>
      </c>
      <c r="S2033" s="9"/>
      <c r="T2033" s="2"/>
      <c r="U2033" s="9"/>
    </row>
    <row r="2034" spans="2:21" x14ac:dyDescent="0.35">
      <c r="B2034" s="9"/>
      <c r="C2034" s="2"/>
      <c r="D2034" s="2"/>
      <c r="I2034" s="9"/>
      <c r="J2034" s="2"/>
      <c r="L2034" s="9"/>
      <c r="M2034" s="2"/>
      <c r="N2034" s="9"/>
      <c r="P2034" s="3">
        <v>0</v>
      </c>
      <c r="S2034" s="9"/>
      <c r="T2034" s="2"/>
      <c r="U2034" s="9"/>
    </row>
    <row r="2035" spans="2:21" x14ac:dyDescent="0.35">
      <c r="B2035" s="9"/>
      <c r="C2035" s="2"/>
      <c r="D2035" s="2"/>
      <c r="I2035" s="9"/>
      <c r="J2035" s="2"/>
      <c r="L2035" s="9"/>
      <c r="M2035" s="2"/>
      <c r="N2035" s="9"/>
      <c r="P2035" s="3">
        <v>0</v>
      </c>
      <c r="S2035" s="9"/>
      <c r="T2035" s="2"/>
      <c r="U2035" s="9"/>
    </row>
    <row r="2036" spans="2:21" x14ac:dyDescent="0.35">
      <c r="B2036" s="9"/>
      <c r="C2036" s="2"/>
      <c r="D2036" s="2"/>
      <c r="I2036" s="9"/>
      <c r="J2036" s="2"/>
      <c r="L2036" s="9"/>
      <c r="M2036" s="2"/>
      <c r="N2036" s="9"/>
      <c r="P2036" s="3">
        <v>0</v>
      </c>
      <c r="S2036" s="9"/>
      <c r="T2036" s="2"/>
      <c r="U2036" s="9"/>
    </row>
    <row r="2037" spans="2:21" x14ac:dyDescent="0.35">
      <c r="B2037" s="9"/>
      <c r="C2037" s="2"/>
      <c r="D2037" s="2"/>
      <c r="I2037" s="9"/>
      <c r="J2037" s="2"/>
      <c r="L2037" s="9"/>
      <c r="M2037" s="2"/>
      <c r="N2037" s="9"/>
      <c r="P2037" s="3">
        <v>0</v>
      </c>
      <c r="S2037" s="9"/>
      <c r="T2037" s="2"/>
      <c r="U2037" s="9"/>
    </row>
    <row r="2038" spans="2:21" x14ac:dyDescent="0.35">
      <c r="B2038" s="9"/>
      <c r="C2038" s="2"/>
      <c r="D2038" s="2"/>
      <c r="I2038" s="9"/>
      <c r="J2038" s="2"/>
      <c r="L2038" s="9"/>
      <c r="M2038" s="2"/>
      <c r="N2038" s="9"/>
      <c r="P2038" s="3">
        <v>0</v>
      </c>
      <c r="S2038" s="9"/>
      <c r="T2038" s="2"/>
      <c r="U2038" s="9"/>
    </row>
    <row r="2039" spans="2:21" x14ac:dyDescent="0.35">
      <c r="B2039" s="9"/>
      <c r="C2039" s="2"/>
      <c r="D2039" s="2"/>
      <c r="I2039" s="9"/>
      <c r="J2039" s="2"/>
      <c r="L2039" s="9"/>
      <c r="M2039" s="2"/>
      <c r="N2039" s="9"/>
      <c r="P2039" s="3">
        <v>-434.76</v>
      </c>
      <c r="S2039" s="9"/>
      <c r="T2039" s="2"/>
      <c r="U2039" s="9"/>
    </row>
    <row r="2040" spans="2:21" x14ac:dyDescent="0.35">
      <c r="B2040" s="9"/>
      <c r="C2040" s="2"/>
      <c r="D2040" s="2"/>
      <c r="I2040" s="9"/>
      <c r="J2040" s="2"/>
      <c r="L2040" s="9"/>
      <c r="M2040" s="2"/>
      <c r="N2040" s="9"/>
      <c r="P2040" s="3">
        <v>-847.90568772999995</v>
      </c>
      <c r="S2040" s="9"/>
      <c r="T2040" s="2"/>
      <c r="U2040" s="9"/>
    </row>
    <row r="2041" spans="2:21" x14ac:dyDescent="0.35">
      <c r="B2041" s="9"/>
      <c r="C2041" s="2"/>
      <c r="D2041" s="2"/>
      <c r="I2041" s="9"/>
      <c r="J2041" s="2"/>
      <c r="L2041" s="9"/>
      <c r="M2041" s="2"/>
      <c r="N2041" s="9"/>
      <c r="P2041" s="3">
        <v>-413.14568773000002</v>
      </c>
      <c r="S2041" s="9"/>
      <c r="T2041" s="2"/>
      <c r="U2041" s="9"/>
    </row>
    <row r="2042" spans="2:21" x14ac:dyDescent="0.35">
      <c r="B2042" s="9"/>
      <c r="C2042" s="2"/>
      <c r="D2042" s="2"/>
      <c r="I2042" s="9"/>
      <c r="J2042" s="2"/>
      <c r="L2042" s="9"/>
      <c r="M2042" s="2"/>
      <c r="N2042" s="9"/>
      <c r="P2042" s="3">
        <v>-347.05127822999998</v>
      </c>
      <c r="S2042" s="9"/>
      <c r="T2042" s="2"/>
      <c r="U2042" s="9"/>
    </row>
    <row r="2043" spans="2:21" x14ac:dyDescent="0.35">
      <c r="B2043" s="9"/>
      <c r="C2043" s="2"/>
      <c r="D2043" s="2"/>
      <c r="I2043" s="9"/>
      <c r="J2043" s="2"/>
      <c r="L2043" s="9"/>
      <c r="M2043" s="2"/>
      <c r="N2043" s="9"/>
      <c r="P2043" s="3">
        <v>-452.50985859999997</v>
      </c>
      <c r="S2043" s="9"/>
      <c r="T2043" s="2"/>
      <c r="U2043" s="9"/>
    </row>
    <row r="2044" spans="2:21" x14ac:dyDescent="0.35">
      <c r="B2044" s="9"/>
      <c r="C2044" s="2"/>
      <c r="D2044" s="2"/>
      <c r="I2044" s="9"/>
      <c r="J2044" s="2"/>
      <c r="L2044" s="9"/>
      <c r="M2044" s="2"/>
      <c r="N2044" s="9"/>
      <c r="P2044" s="3">
        <v>-487.93682885999999</v>
      </c>
      <c r="S2044" s="9"/>
      <c r="T2044" s="2"/>
      <c r="U2044" s="9"/>
    </row>
    <row r="2045" spans="2:21" x14ac:dyDescent="0.35">
      <c r="B2045" s="9"/>
      <c r="C2045" s="2"/>
      <c r="D2045" s="2"/>
      <c r="I2045" s="9"/>
      <c r="J2045" s="2"/>
      <c r="L2045" s="9"/>
      <c r="M2045" s="2"/>
      <c r="N2045" s="9"/>
      <c r="P2045" s="3">
        <v>-481.02852885999999</v>
      </c>
      <c r="S2045" s="9"/>
      <c r="T2045" s="2"/>
      <c r="U2045" s="9"/>
    </row>
    <row r="2046" spans="2:21" x14ac:dyDescent="0.35">
      <c r="B2046" s="9"/>
      <c r="C2046" s="2"/>
      <c r="D2046" s="2"/>
      <c r="I2046" s="9"/>
      <c r="J2046" s="2"/>
      <c r="L2046" s="9"/>
      <c r="M2046" s="2"/>
      <c r="N2046" s="9"/>
      <c r="P2046" s="3">
        <v>-421.95013885999998</v>
      </c>
      <c r="S2046" s="9"/>
      <c r="T2046" s="2"/>
      <c r="U2046" s="9"/>
    </row>
    <row r="2047" spans="2:21" x14ac:dyDescent="0.35">
      <c r="B2047" s="9"/>
      <c r="C2047" s="2"/>
      <c r="D2047" s="2"/>
      <c r="I2047" s="9"/>
      <c r="J2047" s="2"/>
      <c r="L2047" s="9"/>
      <c r="M2047" s="2"/>
      <c r="N2047" s="9"/>
      <c r="P2047" s="3">
        <v>-349.49037886000002</v>
      </c>
      <c r="S2047" s="9"/>
      <c r="T2047" s="2"/>
      <c r="U2047" s="9"/>
    </row>
    <row r="2048" spans="2:21" x14ac:dyDescent="0.35">
      <c r="B2048" s="9"/>
      <c r="C2048" s="2"/>
      <c r="D2048" s="2"/>
      <c r="I2048" s="9"/>
      <c r="J2048" s="2"/>
      <c r="L2048" s="9"/>
      <c r="M2048" s="2"/>
      <c r="N2048" s="9"/>
      <c r="P2048" s="3">
        <v>-255.89036886</v>
      </c>
      <c r="S2048" s="9"/>
      <c r="T2048" s="2"/>
      <c r="U2048" s="9"/>
    </row>
    <row r="2049" spans="2:21" x14ac:dyDescent="0.35">
      <c r="B2049" s="9"/>
      <c r="C2049" s="2"/>
      <c r="D2049" s="2"/>
      <c r="I2049" s="9"/>
      <c r="J2049" s="2"/>
      <c r="L2049" s="9"/>
      <c r="M2049" s="2"/>
      <c r="N2049" s="9"/>
      <c r="P2049" s="3">
        <v>-168.57527886</v>
      </c>
      <c r="S2049" s="9"/>
      <c r="T2049" s="2"/>
      <c r="U2049" s="9"/>
    </row>
    <row r="2050" spans="2:21" x14ac:dyDescent="0.35">
      <c r="B2050" s="9"/>
      <c r="C2050" s="2"/>
      <c r="D2050" s="2"/>
      <c r="I2050" s="9"/>
      <c r="J2050" s="2"/>
      <c r="L2050" s="9"/>
      <c r="M2050" s="2"/>
      <c r="N2050" s="9"/>
      <c r="P2050" s="3">
        <v>-107.37682886</v>
      </c>
      <c r="S2050" s="9"/>
      <c r="T2050" s="2"/>
      <c r="U2050" s="9"/>
    </row>
    <row r="2051" spans="2:21" x14ac:dyDescent="0.35">
      <c r="B2051" s="9"/>
      <c r="C2051" s="2"/>
      <c r="D2051" s="2"/>
      <c r="I2051" s="9"/>
      <c r="J2051" s="2"/>
      <c r="L2051" s="9"/>
      <c r="M2051" s="2"/>
      <c r="N2051" s="9"/>
      <c r="P2051" s="3">
        <v>-5.48411238</v>
      </c>
      <c r="S2051" s="9"/>
      <c r="T2051" s="2"/>
      <c r="U2051" s="9"/>
    </row>
    <row r="2052" spans="2:21" x14ac:dyDescent="0.35">
      <c r="B2052" s="9"/>
      <c r="C2052" s="2"/>
      <c r="D2052" s="2"/>
      <c r="I2052" s="9"/>
      <c r="J2052" s="2"/>
      <c r="L2052" s="9"/>
      <c r="M2052" s="2"/>
      <c r="N2052" s="9"/>
      <c r="P2052" s="3">
        <v>48.302554100000002</v>
      </c>
      <c r="S2052" s="9"/>
      <c r="T2052" s="2"/>
      <c r="U2052" s="9"/>
    </row>
    <row r="2053" spans="2:21" x14ac:dyDescent="0.35">
      <c r="B2053" s="9"/>
      <c r="C2053" s="2"/>
      <c r="D2053" s="2"/>
      <c r="I2053" s="9"/>
      <c r="J2053" s="2"/>
      <c r="L2053" s="9"/>
      <c r="M2053" s="2"/>
      <c r="N2053" s="9"/>
      <c r="P2053" s="3">
        <v>18.414716550000001</v>
      </c>
      <c r="S2053" s="9"/>
      <c r="T2053" s="2"/>
      <c r="U2053" s="9"/>
    </row>
    <row r="2054" spans="2:21" x14ac:dyDescent="0.35">
      <c r="B2054" s="9"/>
      <c r="C2054" s="2"/>
      <c r="D2054" s="2"/>
      <c r="I2054" s="9"/>
      <c r="J2054" s="2"/>
      <c r="L2054" s="9"/>
      <c r="M2054" s="2"/>
      <c r="N2054" s="9"/>
      <c r="P2054" s="3">
        <v>-416.34528345000001</v>
      </c>
      <c r="S2054" s="9"/>
      <c r="T2054" s="2"/>
      <c r="U2054" s="9"/>
    </row>
    <row r="2055" spans="2:21" x14ac:dyDescent="0.35">
      <c r="B2055" s="9"/>
      <c r="C2055" s="2"/>
      <c r="D2055" s="2"/>
      <c r="I2055" s="9"/>
      <c r="J2055" s="2"/>
      <c r="L2055" s="9"/>
      <c r="M2055" s="2"/>
      <c r="N2055" s="9"/>
      <c r="P2055" s="3">
        <v>0</v>
      </c>
      <c r="S2055" s="9"/>
      <c r="T2055" s="2"/>
      <c r="U2055" s="9"/>
    </row>
    <row r="2056" spans="2:21" x14ac:dyDescent="0.35">
      <c r="B2056" s="9"/>
      <c r="C2056" s="2"/>
      <c r="D2056" s="2"/>
      <c r="I2056" s="9"/>
      <c r="J2056" s="2"/>
      <c r="L2056" s="9"/>
      <c r="M2056" s="2"/>
      <c r="N2056" s="9"/>
      <c r="P2056" s="3">
        <v>0</v>
      </c>
      <c r="S2056" s="9"/>
      <c r="T2056" s="2"/>
      <c r="U2056" s="9"/>
    </row>
    <row r="2057" spans="2:21" x14ac:dyDescent="0.35">
      <c r="B2057" s="9"/>
      <c r="C2057" s="2"/>
      <c r="D2057" s="2"/>
      <c r="I2057" s="9"/>
      <c r="J2057" s="2"/>
      <c r="L2057" s="9"/>
      <c r="M2057" s="2"/>
      <c r="N2057" s="9"/>
      <c r="P2057" s="3">
        <v>0</v>
      </c>
      <c r="S2057" s="9"/>
      <c r="T2057" s="2"/>
      <c r="U2057" s="9"/>
    </row>
    <row r="2058" spans="2:21" x14ac:dyDescent="0.35">
      <c r="B2058" s="9"/>
      <c r="C2058" s="2"/>
      <c r="D2058" s="2"/>
      <c r="I2058" s="9"/>
      <c r="J2058" s="2"/>
      <c r="L2058" s="9"/>
      <c r="M2058" s="2"/>
      <c r="N2058" s="9"/>
      <c r="P2058" s="3">
        <v>0</v>
      </c>
      <c r="S2058" s="9"/>
      <c r="T2058" s="2"/>
      <c r="U2058" s="9"/>
    </row>
    <row r="2059" spans="2:21" x14ac:dyDescent="0.35">
      <c r="B2059" s="9"/>
      <c r="C2059" s="2"/>
      <c r="D2059" s="2"/>
      <c r="I2059" s="9"/>
      <c r="J2059" s="2"/>
      <c r="L2059" s="9"/>
      <c r="M2059" s="2"/>
      <c r="N2059" s="9"/>
      <c r="P2059" s="3">
        <v>0</v>
      </c>
      <c r="S2059" s="9"/>
      <c r="T2059" s="2"/>
      <c r="U2059" s="9"/>
    </row>
    <row r="2060" spans="2:21" x14ac:dyDescent="0.35">
      <c r="B2060" s="9"/>
      <c r="C2060" s="2"/>
      <c r="D2060" s="2"/>
      <c r="I2060" s="9"/>
      <c r="J2060" s="2"/>
      <c r="L2060" s="9"/>
      <c r="M2060" s="2"/>
      <c r="N2060" s="9"/>
      <c r="P2060" s="3">
        <v>0</v>
      </c>
      <c r="S2060" s="9"/>
      <c r="T2060" s="2"/>
      <c r="U2060" s="9"/>
    </row>
    <row r="2061" spans="2:21" x14ac:dyDescent="0.35">
      <c r="B2061" s="9"/>
      <c r="C2061" s="2"/>
      <c r="D2061" s="2"/>
      <c r="I2061" s="9"/>
      <c r="J2061" s="2"/>
      <c r="L2061" s="9"/>
      <c r="M2061" s="2"/>
      <c r="N2061" s="9"/>
      <c r="P2061" s="3">
        <v>0</v>
      </c>
      <c r="S2061" s="9"/>
      <c r="T2061" s="2"/>
      <c r="U2061" s="9"/>
    </row>
    <row r="2062" spans="2:21" x14ac:dyDescent="0.35">
      <c r="B2062" s="9"/>
      <c r="C2062" s="2"/>
      <c r="D2062" s="2"/>
      <c r="I2062" s="9"/>
      <c r="J2062" s="2"/>
      <c r="L2062" s="9"/>
      <c r="M2062" s="2"/>
      <c r="N2062" s="9"/>
      <c r="P2062" s="3">
        <v>-33.375227729999999</v>
      </c>
      <c r="S2062" s="9"/>
      <c r="T2062" s="2"/>
      <c r="U2062" s="9"/>
    </row>
    <row r="2063" spans="2:21" x14ac:dyDescent="0.35">
      <c r="B2063" s="9"/>
      <c r="C2063" s="2"/>
      <c r="D2063" s="2"/>
      <c r="I2063" s="9"/>
      <c r="J2063" s="2"/>
      <c r="L2063" s="9"/>
      <c r="M2063" s="2"/>
      <c r="N2063" s="9"/>
      <c r="P2063" s="3">
        <v>-468.13522773</v>
      </c>
      <c r="S2063" s="9"/>
      <c r="T2063" s="2"/>
      <c r="U2063" s="9"/>
    </row>
    <row r="2064" spans="2:21" x14ac:dyDescent="0.35">
      <c r="B2064" s="9"/>
      <c r="C2064" s="2"/>
      <c r="D2064" s="2"/>
      <c r="I2064" s="9"/>
      <c r="J2064" s="2"/>
      <c r="L2064" s="9"/>
      <c r="M2064" s="2"/>
      <c r="N2064" s="9"/>
      <c r="P2064" s="3">
        <v>-33.375227729999999</v>
      </c>
      <c r="S2064" s="9"/>
      <c r="T2064" s="2"/>
      <c r="U2064" s="9"/>
    </row>
    <row r="2065" spans="2:21" x14ac:dyDescent="0.35">
      <c r="B2065" s="9"/>
      <c r="C2065" s="2"/>
      <c r="D2065" s="2"/>
      <c r="I2065" s="9"/>
      <c r="J2065" s="2"/>
      <c r="L2065" s="9"/>
      <c r="M2065" s="2"/>
      <c r="N2065" s="9"/>
      <c r="P2065" s="3">
        <v>401.38477226999998</v>
      </c>
      <c r="S2065" s="9"/>
      <c r="T2065" s="2"/>
      <c r="U2065" s="9"/>
    </row>
    <row r="2066" spans="2:21" x14ac:dyDescent="0.35">
      <c r="B2066" s="9"/>
      <c r="C2066" s="2"/>
      <c r="D2066" s="2"/>
      <c r="I2066" s="9"/>
      <c r="J2066" s="2"/>
      <c r="L2066" s="9"/>
      <c r="M2066" s="2"/>
      <c r="N2066" s="9"/>
      <c r="P2066" s="3">
        <v>444.21887177000002</v>
      </c>
      <c r="S2066" s="9"/>
      <c r="T2066" s="2"/>
      <c r="U2066" s="9"/>
    </row>
    <row r="2067" spans="2:21" x14ac:dyDescent="0.35">
      <c r="B2067" s="9"/>
      <c r="C2067" s="2"/>
      <c r="D2067" s="2"/>
      <c r="I2067" s="9"/>
      <c r="J2067" s="2"/>
      <c r="L2067" s="9"/>
      <c r="M2067" s="2"/>
      <c r="N2067" s="9"/>
      <c r="P2067" s="3">
        <v>335.27490139999998</v>
      </c>
      <c r="S2067" s="9"/>
      <c r="T2067" s="2"/>
      <c r="U2067" s="9"/>
    </row>
    <row r="2068" spans="2:21" x14ac:dyDescent="0.35">
      <c r="B2068" s="9"/>
      <c r="C2068" s="2"/>
      <c r="D2068" s="2"/>
      <c r="I2068" s="9"/>
      <c r="J2068" s="2"/>
      <c r="L2068" s="9"/>
      <c r="M2068" s="2"/>
      <c r="N2068" s="9"/>
      <c r="P2068" s="3">
        <v>251.79726113999999</v>
      </c>
      <c r="S2068" s="9"/>
      <c r="T2068" s="2"/>
      <c r="U2068" s="9"/>
    </row>
    <row r="2069" spans="2:21" x14ac:dyDescent="0.35">
      <c r="B2069" s="9"/>
      <c r="C2069" s="2"/>
      <c r="D2069" s="2"/>
      <c r="I2069" s="9"/>
      <c r="J2069" s="2"/>
      <c r="L2069" s="9"/>
      <c r="M2069" s="2"/>
      <c r="N2069" s="9"/>
      <c r="P2069" s="3">
        <v>248.76485113999999</v>
      </c>
      <c r="S2069" s="9"/>
      <c r="T2069" s="2"/>
      <c r="U2069" s="9"/>
    </row>
    <row r="2070" spans="2:21" x14ac:dyDescent="0.35">
      <c r="B2070" s="9"/>
      <c r="C2070" s="2"/>
      <c r="D2070" s="2"/>
      <c r="I2070" s="9"/>
      <c r="J2070" s="2"/>
      <c r="L2070" s="9"/>
      <c r="M2070" s="2"/>
      <c r="N2070" s="9"/>
      <c r="P2070" s="3">
        <v>269.32645114000002</v>
      </c>
      <c r="S2070" s="9"/>
      <c r="T2070" s="2"/>
      <c r="U2070" s="9"/>
    </row>
    <row r="2071" spans="2:21" x14ac:dyDescent="0.35">
      <c r="B2071" s="9"/>
      <c r="C2071" s="2"/>
      <c r="D2071" s="2"/>
      <c r="I2071" s="9"/>
      <c r="J2071" s="2"/>
      <c r="L2071" s="9"/>
      <c r="M2071" s="2"/>
      <c r="N2071" s="9"/>
      <c r="P2071" s="3">
        <v>331.27182113999999</v>
      </c>
      <c r="S2071" s="9"/>
      <c r="T2071" s="2"/>
      <c r="U2071" s="9"/>
    </row>
    <row r="2072" spans="2:21" x14ac:dyDescent="0.35">
      <c r="B2072" s="9"/>
      <c r="C2072" s="2"/>
      <c r="D2072" s="2"/>
      <c r="I2072" s="9"/>
      <c r="J2072" s="2"/>
      <c r="L2072" s="9"/>
      <c r="M2072" s="2"/>
      <c r="N2072" s="9"/>
      <c r="P2072" s="3">
        <v>348.40199114000001</v>
      </c>
      <c r="S2072" s="9"/>
      <c r="T2072" s="2"/>
      <c r="U2072" s="9"/>
    </row>
    <row r="2073" spans="2:21" x14ac:dyDescent="0.35">
      <c r="B2073" s="9"/>
      <c r="C2073" s="2"/>
      <c r="D2073" s="2"/>
      <c r="I2073" s="9"/>
      <c r="J2073" s="2"/>
      <c r="L2073" s="9"/>
      <c r="M2073" s="2"/>
      <c r="N2073" s="9"/>
      <c r="P2073" s="3">
        <v>369.95617113999998</v>
      </c>
      <c r="S2073" s="9"/>
      <c r="T2073" s="2"/>
      <c r="U2073" s="9"/>
    </row>
    <row r="2074" spans="2:21" x14ac:dyDescent="0.35">
      <c r="B2074" s="9"/>
      <c r="C2074" s="2"/>
      <c r="D2074" s="2"/>
      <c r="I2074" s="9"/>
      <c r="J2074" s="2"/>
      <c r="L2074" s="9"/>
      <c r="M2074" s="2"/>
      <c r="N2074" s="9"/>
      <c r="P2074" s="3">
        <v>415.75969113999997</v>
      </c>
      <c r="S2074" s="9"/>
      <c r="T2074" s="2"/>
      <c r="U2074" s="9"/>
    </row>
    <row r="2075" spans="2:21" x14ac:dyDescent="0.35">
      <c r="B2075" s="9"/>
      <c r="C2075" s="2"/>
      <c r="D2075" s="2"/>
      <c r="I2075" s="9"/>
      <c r="J2075" s="2"/>
      <c r="L2075" s="9"/>
      <c r="M2075" s="2"/>
      <c r="N2075" s="9"/>
      <c r="P2075" s="3">
        <v>527.12238762000004</v>
      </c>
      <c r="S2075" s="9"/>
      <c r="T2075" s="2"/>
      <c r="U2075" s="9"/>
    </row>
    <row r="2076" spans="2:21" x14ac:dyDescent="0.35">
      <c r="B2076" s="9"/>
      <c r="C2076" s="2"/>
      <c r="D2076" s="2"/>
      <c r="I2076" s="9"/>
      <c r="J2076" s="2"/>
      <c r="L2076" s="9"/>
      <c r="M2076" s="2"/>
      <c r="N2076" s="9"/>
      <c r="P2076" s="3">
        <v>614.38981409999997</v>
      </c>
      <c r="S2076" s="9"/>
      <c r="T2076" s="2"/>
      <c r="U2076" s="9"/>
    </row>
    <row r="2077" spans="2:21" x14ac:dyDescent="0.35">
      <c r="B2077" s="9"/>
      <c r="C2077" s="2"/>
      <c r="D2077" s="2"/>
      <c r="I2077" s="9"/>
      <c r="J2077" s="2"/>
      <c r="L2077" s="9"/>
      <c r="M2077" s="2"/>
      <c r="N2077" s="9"/>
      <c r="P2077" s="3">
        <v>619.28274654999996</v>
      </c>
      <c r="S2077" s="9"/>
      <c r="T2077" s="2"/>
      <c r="U2077" s="9"/>
    </row>
    <row r="2078" spans="2:21" x14ac:dyDescent="0.35">
      <c r="B2078" s="9"/>
      <c r="C2078" s="2"/>
      <c r="D2078" s="2"/>
      <c r="I2078" s="9"/>
      <c r="J2078" s="2"/>
      <c r="L2078" s="9"/>
      <c r="M2078" s="2"/>
      <c r="N2078" s="9"/>
      <c r="P2078" s="3">
        <v>184.52274654999999</v>
      </c>
      <c r="S2078" s="9"/>
      <c r="T2078" s="2"/>
      <c r="U2078" s="9"/>
    </row>
    <row r="2079" spans="2:21" x14ac:dyDescent="0.35">
      <c r="B2079" s="9"/>
      <c r="C2079" s="2"/>
      <c r="D2079" s="2"/>
      <c r="I2079" s="9"/>
      <c r="J2079" s="2"/>
      <c r="L2079" s="9"/>
      <c r="M2079" s="2"/>
      <c r="N2079" s="9"/>
      <c r="P2079" s="3">
        <v>0</v>
      </c>
      <c r="S2079" s="9"/>
      <c r="T2079" s="2"/>
      <c r="U2079" s="9"/>
    </row>
    <row r="2080" spans="2:21" x14ac:dyDescent="0.35">
      <c r="B2080" s="9"/>
      <c r="C2080" s="2"/>
      <c r="D2080" s="2"/>
      <c r="I2080" s="9"/>
      <c r="J2080" s="2"/>
      <c r="L2080" s="9"/>
      <c r="M2080" s="2"/>
      <c r="N2080" s="9"/>
      <c r="P2080" s="3">
        <v>0</v>
      </c>
      <c r="S2080" s="9"/>
      <c r="T2080" s="2"/>
      <c r="U2080" s="9"/>
    </row>
    <row r="2081" spans="2:21" x14ac:dyDescent="0.35">
      <c r="B2081" s="9"/>
      <c r="C2081" s="2"/>
      <c r="D2081" s="2"/>
      <c r="I2081" s="9"/>
      <c r="J2081" s="2"/>
      <c r="L2081" s="9"/>
      <c r="M2081" s="2"/>
      <c r="N2081" s="9"/>
      <c r="P2081" s="3">
        <v>0</v>
      </c>
      <c r="S2081" s="9"/>
      <c r="T2081" s="2"/>
      <c r="U2081" s="9"/>
    </row>
    <row r="2082" spans="2:21" x14ac:dyDescent="0.35">
      <c r="B2082" s="9"/>
      <c r="C2082" s="2"/>
      <c r="D2082" s="2"/>
      <c r="I2082" s="9"/>
      <c r="J2082" s="2"/>
      <c r="L2082" s="9"/>
      <c r="M2082" s="2"/>
      <c r="N2082" s="9"/>
      <c r="P2082" s="3">
        <v>0</v>
      </c>
      <c r="S2082" s="9"/>
      <c r="T2082" s="2"/>
      <c r="U2082" s="9"/>
    </row>
    <row r="2083" spans="2:21" x14ac:dyDescent="0.35">
      <c r="B2083" s="9"/>
      <c r="C2083" s="2"/>
      <c r="D2083" s="2"/>
      <c r="I2083" s="9"/>
      <c r="J2083" s="2"/>
      <c r="L2083" s="9"/>
      <c r="M2083" s="2"/>
      <c r="N2083" s="9"/>
      <c r="P2083" s="3">
        <v>0</v>
      </c>
      <c r="S2083" s="9"/>
      <c r="T2083" s="2"/>
      <c r="U2083" s="9"/>
    </row>
    <row r="2084" spans="2:21" x14ac:dyDescent="0.35">
      <c r="B2084" s="9"/>
      <c r="C2084" s="2"/>
      <c r="D2084" s="2"/>
      <c r="I2084" s="9"/>
      <c r="J2084" s="2"/>
      <c r="L2084" s="9"/>
      <c r="M2084" s="2"/>
      <c r="N2084" s="9"/>
      <c r="P2084" s="3">
        <v>0</v>
      </c>
      <c r="S2084" s="9"/>
      <c r="T2084" s="2"/>
      <c r="U2084" s="9"/>
    </row>
    <row r="2085" spans="2:21" x14ac:dyDescent="0.35">
      <c r="B2085" s="9"/>
      <c r="C2085" s="2"/>
      <c r="D2085" s="2"/>
      <c r="I2085" s="9"/>
      <c r="J2085" s="2"/>
      <c r="L2085" s="9"/>
      <c r="M2085" s="2"/>
      <c r="N2085" s="9"/>
      <c r="P2085" s="3">
        <v>0</v>
      </c>
      <c r="S2085" s="9"/>
      <c r="T2085" s="2"/>
      <c r="U2085" s="9"/>
    </row>
    <row r="2086" spans="2:21" x14ac:dyDescent="0.35">
      <c r="B2086" s="9"/>
      <c r="C2086" s="2"/>
      <c r="D2086" s="2"/>
      <c r="I2086" s="9"/>
      <c r="J2086" s="2"/>
      <c r="L2086" s="9"/>
      <c r="M2086" s="2"/>
      <c r="N2086" s="9"/>
      <c r="P2086" s="3">
        <v>-260.39346773</v>
      </c>
      <c r="S2086" s="9"/>
      <c r="T2086" s="2"/>
      <c r="U2086" s="9"/>
    </row>
    <row r="2087" spans="2:21" x14ac:dyDescent="0.35">
      <c r="B2087" s="9"/>
      <c r="C2087" s="2"/>
      <c r="D2087" s="2"/>
      <c r="I2087" s="9"/>
      <c r="J2087" s="2"/>
      <c r="L2087" s="9"/>
      <c r="M2087" s="2"/>
      <c r="N2087" s="9"/>
      <c r="P2087" s="3">
        <v>-695.15346772999999</v>
      </c>
      <c r="S2087" s="9"/>
      <c r="T2087" s="2"/>
      <c r="U2087" s="9"/>
    </row>
    <row r="2088" spans="2:21" x14ac:dyDescent="0.35">
      <c r="B2088" s="9"/>
      <c r="C2088" s="2"/>
      <c r="D2088" s="2"/>
      <c r="I2088" s="9"/>
      <c r="J2088" s="2"/>
      <c r="L2088" s="9"/>
      <c r="M2088" s="2"/>
      <c r="N2088" s="9"/>
      <c r="P2088" s="3">
        <v>-260.39346773</v>
      </c>
      <c r="S2088" s="9"/>
      <c r="T2088" s="2"/>
      <c r="U2088" s="9"/>
    </row>
    <row r="2089" spans="2:21" x14ac:dyDescent="0.35">
      <c r="B2089" s="9"/>
      <c r="C2089" s="2"/>
      <c r="D2089" s="2"/>
      <c r="I2089" s="9"/>
      <c r="J2089" s="2"/>
      <c r="L2089" s="9"/>
      <c r="M2089" s="2"/>
      <c r="N2089" s="9"/>
      <c r="P2089" s="3">
        <v>174.36653226999999</v>
      </c>
      <c r="S2089" s="9"/>
      <c r="T2089" s="2"/>
      <c r="U2089" s="9"/>
    </row>
    <row r="2090" spans="2:21" x14ac:dyDescent="0.35">
      <c r="B2090" s="9"/>
      <c r="C2090" s="2"/>
      <c r="D2090" s="2"/>
      <c r="I2090" s="9"/>
      <c r="J2090" s="2"/>
      <c r="L2090" s="9"/>
      <c r="M2090" s="2"/>
      <c r="N2090" s="9"/>
      <c r="P2090" s="3">
        <v>175.47819177</v>
      </c>
      <c r="S2090" s="9"/>
      <c r="T2090" s="2"/>
      <c r="U2090" s="9"/>
    </row>
    <row r="2091" spans="2:21" x14ac:dyDescent="0.35">
      <c r="B2091" s="9"/>
      <c r="C2091" s="2"/>
      <c r="D2091" s="2"/>
      <c r="I2091" s="9"/>
      <c r="J2091" s="2"/>
      <c r="L2091" s="9"/>
      <c r="M2091" s="2"/>
      <c r="N2091" s="9"/>
      <c r="P2091" s="3">
        <v>22.5972914</v>
      </c>
      <c r="S2091" s="9"/>
      <c r="T2091" s="2"/>
      <c r="U2091" s="9"/>
    </row>
    <row r="2092" spans="2:21" x14ac:dyDescent="0.35">
      <c r="B2092" s="9"/>
      <c r="C2092" s="2"/>
      <c r="D2092" s="2"/>
      <c r="I2092" s="9"/>
      <c r="J2092" s="2"/>
      <c r="L2092" s="9"/>
      <c r="M2092" s="2"/>
      <c r="N2092" s="9"/>
      <c r="P2092" s="3">
        <v>-65.349798860000007</v>
      </c>
      <c r="S2092" s="9"/>
      <c r="T2092" s="2"/>
      <c r="U2092" s="9"/>
    </row>
    <row r="2093" spans="2:21" x14ac:dyDescent="0.35">
      <c r="B2093" s="9"/>
      <c r="C2093" s="2"/>
      <c r="D2093" s="2"/>
      <c r="I2093" s="9"/>
      <c r="J2093" s="2"/>
      <c r="L2093" s="9"/>
      <c r="M2093" s="2"/>
      <c r="N2093" s="9"/>
      <c r="P2093" s="3">
        <v>-72.142368860000005</v>
      </c>
      <c r="S2093" s="9"/>
      <c r="T2093" s="2"/>
      <c r="U2093" s="9"/>
    </row>
    <row r="2094" spans="2:21" x14ac:dyDescent="0.35">
      <c r="B2094" s="9"/>
      <c r="C2094" s="2"/>
      <c r="D2094" s="2"/>
      <c r="I2094" s="9"/>
      <c r="J2094" s="2"/>
      <c r="L2094" s="9"/>
      <c r="M2094" s="2"/>
      <c r="N2094" s="9"/>
      <c r="P2094" s="3">
        <v>-66.904698859999996</v>
      </c>
      <c r="S2094" s="9"/>
      <c r="T2094" s="2"/>
      <c r="U2094" s="9"/>
    </row>
    <row r="2095" spans="2:21" x14ac:dyDescent="0.35">
      <c r="B2095" s="9"/>
      <c r="C2095" s="2"/>
      <c r="D2095" s="2"/>
      <c r="I2095" s="9"/>
      <c r="J2095" s="2"/>
      <c r="L2095" s="9"/>
      <c r="M2095" s="2"/>
      <c r="N2095" s="9"/>
      <c r="P2095" s="3">
        <v>-60.893838860000002</v>
      </c>
      <c r="S2095" s="9"/>
      <c r="T2095" s="2"/>
      <c r="U2095" s="9"/>
    </row>
    <row r="2096" spans="2:21" x14ac:dyDescent="0.35">
      <c r="B2096" s="9"/>
      <c r="C2096" s="2"/>
      <c r="D2096" s="2"/>
      <c r="I2096" s="9"/>
      <c r="J2096" s="2"/>
      <c r="L2096" s="9"/>
      <c r="M2096" s="2"/>
      <c r="N2096" s="9"/>
      <c r="P2096" s="3">
        <v>-40.131308859999997</v>
      </c>
      <c r="S2096" s="9"/>
      <c r="T2096" s="2"/>
      <c r="U2096" s="9"/>
    </row>
    <row r="2097" spans="2:21" x14ac:dyDescent="0.35">
      <c r="B2097" s="9"/>
      <c r="C2097" s="2"/>
      <c r="D2097" s="2"/>
      <c r="I2097" s="9"/>
      <c r="J2097" s="2"/>
      <c r="L2097" s="9"/>
      <c r="M2097" s="2"/>
      <c r="N2097" s="9"/>
      <c r="P2097" s="3">
        <v>-6.3203988600000001</v>
      </c>
      <c r="S2097" s="9"/>
      <c r="T2097" s="2"/>
      <c r="U2097" s="9"/>
    </row>
    <row r="2098" spans="2:21" x14ac:dyDescent="0.35">
      <c r="B2098" s="9"/>
      <c r="C2098" s="2"/>
      <c r="D2098" s="2"/>
      <c r="I2098" s="9"/>
      <c r="J2098" s="2"/>
      <c r="L2098" s="9"/>
      <c r="M2098" s="2"/>
      <c r="N2098" s="9"/>
      <c r="P2098" s="3">
        <v>-1.1288788599999999</v>
      </c>
      <c r="S2098" s="9"/>
      <c r="T2098" s="2"/>
      <c r="U2098" s="9"/>
    </row>
    <row r="2099" spans="2:21" x14ac:dyDescent="0.35">
      <c r="B2099" s="9"/>
      <c r="C2099" s="2"/>
      <c r="D2099" s="2"/>
      <c r="I2099" s="9"/>
      <c r="J2099" s="2"/>
      <c r="L2099" s="9"/>
      <c r="M2099" s="2"/>
      <c r="N2099" s="9"/>
      <c r="P2099" s="3">
        <v>29.162467620000001</v>
      </c>
      <c r="S2099" s="9"/>
      <c r="T2099" s="2"/>
      <c r="U2099" s="9"/>
    </row>
    <row r="2100" spans="2:21" x14ac:dyDescent="0.35">
      <c r="B2100" s="9"/>
      <c r="C2100" s="2"/>
      <c r="D2100" s="2"/>
      <c r="I2100" s="9"/>
      <c r="J2100" s="2"/>
      <c r="L2100" s="9"/>
      <c r="M2100" s="2"/>
      <c r="N2100" s="9"/>
      <c r="P2100" s="3">
        <v>36.310654100000001</v>
      </c>
      <c r="S2100" s="9"/>
      <c r="T2100" s="2"/>
      <c r="U2100" s="9"/>
    </row>
    <row r="2101" spans="2:21" x14ac:dyDescent="0.35">
      <c r="B2101" s="9"/>
      <c r="C2101" s="2"/>
      <c r="D2101" s="2"/>
      <c r="I2101" s="9"/>
      <c r="J2101" s="2"/>
      <c r="L2101" s="9"/>
      <c r="M2101" s="2"/>
      <c r="N2101" s="9"/>
      <c r="P2101" s="3">
        <v>-26.130683449999999</v>
      </c>
      <c r="S2101" s="9"/>
      <c r="T2101" s="2"/>
      <c r="U2101" s="9"/>
    </row>
    <row r="2102" spans="2:21" x14ac:dyDescent="0.35">
      <c r="B2102" s="9"/>
      <c r="C2102" s="2"/>
      <c r="D2102" s="2"/>
      <c r="I2102" s="9"/>
      <c r="J2102" s="2"/>
      <c r="L2102" s="9"/>
      <c r="M2102" s="2"/>
      <c r="N2102" s="9"/>
      <c r="P2102" s="3">
        <v>-460.89068344999998</v>
      </c>
      <c r="S2102" s="9"/>
      <c r="T2102" s="2"/>
      <c r="U2102" s="9"/>
    </row>
    <row r="2103" spans="2:21" x14ac:dyDescent="0.35">
      <c r="B2103" s="9"/>
      <c r="C2103" s="2"/>
      <c r="D2103" s="2"/>
      <c r="I2103" s="9"/>
      <c r="J2103" s="2"/>
      <c r="L2103" s="9"/>
      <c r="M2103" s="2"/>
      <c r="N2103" s="9"/>
      <c r="P2103" s="3">
        <v>-26.130683449999999</v>
      </c>
      <c r="S2103" s="9"/>
      <c r="T2103" s="2"/>
      <c r="U2103" s="9"/>
    </row>
    <row r="2104" spans="2:21" x14ac:dyDescent="0.35">
      <c r="B2104" s="9"/>
      <c r="C2104" s="2"/>
      <c r="D2104" s="2"/>
      <c r="I2104" s="9"/>
      <c r="J2104" s="2"/>
      <c r="L2104" s="9"/>
      <c r="M2104" s="2"/>
      <c r="N2104" s="9"/>
      <c r="P2104" s="3">
        <v>0</v>
      </c>
      <c r="S2104" s="9"/>
      <c r="T2104" s="2"/>
      <c r="U2104" s="9"/>
    </row>
    <row r="2105" spans="2:21" x14ac:dyDescent="0.35">
      <c r="B2105" s="9"/>
      <c r="C2105" s="2"/>
      <c r="D2105" s="2"/>
      <c r="I2105" s="9"/>
      <c r="J2105" s="2"/>
      <c r="L2105" s="9"/>
      <c r="M2105" s="2"/>
      <c r="N2105" s="9"/>
      <c r="P2105" s="3">
        <v>0</v>
      </c>
      <c r="S2105" s="9"/>
      <c r="T2105" s="2"/>
      <c r="U2105" s="9"/>
    </row>
    <row r="2106" spans="2:21" x14ac:dyDescent="0.35">
      <c r="B2106" s="9"/>
      <c r="C2106" s="2"/>
      <c r="D2106" s="2"/>
      <c r="I2106" s="9"/>
      <c r="J2106" s="2"/>
      <c r="L2106" s="9"/>
      <c r="M2106" s="2"/>
      <c r="N2106" s="9"/>
      <c r="P2106" s="3">
        <v>0</v>
      </c>
      <c r="S2106" s="9"/>
      <c r="T2106" s="2"/>
      <c r="U2106" s="9"/>
    </row>
    <row r="2107" spans="2:21" x14ac:dyDescent="0.35">
      <c r="B2107" s="9"/>
      <c r="C2107" s="2"/>
      <c r="D2107" s="2"/>
      <c r="I2107" s="9"/>
      <c r="J2107" s="2"/>
      <c r="L2107" s="9"/>
      <c r="M2107" s="2"/>
      <c r="N2107" s="9"/>
      <c r="P2107" s="3">
        <v>0</v>
      </c>
      <c r="S2107" s="9"/>
      <c r="T2107" s="2"/>
      <c r="U2107" s="9"/>
    </row>
    <row r="2108" spans="2:21" x14ac:dyDescent="0.35">
      <c r="B2108" s="9"/>
      <c r="C2108" s="2"/>
      <c r="D2108" s="2"/>
      <c r="I2108" s="9"/>
      <c r="J2108" s="2"/>
      <c r="L2108" s="9"/>
      <c r="M2108" s="2"/>
      <c r="N2108" s="9"/>
      <c r="P2108" s="3">
        <v>0</v>
      </c>
      <c r="S2108" s="9"/>
      <c r="T2108" s="2"/>
      <c r="U2108" s="9"/>
    </row>
    <row r="2109" spans="2:21" x14ac:dyDescent="0.35">
      <c r="B2109" s="9"/>
      <c r="C2109" s="2"/>
      <c r="D2109" s="2"/>
      <c r="I2109" s="9"/>
      <c r="J2109" s="2"/>
      <c r="L2109" s="9"/>
      <c r="M2109" s="2"/>
      <c r="N2109" s="9"/>
      <c r="P2109" s="3">
        <v>0</v>
      </c>
      <c r="S2109" s="9"/>
      <c r="T2109" s="2"/>
      <c r="U2109" s="9"/>
    </row>
    <row r="2110" spans="2:21" x14ac:dyDescent="0.35">
      <c r="B2110" s="9"/>
      <c r="C2110" s="2"/>
      <c r="D2110" s="2"/>
      <c r="I2110" s="9"/>
      <c r="J2110" s="2"/>
      <c r="L2110" s="9"/>
      <c r="M2110" s="2"/>
      <c r="N2110" s="9"/>
      <c r="P2110" s="3">
        <v>-169.68240772999999</v>
      </c>
      <c r="S2110" s="9"/>
      <c r="T2110" s="2"/>
      <c r="U2110" s="9"/>
    </row>
    <row r="2111" spans="2:21" x14ac:dyDescent="0.35">
      <c r="B2111" s="9"/>
      <c r="C2111" s="2"/>
      <c r="D2111" s="2"/>
      <c r="I2111" s="9"/>
      <c r="J2111" s="2"/>
      <c r="L2111" s="9"/>
      <c r="M2111" s="2"/>
      <c r="N2111" s="9"/>
      <c r="P2111" s="3">
        <v>-604.44240773000001</v>
      </c>
      <c r="S2111" s="9"/>
      <c r="T2111" s="2"/>
      <c r="U2111" s="9"/>
    </row>
    <row r="2112" spans="2:21" x14ac:dyDescent="0.35">
      <c r="B2112" s="9"/>
      <c r="C2112" s="2"/>
      <c r="D2112" s="2"/>
      <c r="I2112" s="9"/>
      <c r="J2112" s="2"/>
      <c r="L2112" s="9"/>
      <c r="M2112" s="2"/>
      <c r="N2112" s="9"/>
      <c r="P2112" s="3">
        <v>-1039.20240773</v>
      </c>
      <c r="S2112" s="9"/>
      <c r="T2112" s="2"/>
      <c r="U2112" s="9"/>
    </row>
    <row r="2113" spans="2:21" x14ac:dyDescent="0.35">
      <c r="B2113" s="9"/>
      <c r="C2113" s="2"/>
      <c r="D2113" s="2"/>
      <c r="I2113" s="9"/>
      <c r="J2113" s="2"/>
      <c r="L2113" s="9"/>
      <c r="M2113" s="2"/>
      <c r="N2113" s="9"/>
      <c r="P2113" s="3">
        <v>-604.44240773000001</v>
      </c>
      <c r="S2113" s="9"/>
      <c r="T2113" s="2"/>
      <c r="U2113" s="9"/>
    </row>
    <row r="2114" spans="2:21" x14ac:dyDescent="0.35">
      <c r="B2114" s="9"/>
      <c r="C2114" s="2"/>
      <c r="D2114" s="2"/>
      <c r="I2114" s="9"/>
      <c r="J2114" s="2"/>
      <c r="L2114" s="9"/>
      <c r="M2114" s="2"/>
      <c r="N2114" s="9"/>
      <c r="P2114" s="3">
        <v>-765.04815823000001</v>
      </c>
      <c r="S2114" s="9"/>
      <c r="T2114" s="2"/>
      <c r="U2114" s="9"/>
    </row>
    <row r="2115" spans="2:21" x14ac:dyDescent="0.35">
      <c r="B2115" s="9"/>
      <c r="C2115" s="2"/>
      <c r="D2115" s="2"/>
      <c r="I2115" s="9"/>
      <c r="J2115" s="2"/>
      <c r="L2115" s="9"/>
      <c r="M2115" s="2"/>
      <c r="N2115" s="9"/>
      <c r="P2115" s="3">
        <v>-1199.8081582299999</v>
      </c>
      <c r="S2115" s="9"/>
      <c r="T2115" s="2"/>
      <c r="U2115" s="9"/>
    </row>
    <row r="2116" spans="2:21" x14ac:dyDescent="0.35">
      <c r="B2116" s="9"/>
      <c r="C2116" s="2"/>
      <c r="D2116" s="2"/>
      <c r="I2116" s="9"/>
      <c r="J2116" s="2"/>
      <c r="L2116" s="9"/>
      <c r="M2116" s="2"/>
      <c r="N2116" s="9"/>
      <c r="P2116" s="3">
        <v>-1535.53188886</v>
      </c>
      <c r="S2116" s="9"/>
      <c r="T2116" s="2"/>
      <c r="U2116" s="9"/>
    </row>
    <row r="2117" spans="2:21" x14ac:dyDescent="0.35">
      <c r="B2117" s="9"/>
      <c r="C2117" s="2"/>
      <c r="D2117" s="2"/>
      <c r="I2117" s="9"/>
      <c r="J2117" s="2"/>
      <c r="L2117" s="9"/>
      <c r="M2117" s="2"/>
      <c r="N2117" s="9"/>
      <c r="P2117" s="3">
        <v>-1860.0153788600001</v>
      </c>
      <c r="S2117" s="9"/>
      <c r="T2117" s="2"/>
      <c r="U2117" s="9"/>
    </row>
    <row r="2118" spans="2:21" x14ac:dyDescent="0.35">
      <c r="B2118" s="9"/>
      <c r="C2118" s="2"/>
      <c r="D2118" s="2"/>
      <c r="I2118" s="9"/>
      <c r="J2118" s="2"/>
      <c r="L2118" s="9"/>
      <c r="M2118" s="2"/>
      <c r="N2118" s="9"/>
      <c r="P2118" s="3">
        <v>-2089.5576688599999</v>
      </c>
      <c r="S2118" s="9"/>
      <c r="T2118" s="2"/>
      <c r="U2118" s="9"/>
    </row>
    <row r="2119" spans="2:21" x14ac:dyDescent="0.35">
      <c r="B2119" s="9"/>
      <c r="C2119" s="2"/>
      <c r="D2119" s="2"/>
      <c r="I2119" s="9"/>
      <c r="J2119" s="2"/>
      <c r="L2119" s="9"/>
      <c r="M2119" s="2"/>
      <c r="N2119" s="9"/>
      <c r="P2119" s="3">
        <v>-2441.8184888599999</v>
      </c>
      <c r="S2119" s="9"/>
      <c r="T2119" s="2"/>
      <c r="U2119" s="9"/>
    </row>
    <row r="2120" spans="2:21" x14ac:dyDescent="0.35">
      <c r="B2120" s="9"/>
      <c r="C2120" s="2"/>
      <c r="D2120" s="2"/>
      <c r="I2120" s="9"/>
      <c r="J2120" s="2"/>
      <c r="L2120" s="9"/>
      <c r="M2120" s="2"/>
      <c r="N2120" s="9"/>
      <c r="P2120" s="3">
        <v>-2839.85655886</v>
      </c>
      <c r="S2120" s="9"/>
      <c r="T2120" s="2"/>
      <c r="U2120" s="9"/>
    </row>
    <row r="2121" spans="2:21" x14ac:dyDescent="0.35">
      <c r="B2121" s="9"/>
      <c r="C2121" s="2"/>
      <c r="D2121" s="2"/>
      <c r="I2121" s="9"/>
      <c r="J2121" s="2"/>
      <c r="L2121" s="9"/>
      <c r="M2121" s="2"/>
      <c r="N2121" s="9"/>
      <c r="P2121" s="3">
        <v>-2860.169492</v>
      </c>
      <c r="S2121" s="9"/>
      <c r="T2121" s="2"/>
      <c r="U2121" s="9"/>
    </row>
    <row r="2122" spans="2:21" x14ac:dyDescent="0.35">
      <c r="B2122" s="9"/>
      <c r="C2122" s="2"/>
      <c r="D2122" s="2"/>
      <c r="I2122" s="9"/>
      <c r="J2122" s="2"/>
      <c r="L2122" s="9"/>
      <c r="M2122" s="2"/>
      <c r="N2122" s="9"/>
      <c r="P2122" s="3">
        <v>-2860.169492</v>
      </c>
      <c r="S2122" s="9"/>
      <c r="T2122" s="2"/>
      <c r="U2122" s="9"/>
    </row>
    <row r="2123" spans="2:21" x14ac:dyDescent="0.35">
      <c r="B2123" s="9"/>
      <c r="C2123" s="2"/>
      <c r="D2123" s="2"/>
      <c r="I2123" s="9"/>
      <c r="J2123" s="2"/>
      <c r="L2123" s="9"/>
      <c r="M2123" s="2"/>
      <c r="N2123" s="9"/>
      <c r="P2123" s="3">
        <v>-2860.169492</v>
      </c>
      <c r="S2123" s="9"/>
      <c r="T2123" s="2"/>
      <c r="U2123" s="9"/>
    </row>
    <row r="2124" spans="2:21" x14ac:dyDescent="0.35">
      <c r="B2124" s="9"/>
      <c r="C2124" s="2"/>
      <c r="D2124" s="2"/>
      <c r="I2124" s="9"/>
      <c r="J2124" s="2"/>
      <c r="L2124" s="9"/>
      <c r="M2124" s="2"/>
      <c r="N2124" s="9"/>
      <c r="P2124" s="3">
        <v>-2860.169492</v>
      </c>
      <c r="S2124" s="9"/>
      <c r="T2124" s="2"/>
      <c r="U2124" s="9"/>
    </row>
    <row r="2125" spans="2:21" x14ac:dyDescent="0.35">
      <c r="B2125" s="9"/>
      <c r="C2125" s="2"/>
      <c r="D2125" s="2"/>
      <c r="I2125" s="9"/>
      <c r="J2125" s="2"/>
      <c r="L2125" s="9"/>
      <c r="M2125" s="2"/>
      <c r="N2125" s="9"/>
      <c r="P2125" s="3">
        <v>-2860.169492</v>
      </c>
      <c r="S2125" s="9"/>
      <c r="T2125" s="2"/>
      <c r="U2125" s="9"/>
    </row>
    <row r="2126" spans="2:21" x14ac:dyDescent="0.35">
      <c r="B2126" s="9"/>
      <c r="C2126" s="2"/>
      <c r="D2126" s="2"/>
      <c r="I2126" s="9"/>
      <c r="J2126" s="2"/>
      <c r="L2126" s="9"/>
      <c r="M2126" s="2"/>
      <c r="N2126" s="9"/>
      <c r="P2126" s="3">
        <v>-2425.4094919999998</v>
      </c>
      <c r="S2126" s="9"/>
      <c r="T2126" s="2"/>
      <c r="U2126" s="9"/>
    </row>
    <row r="2127" spans="2:21" x14ac:dyDescent="0.35">
      <c r="B2127" s="9"/>
      <c r="C2127" s="2"/>
      <c r="D2127" s="2"/>
      <c r="I2127" s="9"/>
      <c r="J2127" s="2"/>
      <c r="L2127" s="9"/>
      <c r="M2127" s="2"/>
      <c r="N2127" s="9"/>
      <c r="P2127" s="3">
        <v>-1990.649492</v>
      </c>
      <c r="S2127" s="9"/>
      <c r="T2127" s="2"/>
      <c r="U2127" s="9"/>
    </row>
    <row r="2128" spans="2:21" x14ac:dyDescent="0.35">
      <c r="B2128" s="9"/>
      <c r="C2128" s="2"/>
      <c r="D2128" s="2"/>
      <c r="I2128" s="9"/>
      <c r="J2128" s="2"/>
      <c r="L2128" s="9"/>
      <c r="M2128" s="2"/>
      <c r="N2128" s="9"/>
      <c r="P2128" s="3">
        <v>-1555.889492</v>
      </c>
      <c r="S2128" s="9"/>
      <c r="T2128" s="2"/>
      <c r="U2128" s="9"/>
    </row>
    <row r="2129" spans="2:21" x14ac:dyDescent="0.35">
      <c r="B2129" s="9"/>
      <c r="C2129" s="2"/>
      <c r="D2129" s="2"/>
      <c r="I2129" s="9"/>
      <c r="J2129" s="2"/>
      <c r="L2129" s="9"/>
      <c r="M2129" s="2"/>
      <c r="N2129" s="9"/>
      <c r="P2129" s="3">
        <v>-1121.129492</v>
      </c>
      <c r="S2129" s="9"/>
      <c r="T2129" s="2"/>
      <c r="U2129" s="9"/>
    </row>
    <row r="2130" spans="2:21" x14ac:dyDescent="0.35">
      <c r="B2130" s="9"/>
      <c r="C2130" s="2"/>
      <c r="D2130" s="2"/>
      <c r="I2130" s="9"/>
      <c r="J2130" s="2"/>
      <c r="L2130" s="9"/>
      <c r="M2130" s="2"/>
      <c r="N2130" s="9"/>
      <c r="P2130" s="3">
        <v>-686.36949200000004</v>
      </c>
      <c r="S2130" s="9"/>
      <c r="T2130" s="2"/>
      <c r="U2130" s="9"/>
    </row>
    <row r="2131" spans="2:21" x14ac:dyDescent="0.35">
      <c r="B2131" s="9"/>
      <c r="C2131" s="2"/>
      <c r="D2131" s="2"/>
      <c r="I2131" s="9"/>
      <c r="J2131" s="2"/>
      <c r="L2131" s="9"/>
      <c r="M2131" s="2"/>
      <c r="N2131" s="9"/>
      <c r="P2131" s="3">
        <v>-251.60949199999999</v>
      </c>
      <c r="S2131" s="9"/>
      <c r="T2131" s="2"/>
      <c r="U2131" s="9"/>
    </row>
    <row r="2132" spans="2:21" x14ac:dyDescent="0.35">
      <c r="B2132" s="9"/>
      <c r="C2132" s="2"/>
      <c r="D2132" s="2"/>
      <c r="I2132" s="9"/>
      <c r="J2132" s="2"/>
      <c r="L2132" s="9"/>
      <c r="M2132" s="2"/>
      <c r="N2132" s="9"/>
      <c r="P2132" s="3">
        <v>-307.48656323</v>
      </c>
      <c r="S2132" s="9"/>
      <c r="T2132" s="2"/>
      <c r="U2132" s="9"/>
    </row>
    <row r="2133" spans="2:21" x14ac:dyDescent="0.35">
      <c r="B2133" s="9"/>
      <c r="C2133" s="2"/>
      <c r="D2133" s="2"/>
      <c r="I2133" s="9"/>
      <c r="J2133" s="2"/>
      <c r="L2133" s="9"/>
      <c r="M2133" s="2"/>
      <c r="N2133" s="9"/>
      <c r="P2133" s="3">
        <v>-742.24656322999999</v>
      </c>
      <c r="S2133" s="9"/>
      <c r="T2133" s="2"/>
      <c r="U2133" s="9"/>
    </row>
    <row r="2134" spans="2:21" x14ac:dyDescent="0.35">
      <c r="B2134" s="9"/>
      <c r="C2134" s="2"/>
      <c r="D2134" s="2"/>
      <c r="I2134" s="9"/>
      <c r="J2134" s="2"/>
      <c r="L2134" s="9"/>
      <c r="M2134" s="2"/>
      <c r="N2134" s="9"/>
      <c r="P2134" s="3">
        <v>-1177.00656323</v>
      </c>
      <c r="S2134" s="9"/>
      <c r="T2134" s="2"/>
      <c r="U2134" s="9"/>
    </row>
    <row r="2135" spans="2:21" x14ac:dyDescent="0.35">
      <c r="B2135" s="9"/>
      <c r="C2135" s="2"/>
      <c r="D2135" s="2"/>
      <c r="I2135" s="9"/>
      <c r="J2135" s="2"/>
      <c r="L2135" s="9"/>
      <c r="M2135" s="2"/>
      <c r="N2135" s="9"/>
      <c r="P2135" s="3">
        <v>-1611.76656323</v>
      </c>
      <c r="S2135" s="9"/>
      <c r="T2135" s="2"/>
      <c r="U2135" s="9"/>
    </row>
    <row r="2136" spans="2:21" x14ac:dyDescent="0.35">
      <c r="B2136" s="9"/>
      <c r="C2136" s="2"/>
      <c r="D2136" s="2"/>
      <c r="I2136" s="9"/>
      <c r="J2136" s="2"/>
      <c r="L2136" s="9"/>
      <c r="M2136" s="2"/>
      <c r="N2136" s="9"/>
      <c r="P2136" s="3">
        <v>-2046.52656323</v>
      </c>
      <c r="S2136" s="9"/>
      <c r="T2136" s="2"/>
      <c r="U2136" s="9"/>
    </row>
    <row r="2137" spans="2:21" x14ac:dyDescent="0.35">
      <c r="B2137" s="9"/>
      <c r="C2137" s="2"/>
      <c r="D2137" s="2"/>
      <c r="I2137" s="9"/>
      <c r="J2137" s="2"/>
      <c r="L2137" s="9"/>
      <c r="M2137" s="2"/>
      <c r="N2137" s="9"/>
      <c r="P2137" s="3">
        <v>-2481.28656323</v>
      </c>
      <c r="S2137" s="9"/>
      <c r="T2137" s="2"/>
      <c r="U2137" s="9"/>
    </row>
    <row r="2138" spans="2:21" x14ac:dyDescent="0.35">
      <c r="B2138" s="9"/>
      <c r="C2138" s="2"/>
      <c r="D2138" s="2"/>
      <c r="I2138" s="9"/>
      <c r="J2138" s="2"/>
      <c r="L2138" s="9"/>
      <c r="M2138" s="2"/>
      <c r="N2138" s="9"/>
      <c r="P2138" s="3">
        <v>-2860.169492</v>
      </c>
      <c r="S2138" s="9"/>
      <c r="T2138" s="2"/>
      <c r="U2138" s="9"/>
    </row>
    <row r="2139" spans="2:21" x14ac:dyDescent="0.35">
      <c r="B2139" s="9"/>
      <c r="C2139" s="2"/>
      <c r="D2139" s="2"/>
      <c r="I2139" s="9"/>
      <c r="J2139" s="2"/>
      <c r="L2139" s="9"/>
      <c r="M2139" s="2"/>
      <c r="N2139" s="9"/>
      <c r="P2139" s="3">
        <v>-2860.169492</v>
      </c>
      <c r="S2139" s="9"/>
      <c r="T2139" s="2"/>
      <c r="U2139" s="9"/>
    </row>
    <row r="2140" spans="2:21" x14ac:dyDescent="0.35">
      <c r="B2140" s="9"/>
      <c r="C2140" s="2"/>
      <c r="D2140" s="2"/>
      <c r="I2140" s="9"/>
      <c r="J2140" s="2"/>
      <c r="L2140" s="9"/>
      <c r="M2140" s="2"/>
      <c r="N2140" s="9"/>
      <c r="P2140" s="3">
        <v>-2860.169492</v>
      </c>
      <c r="S2140" s="9"/>
      <c r="T2140" s="2"/>
      <c r="U2140" s="9"/>
    </row>
    <row r="2141" spans="2:21" x14ac:dyDescent="0.35">
      <c r="B2141" s="9"/>
      <c r="C2141" s="2"/>
      <c r="D2141" s="2"/>
      <c r="I2141" s="9"/>
      <c r="J2141" s="2"/>
      <c r="L2141" s="9"/>
      <c r="M2141" s="2"/>
      <c r="N2141" s="9"/>
      <c r="P2141" s="3">
        <v>-2860.169492</v>
      </c>
      <c r="S2141" s="9"/>
      <c r="T2141" s="2"/>
      <c r="U2141" s="9"/>
    </row>
    <row r="2142" spans="2:21" x14ac:dyDescent="0.35">
      <c r="B2142" s="9"/>
      <c r="C2142" s="2"/>
      <c r="D2142" s="2"/>
      <c r="I2142" s="9"/>
      <c r="J2142" s="2"/>
      <c r="L2142" s="9"/>
      <c r="M2142" s="2"/>
      <c r="N2142" s="9"/>
      <c r="P2142" s="3">
        <v>-2860.169492</v>
      </c>
      <c r="S2142" s="9"/>
      <c r="T2142" s="2"/>
      <c r="U2142" s="9"/>
    </row>
    <row r="2143" spans="2:21" x14ac:dyDescent="0.35">
      <c r="B2143" s="9"/>
      <c r="C2143" s="2"/>
      <c r="D2143" s="2"/>
      <c r="I2143" s="9"/>
      <c r="J2143" s="2"/>
      <c r="L2143" s="9"/>
      <c r="M2143" s="2"/>
      <c r="N2143" s="9"/>
      <c r="P2143" s="3">
        <v>-2860.169492</v>
      </c>
      <c r="S2143" s="9"/>
      <c r="T2143" s="2"/>
      <c r="U2143" s="9"/>
    </row>
    <row r="2144" spans="2:21" x14ac:dyDescent="0.35">
      <c r="B2144" s="9"/>
      <c r="C2144" s="2"/>
      <c r="D2144" s="2"/>
      <c r="I2144" s="9"/>
      <c r="J2144" s="2"/>
      <c r="L2144" s="9"/>
      <c r="M2144" s="2"/>
      <c r="N2144" s="9"/>
      <c r="P2144" s="3">
        <v>-2860.169492</v>
      </c>
      <c r="S2144" s="9"/>
      <c r="T2144" s="2"/>
      <c r="U2144" s="9"/>
    </row>
    <row r="2145" spans="2:21" x14ac:dyDescent="0.35">
      <c r="B2145" s="9"/>
      <c r="C2145" s="2"/>
      <c r="D2145" s="2"/>
      <c r="I2145" s="9"/>
      <c r="J2145" s="2"/>
      <c r="L2145" s="9"/>
      <c r="M2145" s="2"/>
      <c r="N2145" s="9"/>
      <c r="P2145" s="3">
        <v>-2860.169492</v>
      </c>
      <c r="S2145" s="9"/>
      <c r="T2145" s="2"/>
      <c r="U2145" s="9"/>
    </row>
    <row r="2146" spans="2:21" x14ac:dyDescent="0.35">
      <c r="B2146" s="9"/>
      <c r="C2146" s="2"/>
      <c r="D2146" s="2"/>
      <c r="I2146" s="9"/>
      <c r="J2146" s="2"/>
      <c r="L2146" s="9"/>
      <c r="M2146" s="2"/>
      <c r="N2146" s="9"/>
      <c r="P2146" s="3">
        <v>-2608.56</v>
      </c>
      <c r="S2146" s="9"/>
      <c r="T2146" s="2"/>
      <c r="U2146" s="9"/>
    </row>
    <row r="2147" spans="2:21" x14ac:dyDescent="0.35">
      <c r="B2147" s="9"/>
      <c r="C2147" s="2"/>
      <c r="D2147" s="2"/>
      <c r="I2147" s="9"/>
      <c r="J2147" s="2"/>
      <c r="L2147" s="9"/>
      <c r="M2147" s="2"/>
      <c r="N2147" s="9"/>
      <c r="P2147" s="3">
        <v>-2173.8000000000002</v>
      </c>
      <c r="S2147" s="9"/>
      <c r="T2147" s="2"/>
      <c r="U2147" s="9"/>
    </row>
    <row r="2148" spans="2:21" x14ac:dyDescent="0.35">
      <c r="B2148" s="9"/>
      <c r="C2148" s="2"/>
      <c r="D2148" s="2"/>
      <c r="I2148" s="9"/>
      <c r="J2148" s="2"/>
      <c r="L2148" s="9"/>
      <c r="M2148" s="2"/>
      <c r="N2148" s="9"/>
      <c r="P2148" s="3">
        <v>-1739.04</v>
      </c>
      <c r="S2148" s="9"/>
      <c r="T2148" s="2"/>
      <c r="U2148" s="9"/>
    </row>
    <row r="2149" spans="2:21" x14ac:dyDescent="0.35">
      <c r="B2149" s="9"/>
      <c r="C2149" s="2"/>
      <c r="D2149" s="2"/>
      <c r="I2149" s="9"/>
      <c r="J2149" s="2"/>
      <c r="L2149" s="9"/>
      <c r="M2149" s="2"/>
      <c r="N2149" s="9"/>
      <c r="P2149" s="3">
        <v>-1304.28</v>
      </c>
      <c r="S2149" s="9"/>
      <c r="T2149" s="2"/>
      <c r="U2149" s="9"/>
    </row>
    <row r="2150" spans="2:21" x14ac:dyDescent="0.35">
      <c r="B2150" s="9"/>
      <c r="C2150" s="2"/>
      <c r="D2150" s="2"/>
      <c r="I2150" s="9"/>
      <c r="J2150" s="2"/>
      <c r="L2150" s="9"/>
      <c r="M2150" s="2"/>
      <c r="N2150" s="9"/>
      <c r="P2150" s="3">
        <v>-869.52</v>
      </c>
      <c r="S2150" s="9"/>
      <c r="T2150" s="2"/>
      <c r="U2150" s="9"/>
    </row>
    <row r="2151" spans="2:21" x14ac:dyDescent="0.35">
      <c r="B2151" s="9"/>
      <c r="C2151" s="2"/>
      <c r="D2151" s="2"/>
      <c r="I2151" s="9"/>
      <c r="J2151" s="2"/>
      <c r="L2151" s="9"/>
      <c r="M2151" s="2"/>
      <c r="N2151" s="9"/>
      <c r="P2151" s="3">
        <v>-434.76</v>
      </c>
      <c r="S2151" s="9"/>
      <c r="T2151" s="2"/>
      <c r="U2151" s="9"/>
    </row>
    <row r="2152" spans="2:21" x14ac:dyDescent="0.35">
      <c r="B2152" s="9"/>
      <c r="C2152" s="2"/>
      <c r="D2152" s="2"/>
      <c r="I2152" s="9"/>
      <c r="J2152" s="2"/>
      <c r="L2152" s="9"/>
      <c r="M2152" s="2"/>
      <c r="N2152" s="9"/>
      <c r="P2152" s="3">
        <v>0</v>
      </c>
      <c r="S2152" s="9"/>
      <c r="T2152" s="2"/>
      <c r="U2152" s="9"/>
    </row>
    <row r="2153" spans="2:21" x14ac:dyDescent="0.35">
      <c r="B2153" s="9"/>
      <c r="C2153" s="2"/>
      <c r="D2153" s="2"/>
      <c r="I2153" s="9"/>
      <c r="J2153" s="2"/>
      <c r="L2153" s="9"/>
      <c r="M2153" s="2"/>
      <c r="N2153" s="9"/>
      <c r="P2153" s="3">
        <v>0</v>
      </c>
      <c r="S2153" s="9"/>
      <c r="T2153" s="2"/>
      <c r="U2153" s="9"/>
    </row>
    <row r="2154" spans="2:21" x14ac:dyDescent="0.35">
      <c r="B2154" s="9"/>
      <c r="C2154" s="2"/>
      <c r="D2154" s="2"/>
      <c r="I2154" s="9"/>
      <c r="J2154" s="2"/>
      <c r="L2154" s="9"/>
      <c r="M2154" s="2"/>
      <c r="N2154" s="9"/>
      <c r="P2154" s="3">
        <v>0</v>
      </c>
      <c r="S2154" s="9"/>
      <c r="T2154" s="2"/>
      <c r="U2154" s="9"/>
    </row>
    <row r="2155" spans="2:21" x14ac:dyDescent="0.35">
      <c r="B2155" s="9"/>
      <c r="C2155" s="2"/>
      <c r="D2155" s="2"/>
      <c r="I2155" s="9"/>
      <c r="J2155" s="2"/>
      <c r="L2155" s="9"/>
      <c r="M2155" s="2"/>
      <c r="N2155" s="9"/>
      <c r="P2155" s="3">
        <v>-251.60949199999999</v>
      </c>
      <c r="S2155" s="9"/>
      <c r="T2155" s="2"/>
      <c r="U2155" s="9"/>
    </row>
    <row r="2156" spans="2:21" x14ac:dyDescent="0.35">
      <c r="B2156" s="9"/>
      <c r="C2156" s="2"/>
      <c r="D2156" s="2"/>
      <c r="I2156" s="9"/>
      <c r="J2156" s="2"/>
      <c r="L2156" s="9"/>
      <c r="M2156" s="2"/>
      <c r="N2156" s="9"/>
      <c r="P2156" s="3">
        <v>-686.36949200000004</v>
      </c>
      <c r="S2156" s="9"/>
      <c r="T2156" s="2"/>
      <c r="U2156" s="9"/>
    </row>
    <row r="2157" spans="2:21" x14ac:dyDescent="0.35">
      <c r="B2157" s="9"/>
      <c r="C2157" s="2"/>
      <c r="D2157" s="2"/>
      <c r="I2157" s="9"/>
      <c r="J2157" s="2"/>
      <c r="L2157" s="9"/>
      <c r="M2157" s="2"/>
      <c r="N2157" s="9"/>
      <c r="P2157" s="3">
        <v>-1121.129492</v>
      </c>
      <c r="S2157" s="9"/>
      <c r="T2157" s="2"/>
      <c r="U2157" s="9"/>
    </row>
    <row r="2158" spans="2:21" x14ac:dyDescent="0.35">
      <c r="B2158" s="9"/>
      <c r="C2158" s="2"/>
      <c r="D2158" s="2"/>
      <c r="I2158" s="9"/>
      <c r="J2158" s="2"/>
      <c r="L2158" s="9"/>
      <c r="M2158" s="2"/>
      <c r="N2158" s="9"/>
      <c r="P2158" s="3">
        <v>-1555.889492</v>
      </c>
      <c r="S2158" s="9"/>
      <c r="T2158" s="2"/>
      <c r="U2158" s="9"/>
    </row>
    <row r="2159" spans="2:21" x14ac:dyDescent="0.35">
      <c r="B2159" s="9"/>
      <c r="C2159" s="2"/>
      <c r="D2159" s="2"/>
      <c r="I2159" s="9"/>
      <c r="J2159" s="2"/>
      <c r="L2159" s="9"/>
      <c r="M2159" s="2"/>
      <c r="N2159" s="9"/>
      <c r="P2159" s="3">
        <v>-1990.649492</v>
      </c>
      <c r="S2159" s="9"/>
      <c r="T2159" s="2"/>
      <c r="U2159" s="9"/>
    </row>
    <row r="2160" spans="2:21" x14ac:dyDescent="0.35">
      <c r="B2160" s="9"/>
      <c r="C2160" s="2"/>
      <c r="D2160" s="2"/>
      <c r="I2160" s="9"/>
      <c r="J2160" s="2"/>
      <c r="L2160" s="9"/>
      <c r="M2160" s="2"/>
      <c r="N2160" s="9"/>
      <c r="P2160" s="3">
        <v>-2425.4094919999998</v>
      </c>
      <c r="S2160" s="9"/>
      <c r="T2160" s="2"/>
      <c r="U2160" s="9"/>
    </row>
    <row r="2161" spans="2:21" x14ac:dyDescent="0.35">
      <c r="B2161" s="9"/>
      <c r="C2161" s="2"/>
      <c r="D2161" s="2"/>
      <c r="I2161" s="9"/>
      <c r="J2161" s="2"/>
      <c r="L2161" s="9"/>
      <c r="M2161" s="2"/>
      <c r="N2161" s="9"/>
      <c r="P2161" s="3">
        <v>-2860.169492</v>
      </c>
      <c r="S2161" s="9"/>
      <c r="T2161" s="2"/>
      <c r="U2161" s="9"/>
    </row>
    <row r="2162" spans="2:21" x14ac:dyDescent="0.35">
      <c r="B2162" s="9"/>
      <c r="C2162" s="2"/>
      <c r="D2162" s="2"/>
      <c r="I2162" s="9"/>
      <c r="J2162" s="2"/>
      <c r="L2162" s="9"/>
      <c r="M2162" s="2"/>
      <c r="N2162" s="9"/>
      <c r="P2162" s="3">
        <v>-2860.169492</v>
      </c>
      <c r="S2162" s="9"/>
      <c r="T2162" s="2"/>
      <c r="U2162" s="9"/>
    </row>
    <row r="2163" spans="2:21" x14ac:dyDescent="0.35">
      <c r="B2163" s="9"/>
      <c r="C2163" s="2"/>
      <c r="D2163" s="2"/>
      <c r="I2163" s="9"/>
      <c r="J2163" s="2"/>
      <c r="L2163" s="9"/>
      <c r="M2163" s="2"/>
      <c r="N2163" s="9"/>
      <c r="P2163" s="3">
        <v>-2860.169492</v>
      </c>
      <c r="S2163" s="9"/>
      <c r="T2163" s="2"/>
      <c r="U2163" s="9"/>
    </row>
    <row r="2164" spans="2:21" x14ac:dyDescent="0.35">
      <c r="B2164" s="9"/>
      <c r="C2164" s="2"/>
      <c r="D2164" s="2"/>
      <c r="I2164" s="9"/>
      <c r="J2164" s="2"/>
      <c r="L2164" s="9"/>
      <c r="M2164" s="2"/>
      <c r="N2164" s="9"/>
      <c r="P2164" s="3">
        <v>-2860.169492</v>
      </c>
      <c r="S2164" s="9"/>
      <c r="T2164" s="2"/>
      <c r="U2164" s="9"/>
    </row>
    <row r="2165" spans="2:21" x14ac:dyDescent="0.35">
      <c r="B2165" s="9"/>
      <c r="C2165" s="2"/>
      <c r="D2165" s="2"/>
      <c r="I2165" s="9"/>
      <c r="J2165" s="2"/>
      <c r="L2165" s="9"/>
      <c r="M2165" s="2"/>
      <c r="N2165" s="9"/>
      <c r="P2165" s="3">
        <v>-2860.169492</v>
      </c>
      <c r="S2165" s="9"/>
      <c r="T2165" s="2"/>
      <c r="U2165" s="9"/>
    </row>
    <row r="2166" spans="2:21" x14ac:dyDescent="0.35">
      <c r="B2166" s="9"/>
      <c r="C2166" s="2"/>
      <c r="D2166" s="2"/>
      <c r="I2166" s="9"/>
      <c r="J2166" s="2"/>
      <c r="L2166" s="9"/>
      <c r="M2166" s="2"/>
      <c r="N2166" s="9"/>
      <c r="P2166" s="3">
        <v>-2425.4094919999998</v>
      </c>
      <c r="S2166" s="9"/>
      <c r="T2166" s="2"/>
      <c r="U2166" s="9"/>
    </row>
    <row r="2167" spans="2:21" x14ac:dyDescent="0.35">
      <c r="B2167" s="9"/>
      <c r="C2167" s="2"/>
      <c r="D2167" s="2"/>
      <c r="I2167" s="9"/>
      <c r="J2167" s="2"/>
      <c r="L2167" s="9"/>
      <c r="M2167" s="2"/>
      <c r="N2167" s="9"/>
      <c r="P2167" s="3">
        <v>-1990.649492</v>
      </c>
      <c r="S2167" s="9"/>
      <c r="T2167" s="2"/>
      <c r="U2167" s="9"/>
    </row>
    <row r="2168" spans="2:21" x14ac:dyDescent="0.35">
      <c r="B2168" s="9"/>
      <c r="C2168" s="2"/>
      <c r="D2168" s="2"/>
      <c r="I2168" s="9"/>
      <c r="J2168" s="2"/>
      <c r="L2168" s="9"/>
      <c r="M2168" s="2"/>
      <c r="N2168" s="9"/>
      <c r="P2168" s="3">
        <v>-1555.889492</v>
      </c>
      <c r="S2168" s="9"/>
      <c r="T2168" s="2"/>
      <c r="U2168" s="9"/>
    </row>
    <row r="2169" spans="2:21" x14ac:dyDescent="0.35">
      <c r="B2169" s="9"/>
      <c r="C2169" s="2"/>
      <c r="D2169" s="2"/>
      <c r="I2169" s="9"/>
      <c r="J2169" s="2"/>
      <c r="L2169" s="9"/>
      <c r="M2169" s="2"/>
      <c r="N2169" s="9"/>
      <c r="P2169" s="3">
        <v>-1121.129492</v>
      </c>
      <c r="S2169" s="9"/>
      <c r="T2169" s="2"/>
      <c r="U2169" s="9"/>
    </row>
    <row r="2170" spans="2:21" x14ac:dyDescent="0.35">
      <c r="B2170" s="9"/>
      <c r="C2170" s="2"/>
      <c r="D2170" s="2"/>
      <c r="I2170" s="9"/>
      <c r="J2170" s="2"/>
      <c r="L2170" s="9"/>
      <c r="M2170" s="2"/>
      <c r="N2170" s="9"/>
      <c r="P2170" s="3">
        <v>-686.36949200000004</v>
      </c>
      <c r="S2170" s="9"/>
      <c r="T2170" s="2"/>
      <c r="U2170" s="9"/>
    </row>
    <row r="2171" spans="2:21" x14ac:dyDescent="0.35">
      <c r="B2171" s="9"/>
      <c r="C2171" s="2"/>
      <c r="D2171" s="2"/>
      <c r="I2171" s="9"/>
      <c r="J2171" s="2"/>
      <c r="L2171" s="9"/>
      <c r="M2171" s="2"/>
      <c r="N2171" s="9"/>
      <c r="P2171" s="3">
        <v>-251.60949199999999</v>
      </c>
      <c r="S2171" s="9"/>
      <c r="T2171" s="2"/>
      <c r="U2171" s="9"/>
    </row>
    <row r="2172" spans="2:21" x14ac:dyDescent="0.35">
      <c r="B2172" s="9"/>
      <c r="C2172" s="2"/>
      <c r="D2172" s="2"/>
      <c r="I2172" s="9"/>
      <c r="J2172" s="2"/>
      <c r="L2172" s="9"/>
      <c r="M2172" s="2"/>
      <c r="N2172" s="9"/>
      <c r="P2172" s="3">
        <v>0</v>
      </c>
      <c r="S2172" s="9"/>
      <c r="T2172" s="2"/>
      <c r="U2172" s="9"/>
    </row>
    <row r="2173" spans="2:21" x14ac:dyDescent="0.35">
      <c r="B2173" s="9"/>
      <c r="C2173" s="2"/>
      <c r="D2173" s="2"/>
      <c r="I2173" s="9"/>
      <c r="J2173" s="2"/>
      <c r="L2173" s="9"/>
      <c r="M2173" s="2"/>
      <c r="N2173" s="9"/>
      <c r="P2173" s="3">
        <v>0</v>
      </c>
      <c r="S2173" s="9"/>
      <c r="T2173" s="2"/>
      <c r="U2173" s="9"/>
    </row>
    <row r="2174" spans="2:21" x14ac:dyDescent="0.35">
      <c r="B2174" s="9"/>
      <c r="C2174" s="2"/>
      <c r="D2174" s="2"/>
      <c r="I2174" s="9"/>
      <c r="J2174" s="2"/>
      <c r="L2174" s="9"/>
      <c r="M2174" s="2"/>
      <c r="N2174" s="9"/>
      <c r="P2174" s="3">
        <v>0</v>
      </c>
      <c r="S2174" s="9"/>
      <c r="T2174" s="2"/>
      <c r="U2174" s="9"/>
    </row>
    <row r="2175" spans="2:21" x14ac:dyDescent="0.35">
      <c r="B2175" s="9"/>
      <c r="C2175" s="2"/>
      <c r="D2175" s="2"/>
      <c r="I2175" s="9"/>
      <c r="J2175" s="2"/>
      <c r="L2175" s="9"/>
      <c r="M2175" s="2"/>
      <c r="N2175" s="9"/>
      <c r="P2175" s="3">
        <v>0</v>
      </c>
      <c r="S2175" s="9"/>
      <c r="T2175" s="2"/>
      <c r="U2175" s="9"/>
    </row>
    <row r="2176" spans="2:21" x14ac:dyDescent="0.35">
      <c r="B2176" s="9"/>
      <c r="C2176" s="2"/>
      <c r="D2176" s="2"/>
      <c r="I2176" s="9"/>
      <c r="J2176" s="2"/>
      <c r="L2176" s="9"/>
      <c r="M2176" s="2"/>
      <c r="N2176" s="9"/>
      <c r="P2176" s="3">
        <v>0</v>
      </c>
      <c r="S2176" s="9"/>
      <c r="T2176" s="2"/>
      <c r="U2176" s="9"/>
    </row>
    <row r="2177" spans="2:21" x14ac:dyDescent="0.35">
      <c r="B2177" s="9"/>
      <c r="C2177" s="2"/>
      <c r="D2177" s="2"/>
      <c r="I2177" s="9"/>
      <c r="J2177" s="2"/>
      <c r="L2177" s="9"/>
      <c r="M2177" s="2"/>
      <c r="N2177" s="9"/>
      <c r="P2177" s="3">
        <v>0</v>
      </c>
      <c r="S2177" s="9"/>
      <c r="T2177" s="2"/>
      <c r="U2177" s="9"/>
    </row>
    <row r="2178" spans="2:21" x14ac:dyDescent="0.35">
      <c r="B2178" s="9"/>
      <c r="C2178" s="2"/>
      <c r="D2178" s="2"/>
      <c r="I2178" s="9"/>
      <c r="J2178" s="2"/>
      <c r="L2178" s="9"/>
      <c r="M2178" s="2"/>
      <c r="N2178" s="9"/>
      <c r="P2178" s="3">
        <v>0</v>
      </c>
      <c r="S2178" s="9"/>
      <c r="T2178" s="2"/>
      <c r="U2178" s="9"/>
    </row>
    <row r="2179" spans="2:21" x14ac:dyDescent="0.35">
      <c r="B2179" s="9"/>
      <c r="C2179" s="2"/>
      <c r="D2179" s="2"/>
      <c r="I2179" s="9"/>
      <c r="J2179" s="2"/>
      <c r="L2179" s="9"/>
      <c r="M2179" s="2"/>
      <c r="N2179" s="9"/>
      <c r="P2179" s="3">
        <v>0</v>
      </c>
      <c r="S2179" s="9"/>
      <c r="T2179" s="2"/>
      <c r="U2179" s="9"/>
    </row>
    <row r="2180" spans="2:21" x14ac:dyDescent="0.35">
      <c r="B2180" s="9"/>
      <c r="C2180" s="2"/>
      <c r="D2180" s="2"/>
      <c r="I2180" s="9"/>
      <c r="J2180" s="2"/>
      <c r="L2180" s="9"/>
      <c r="M2180" s="2"/>
      <c r="N2180" s="9"/>
      <c r="P2180" s="3">
        <v>0</v>
      </c>
      <c r="S2180" s="9"/>
      <c r="T2180" s="2"/>
      <c r="U2180" s="9"/>
    </row>
    <row r="2181" spans="2:21" x14ac:dyDescent="0.35">
      <c r="B2181" s="9"/>
      <c r="C2181" s="2"/>
      <c r="D2181" s="2"/>
      <c r="I2181" s="9"/>
      <c r="J2181" s="2"/>
      <c r="L2181" s="9"/>
      <c r="M2181" s="2"/>
      <c r="N2181" s="9"/>
      <c r="P2181" s="3">
        <v>0</v>
      </c>
      <c r="S2181" s="9"/>
      <c r="T2181" s="2"/>
      <c r="U2181" s="9"/>
    </row>
    <row r="2182" spans="2:21" x14ac:dyDescent="0.35">
      <c r="B2182" s="9"/>
      <c r="C2182" s="2"/>
      <c r="D2182" s="2"/>
      <c r="I2182" s="9"/>
      <c r="J2182" s="2"/>
      <c r="L2182" s="9"/>
      <c r="M2182" s="2"/>
      <c r="N2182" s="9"/>
      <c r="P2182" s="3">
        <v>0</v>
      </c>
      <c r="S2182" s="9"/>
      <c r="T2182" s="2"/>
      <c r="U2182" s="9"/>
    </row>
    <row r="2183" spans="2:21" x14ac:dyDescent="0.35">
      <c r="B2183" s="9"/>
      <c r="C2183" s="2"/>
      <c r="D2183" s="2"/>
      <c r="I2183" s="9"/>
      <c r="J2183" s="2"/>
      <c r="L2183" s="9"/>
      <c r="M2183" s="2"/>
      <c r="N2183" s="9"/>
      <c r="P2183" s="3">
        <v>-364.66800635999999</v>
      </c>
      <c r="S2183" s="9"/>
      <c r="T2183" s="2"/>
      <c r="U2183" s="9"/>
    </row>
    <row r="2184" spans="2:21" x14ac:dyDescent="0.35">
      <c r="B2184" s="9"/>
      <c r="C2184" s="2"/>
      <c r="D2184" s="2"/>
      <c r="I2184" s="9"/>
      <c r="J2184" s="2"/>
      <c r="L2184" s="9"/>
      <c r="M2184" s="2"/>
      <c r="N2184" s="9"/>
      <c r="P2184" s="3">
        <v>-799.42800636000004</v>
      </c>
      <c r="S2184" s="9"/>
      <c r="T2184" s="2"/>
      <c r="U2184" s="9"/>
    </row>
    <row r="2185" spans="2:21" x14ac:dyDescent="0.35">
      <c r="B2185" s="9"/>
      <c r="C2185" s="2"/>
      <c r="D2185" s="2"/>
      <c r="I2185" s="9"/>
      <c r="J2185" s="2"/>
      <c r="L2185" s="9"/>
      <c r="M2185" s="2"/>
      <c r="N2185" s="9"/>
      <c r="P2185" s="3">
        <v>-1234.1880063599999</v>
      </c>
      <c r="S2185" s="9"/>
      <c r="T2185" s="2"/>
      <c r="U2185" s="9"/>
    </row>
    <row r="2186" spans="2:21" x14ac:dyDescent="0.35">
      <c r="B2186" s="9"/>
      <c r="C2186" s="2"/>
      <c r="D2186" s="2"/>
      <c r="I2186" s="9"/>
      <c r="J2186" s="2"/>
      <c r="L2186" s="9"/>
      <c r="M2186" s="2"/>
      <c r="N2186" s="9"/>
      <c r="P2186" s="3">
        <v>-799.42800636000004</v>
      </c>
      <c r="S2186" s="9"/>
      <c r="T2186" s="2"/>
      <c r="U2186" s="9"/>
    </row>
    <row r="2187" spans="2:21" x14ac:dyDescent="0.35">
      <c r="B2187" s="9"/>
      <c r="C2187" s="2"/>
      <c r="D2187" s="2"/>
      <c r="I2187" s="9"/>
      <c r="J2187" s="2"/>
      <c r="L2187" s="9"/>
      <c r="M2187" s="2"/>
      <c r="N2187" s="9"/>
      <c r="P2187" s="3">
        <v>-672.76826635999998</v>
      </c>
      <c r="S2187" s="9"/>
      <c r="T2187" s="2"/>
      <c r="U2187" s="9"/>
    </row>
    <row r="2188" spans="2:21" x14ac:dyDescent="0.35">
      <c r="B2188" s="9"/>
      <c r="C2188" s="2"/>
      <c r="D2188" s="2"/>
      <c r="I2188" s="9"/>
      <c r="J2188" s="2"/>
      <c r="L2188" s="9"/>
      <c r="M2188" s="2"/>
      <c r="N2188" s="9"/>
      <c r="P2188" s="3">
        <v>-885.86979636000001</v>
      </c>
      <c r="S2188" s="9"/>
      <c r="T2188" s="2"/>
      <c r="U2188" s="9"/>
    </row>
    <row r="2189" spans="2:21" x14ac:dyDescent="0.35">
      <c r="B2189" s="9"/>
      <c r="C2189" s="2"/>
      <c r="D2189" s="2"/>
      <c r="I2189" s="9"/>
      <c r="J2189" s="2"/>
      <c r="L2189" s="9"/>
      <c r="M2189" s="2"/>
      <c r="N2189" s="9"/>
      <c r="P2189" s="3">
        <v>-1320.62979636</v>
      </c>
      <c r="S2189" s="9"/>
      <c r="T2189" s="2"/>
      <c r="U2189" s="9"/>
    </row>
    <row r="2190" spans="2:21" x14ac:dyDescent="0.35">
      <c r="B2190" s="9"/>
      <c r="C2190" s="2"/>
      <c r="D2190" s="2"/>
      <c r="I2190" s="9"/>
      <c r="J2190" s="2"/>
      <c r="L2190" s="9"/>
      <c r="M2190" s="2"/>
      <c r="N2190" s="9"/>
      <c r="P2190" s="3">
        <v>-1755.38979636</v>
      </c>
      <c r="S2190" s="9"/>
      <c r="T2190" s="2"/>
      <c r="U2190" s="9"/>
    </row>
    <row r="2191" spans="2:21" x14ac:dyDescent="0.35">
      <c r="B2191" s="9"/>
      <c r="C2191" s="2"/>
      <c r="D2191" s="2"/>
      <c r="I2191" s="9"/>
      <c r="J2191" s="2"/>
      <c r="L2191" s="9"/>
      <c r="M2191" s="2"/>
      <c r="N2191" s="9"/>
      <c r="P2191" s="3">
        <v>-2190.14979636</v>
      </c>
      <c r="S2191" s="9"/>
      <c r="T2191" s="2"/>
      <c r="U2191" s="9"/>
    </row>
    <row r="2192" spans="2:21" x14ac:dyDescent="0.35">
      <c r="B2192" s="9"/>
      <c r="C2192" s="2"/>
      <c r="D2192" s="2"/>
      <c r="I2192" s="9"/>
      <c r="J2192" s="2"/>
      <c r="L2192" s="9"/>
      <c r="M2192" s="2"/>
      <c r="N2192" s="9"/>
      <c r="P2192" s="3">
        <v>-2624.9097963600002</v>
      </c>
      <c r="S2192" s="9"/>
      <c r="T2192" s="2"/>
      <c r="U2192" s="9"/>
    </row>
    <row r="2193" spans="2:21" x14ac:dyDescent="0.35">
      <c r="B2193" s="9"/>
      <c r="C2193" s="2"/>
      <c r="D2193" s="2"/>
      <c r="I2193" s="9"/>
      <c r="J2193" s="2"/>
      <c r="L2193" s="9"/>
      <c r="M2193" s="2"/>
      <c r="N2193" s="9"/>
      <c r="P2193" s="3">
        <v>-2860.169492</v>
      </c>
      <c r="S2193" s="9"/>
      <c r="T2193" s="2"/>
      <c r="U2193" s="9"/>
    </row>
    <row r="2194" spans="2:21" x14ac:dyDescent="0.35">
      <c r="B2194" s="9"/>
      <c r="C2194" s="2"/>
      <c r="D2194" s="2"/>
      <c r="I2194" s="9"/>
      <c r="J2194" s="2"/>
      <c r="L2194" s="9"/>
      <c r="M2194" s="2"/>
      <c r="N2194" s="9"/>
      <c r="P2194" s="3">
        <v>-2860.169492</v>
      </c>
      <c r="S2194" s="9"/>
      <c r="T2194" s="2"/>
      <c r="U2194" s="9"/>
    </row>
    <row r="2195" spans="2:21" x14ac:dyDescent="0.35">
      <c r="B2195" s="9"/>
      <c r="C2195" s="2"/>
      <c r="D2195" s="2"/>
      <c r="I2195" s="9"/>
      <c r="J2195" s="2"/>
      <c r="L2195" s="9"/>
      <c r="M2195" s="2"/>
      <c r="N2195" s="9"/>
      <c r="P2195" s="3">
        <v>-2860.169492</v>
      </c>
      <c r="S2195" s="9"/>
      <c r="T2195" s="2"/>
      <c r="U2195" s="9"/>
    </row>
    <row r="2196" spans="2:21" x14ac:dyDescent="0.35">
      <c r="B2196" s="9"/>
      <c r="C2196" s="2"/>
      <c r="D2196" s="2"/>
      <c r="I2196" s="9"/>
      <c r="J2196" s="2"/>
      <c r="L2196" s="9"/>
      <c r="M2196" s="2"/>
      <c r="N2196" s="9"/>
      <c r="P2196" s="3">
        <v>-2860.169492</v>
      </c>
      <c r="S2196" s="9"/>
      <c r="T2196" s="2"/>
      <c r="U2196" s="9"/>
    </row>
    <row r="2197" spans="2:21" x14ac:dyDescent="0.35">
      <c r="B2197" s="9"/>
      <c r="C2197" s="2"/>
      <c r="D2197" s="2"/>
      <c r="I2197" s="9"/>
      <c r="J2197" s="2"/>
      <c r="L2197" s="9"/>
      <c r="M2197" s="2"/>
      <c r="N2197" s="9"/>
      <c r="P2197" s="3">
        <v>-2860.169492</v>
      </c>
      <c r="S2197" s="9"/>
      <c r="T2197" s="2"/>
      <c r="U2197" s="9"/>
    </row>
    <row r="2198" spans="2:21" x14ac:dyDescent="0.35">
      <c r="B2198" s="9"/>
      <c r="C2198" s="2"/>
      <c r="D2198" s="2"/>
      <c r="I2198" s="9"/>
      <c r="J2198" s="2"/>
      <c r="L2198" s="9"/>
      <c r="M2198" s="2"/>
      <c r="N2198" s="9"/>
      <c r="P2198" s="3">
        <v>-2860.169492</v>
      </c>
      <c r="S2198" s="9"/>
      <c r="T2198" s="2"/>
      <c r="U2198" s="9"/>
    </row>
    <row r="2199" spans="2:21" x14ac:dyDescent="0.35">
      <c r="B2199" s="9"/>
      <c r="C2199" s="2"/>
      <c r="D2199" s="2"/>
      <c r="I2199" s="9"/>
      <c r="J2199" s="2"/>
      <c r="L2199" s="9"/>
      <c r="M2199" s="2"/>
      <c r="N2199" s="9"/>
      <c r="P2199" s="3">
        <v>-2425.4094919999998</v>
      </c>
      <c r="S2199" s="9"/>
      <c r="T2199" s="2"/>
      <c r="U2199" s="9"/>
    </row>
    <row r="2200" spans="2:21" x14ac:dyDescent="0.35">
      <c r="B2200" s="9"/>
      <c r="C2200" s="2"/>
      <c r="D2200" s="2"/>
      <c r="I2200" s="9"/>
      <c r="J2200" s="2"/>
      <c r="L2200" s="9"/>
      <c r="M2200" s="2"/>
      <c r="N2200" s="9"/>
      <c r="P2200" s="3">
        <v>-1990.649492</v>
      </c>
      <c r="S2200" s="9"/>
      <c r="T2200" s="2"/>
      <c r="U2200" s="9"/>
    </row>
    <row r="2201" spans="2:21" x14ac:dyDescent="0.35">
      <c r="B2201" s="9"/>
      <c r="C2201" s="2"/>
      <c r="D2201" s="2"/>
      <c r="I2201" s="9"/>
      <c r="J2201" s="2"/>
      <c r="L2201" s="9"/>
      <c r="M2201" s="2"/>
      <c r="N2201" s="9"/>
      <c r="P2201" s="3">
        <v>-1555.889492</v>
      </c>
      <c r="S2201" s="9"/>
      <c r="T2201" s="2"/>
      <c r="U2201" s="9"/>
    </row>
    <row r="2202" spans="2:21" x14ac:dyDescent="0.35">
      <c r="B2202" s="9"/>
      <c r="C2202" s="2"/>
      <c r="D2202" s="2"/>
      <c r="I2202" s="9"/>
      <c r="J2202" s="2"/>
      <c r="L2202" s="9"/>
      <c r="M2202" s="2"/>
      <c r="N2202" s="9"/>
      <c r="P2202" s="3">
        <v>-1121.129492</v>
      </c>
      <c r="S2202" s="9"/>
      <c r="T2202" s="2"/>
      <c r="U2202" s="9"/>
    </row>
    <row r="2203" spans="2:21" x14ac:dyDescent="0.35">
      <c r="B2203" s="9"/>
      <c r="C2203" s="2"/>
      <c r="D2203" s="2"/>
      <c r="I2203" s="9"/>
      <c r="J2203" s="2"/>
      <c r="L2203" s="9"/>
      <c r="M2203" s="2"/>
      <c r="N2203" s="9"/>
      <c r="P2203" s="3">
        <v>-686.36949200000004</v>
      </c>
      <c r="S2203" s="9"/>
      <c r="T2203" s="2"/>
      <c r="U2203" s="9"/>
    </row>
    <row r="2204" spans="2:21" x14ac:dyDescent="0.35">
      <c r="B2204" s="9"/>
      <c r="C2204" s="2"/>
      <c r="D2204" s="2"/>
      <c r="I2204" s="9"/>
      <c r="J2204" s="2"/>
      <c r="L2204" s="9"/>
      <c r="M2204" s="2"/>
      <c r="N2204" s="9"/>
      <c r="P2204" s="3">
        <v>-1121.129492</v>
      </c>
      <c r="S2204" s="9"/>
      <c r="T2204" s="2"/>
      <c r="U2204" s="9"/>
    </row>
    <row r="2205" spans="2:21" x14ac:dyDescent="0.35">
      <c r="B2205" s="9"/>
      <c r="C2205" s="2"/>
      <c r="D2205" s="2"/>
      <c r="I2205" s="9"/>
      <c r="J2205" s="2"/>
      <c r="L2205" s="9"/>
      <c r="M2205" s="2"/>
      <c r="N2205" s="9"/>
      <c r="P2205" s="3">
        <v>-1555.889492</v>
      </c>
      <c r="S2205" s="9"/>
      <c r="T2205" s="2"/>
      <c r="U2205" s="9"/>
    </row>
    <row r="2206" spans="2:21" x14ac:dyDescent="0.35">
      <c r="B2206" s="9"/>
      <c r="C2206" s="2"/>
      <c r="D2206" s="2"/>
      <c r="I2206" s="9"/>
      <c r="J2206" s="2"/>
      <c r="L2206" s="9"/>
      <c r="M2206" s="2"/>
      <c r="N2206" s="9"/>
      <c r="P2206" s="3">
        <v>-1990.649492</v>
      </c>
      <c r="S2206" s="9"/>
      <c r="T2206" s="2"/>
      <c r="U2206" s="9"/>
    </row>
    <row r="2207" spans="2:21" x14ac:dyDescent="0.35">
      <c r="B2207" s="9"/>
      <c r="C2207" s="2"/>
      <c r="D2207" s="2"/>
      <c r="I2207" s="9"/>
      <c r="J2207" s="2"/>
      <c r="L2207" s="9"/>
      <c r="M2207" s="2"/>
      <c r="N2207" s="9"/>
      <c r="P2207" s="3">
        <v>-2425.4094919999998</v>
      </c>
      <c r="S2207" s="9"/>
      <c r="T2207" s="2"/>
      <c r="U2207" s="9"/>
    </row>
    <row r="2208" spans="2:21" x14ac:dyDescent="0.35">
      <c r="B2208" s="9"/>
      <c r="C2208" s="2"/>
      <c r="D2208" s="2"/>
      <c r="I2208" s="9"/>
      <c r="J2208" s="2"/>
      <c r="L2208" s="9"/>
      <c r="M2208" s="2"/>
      <c r="N2208" s="9"/>
      <c r="P2208" s="3">
        <v>-2860.169492</v>
      </c>
      <c r="S2208" s="9"/>
      <c r="T2208" s="2"/>
      <c r="U2208" s="9"/>
    </row>
    <row r="2209" spans="2:21" x14ac:dyDescent="0.35">
      <c r="B2209" s="9"/>
      <c r="C2209" s="2"/>
      <c r="D2209" s="2"/>
      <c r="I2209" s="9"/>
      <c r="J2209" s="2"/>
      <c r="L2209" s="9"/>
      <c r="M2209" s="2"/>
      <c r="N2209" s="9"/>
      <c r="P2209" s="3">
        <v>-2860.169492</v>
      </c>
      <c r="S2209" s="9"/>
      <c r="T2209" s="2"/>
      <c r="U2209" s="9"/>
    </row>
    <row r="2210" spans="2:21" x14ac:dyDescent="0.35">
      <c r="B2210" s="9"/>
      <c r="C2210" s="2"/>
      <c r="D2210" s="2"/>
      <c r="I2210" s="9"/>
      <c r="J2210" s="2"/>
      <c r="L2210" s="9"/>
      <c r="M2210" s="2"/>
      <c r="N2210" s="9"/>
      <c r="P2210" s="3">
        <v>-2860.169492</v>
      </c>
      <c r="S2210" s="9"/>
      <c r="T2210" s="2"/>
      <c r="U2210" s="9"/>
    </row>
    <row r="2211" spans="2:21" x14ac:dyDescent="0.35">
      <c r="B2211" s="9"/>
      <c r="C2211" s="2"/>
      <c r="D2211" s="2"/>
      <c r="I2211" s="9"/>
      <c r="J2211" s="2"/>
      <c r="L2211" s="9"/>
      <c r="M2211" s="2"/>
      <c r="N2211" s="9"/>
      <c r="P2211" s="3">
        <v>-2860.169492</v>
      </c>
      <c r="S2211" s="9"/>
      <c r="T2211" s="2"/>
      <c r="U2211" s="9"/>
    </row>
    <row r="2212" spans="2:21" x14ac:dyDescent="0.35">
      <c r="B2212" s="9"/>
      <c r="C2212" s="2"/>
      <c r="D2212" s="2"/>
      <c r="I2212" s="9"/>
      <c r="J2212" s="2"/>
      <c r="L2212" s="9"/>
      <c r="M2212" s="2"/>
      <c r="N2212" s="9"/>
      <c r="P2212" s="3">
        <v>-2860.169492</v>
      </c>
      <c r="S2212" s="9"/>
      <c r="T2212" s="2"/>
      <c r="U2212" s="9"/>
    </row>
    <row r="2213" spans="2:21" x14ac:dyDescent="0.35">
      <c r="B2213" s="9"/>
      <c r="C2213" s="2"/>
      <c r="D2213" s="2"/>
      <c r="I2213" s="9"/>
      <c r="J2213" s="2"/>
      <c r="L2213" s="9"/>
      <c r="M2213" s="2"/>
      <c r="N2213" s="9"/>
      <c r="P2213" s="3">
        <v>-2860.169492</v>
      </c>
      <c r="S2213" s="9"/>
      <c r="T2213" s="2"/>
      <c r="U2213" s="9"/>
    </row>
    <row r="2214" spans="2:21" x14ac:dyDescent="0.35">
      <c r="B2214" s="9"/>
      <c r="C2214" s="2"/>
      <c r="D2214" s="2"/>
      <c r="I2214" s="9"/>
      <c r="J2214" s="2"/>
      <c r="L2214" s="9"/>
      <c r="M2214" s="2"/>
      <c r="N2214" s="9"/>
      <c r="P2214" s="3">
        <v>-2860.169492</v>
      </c>
      <c r="S2214" s="9"/>
      <c r="T2214" s="2"/>
      <c r="U2214" s="9"/>
    </row>
    <row r="2215" spans="2:21" x14ac:dyDescent="0.35">
      <c r="B2215" s="9"/>
      <c r="C2215" s="2"/>
      <c r="D2215" s="2"/>
      <c r="I2215" s="9"/>
      <c r="J2215" s="2"/>
      <c r="L2215" s="9"/>
      <c r="M2215" s="2"/>
      <c r="N2215" s="9"/>
      <c r="P2215" s="3">
        <v>-2860.169492</v>
      </c>
      <c r="S2215" s="9"/>
      <c r="T2215" s="2"/>
      <c r="U2215" s="9"/>
    </row>
    <row r="2216" spans="2:21" x14ac:dyDescent="0.35">
      <c r="B2216" s="9"/>
      <c r="C2216" s="2"/>
      <c r="D2216" s="2"/>
      <c r="I2216" s="9"/>
      <c r="J2216" s="2"/>
      <c r="L2216" s="9"/>
      <c r="M2216" s="2"/>
      <c r="N2216" s="9"/>
      <c r="P2216" s="3">
        <v>-2860.169492</v>
      </c>
      <c r="S2216" s="9"/>
      <c r="T2216" s="2"/>
      <c r="U2216" s="9"/>
    </row>
    <row r="2217" spans="2:21" x14ac:dyDescent="0.35">
      <c r="B2217" s="9"/>
      <c r="C2217" s="2"/>
      <c r="D2217" s="2"/>
      <c r="I2217" s="9"/>
      <c r="J2217" s="2"/>
      <c r="L2217" s="9"/>
      <c r="M2217" s="2"/>
      <c r="N2217" s="9"/>
      <c r="P2217" s="3">
        <v>-2860.169492</v>
      </c>
      <c r="S2217" s="9"/>
      <c r="T2217" s="2"/>
      <c r="U2217" s="9"/>
    </row>
    <row r="2218" spans="2:21" x14ac:dyDescent="0.35">
      <c r="B2218" s="9"/>
      <c r="C2218" s="2"/>
      <c r="D2218" s="2"/>
      <c r="I2218" s="9"/>
      <c r="J2218" s="2"/>
      <c r="L2218" s="9"/>
      <c r="M2218" s="2"/>
      <c r="N2218" s="9"/>
      <c r="P2218" s="3">
        <v>-2860.169492</v>
      </c>
      <c r="S2218" s="9"/>
      <c r="T2218" s="2"/>
      <c r="U2218" s="9"/>
    </row>
    <row r="2219" spans="2:21" x14ac:dyDescent="0.35">
      <c r="B2219" s="9"/>
      <c r="C2219" s="2"/>
      <c r="D2219" s="2"/>
      <c r="I2219" s="9"/>
      <c r="J2219" s="2"/>
      <c r="L2219" s="9"/>
      <c r="M2219" s="2"/>
      <c r="N2219" s="9"/>
      <c r="P2219" s="3">
        <v>-2860.169492</v>
      </c>
      <c r="S2219" s="9"/>
      <c r="T2219" s="2"/>
      <c r="U2219" s="9"/>
    </row>
    <row r="2220" spans="2:21" x14ac:dyDescent="0.35">
      <c r="B2220" s="9"/>
      <c r="C2220" s="2"/>
      <c r="D2220" s="2"/>
      <c r="I2220" s="9"/>
      <c r="J2220" s="2"/>
      <c r="L2220" s="9"/>
      <c r="M2220" s="2"/>
      <c r="N2220" s="9"/>
      <c r="P2220" s="3">
        <v>-2860.169492</v>
      </c>
      <c r="S2220" s="9"/>
      <c r="T2220" s="2"/>
      <c r="U2220" s="9"/>
    </row>
    <row r="2221" spans="2:21" x14ac:dyDescent="0.35">
      <c r="B2221" s="9"/>
      <c r="C2221" s="2"/>
      <c r="D2221" s="2"/>
      <c r="I2221" s="9"/>
      <c r="J2221" s="2"/>
      <c r="L2221" s="9"/>
      <c r="M2221" s="2"/>
      <c r="N2221" s="9"/>
      <c r="P2221" s="3">
        <v>-2860.169492</v>
      </c>
      <c r="S2221" s="9"/>
      <c r="T2221" s="2"/>
      <c r="U2221" s="9"/>
    </row>
    <row r="2222" spans="2:21" x14ac:dyDescent="0.35">
      <c r="B2222" s="9"/>
      <c r="C2222" s="2"/>
      <c r="D2222" s="2"/>
      <c r="I2222" s="9"/>
      <c r="J2222" s="2"/>
      <c r="L2222" s="9"/>
      <c r="M2222" s="2"/>
      <c r="N2222" s="9"/>
      <c r="P2222" s="3">
        <v>-2860.169492</v>
      </c>
      <c r="S2222" s="9"/>
      <c r="T2222" s="2"/>
      <c r="U2222" s="9"/>
    </row>
    <row r="2223" spans="2:21" x14ac:dyDescent="0.35">
      <c r="B2223" s="9"/>
      <c r="C2223" s="2"/>
      <c r="D2223" s="2"/>
      <c r="I2223" s="9"/>
      <c r="J2223" s="2"/>
      <c r="L2223" s="9"/>
      <c r="M2223" s="2"/>
      <c r="N2223" s="9"/>
      <c r="P2223" s="3">
        <v>-2425.4094919999998</v>
      </c>
      <c r="S2223" s="9"/>
      <c r="T2223" s="2"/>
      <c r="U2223" s="9"/>
    </row>
    <row r="2224" spans="2:21" x14ac:dyDescent="0.35">
      <c r="B2224" s="9"/>
      <c r="C2224" s="2"/>
      <c r="D2224" s="2"/>
      <c r="I2224" s="9"/>
      <c r="J2224" s="2"/>
      <c r="L2224" s="9"/>
      <c r="M2224" s="2"/>
      <c r="N2224" s="9"/>
      <c r="P2224" s="3">
        <v>-1990.649492</v>
      </c>
      <c r="S2224" s="9"/>
      <c r="T2224" s="2"/>
      <c r="U2224" s="9"/>
    </row>
    <row r="2225" spans="2:21" x14ac:dyDescent="0.35">
      <c r="B2225" s="9"/>
      <c r="C2225" s="2"/>
      <c r="D2225" s="2"/>
      <c r="I2225" s="9"/>
      <c r="J2225" s="2"/>
      <c r="L2225" s="9"/>
      <c r="M2225" s="2"/>
      <c r="N2225" s="9"/>
      <c r="P2225" s="3">
        <v>-1555.889492</v>
      </c>
      <c r="S2225" s="9"/>
      <c r="T2225" s="2"/>
      <c r="U2225" s="9"/>
    </row>
    <row r="2226" spans="2:21" x14ac:dyDescent="0.35">
      <c r="B2226" s="9"/>
      <c r="C2226" s="2"/>
      <c r="D2226" s="2"/>
      <c r="I2226" s="9"/>
      <c r="J2226" s="2"/>
      <c r="L2226" s="9"/>
      <c r="M2226" s="2"/>
      <c r="N2226" s="9"/>
      <c r="P2226" s="3">
        <v>-1121.129492</v>
      </c>
      <c r="S2226" s="9"/>
      <c r="T2226" s="2"/>
      <c r="U2226" s="9"/>
    </row>
    <row r="2227" spans="2:21" x14ac:dyDescent="0.35">
      <c r="B2227" s="9"/>
      <c r="C2227" s="2"/>
      <c r="D2227" s="2"/>
      <c r="I2227" s="9"/>
      <c r="J2227" s="2"/>
      <c r="L2227" s="9"/>
      <c r="M2227" s="2"/>
      <c r="N2227" s="9"/>
      <c r="P2227" s="3">
        <v>-686.36949200000004</v>
      </c>
      <c r="S2227" s="9"/>
      <c r="T2227" s="2"/>
      <c r="U2227" s="9"/>
    </row>
    <row r="2228" spans="2:21" x14ac:dyDescent="0.35">
      <c r="B2228" s="9"/>
      <c r="C2228" s="2"/>
      <c r="D2228" s="2"/>
      <c r="I2228" s="9"/>
      <c r="J2228" s="2"/>
      <c r="L2228" s="9"/>
      <c r="M2228" s="2"/>
      <c r="N2228" s="9"/>
      <c r="P2228" s="3">
        <v>-1121.129492</v>
      </c>
      <c r="S2228" s="9"/>
      <c r="T2228" s="2"/>
      <c r="U2228" s="9"/>
    </row>
    <row r="2229" spans="2:21" x14ac:dyDescent="0.35">
      <c r="B2229" s="9"/>
      <c r="C2229" s="2"/>
      <c r="D2229" s="2"/>
      <c r="I2229" s="9"/>
      <c r="J2229" s="2"/>
      <c r="L2229" s="9"/>
      <c r="M2229" s="2"/>
      <c r="N2229" s="9"/>
      <c r="P2229" s="3">
        <v>-1555.889492</v>
      </c>
      <c r="S2229" s="9"/>
      <c r="T2229" s="2"/>
      <c r="U2229" s="9"/>
    </row>
    <row r="2230" spans="2:21" x14ac:dyDescent="0.35">
      <c r="B2230" s="9"/>
      <c r="C2230" s="2"/>
      <c r="D2230" s="2"/>
      <c r="I2230" s="9"/>
      <c r="J2230" s="2"/>
      <c r="L2230" s="9"/>
      <c r="M2230" s="2"/>
      <c r="N2230" s="9"/>
      <c r="P2230" s="3">
        <v>-1990.649492</v>
      </c>
      <c r="S2230" s="9"/>
      <c r="T2230" s="2"/>
      <c r="U2230" s="9"/>
    </row>
    <row r="2231" spans="2:21" x14ac:dyDescent="0.35">
      <c r="B2231" s="9"/>
      <c r="C2231" s="2"/>
      <c r="D2231" s="2"/>
      <c r="I2231" s="9"/>
      <c r="J2231" s="2"/>
      <c r="L2231" s="9"/>
      <c r="M2231" s="2"/>
      <c r="N2231" s="9"/>
      <c r="P2231" s="3">
        <v>-2425.4094919999998</v>
      </c>
      <c r="S2231" s="9"/>
      <c r="T2231" s="2"/>
      <c r="U2231" s="9"/>
    </row>
    <row r="2232" spans="2:21" x14ac:dyDescent="0.35">
      <c r="B2232" s="9"/>
      <c r="C2232" s="2"/>
      <c r="D2232" s="2"/>
      <c r="I2232" s="9"/>
      <c r="J2232" s="2"/>
      <c r="L2232" s="9"/>
      <c r="M2232" s="2"/>
      <c r="N2232" s="9"/>
      <c r="P2232" s="3">
        <v>-2860.169492</v>
      </c>
      <c r="S2232" s="9"/>
      <c r="T2232" s="2"/>
      <c r="U2232" s="9"/>
    </row>
    <row r="2233" spans="2:21" x14ac:dyDescent="0.35">
      <c r="B2233" s="9"/>
      <c r="C2233" s="2"/>
      <c r="D2233" s="2"/>
      <c r="I2233" s="9"/>
      <c r="J2233" s="2"/>
      <c r="L2233" s="9"/>
      <c r="M2233" s="2"/>
      <c r="N2233" s="9"/>
      <c r="P2233" s="3">
        <v>-2852.83632773</v>
      </c>
      <c r="S2233" s="9"/>
      <c r="T2233" s="2"/>
      <c r="U2233" s="9"/>
    </row>
    <row r="2234" spans="2:21" x14ac:dyDescent="0.35">
      <c r="B2234" s="9"/>
      <c r="C2234" s="2"/>
      <c r="D2234" s="2"/>
      <c r="I2234" s="9"/>
      <c r="J2234" s="2"/>
      <c r="L2234" s="9"/>
      <c r="M2234" s="2"/>
      <c r="N2234" s="9"/>
      <c r="P2234" s="3">
        <v>-2794.57889823</v>
      </c>
      <c r="S2234" s="9"/>
      <c r="T2234" s="2"/>
      <c r="U2234" s="9"/>
    </row>
    <row r="2235" spans="2:21" x14ac:dyDescent="0.35">
      <c r="B2235" s="9"/>
      <c r="C2235" s="2"/>
      <c r="D2235" s="2"/>
      <c r="I2235" s="9"/>
      <c r="J2235" s="2"/>
      <c r="L2235" s="9"/>
      <c r="M2235" s="2"/>
      <c r="N2235" s="9"/>
      <c r="P2235" s="3">
        <v>-2860.169492</v>
      </c>
      <c r="S2235" s="9"/>
      <c r="T2235" s="2"/>
      <c r="U2235" s="9"/>
    </row>
    <row r="2236" spans="2:21" x14ac:dyDescent="0.35">
      <c r="B2236" s="9"/>
      <c r="C2236" s="2"/>
      <c r="D2236" s="2"/>
      <c r="I2236" s="9"/>
      <c r="J2236" s="2"/>
      <c r="L2236" s="9"/>
      <c r="M2236" s="2"/>
      <c r="N2236" s="9"/>
      <c r="P2236" s="3">
        <v>-2860.169492</v>
      </c>
      <c r="S2236" s="9"/>
      <c r="T2236" s="2"/>
      <c r="U2236" s="9"/>
    </row>
    <row r="2237" spans="2:21" x14ac:dyDescent="0.35">
      <c r="B2237" s="9"/>
      <c r="C2237" s="2"/>
      <c r="D2237" s="2"/>
      <c r="I2237" s="9"/>
      <c r="J2237" s="2"/>
      <c r="L2237" s="9"/>
      <c r="M2237" s="2"/>
      <c r="N2237" s="9"/>
      <c r="P2237" s="3">
        <v>-2860.169492</v>
      </c>
      <c r="S2237" s="9"/>
      <c r="T2237" s="2"/>
      <c r="U2237" s="9"/>
    </row>
    <row r="2238" spans="2:21" x14ac:dyDescent="0.35">
      <c r="B2238" s="9"/>
      <c r="C2238" s="2"/>
      <c r="D2238" s="2"/>
      <c r="I2238" s="9"/>
      <c r="J2238" s="2"/>
      <c r="L2238" s="9"/>
      <c r="M2238" s="2"/>
      <c r="N2238" s="9"/>
      <c r="P2238" s="3">
        <v>-2860.169492</v>
      </c>
      <c r="S2238" s="9"/>
      <c r="T2238" s="2"/>
      <c r="U2238" s="9"/>
    </row>
    <row r="2239" spans="2:21" x14ac:dyDescent="0.35">
      <c r="B2239" s="9"/>
      <c r="C2239" s="2"/>
      <c r="D2239" s="2"/>
      <c r="I2239" s="9"/>
      <c r="J2239" s="2"/>
      <c r="L2239" s="9"/>
      <c r="M2239" s="2"/>
      <c r="N2239" s="9"/>
      <c r="P2239" s="3">
        <v>-2860.169492</v>
      </c>
      <c r="S2239" s="9"/>
      <c r="T2239" s="2"/>
      <c r="U2239" s="9"/>
    </row>
    <row r="2240" spans="2:21" x14ac:dyDescent="0.35">
      <c r="B2240" s="9"/>
      <c r="C2240" s="2"/>
      <c r="D2240" s="2"/>
      <c r="I2240" s="9"/>
      <c r="J2240" s="2"/>
      <c r="L2240" s="9"/>
      <c r="M2240" s="2"/>
      <c r="N2240" s="9"/>
      <c r="P2240" s="3">
        <v>-2860.169492</v>
      </c>
      <c r="S2240" s="9"/>
      <c r="T2240" s="2"/>
      <c r="U2240" s="9"/>
    </row>
    <row r="2241" spans="2:21" x14ac:dyDescent="0.35">
      <c r="B2241" s="9"/>
      <c r="C2241" s="2"/>
      <c r="D2241" s="2"/>
      <c r="I2241" s="9"/>
      <c r="J2241" s="2"/>
      <c r="L2241" s="9"/>
      <c r="M2241" s="2"/>
      <c r="N2241" s="9"/>
      <c r="P2241" s="3">
        <v>-2860.169492</v>
      </c>
      <c r="S2241" s="9"/>
      <c r="T2241" s="2"/>
      <c r="U2241" s="9"/>
    </row>
    <row r="2242" spans="2:21" x14ac:dyDescent="0.35">
      <c r="B2242" s="9"/>
      <c r="C2242" s="2"/>
      <c r="D2242" s="2"/>
      <c r="I2242" s="9"/>
      <c r="J2242" s="2"/>
      <c r="L2242" s="9"/>
      <c r="M2242" s="2"/>
      <c r="N2242" s="9"/>
      <c r="P2242" s="3">
        <v>-2860.169492</v>
      </c>
      <c r="S2242" s="9"/>
      <c r="T2242" s="2"/>
      <c r="U2242" s="9"/>
    </row>
    <row r="2243" spans="2:21" x14ac:dyDescent="0.35">
      <c r="B2243" s="9"/>
      <c r="C2243" s="2"/>
      <c r="D2243" s="2"/>
      <c r="I2243" s="9"/>
      <c r="J2243" s="2"/>
      <c r="L2243" s="9"/>
      <c r="M2243" s="2"/>
      <c r="N2243" s="9"/>
      <c r="P2243" s="3">
        <v>-2845.6041023799999</v>
      </c>
      <c r="S2243" s="9"/>
      <c r="T2243" s="2"/>
      <c r="U2243" s="9"/>
    </row>
    <row r="2244" spans="2:21" x14ac:dyDescent="0.35">
      <c r="B2244" s="9"/>
      <c r="C2244" s="2"/>
      <c r="D2244" s="2"/>
      <c r="I2244" s="9"/>
      <c r="J2244" s="2"/>
      <c r="L2244" s="9"/>
      <c r="M2244" s="2"/>
      <c r="N2244" s="9"/>
      <c r="P2244" s="3">
        <v>-2629.0911159000002</v>
      </c>
      <c r="S2244" s="9"/>
      <c r="T2244" s="2"/>
      <c r="U2244" s="9"/>
    </row>
    <row r="2245" spans="2:21" x14ac:dyDescent="0.35">
      <c r="B2245" s="9"/>
      <c r="C2245" s="2"/>
      <c r="D2245" s="2"/>
      <c r="I2245" s="9"/>
      <c r="J2245" s="2"/>
      <c r="L2245" s="9"/>
      <c r="M2245" s="2"/>
      <c r="N2245" s="9"/>
      <c r="P2245" s="3">
        <v>-2538.9058834500001</v>
      </c>
      <c r="S2245" s="9"/>
      <c r="T2245" s="2"/>
      <c r="U2245" s="9"/>
    </row>
    <row r="2246" spans="2:21" x14ac:dyDescent="0.35">
      <c r="B2246" s="9"/>
      <c r="C2246" s="2"/>
      <c r="D2246" s="2"/>
      <c r="I2246" s="9"/>
      <c r="J2246" s="2"/>
      <c r="L2246" s="9"/>
      <c r="M2246" s="2"/>
      <c r="N2246" s="9"/>
      <c r="P2246" s="3">
        <v>-2860.169492</v>
      </c>
      <c r="S2246" s="9"/>
      <c r="T2246" s="2"/>
      <c r="U2246" s="9"/>
    </row>
    <row r="2247" spans="2:21" x14ac:dyDescent="0.35">
      <c r="B2247" s="9"/>
      <c r="C2247" s="2"/>
      <c r="D2247" s="2"/>
      <c r="I2247" s="9"/>
      <c r="J2247" s="2"/>
      <c r="L2247" s="9"/>
      <c r="M2247" s="2"/>
      <c r="N2247" s="9"/>
      <c r="P2247" s="3">
        <v>-2425.4094919999998</v>
      </c>
      <c r="S2247" s="9"/>
      <c r="T2247" s="2"/>
      <c r="U2247" s="9"/>
    </row>
    <row r="2248" spans="2:21" x14ac:dyDescent="0.35">
      <c r="B2248" s="9"/>
      <c r="C2248" s="2"/>
      <c r="D2248" s="2"/>
      <c r="I2248" s="9"/>
      <c r="J2248" s="2"/>
      <c r="L2248" s="9"/>
      <c r="M2248" s="2"/>
      <c r="N2248" s="9"/>
      <c r="P2248" s="3">
        <v>-1990.649492</v>
      </c>
      <c r="S2248" s="9"/>
      <c r="T2248" s="2"/>
      <c r="U2248" s="9"/>
    </row>
    <row r="2249" spans="2:21" x14ac:dyDescent="0.35">
      <c r="B2249" s="9"/>
      <c r="C2249" s="2"/>
      <c r="D2249" s="2"/>
      <c r="I2249" s="9"/>
      <c r="J2249" s="2"/>
      <c r="L2249" s="9"/>
      <c r="M2249" s="2"/>
      <c r="N2249" s="9"/>
      <c r="P2249" s="3">
        <v>-1555.889492</v>
      </c>
      <c r="S2249" s="9"/>
      <c r="T2249" s="2"/>
      <c r="U2249" s="9"/>
    </row>
    <row r="2250" spans="2:21" x14ac:dyDescent="0.35">
      <c r="B2250" s="9"/>
      <c r="C2250" s="2"/>
      <c r="D2250" s="2"/>
      <c r="I2250" s="9"/>
      <c r="J2250" s="2"/>
      <c r="L2250" s="9"/>
      <c r="M2250" s="2"/>
      <c r="N2250" s="9"/>
      <c r="P2250" s="3">
        <v>-1121.129492</v>
      </c>
      <c r="S2250" s="9"/>
      <c r="T2250" s="2"/>
      <c r="U2250" s="9"/>
    </row>
    <row r="2251" spans="2:21" x14ac:dyDescent="0.35">
      <c r="B2251" s="9"/>
      <c r="C2251" s="2"/>
      <c r="D2251" s="2"/>
      <c r="I2251" s="9"/>
      <c r="J2251" s="2"/>
      <c r="L2251" s="9"/>
      <c r="M2251" s="2"/>
      <c r="N2251" s="9"/>
      <c r="P2251" s="3">
        <v>-686.36949200000004</v>
      </c>
      <c r="S2251" s="9"/>
      <c r="T2251" s="2"/>
      <c r="U2251" s="9"/>
    </row>
    <row r="2252" spans="2:21" x14ac:dyDescent="0.35">
      <c r="B2252" s="9"/>
      <c r="C2252" s="2"/>
      <c r="D2252" s="2"/>
      <c r="I2252" s="9"/>
      <c r="J2252" s="2"/>
      <c r="L2252" s="9"/>
      <c r="M2252" s="2"/>
      <c r="N2252" s="9"/>
      <c r="P2252" s="3">
        <v>-251.60949199999999</v>
      </c>
      <c r="S2252" s="9"/>
      <c r="T2252" s="2"/>
      <c r="U2252" s="9"/>
    </row>
    <row r="2253" spans="2:21" x14ac:dyDescent="0.35">
      <c r="B2253" s="9"/>
      <c r="C2253" s="2"/>
      <c r="D2253" s="2"/>
      <c r="I2253" s="9"/>
      <c r="J2253" s="2"/>
      <c r="L2253" s="9"/>
      <c r="M2253" s="2"/>
      <c r="N2253" s="9"/>
      <c r="P2253" s="3">
        <v>-644.73561772999994</v>
      </c>
      <c r="S2253" s="9"/>
      <c r="T2253" s="2"/>
      <c r="U2253" s="9"/>
    </row>
    <row r="2254" spans="2:21" x14ac:dyDescent="0.35">
      <c r="B2254" s="9"/>
      <c r="C2254" s="2"/>
      <c r="D2254" s="2"/>
      <c r="I2254" s="9"/>
      <c r="J2254" s="2"/>
      <c r="L2254" s="9"/>
      <c r="M2254" s="2"/>
      <c r="N2254" s="9"/>
      <c r="P2254" s="3">
        <v>-1079.49561773</v>
      </c>
      <c r="S2254" s="9"/>
      <c r="T2254" s="2"/>
      <c r="U2254" s="9"/>
    </row>
    <row r="2255" spans="2:21" x14ac:dyDescent="0.35">
      <c r="B2255" s="9"/>
      <c r="C2255" s="2"/>
      <c r="D2255" s="2"/>
      <c r="I2255" s="9"/>
      <c r="J2255" s="2"/>
      <c r="L2255" s="9"/>
      <c r="M2255" s="2"/>
      <c r="N2255" s="9"/>
      <c r="P2255" s="3">
        <v>-1514.25561773</v>
      </c>
      <c r="S2255" s="9"/>
      <c r="T2255" s="2"/>
      <c r="U2255" s="9"/>
    </row>
    <row r="2256" spans="2:21" x14ac:dyDescent="0.35">
      <c r="B2256" s="9"/>
      <c r="C2256" s="2"/>
      <c r="D2256" s="2"/>
      <c r="I2256" s="9"/>
      <c r="J2256" s="2"/>
      <c r="L2256" s="9"/>
      <c r="M2256" s="2"/>
      <c r="N2256" s="9"/>
      <c r="P2256" s="3">
        <v>-1079.49561773</v>
      </c>
      <c r="S2256" s="9"/>
      <c r="T2256" s="2"/>
      <c r="U2256" s="9"/>
    </row>
    <row r="2257" spans="2:21" x14ac:dyDescent="0.35">
      <c r="B2257" s="9"/>
      <c r="C2257" s="2"/>
      <c r="D2257" s="2"/>
      <c r="I2257" s="9"/>
      <c r="J2257" s="2"/>
      <c r="L2257" s="9"/>
      <c r="M2257" s="2"/>
      <c r="N2257" s="9"/>
      <c r="P2257" s="3">
        <v>-644.73561772999994</v>
      </c>
      <c r="S2257" s="9"/>
      <c r="T2257" s="2"/>
      <c r="U2257" s="9"/>
    </row>
    <row r="2258" spans="2:21" x14ac:dyDescent="0.35">
      <c r="B2258" s="9"/>
      <c r="C2258" s="2"/>
      <c r="D2258" s="2"/>
      <c r="I2258" s="9"/>
      <c r="J2258" s="2"/>
      <c r="L2258" s="9"/>
      <c r="M2258" s="2"/>
      <c r="N2258" s="9"/>
      <c r="P2258" s="3">
        <v>-488.01183823000002</v>
      </c>
      <c r="S2258" s="9"/>
      <c r="T2258" s="2"/>
      <c r="U2258" s="9"/>
    </row>
    <row r="2259" spans="2:21" x14ac:dyDescent="0.35">
      <c r="B2259" s="9"/>
      <c r="C2259" s="2"/>
      <c r="D2259" s="2"/>
      <c r="I2259" s="9"/>
      <c r="J2259" s="2"/>
      <c r="L2259" s="9"/>
      <c r="M2259" s="2"/>
      <c r="N2259" s="9"/>
      <c r="P2259" s="3">
        <v>-498.92468860000002</v>
      </c>
      <c r="S2259" s="9"/>
      <c r="T2259" s="2"/>
      <c r="U2259" s="9"/>
    </row>
    <row r="2260" spans="2:21" x14ac:dyDescent="0.35">
      <c r="B2260" s="9"/>
      <c r="C2260" s="2"/>
      <c r="D2260" s="2"/>
      <c r="I2260" s="9"/>
      <c r="J2260" s="2"/>
      <c r="L2260" s="9"/>
      <c r="M2260" s="2"/>
      <c r="N2260" s="9"/>
      <c r="P2260" s="3">
        <v>-532.92952886</v>
      </c>
      <c r="S2260" s="9"/>
      <c r="T2260" s="2"/>
      <c r="U2260" s="9"/>
    </row>
    <row r="2261" spans="2:21" x14ac:dyDescent="0.35">
      <c r="B2261" s="9"/>
      <c r="C2261" s="2"/>
      <c r="D2261" s="2"/>
      <c r="I2261" s="9"/>
      <c r="J2261" s="2"/>
      <c r="L2261" s="9"/>
      <c r="M2261" s="2"/>
      <c r="N2261" s="9"/>
      <c r="P2261" s="3">
        <v>-676.61222885999996</v>
      </c>
      <c r="S2261" s="9"/>
      <c r="T2261" s="2"/>
      <c r="U2261" s="9"/>
    </row>
    <row r="2262" spans="2:21" x14ac:dyDescent="0.35">
      <c r="B2262" s="9"/>
      <c r="C2262" s="2"/>
      <c r="D2262" s="2"/>
      <c r="I2262" s="9"/>
      <c r="J2262" s="2"/>
      <c r="L2262" s="9"/>
      <c r="M2262" s="2"/>
      <c r="N2262" s="9"/>
      <c r="P2262" s="3">
        <v>-776.23374885999999</v>
      </c>
      <c r="S2262" s="9"/>
      <c r="T2262" s="2"/>
      <c r="U2262" s="9"/>
    </row>
    <row r="2263" spans="2:21" x14ac:dyDescent="0.35">
      <c r="B2263" s="9"/>
      <c r="C2263" s="2"/>
      <c r="D2263" s="2"/>
      <c r="I2263" s="9"/>
      <c r="J2263" s="2"/>
      <c r="L2263" s="9"/>
      <c r="M2263" s="2"/>
      <c r="N2263" s="9"/>
      <c r="P2263" s="3">
        <v>-796.73712885999998</v>
      </c>
      <c r="S2263" s="9"/>
      <c r="T2263" s="2"/>
      <c r="U2263" s="9"/>
    </row>
    <row r="2264" spans="2:21" x14ac:dyDescent="0.35">
      <c r="B2264" s="9"/>
      <c r="C2264" s="2"/>
      <c r="D2264" s="2"/>
      <c r="I2264" s="9"/>
      <c r="J2264" s="2"/>
      <c r="L2264" s="9"/>
      <c r="M2264" s="2"/>
      <c r="N2264" s="9"/>
      <c r="P2264" s="3">
        <v>-799.40814885999998</v>
      </c>
      <c r="S2264" s="9"/>
      <c r="T2264" s="2"/>
      <c r="U2264" s="9"/>
    </row>
    <row r="2265" spans="2:21" x14ac:dyDescent="0.35">
      <c r="B2265" s="9"/>
      <c r="C2265" s="2"/>
      <c r="D2265" s="2"/>
      <c r="I2265" s="9"/>
      <c r="J2265" s="2"/>
      <c r="L2265" s="9"/>
      <c r="M2265" s="2"/>
      <c r="N2265" s="9"/>
      <c r="P2265" s="3">
        <v>-820.57324886000004</v>
      </c>
      <c r="S2265" s="9"/>
      <c r="T2265" s="2"/>
      <c r="U2265" s="9"/>
    </row>
    <row r="2266" spans="2:21" x14ac:dyDescent="0.35">
      <c r="B2266" s="9"/>
      <c r="C2266" s="2"/>
      <c r="D2266" s="2"/>
      <c r="I2266" s="9"/>
      <c r="J2266" s="2"/>
      <c r="L2266" s="9"/>
      <c r="M2266" s="2"/>
      <c r="N2266" s="9"/>
      <c r="P2266" s="3">
        <v>-846.74739885999998</v>
      </c>
      <c r="S2266" s="9"/>
      <c r="T2266" s="2"/>
      <c r="U2266" s="9"/>
    </row>
    <row r="2267" spans="2:21" x14ac:dyDescent="0.35">
      <c r="B2267" s="9"/>
      <c r="C2267" s="2"/>
      <c r="D2267" s="2"/>
      <c r="I2267" s="9"/>
      <c r="J2267" s="2"/>
      <c r="L2267" s="9"/>
      <c r="M2267" s="2"/>
      <c r="N2267" s="9"/>
      <c r="P2267" s="3">
        <v>-727.15083238</v>
      </c>
      <c r="S2267" s="9"/>
      <c r="T2267" s="2"/>
      <c r="U2267" s="9"/>
    </row>
    <row r="2268" spans="2:21" x14ac:dyDescent="0.35">
      <c r="B2268" s="9"/>
      <c r="C2268" s="2"/>
      <c r="D2268" s="2"/>
      <c r="I2268" s="9"/>
      <c r="J2268" s="2"/>
      <c r="L2268" s="9"/>
      <c r="M2268" s="2"/>
      <c r="N2268" s="9"/>
      <c r="P2268" s="3">
        <v>-547.47619589999999</v>
      </c>
      <c r="S2268" s="9"/>
      <c r="T2268" s="2"/>
      <c r="U2268" s="9"/>
    </row>
    <row r="2269" spans="2:21" x14ac:dyDescent="0.35">
      <c r="B2269" s="9"/>
      <c r="C2269" s="2"/>
      <c r="D2269" s="2"/>
      <c r="I2269" s="9"/>
      <c r="J2269" s="2"/>
      <c r="L2269" s="9"/>
      <c r="M2269" s="2"/>
      <c r="N2269" s="9"/>
      <c r="P2269" s="3">
        <v>-316.65061344999998</v>
      </c>
      <c r="S2269" s="9"/>
      <c r="T2269" s="2"/>
      <c r="U2269" s="9"/>
    </row>
    <row r="2270" spans="2:21" x14ac:dyDescent="0.35">
      <c r="B2270" s="9"/>
      <c r="C2270" s="2"/>
      <c r="D2270" s="2"/>
      <c r="I2270" s="9"/>
      <c r="J2270" s="2"/>
      <c r="L2270" s="9"/>
      <c r="M2270" s="2"/>
      <c r="N2270" s="9"/>
      <c r="P2270" s="3">
        <v>-469.55488696999998</v>
      </c>
      <c r="S2270" s="9"/>
      <c r="T2270" s="2"/>
      <c r="U2270" s="9"/>
    </row>
    <row r="2271" spans="2:21" x14ac:dyDescent="0.35">
      <c r="B2271" s="9"/>
      <c r="C2271" s="2"/>
      <c r="D2271" s="2"/>
      <c r="I2271" s="9"/>
      <c r="J2271" s="2"/>
      <c r="L2271" s="9"/>
      <c r="M2271" s="2"/>
      <c r="N2271" s="9"/>
      <c r="P2271" s="3">
        <v>-904.31488696999998</v>
      </c>
      <c r="S2271" s="9"/>
      <c r="T2271" s="2"/>
      <c r="U2271" s="9"/>
    </row>
    <row r="2272" spans="2:21" x14ac:dyDescent="0.35">
      <c r="B2272" s="9"/>
      <c r="C2272" s="2"/>
      <c r="D2272" s="2"/>
      <c r="I2272" s="9"/>
      <c r="J2272" s="2"/>
      <c r="L2272" s="9"/>
      <c r="M2272" s="2"/>
      <c r="N2272" s="9"/>
      <c r="P2272" s="3">
        <v>-1339.0748869700001</v>
      </c>
      <c r="S2272" s="9"/>
      <c r="T2272" s="2"/>
      <c r="U2272" s="9"/>
    </row>
    <row r="2273" spans="2:21" x14ac:dyDescent="0.35">
      <c r="B2273" s="9"/>
      <c r="C2273" s="2"/>
      <c r="D2273" s="2"/>
      <c r="I2273" s="9"/>
      <c r="J2273" s="2"/>
      <c r="L2273" s="9"/>
      <c r="M2273" s="2"/>
      <c r="N2273" s="9"/>
      <c r="P2273" s="3">
        <v>-1773.8348869700001</v>
      </c>
      <c r="S2273" s="9"/>
      <c r="T2273" s="2"/>
      <c r="U2273" s="9"/>
    </row>
    <row r="2274" spans="2:21" x14ac:dyDescent="0.35">
      <c r="B2274" s="9"/>
      <c r="C2274" s="2"/>
      <c r="D2274" s="2"/>
      <c r="I2274" s="9"/>
      <c r="J2274" s="2"/>
      <c r="L2274" s="9"/>
      <c r="M2274" s="2"/>
      <c r="N2274" s="9"/>
      <c r="P2274" s="3">
        <v>-2154.5890183400002</v>
      </c>
      <c r="S2274" s="9"/>
      <c r="T2274" s="2"/>
      <c r="U2274" s="9"/>
    </row>
    <row r="2275" spans="2:21" x14ac:dyDescent="0.35">
      <c r="B2275" s="9"/>
      <c r="C2275" s="2"/>
      <c r="D2275" s="2"/>
      <c r="I2275" s="9"/>
      <c r="J2275" s="2"/>
      <c r="L2275" s="9"/>
      <c r="M2275" s="2"/>
      <c r="N2275" s="9"/>
      <c r="P2275" s="3">
        <v>-2589.3490183399999</v>
      </c>
      <c r="S2275" s="9"/>
      <c r="T2275" s="2"/>
      <c r="U2275" s="9"/>
    </row>
    <row r="2276" spans="2:21" x14ac:dyDescent="0.35">
      <c r="B2276" s="9"/>
      <c r="C2276" s="2"/>
      <c r="D2276" s="2"/>
      <c r="I2276" s="9"/>
      <c r="J2276" s="2"/>
      <c r="L2276" s="9"/>
      <c r="M2276" s="2"/>
      <c r="N2276" s="9"/>
      <c r="P2276" s="3">
        <v>-2159.3914977300001</v>
      </c>
      <c r="S2276" s="9"/>
      <c r="T2276" s="2"/>
      <c r="U2276" s="9"/>
    </row>
    <row r="2277" spans="2:21" x14ac:dyDescent="0.35">
      <c r="B2277" s="9"/>
      <c r="C2277" s="2"/>
      <c r="D2277" s="2"/>
      <c r="I2277" s="9"/>
      <c r="J2277" s="2"/>
      <c r="L2277" s="9"/>
      <c r="M2277" s="2"/>
      <c r="N2277" s="9"/>
      <c r="P2277" s="3">
        <v>-1724.6314977300001</v>
      </c>
      <c r="S2277" s="9"/>
      <c r="T2277" s="2"/>
      <c r="U2277" s="9"/>
    </row>
    <row r="2278" spans="2:21" x14ac:dyDescent="0.35">
      <c r="B2278" s="9"/>
      <c r="C2278" s="2"/>
      <c r="D2278" s="2"/>
      <c r="I2278" s="9"/>
      <c r="J2278" s="2"/>
      <c r="L2278" s="9"/>
      <c r="M2278" s="2"/>
      <c r="N2278" s="9"/>
      <c r="P2278" s="3">
        <v>-1289.8714977300001</v>
      </c>
      <c r="S2278" s="9"/>
      <c r="T2278" s="2"/>
      <c r="U2278" s="9"/>
    </row>
    <row r="2279" spans="2:21" x14ac:dyDescent="0.35">
      <c r="B2279" s="9"/>
      <c r="C2279" s="2"/>
      <c r="D2279" s="2"/>
      <c r="I2279" s="9"/>
      <c r="J2279" s="2"/>
      <c r="L2279" s="9"/>
      <c r="M2279" s="2"/>
      <c r="N2279" s="9"/>
      <c r="P2279" s="3">
        <v>-855.11149773</v>
      </c>
      <c r="S2279" s="9"/>
      <c r="T2279" s="2"/>
      <c r="U2279" s="9"/>
    </row>
    <row r="2280" spans="2:21" x14ac:dyDescent="0.35">
      <c r="B2280" s="9"/>
      <c r="C2280" s="2"/>
      <c r="D2280" s="2"/>
      <c r="I2280" s="9"/>
      <c r="J2280" s="2"/>
      <c r="L2280" s="9"/>
      <c r="M2280" s="2"/>
      <c r="N2280" s="9"/>
      <c r="P2280" s="3">
        <v>-420.35149773000001</v>
      </c>
      <c r="S2280" s="9"/>
      <c r="T2280" s="2"/>
      <c r="U2280" s="9"/>
    </row>
    <row r="2281" spans="2:21" x14ac:dyDescent="0.35">
      <c r="B2281" s="9"/>
      <c r="C2281" s="2"/>
      <c r="D2281" s="2"/>
      <c r="I2281" s="9"/>
      <c r="J2281" s="2"/>
      <c r="L2281" s="9"/>
      <c r="M2281" s="2"/>
      <c r="N2281" s="9"/>
      <c r="P2281" s="3">
        <v>14.40850227</v>
      </c>
      <c r="S2281" s="9"/>
      <c r="T2281" s="2"/>
      <c r="U2281" s="9"/>
    </row>
    <row r="2282" spans="2:21" x14ac:dyDescent="0.35">
      <c r="B2282" s="9"/>
      <c r="C2282" s="2"/>
      <c r="D2282" s="2"/>
      <c r="I2282" s="9"/>
      <c r="J2282" s="2"/>
      <c r="L2282" s="9"/>
      <c r="M2282" s="2"/>
      <c r="N2282" s="9"/>
      <c r="P2282" s="3">
        <v>191.92605176999999</v>
      </c>
      <c r="S2282" s="9"/>
      <c r="T2282" s="2"/>
      <c r="U2282" s="9"/>
    </row>
    <row r="2283" spans="2:21" x14ac:dyDescent="0.35">
      <c r="B2283" s="9"/>
      <c r="C2283" s="2"/>
      <c r="D2283" s="2"/>
      <c r="I2283" s="9"/>
      <c r="J2283" s="2"/>
      <c r="L2283" s="9"/>
      <c r="M2283" s="2"/>
      <c r="N2283" s="9"/>
      <c r="P2283" s="3">
        <v>200.2641414</v>
      </c>
      <c r="S2283" s="9"/>
      <c r="T2283" s="2"/>
      <c r="U2283" s="9"/>
    </row>
    <row r="2284" spans="2:21" x14ac:dyDescent="0.35">
      <c r="B2284" s="9"/>
      <c r="C2284" s="2"/>
      <c r="D2284" s="2"/>
      <c r="I2284" s="9"/>
      <c r="J2284" s="2"/>
      <c r="L2284" s="9"/>
      <c r="M2284" s="2"/>
      <c r="N2284" s="9"/>
      <c r="P2284" s="3">
        <v>247.06014114000001</v>
      </c>
      <c r="S2284" s="9"/>
      <c r="T2284" s="2"/>
      <c r="U2284" s="9"/>
    </row>
    <row r="2285" spans="2:21" x14ac:dyDescent="0.35">
      <c r="B2285" s="9"/>
      <c r="C2285" s="2"/>
      <c r="D2285" s="2"/>
      <c r="I2285" s="9"/>
      <c r="J2285" s="2"/>
      <c r="L2285" s="9"/>
      <c r="M2285" s="2"/>
      <c r="N2285" s="9"/>
      <c r="P2285" s="3">
        <v>286.52052114000003</v>
      </c>
      <c r="S2285" s="9"/>
      <c r="T2285" s="2"/>
      <c r="U2285" s="9"/>
    </row>
    <row r="2286" spans="2:21" x14ac:dyDescent="0.35">
      <c r="B2286" s="9"/>
      <c r="C2286" s="2"/>
      <c r="D2286" s="2"/>
      <c r="I2286" s="9"/>
      <c r="J2286" s="2"/>
      <c r="L2286" s="9"/>
      <c r="M2286" s="2"/>
      <c r="N2286" s="9"/>
      <c r="P2286" s="3">
        <v>310.44113113999998</v>
      </c>
      <c r="S2286" s="9"/>
      <c r="T2286" s="2"/>
      <c r="U2286" s="9"/>
    </row>
    <row r="2287" spans="2:21" x14ac:dyDescent="0.35">
      <c r="B2287" s="9"/>
      <c r="C2287" s="2"/>
      <c r="D2287" s="2"/>
      <c r="I2287" s="9"/>
      <c r="J2287" s="2"/>
      <c r="L2287" s="9"/>
      <c r="M2287" s="2"/>
      <c r="N2287" s="9"/>
      <c r="P2287" s="3">
        <v>337.44172114000003</v>
      </c>
      <c r="S2287" s="9"/>
      <c r="T2287" s="2"/>
      <c r="U2287" s="9"/>
    </row>
    <row r="2288" spans="2:21" x14ac:dyDescent="0.35">
      <c r="B2288" s="9"/>
      <c r="C2288" s="2"/>
      <c r="D2288" s="2"/>
      <c r="I2288" s="9"/>
      <c r="J2288" s="2"/>
      <c r="L2288" s="9"/>
      <c r="M2288" s="2"/>
      <c r="N2288" s="9"/>
      <c r="P2288" s="3">
        <v>360.24124114</v>
      </c>
      <c r="S2288" s="9"/>
      <c r="T2288" s="2"/>
      <c r="U2288" s="9"/>
    </row>
    <row r="2289" spans="2:21" x14ac:dyDescent="0.35">
      <c r="B2289" s="9"/>
      <c r="C2289" s="2"/>
      <c r="D2289" s="2"/>
      <c r="I2289" s="9"/>
      <c r="J2289" s="2"/>
      <c r="L2289" s="9"/>
      <c r="M2289" s="2"/>
      <c r="N2289" s="9"/>
      <c r="P2289" s="3">
        <v>362.62187114</v>
      </c>
      <c r="S2289" s="9"/>
      <c r="T2289" s="2"/>
      <c r="U2289" s="9"/>
    </row>
    <row r="2290" spans="2:21" x14ac:dyDescent="0.35">
      <c r="B2290" s="9"/>
      <c r="C2290" s="2"/>
      <c r="D2290" s="2"/>
      <c r="I2290" s="9"/>
      <c r="J2290" s="2"/>
      <c r="L2290" s="9"/>
      <c r="M2290" s="2"/>
      <c r="N2290" s="9"/>
      <c r="P2290" s="3">
        <v>385.96880113999998</v>
      </c>
      <c r="S2290" s="9"/>
      <c r="T2290" s="2"/>
      <c r="U2290" s="9"/>
    </row>
    <row r="2291" spans="2:21" x14ac:dyDescent="0.35">
      <c r="B2291" s="9"/>
      <c r="C2291" s="2"/>
      <c r="D2291" s="2"/>
      <c r="I2291" s="9"/>
      <c r="J2291" s="2"/>
      <c r="L2291" s="9"/>
      <c r="M2291" s="2"/>
      <c r="N2291" s="9"/>
      <c r="P2291" s="3">
        <v>506.11845762000002</v>
      </c>
      <c r="S2291" s="9"/>
      <c r="T2291" s="2"/>
      <c r="U2291" s="9"/>
    </row>
    <row r="2292" spans="2:21" x14ac:dyDescent="0.35">
      <c r="B2292" s="9"/>
      <c r="C2292" s="2"/>
      <c r="D2292" s="2"/>
      <c r="I2292" s="9"/>
      <c r="J2292" s="2"/>
      <c r="L2292" s="9"/>
      <c r="M2292" s="2"/>
      <c r="N2292" s="9"/>
      <c r="P2292" s="3">
        <v>634.76042410000002</v>
      </c>
      <c r="S2292" s="9"/>
      <c r="T2292" s="2"/>
      <c r="U2292" s="9"/>
    </row>
    <row r="2293" spans="2:21" x14ac:dyDescent="0.35">
      <c r="B2293" s="9"/>
      <c r="C2293" s="2"/>
      <c r="D2293" s="2"/>
      <c r="I2293" s="9"/>
      <c r="J2293" s="2"/>
      <c r="L2293" s="9"/>
      <c r="M2293" s="2"/>
      <c r="N2293" s="9"/>
      <c r="P2293" s="3">
        <v>623.59741655000005</v>
      </c>
      <c r="S2293" s="9"/>
      <c r="T2293" s="2"/>
      <c r="U2293" s="9"/>
    </row>
    <row r="2294" spans="2:21" x14ac:dyDescent="0.35">
      <c r="B2294" s="9"/>
      <c r="C2294" s="2"/>
      <c r="D2294" s="2"/>
      <c r="I2294" s="9"/>
      <c r="J2294" s="2"/>
      <c r="L2294" s="9"/>
      <c r="M2294" s="2"/>
      <c r="N2294" s="9"/>
      <c r="P2294" s="3">
        <v>188.83741655</v>
      </c>
      <c r="S2294" s="9"/>
      <c r="T2294" s="2"/>
      <c r="U2294" s="9"/>
    </row>
    <row r="2295" spans="2:21" x14ac:dyDescent="0.35">
      <c r="B2295" s="9"/>
      <c r="C2295" s="2"/>
      <c r="D2295" s="2"/>
      <c r="I2295" s="9"/>
      <c r="J2295" s="2"/>
      <c r="L2295" s="9"/>
      <c r="M2295" s="2"/>
      <c r="N2295" s="9"/>
      <c r="P2295" s="3">
        <v>-245.92258344999999</v>
      </c>
      <c r="S2295" s="9"/>
      <c r="T2295" s="2"/>
      <c r="U2295" s="9"/>
    </row>
    <row r="2296" spans="2:21" x14ac:dyDescent="0.35">
      <c r="B2296" s="9"/>
      <c r="C2296" s="2"/>
      <c r="D2296" s="2"/>
      <c r="I2296" s="9"/>
      <c r="J2296" s="2"/>
      <c r="L2296" s="9"/>
      <c r="M2296" s="2"/>
      <c r="N2296" s="9"/>
      <c r="P2296" s="3">
        <v>-680.68258345000004</v>
      </c>
      <c r="S2296" s="9"/>
      <c r="T2296" s="2"/>
      <c r="U2296" s="9"/>
    </row>
    <row r="2297" spans="2:21" x14ac:dyDescent="0.35">
      <c r="B2297" s="9"/>
      <c r="C2297" s="2"/>
      <c r="D2297" s="2"/>
      <c r="I2297" s="9"/>
      <c r="J2297" s="2"/>
      <c r="L2297" s="9"/>
      <c r="M2297" s="2"/>
      <c r="N2297" s="9"/>
      <c r="P2297" s="3">
        <v>-1115.44258345</v>
      </c>
      <c r="S2297" s="9"/>
      <c r="T2297" s="2"/>
      <c r="U2297" s="9"/>
    </row>
    <row r="2298" spans="2:21" x14ac:dyDescent="0.35">
      <c r="B2298" s="9"/>
      <c r="C2298" s="2"/>
      <c r="D2298" s="2"/>
      <c r="I2298" s="9"/>
      <c r="J2298" s="2"/>
      <c r="L2298" s="9"/>
      <c r="M2298" s="2"/>
      <c r="N2298" s="9"/>
      <c r="P2298" s="3">
        <v>-1550.20258345</v>
      </c>
      <c r="S2298" s="9"/>
      <c r="T2298" s="2"/>
      <c r="U2298" s="9"/>
    </row>
    <row r="2299" spans="2:21" x14ac:dyDescent="0.35">
      <c r="B2299" s="9"/>
      <c r="C2299" s="2"/>
      <c r="D2299" s="2"/>
      <c r="I2299" s="9"/>
      <c r="J2299" s="2"/>
      <c r="L2299" s="9"/>
      <c r="M2299" s="2"/>
      <c r="N2299" s="9"/>
      <c r="P2299" s="3">
        <v>-1984.96258345</v>
      </c>
      <c r="S2299" s="9"/>
      <c r="T2299" s="2"/>
      <c r="U2299" s="9"/>
    </row>
    <row r="2300" spans="2:21" x14ac:dyDescent="0.35">
      <c r="B2300" s="9"/>
      <c r="C2300" s="2"/>
      <c r="D2300" s="2"/>
      <c r="I2300" s="9"/>
      <c r="J2300" s="2"/>
      <c r="L2300" s="9"/>
      <c r="M2300" s="2"/>
      <c r="N2300" s="9"/>
      <c r="P2300" s="3">
        <v>-1880.2386677300001</v>
      </c>
      <c r="S2300" s="9"/>
      <c r="T2300" s="2"/>
      <c r="U2300" s="9"/>
    </row>
    <row r="2301" spans="2:21" x14ac:dyDescent="0.35">
      <c r="B2301" s="9"/>
      <c r="C2301" s="2"/>
      <c r="D2301" s="2"/>
      <c r="I2301" s="9"/>
      <c r="J2301" s="2"/>
      <c r="L2301" s="9"/>
      <c r="M2301" s="2"/>
      <c r="N2301" s="9"/>
      <c r="P2301" s="3">
        <v>-1445.4786677300001</v>
      </c>
      <c r="S2301" s="9"/>
      <c r="T2301" s="2"/>
      <c r="U2301" s="9"/>
    </row>
    <row r="2302" spans="2:21" x14ac:dyDescent="0.35">
      <c r="B2302" s="9"/>
      <c r="C2302" s="2"/>
      <c r="D2302" s="2"/>
      <c r="I2302" s="9"/>
      <c r="J2302" s="2"/>
      <c r="L2302" s="9"/>
      <c r="M2302" s="2"/>
      <c r="N2302" s="9"/>
      <c r="P2302" s="3">
        <v>-1010.71866773</v>
      </c>
      <c r="S2302" s="9"/>
      <c r="T2302" s="2"/>
      <c r="U2302" s="9"/>
    </row>
    <row r="2303" spans="2:21" x14ac:dyDescent="0.35">
      <c r="B2303" s="9"/>
      <c r="C2303" s="2"/>
      <c r="D2303" s="2"/>
      <c r="I2303" s="9"/>
      <c r="J2303" s="2"/>
      <c r="L2303" s="9"/>
      <c r="M2303" s="2"/>
      <c r="N2303" s="9"/>
      <c r="P2303" s="3">
        <v>-575.95866773</v>
      </c>
      <c r="S2303" s="9"/>
      <c r="T2303" s="2"/>
      <c r="U2303" s="9"/>
    </row>
    <row r="2304" spans="2:21" x14ac:dyDescent="0.35">
      <c r="B2304" s="9"/>
      <c r="C2304" s="2"/>
      <c r="D2304" s="2"/>
      <c r="I2304" s="9"/>
      <c r="J2304" s="2"/>
      <c r="L2304" s="9"/>
      <c r="M2304" s="2"/>
      <c r="N2304" s="9"/>
      <c r="P2304" s="3">
        <v>-141.19866773000001</v>
      </c>
      <c r="S2304" s="9"/>
      <c r="T2304" s="2"/>
      <c r="U2304" s="9"/>
    </row>
    <row r="2305" spans="2:21" x14ac:dyDescent="0.35">
      <c r="B2305" s="9"/>
      <c r="C2305" s="2"/>
      <c r="D2305" s="2"/>
      <c r="I2305" s="9"/>
      <c r="J2305" s="2"/>
      <c r="L2305" s="9"/>
      <c r="M2305" s="2"/>
      <c r="N2305" s="9"/>
      <c r="P2305" s="3">
        <v>293.56133226999998</v>
      </c>
      <c r="S2305" s="9"/>
      <c r="T2305" s="2"/>
      <c r="U2305" s="9"/>
    </row>
    <row r="2306" spans="2:21" x14ac:dyDescent="0.35">
      <c r="B2306" s="9"/>
      <c r="C2306" s="2"/>
      <c r="D2306" s="2"/>
      <c r="I2306" s="9"/>
      <c r="J2306" s="2"/>
      <c r="L2306" s="9"/>
      <c r="M2306" s="2"/>
      <c r="N2306" s="9"/>
      <c r="P2306" s="3">
        <v>560.00567177000005</v>
      </c>
      <c r="S2306" s="9"/>
      <c r="T2306" s="2"/>
      <c r="U2306" s="9"/>
    </row>
    <row r="2307" spans="2:21" x14ac:dyDescent="0.35">
      <c r="B2307" s="9"/>
      <c r="C2307" s="2"/>
      <c r="D2307" s="2"/>
      <c r="I2307" s="9"/>
      <c r="J2307" s="2"/>
      <c r="L2307" s="9"/>
      <c r="M2307" s="2"/>
      <c r="N2307" s="9"/>
      <c r="P2307" s="3">
        <v>601.37722140000005</v>
      </c>
      <c r="S2307" s="9"/>
      <c r="T2307" s="2"/>
      <c r="U2307" s="9"/>
    </row>
    <row r="2308" spans="2:21" x14ac:dyDescent="0.35">
      <c r="B2308" s="9"/>
      <c r="C2308" s="2"/>
      <c r="D2308" s="2"/>
      <c r="I2308" s="9"/>
      <c r="J2308" s="2"/>
      <c r="L2308" s="9"/>
      <c r="M2308" s="2"/>
      <c r="N2308" s="9"/>
      <c r="P2308" s="3">
        <v>667.07058113999994</v>
      </c>
      <c r="S2308" s="9"/>
      <c r="T2308" s="2"/>
      <c r="U2308" s="9"/>
    </row>
    <row r="2309" spans="2:21" x14ac:dyDescent="0.35">
      <c r="B2309" s="9"/>
      <c r="C2309" s="2"/>
      <c r="D2309" s="2"/>
      <c r="I2309" s="9"/>
      <c r="J2309" s="2"/>
      <c r="L2309" s="9"/>
      <c r="M2309" s="2"/>
      <c r="N2309" s="9"/>
      <c r="P2309" s="3">
        <v>727.03860113999997</v>
      </c>
      <c r="S2309" s="9"/>
      <c r="T2309" s="2"/>
      <c r="U2309" s="9"/>
    </row>
    <row r="2310" spans="2:21" x14ac:dyDescent="0.35">
      <c r="B2310" s="9"/>
      <c r="C2310" s="2"/>
      <c r="D2310" s="2"/>
      <c r="I2310" s="9"/>
      <c r="J2310" s="2"/>
      <c r="L2310" s="9"/>
      <c r="M2310" s="2"/>
      <c r="N2310" s="9"/>
      <c r="P2310" s="3">
        <v>1076.6720316599999</v>
      </c>
      <c r="S2310" s="9"/>
      <c r="T2310" s="2"/>
      <c r="U2310" s="9"/>
    </row>
    <row r="2311" spans="2:21" x14ac:dyDescent="0.35">
      <c r="B2311" s="9"/>
      <c r="C2311" s="2"/>
      <c r="D2311" s="2"/>
      <c r="I2311" s="9"/>
      <c r="J2311" s="2"/>
      <c r="L2311" s="9"/>
      <c r="M2311" s="2"/>
      <c r="N2311" s="9"/>
      <c r="P2311" s="3">
        <v>1103.9083416599999</v>
      </c>
      <c r="S2311" s="9"/>
      <c r="T2311" s="2"/>
      <c r="U2311" s="9"/>
    </row>
    <row r="2312" spans="2:21" x14ac:dyDescent="0.35">
      <c r="B2312" s="9"/>
      <c r="C2312" s="2"/>
      <c r="D2312" s="2"/>
      <c r="I2312" s="9"/>
      <c r="J2312" s="2"/>
      <c r="L2312" s="9"/>
      <c r="M2312" s="2"/>
      <c r="N2312" s="9"/>
      <c r="P2312" s="3">
        <v>1113.8455016600001</v>
      </c>
      <c r="S2312" s="9"/>
      <c r="T2312" s="2"/>
      <c r="U2312" s="9"/>
    </row>
    <row r="2313" spans="2:21" x14ac:dyDescent="0.35">
      <c r="B2313" s="9"/>
      <c r="C2313" s="2"/>
      <c r="D2313" s="2"/>
      <c r="I2313" s="9"/>
      <c r="J2313" s="2"/>
      <c r="L2313" s="9"/>
      <c r="M2313" s="2"/>
      <c r="N2313" s="9"/>
      <c r="P2313" s="3">
        <v>1108.5283116600001</v>
      </c>
      <c r="S2313" s="9"/>
      <c r="T2313" s="2"/>
      <c r="U2313" s="9"/>
    </row>
    <row r="2314" spans="2:21" x14ac:dyDescent="0.35">
      <c r="B2314" s="9"/>
      <c r="C2314" s="2"/>
      <c r="D2314" s="2"/>
      <c r="I2314" s="9"/>
      <c r="J2314" s="2"/>
      <c r="L2314" s="9"/>
      <c r="M2314" s="2"/>
      <c r="N2314" s="9"/>
      <c r="P2314" s="3">
        <v>1074.9098116600001</v>
      </c>
      <c r="S2314" s="9"/>
      <c r="T2314" s="2"/>
      <c r="U2314" s="9"/>
    </row>
    <row r="2315" spans="2:21" x14ac:dyDescent="0.35">
      <c r="B2315" s="9"/>
      <c r="C2315" s="2"/>
      <c r="D2315" s="2"/>
      <c r="I2315" s="9"/>
      <c r="J2315" s="2"/>
      <c r="L2315" s="9"/>
      <c r="M2315" s="2"/>
      <c r="N2315" s="9"/>
      <c r="P2315" s="3">
        <v>997.42325166000001</v>
      </c>
      <c r="S2315" s="9"/>
      <c r="T2315" s="2"/>
      <c r="U2315" s="9"/>
    </row>
    <row r="2316" spans="2:21" x14ac:dyDescent="0.35">
      <c r="B2316" s="9"/>
      <c r="C2316" s="2"/>
      <c r="D2316" s="2"/>
      <c r="I2316" s="9"/>
      <c r="J2316" s="2"/>
      <c r="L2316" s="9"/>
      <c r="M2316" s="2"/>
      <c r="N2316" s="9"/>
      <c r="P2316" s="3">
        <v>900.61759166000002</v>
      </c>
      <c r="S2316" s="9"/>
      <c r="T2316" s="2"/>
      <c r="U2316" s="9"/>
    </row>
    <row r="2317" spans="2:21" x14ac:dyDescent="0.35">
      <c r="B2317" s="9"/>
      <c r="C2317" s="2"/>
      <c r="D2317" s="2"/>
      <c r="I2317" s="9"/>
      <c r="J2317" s="2"/>
      <c r="L2317" s="9"/>
      <c r="M2317" s="2"/>
      <c r="N2317" s="9"/>
      <c r="P2317" s="3">
        <v>594.54582166</v>
      </c>
      <c r="S2317" s="9"/>
      <c r="T2317" s="2"/>
      <c r="U2317" s="9"/>
    </row>
    <row r="2318" spans="2:21" x14ac:dyDescent="0.35">
      <c r="B2318" s="9"/>
      <c r="C2318" s="2"/>
      <c r="D2318" s="2"/>
      <c r="I2318" s="9"/>
      <c r="J2318" s="2"/>
      <c r="L2318" s="9"/>
      <c r="M2318" s="2"/>
      <c r="N2318" s="9"/>
      <c r="P2318" s="3">
        <v>159.78582166000001</v>
      </c>
      <c r="S2318" s="9"/>
      <c r="T2318" s="2"/>
      <c r="U2318" s="9"/>
    </row>
    <row r="2319" spans="2:21" x14ac:dyDescent="0.35">
      <c r="B2319" s="9"/>
      <c r="C2319" s="2"/>
      <c r="D2319" s="2"/>
      <c r="I2319" s="9"/>
      <c r="J2319" s="2"/>
      <c r="L2319" s="9"/>
      <c r="M2319" s="2"/>
      <c r="N2319" s="9"/>
      <c r="P2319" s="3">
        <v>-274.97417833999998</v>
      </c>
      <c r="S2319" s="9"/>
      <c r="T2319" s="2"/>
      <c r="U2319" s="9"/>
    </row>
    <row r="2320" spans="2:21" x14ac:dyDescent="0.35">
      <c r="B2320" s="9"/>
      <c r="C2320" s="2"/>
      <c r="D2320" s="2"/>
      <c r="I2320" s="9"/>
      <c r="J2320" s="2"/>
      <c r="L2320" s="9"/>
      <c r="M2320" s="2"/>
      <c r="N2320" s="9"/>
      <c r="P2320" s="3">
        <v>-709.73417833999997</v>
      </c>
      <c r="S2320" s="9"/>
      <c r="T2320" s="2"/>
      <c r="U2320" s="9"/>
    </row>
    <row r="2321" spans="2:21" x14ac:dyDescent="0.35">
      <c r="B2321" s="9"/>
      <c r="C2321" s="2"/>
      <c r="D2321" s="2"/>
      <c r="I2321" s="9"/>
      <c r="J2321" s="2"/>
      <c r="L2321" s="9"/>
      <c r="M2321" s="2"/>
      <c r="N2321" s="9"/>
      <c r="P2321" s="3">
        <v>-1144.49417834</v>
      </c>
      <c r="S2321" s="9"/>
      <c r="T2321" s="2"/>
      <c r="U2321" s="9"/>
    </row>
    <row r="2322" spans="2:21" x14ac:dyDescent="0.35">
      <c r="B2322" s="9"/>
      <c r="C2322" s="2"/>
      <c r="D2322" s="2"/>
      <c r="I2322" s="9"/>
      <c r="J2322" s="2"/>
      <c r="L2322" s="9"/>
      <c r="M2322" s="2"/>
      <c r="N2322" s="9"/>
      <c r="P2322" s="3">
        <v>-1579.25417834</v>
      </c>
      <c r="S2322" s="9"/>
      <c r="T2322" s="2"/>
      <c r="U2322" s="9"/>
    </row>
    <row r="2323" spans="2:21" x14ac:dyDescent="0.35">
      <c r="B2323" s="9"/>
      <c r="C2323" s="2"/>
      <c r="D2323" s="2"/>
      <c r="I2323" s="9"/>
      <c r="J2323" s="2"/>
      <c r="L2323" s="9"/>
      <c r="M2323" s="2"/>
      <c r="N2323" s="9"/>
      <c r="P2323" s="3">
        <v>-2014.0141783399999</v>
      </c>
      <c r="S2323" s="9"/>
      <c r="T2323" s="2"/>
      <c r="U2323" s="9"/>
    </row>
    <row r="2324" spans="2:21" x14ac:dyDescent="0.35">
      <c r="B2324" s="9"/>
      <c r="C2324" s="2"/>
      <c r="D2324" s="2"/>
      <c r="I2324" s="9"/>
      <c r="J2324" s="2"/>
      <c r="L2324" s="9"/>
      <c r="M2324" s="2"/>
      <c r="N2324" s="9"/>
      <c r="P2324" s="3">
        <v>-1923.98538895</v>
      </c>
      <c r="S2324" s="9"/>
      <c r="T2324" s="2"/>
      <c r="U2324" s="9"/>
    </row>
    <row r="2325" spans="2:21" x14ac:dyDescent="0.35">
      <c r="B2325" s="9"/>
      <c r="C2325" s="2"/>
      <c r="D2325" s="2"/>
      <c r="I2325" s="9"/>
      <c r="J2325" s="2"/>
      <c r="L2325" s="9"/>
      <c r="M2325" s="2"/>
      <c r="N2325" s="9"/>
      <c r="P2325" s="3">
        <v>-2180.3307712599999</v>
      </c>
      <c r="S2325" s="9"/>
      <c r="T2325" s="2"/>
      <c r="U2325" s="9"/>
    </row>
    <row r="2326" spans="2:21" x14ac:dyDescent="0.35">
      <c r="B2326" s="9"/>
      <c r="C2326" s="2"/>
      <c r="D2326" s="2"/>
      <c r="I2326" s="9"/>
      <c r="J2326" s="2"/>
      <c r="L2326" s="9"/>
      <c r="M2326" s="2"/>
      <c r="N2326" s="9"/>
      <c r="P2326" s="3">
        <v>-2615.0907712600001</v>
      </c>
      <c r="S2326" s="9"/>
      <c r="T2326" s="2"/>
      <c r="U2326" s="9"/>
    </row>
    <row r="2327" spans="2:21" x14ac:dyDescent="0.35">
      <c r="B2327" s="9"/>
      <c r="C2327" s="2"/>
      <c r="D2327" s="2"/>
      <c r="I2327" s="9"/>
      <c r="J2327" s="2"/>
      <c r="L2327" s="9"/>
      <c r="M2327" s="2"/>
      <c r="N2327" s="9"/>
      <c r="P2327" s="3">
        <v>-2860.169492</v>
      </c>
      <c r="S2327" s="9"/>
      <c r="T2327" s="2"/>
      <c r="U2327" s="9"/>
    </row>
    <row r="2328" spans="2:21" x14ac:dyDescent="0.35">
      <c r="B2328" s="9"/>
      <c r="C2328" s="2"/>
      <c r="D2328" s="2"/>
      <c r="I2328" s="9"/>
      <c r="J2328" s="2"/>
      <c r="L2328" s="9"/>
      <c r="M2328" s="2"/>
      <c r="N2328" s="9"/>
      <c r="P2328" s="3">
        <v>-2860.169492</v>
      </c>
      <c r="S2328" s="9"/>
      <c r="T2328" s="2"/>
      <c r="U2328" s="9"/>
    </row>
    <row r="2329" spans="2:21" x14ac:dyDescent="0.35">
      <c r="B2329" s="9"/>
      <c r="C2329" s="2"/>
      <c r="D2329" s="2"/>
      <c r="I2329" s="9"/>
      <c r="J2329" s="2"/>
      <c r="L2329" s="9"/>
      <c r="M2329" s="2"/>
      <c r="N2329" s="9"/>
      <c r="P2329" s="3">
        <v>-2860.169492</v>
      </c>
      <c r="S2329" s="9"/>
      <c r="T2329" s="2"/>
      <c r="U2329" s="9"/>
    </row>
    <row r="2330" spans="2:21" x14ac:dyDescent="0.35">
      <c r="B2330" s="9"/>
      <c r="C2330" s="2"/>
      <c r="D2330" s="2"/>
      <c r="I2330" s="9"/>
      <c r="J2330" s="2"/>
      <c r="L2330" s="9"/>
      <c r="M2330" s="2"/>
      <c r="N2330" s="9"/>
      <c r="P2330" s="3">
        <v>-2860.169492</v>
      </c>
      <c r="S2330" s="9"/>
      <c r="T2330" s="2"/>
      <c r="U2330" s="9"/>
    </row>
    <row r="2331" spans="2:21" x14ac:dyDescent="0.35">
      <c r="B2331" s="9"/>
      <c r="C2331" s="2"/>
      <c r="D2331" s="2"/>
      <c r="I2331" s="9"/>
      <c r="J2331" s="2"/>
      <c r="L2331" s="9"/>
      <c r="M2331" s="2"/>
      <c r="N2331" s="9"/>
      <c r="P2331" s="3">
        <v>-2860.169492</v>
      </c>
      <c r="S2331" s="9"/>
      <c r="T2331" s="2"/>
      <c r="U2331" s="9"/>
    </row>
    <row r="2332" spans="2:21" x14ac:dyDescent="0.35">
      <c r="B2332" s="9"/>
      <c r="C2332" s="2"/>
      <c r="D2332" s="2"/>
      <c r="I2332" s="9"/>
      <c r="J2332" s="2"/>
      <c r="L2332" s="9"/>
      <c r="M2332" s="2"/>
      <c r="N2332" s="9"/>
      <c r="P2332" s="3">
        <v>-2830.8689916200001</v>
      </c>
      <c r="S2332" s="9"/>
      <c r="T2332" s="2"/>
      <c r="U2332" s="9"/>
    </row>
    <row r="2333" spans="2:21" x14ac:dyDescent="0.35">
      <c r="B2333" s="9"/>
      <c r="C2333" s="2"/>
      <c r="D2333" s="2"/>
      <c r="I2333" s="9"/>
      <c r="J2333" s="2"/>
      <c r="L2333" s="9"/>
      <c r="M2333" s="2"/>
      <c r="N2333" s="9"/>
      <c r="P2333" s="3">
        <v>-2396.1089916199999</v>
      </c>
      <c r="S2333" s="9"/>
      <c r="T2333" s="2"/>
      <c r="U2333" s="9"/>
    </row>
    <row r="2334" spans="2:21" x14ac:dyDescent="0.35">
      <c r="B2334" s="9"/>
      <c r="C2334" s="2"/>
      <c r="D2334" s="2"/>
      <c r="I2334" s="9"/>
      <c r="J2334" s="2"/>
      <c r="L2334" s="9"/>
      <c r="M2334" s="2"/>
      <c r="N2334" s="9"/>
      <c r="P2334" s="3">
        <v>-1961.3489916200001</v>
      </c>
      <c r="S2334" s="9"/>
      <c r="T2334" s="2"/>
      <c r="U2334" s="9"/>
    </row>
    <row r="2335" spans="2:21" x14ac:dyDescent="0.35">
      <c r="B2335" s="9"/>
      <c r="C2335" s="2"/>
      <c r="D2335" s="2"/>
      <c r="I2335" s="9"/>
      <c r="J2335" s="2"/>
      <c r="L2335" s="9"/>
      <c r="M2335" s="2"/>
      <c r="N2335" s="9"/>
      <c r="P2335" s="3">
        <v>-1887.68791162</v>
      </c>
      <c r="S2335" s="9"/>
      <c r="T2335" s="2"/>
      <c r="U2335" s="9"/>
    </row>
    <row r="2336" spans="2:21" x14ac:dyDescent="0.35">
      <c r="B2336" s="9"/>
      <c r="C2336" s="2"/>
      <c r="D2336" s="2"/>
      <c r="I2336" s="9"/>
      <c r="J2336" s="2"/>
      <c r="L2336" s="9"/>
      <c r="M2336" s="2"/>
      <c r="N2336" s="9"/>
      <c r="P2336" s="3">
        <v>-2099.4560616200001</v>
      </c>
      <c r="S2336" s="9"/>
      <c r="T2336" s="2"/>
      <c r="U2336" s="9"/>
    </row>
    <row r="2337" spans="2:21" x14ac:dyDescent="0.35">
      <c r="B2337" s="9"/>
      <c r="C2337" s="2"/>
      <c r="D2337" s="2"/>
      <c r="I2337" s="9"/>
      <c r="J2337" s="2"/>
      <c r="L2337" s="9"/>
      <c r="M2337" s="2"/>
      <c r="N2337" s="9"/>
      <c r="P2337" s="3">
        <v>-2333.6545316199999</v>
      </c>
      <c r="S2337" s="9"/>
      <c r="T2337" s="2"/>
      <c r="U2337" s="9"/>
    </row>
    <row r="2338" spans="2:21" x14ac:dyDescent="0.35">
      <c r="B2338" s="9"/>
      <c r="C2338" s="2"/>
      <c r="D2338" s="2"/>
      <c r="I2338" s="9"/>
      <c r="J2338" s="2"/>
      <c r="L2338" s="9"/>
      <c r="M2338" s="2"/>
      <c r="N2338" s="9"/>
      <c r="P2338" s="3">
        <v>-2358.44134162</v>
      </c>
      <c r="S2338" s="9"/>
      <c r="T2338" s="2"/>
      <c r="U2338" s="9"/>
    </row>
    <row r="2339" spans="2:21" x14ac:dyDescent="0.35">
      <c r="B2339" s="9"/>
      <c r="C2339" s="2"/>
      <c r="D2339" s="2"/>
      <c r="I2339" s="9"/>
      <c r="J2339" s="2"/>
      <c r="L2339" s="9"/>
      <c r="M2339" s="2"/>
      <c r="N2339" s="9"/>
      <c r="P2339" s="3">
        <v>-2193.7114016199998</v>
      </c>
      <c r="S2339" s="9"/>
      <c r="T2339" s="2"/>
      <c r="U2339" s="9"/>
    </row>
    <row r="2340" spans="2:21" x14ac:dyDescent="0.35">
      <c r="B2340" s="9"/>
      <c r="C2340" s="2"/>
      <c r="D2340" s="2"/>
      <c r="I2340" s="9"/>
      <c r="J2340" s="2"/>
      <c r="L2340" s="9"/>
      <c r="M2340" s="2"/>
      <c r="N2340" s="9"/>
      <c r="P2340" s="3">
        <v>-1965.5649716200001</v>
      </c>
      <c r="S2340" s="9"/>
      <c r="T2340" s="2"/>
      <c r="U2340" s="9"/>
    </row>
    <row r="2341" spans="2:21" x14ac:dyDescent="0.35">
      <c r="B2341" s="9"/>
      <c r="C2341" s="2"/>
      <c r="D2341" s="2"/>
      <c r="I2341" s="9"/>
      <c r="J2341" s="2"/>
      <c r="L2341" s="9"/>
      <c r="M2341" s="2"/>
      <c r="N2341" s="9"/>
      <c r="P2341" s="3">
        <v>-1865.0559516200001</v>
      </c>
      <c r="S2341" s="9"/>
      <c r="T2341" s="2"/>
      <c r="U2341" s="9"/>
    </row>
    <row r="2342" spans="2:21" x14ac:dyDescent="0.35">
      <c r="B2342" s="9"/>
      <c r="C2342" s="2"/>
      <c r="D2342" s="2"/>
      <c r="I2342" s="9"/>
      <c r="J2342" s="2"/>
      <c r="L2342" s="9"/>
      <c r="M2342" s="2"/>
      <c r="N2342" s="9"/>
      <c r="P2342" s="3">
        <v>-2299.8159516199999</v>
      </c>
      <c r="S2342" s="9"/>
      <c r="T2342" s="2"/>
      <c r="U2342" s="9"/>
    </row>
    <row r="2343" spans="2:21" x14ac:dyDescent="0.35">
      <c r="B2343" s="9"/>
      <c r="C2343" s="2"/>
      <c r="D2343" s="2"/>
      <c r="I2343" s="9"/>
      <c r="J2343" s="2"/>
      <c r="L2343" s="9"/>
      <c r="M2343" s="2"/>
      <c r="N2343" s="9"/>
      <c r="P2343" s="3">
        <v>-1865.0559516200001</v>
      </c>
      <c r="S2343" s="9"/>
      <c r="T2343" s="2"/>
      <c r="U2343" s="9"/>
    </row>
    <row r="2344" spans="2:21" x14ac:dyDescent="0.35">
      <c r="B2344" s="9"/>
      <c r="C2344" s="2"/>
      <c r="D2344" s="2"/>
      <c r="I2344" s="9"/>
      <c r="J2344" s="2"/>
      <c r="L2344" s="9"/>
      <c r="M2344" s="2"/>
      <c r="N2344" s="9"/>
      <c r="P2344" s="3">
        <v>-1430.2959516200001</v>
      </c>
      <c r="S2344" s="9"/>
      <c r="T2344" s="2"/>
      <c r="U2344" s="9"/>
    </row>
    <row r="2345" spans="2:21" x14ac:dyDescent="0.35">
      <c r="B2345" s="9"/>
      <c r="C2345" s="2"/>
      <c r="D2345" s="2"/>
      <c r="I2345" s="9"/>
      <c r="J2345" s="2"/>
      <c r="L2345" s="9"/>
      <c r="M2345" s="2"/>
      <c r="N2345" s="9"/>
      <c r="P2345" s="3">
        <v>-995.53595161999999</v>
      </c>
      <c r="S2345" s="9"/>
      <c r="T2345" s="2"/>
      <c r="U2345" s="9"/>
    </row>
    <row r="2346" spans="2:21" x14ac:dyDescent="0.35">
      <c r="B2346" s="9"/>
      <c r="C2346" s="2"/>
      <c r="D2346" s="2"/>
      <c r="I2346" s="9"/>
      <c r="J2346" s="2"/>
      <c r="L2346" s="9"/>
      <c r="M2346" s="2"/>
      <c r="N2346" s="9"/>
      <c r="P2346" s="3">
        <v>-560.77595162</v>
      </c>
      <c r="S2346" s="9"/>
      <c r="T2346" s="2"/>
      <c r="U2346" s="9"/>
    </row>
    <row r="2347" spans="2:21" x14ac:dyDescent="0.35">
      <c r="B2347" s="9"/>
      <c r="C2347" s="2"/>
      <c r="D2347" s="2"/>
      <c r="I2347" s="9"/>
      <c r="J2347" s="2"/>
      <c r="L2347" s="9"/>
      <c r="M2347" s="2"/>
      <c r="N2347" s="9"/>
      <c r="P2347" s="3">
        <v>-126.01595162</v>
      </c>
      <c r="S2347" s="9"/>
      <c r="T2347" s="2"/>
      <c r="U2347" s="9"/>
    </row>
    <row r="2348" spans="2:21" x14ac:dyDescent="0.35">
      <c r="B2348" s="9"/>
      <c r="C2348" s="2"/>
      <c r="D2348" s="2"/>
      <c r="I2348" s="9"/>
      <c r="J2348" s="2"/>
      <c r="L2348" s="9"/>
      <c r="M2348" s="2"/>
      <c r="N2348" s="9"/>
      <c r="P2348" s="3">
        <v>0</v>
      </c>
      <c r="S2348" s="9"/>
      <c r="T2348" s="2"/>
      <c r="U2348" s="9"/>
    </row>
    <row r="2349" spans="2:21" x14ac:dyDescent="0.35">
      <c r="B2349" s="9"/>
      <c r="C2349" s="2"/>
      <c r="D2349" s="2"/>
      <c r="I2349" s="9"/>
      <c r="J2349" s="2"/>
      <c r="L2349" s="9"/>
      <c r="M2349" s="2"/>
      <c r="N2349" s="9"/>
      <c r="P2349" s="3">
        <v>0</v>
      </c>
      <c r="S2349" s="9"/>
      <c r="T2349" s="2"/>
      <c r="U2349" s="9"/>
    </row>
    <row r="2350" spans="2:21" x14ac:dyDescent="0.35">
      <c r="B2350" s="9"/>
      <c r="C2350" s="2"/>
      <c r="D2350" s="2"/>
      <c r="I2350" s="9"/>
      <c r="J2350" s="2"/>
      <c r="L2350" s="9"/>
      <c r="M2350" s="2"/>
      <c r="N2350" s="9"/>
      <c r="P2350" s="3">
        <v>0</v>
      </c>
      <c r="S2350" s="9"/>
      <c r="T2350" s="2"/>
      <c r="U2350" s="9"/>
    </row>
    <row r="2351" spans="2:21" x14ac:dyDescent="0.35">
      <c r="B2351" s="9"/>
      <c r="C2351" s="2"/>
      <c r="D2351" s="2"/>
      <c r="I2351" s="9"/>
      <c r="J2351" s="2"/>
      <c r="L2351" s="9"/>
      <c r="M2351" s="2"/>
      <c r="N2351" s="9"/>
      <c r="P2351" s="3">
        <v>0</v>
      </c>
      <c r="S2351" s="9"/>
      <c r="T2351" s="2"/>
      <c r="U2351" s="9"/>
    </row>
    <row r="2352" spans="2:21" x14ac:dyDescent="0.35">
      <c r="B2352" s="9"/>
      <c r="C2352" s="2"/>
      <c r="D2352" s="2"/>
      <c r="I2352" s="9"/>
      <c r="J2352" s="2"/>
      <c r="L2352" s="9"/>
      <c r="M2352" s="2"/>
      <c r="N2352" s="9"/>
      <c r="P2352" s="3">
        <v>0</v>
      </c>
      <c r="S2352" s="9"/>
      <c r="T2352" s="2"/>
      <c r="U2352" s="9"/>
    </row>
    <row r="2353" spans="2:21" x14ac:dyDescent="0.35">
      <c r="B2353" s="9"/>
      <c r="C2353" s="2"/>
      <c r="D2353" s="2"/>
      <c r="I2353" s="9"/>
      <c r="J2353" s="2"/>
      <c r="L2353" s="9"/>
      <c r="M2353" s="2"/>
      <c r="N2353" s="9"/>
      <c r="P2353" s="3">
        <v>0</v>
      </c>
      <c r="S2353" s="9"/>
      <c r="T2353" s="2"/>
      <c r="U2353" s="9"/>
    </row>
    <row r="2354" spans="2:21" x14ac:dyDescent="0.35">
      <c r="B2354" s="9"/>
      <c r="C2354" s="2"/>
      <c r="D2354" s="2"/>
      <c r="I2354" s="9"/>
      <c r="J2354" s="2"/>
      <c r="L2354" s="9"/>
      <c r="M2354" s="2"/>
      <c r="N2354" s="9"/>
      <c r="P2354" s="3">
        <v>0</v>
      </c>
      <c r="S2354" s="9"/>
      <c r="T2354" s="2"/>
      <c r="U2354" s="9"/>
    </row>
    <row r="2355" spans="2:21" x14ac:dyDescent="0.35">
      <c r="B2355" s="9"/>
      <c r="C2355" s="2"/>
      <c r="D2355" s="2"/>
      <c r="I2355" s="9"/>
      <c r="J2355" s="2"/>
      <c r="L2355" s="9"/>
      <c r="M2355" s="2"/>
      <c r="N2355" s="9"/>
      <c r="P2355" s="3">
        <v>0</v>
      </c>
      <c r="S2355" s="9"/>
      <c r="T2355" s="2"/>
      <c r="U2355" s="9"/>
    </row>
    <row r="2356" spans="2:21" x14ac:dyDescent="0.35">
      <c r="B2356" s="9"/>
      <c r="C2356" s="2"/>
      <c r="D2356" s="2"/>
      <c r="I2356" s="9"/>
      <c r="J2356" s="2"/>
      <c r="L2356" s="9"/>
      <c r="M2356" s="2"/>
      <c r="N2356" s="9"/>
      <c r="P2356" s="3">
        <v>0</v>
      </c>
      <c r="S2356" s="9"/>
      <c r="T2356" s="2"/>
      <c r="U2356" s="9"/>
    </row>
    <row r="2357" spans="2:21" x14ac:dyDescent="0.35">
      <c r="B2357" s="9"/>
      <c r="C2357" s="2"/>
      <c r="D2357" s="2"/>
      <c r="I2357" s="9"/>
      <c r="J2357" s="2"/>
      <c r="L2357" s="9"/>
      <c r="M2357" s="2"/>
      <c r="N2357" s="9"/>
      <c r="P2357" s="3">
        <v>0</v>
      </c>
      <c r="S2357" s="9"/>
      <c r="T2357" s="2"/>
      <c r="U2357" s="9"/>
    </row>
    <row r="2358" spans="2:21" x14ac:dyDescent="0.35">
      <c r="B2358" s="9"/>
      <c r="C2358" s="2"/>
      <c r="D2358" s="2"/>
      <c r="I2358" s="9"/>
      <c r="J2358" s="2"/>
      <c r="L2358" s="9"/>
      <c r="M2358" s="2"/>
      <c r="N2358" s="9"/>
      <c r="P2358" s="3">
        <v>0</v>
      </c>
      <c r="S2358" s="9"/>
      <c r="T2358" s="2"/>
      <c r="U2358" s="9"/>
    </row>
    <row r="2359" spans="2:21" x14ac:dyDescent="0.35">
      <c r="B2359" s="9"/>
      <c r="C2359" s="2"/>
      <c r="D2359" s="2"/>
      <c r="I2359" s="9"/>
      <c r="J2359" s="2"/>
      <c r="L2359" s="9"/>
      <c r="M2359" s="2"/>
      <c r="N2359" s="9"/>
      <c r="P2359" s="3">
        <v>0</v>
      </c>
      <c r="S2359" s="9"/>
      <c r="T2359" s="2"/>
      <c r="U2359" s="9"/>
    </row>
    <row r="2360" spans="2:21" x14ac:dyDescent="0.35">
      <c r="B2360" s="9"/>
      <c r="C2360" s="2"/>
      <c r="D2360" s="2"/>
      <c r="I2360" s="9"/>
      <c r="J2360" s="2"/>
      <c r="L2360" s="9"/>
      <c r="M2360" s="2"/>
      <c r="N2360" s="9"/>
      <c r="P2360" s="3">
        <v>0</v>
      </c>
      <c r="S2360" s="9"/>
      <c r="T2360" s="2"/>
      <c r="U2360" s="9"/>
    </row>
    <row r="2361" spans="2:21" x14ac:dyDescent="0.35">
      <c r="B2361" s="9"/>
      <c r="C2361" s="2"/>
      <c r="D2361" s="2"/>
      <c r="I2361" s="9"/>
      <c r="J2361" s="2"/>
      <c r="L2361" s="9"/>
      <c r="M2361" s="2"/>
      <c r="N2361" s="9"/>
      <c r="P2361" s="3">
        <v>0</v>
      </c>
      <c r="S2361" s="9"/>
      <c r="T2361" s="2"/>
      <c r="U2361" s="9"/>
    </row>
    <row r="2362" spans="2:21" x14ac:dyDescent="0.35">
      <c r="B2362" s="9"/>
      <c r="C2362" s="2"/>
      <c r="D2362" s="2"/>
      <c r="I2362" s="9"/>
      <c r="J2362" s="2"/>
      <c r="L2362" s="9"/>
      <c r="M2362" s="2"/>
      <c r="N2362" s="9"/>
      <c r="P2362" s="3">
        <v>0</v>
      </c>
      <c r="S2362" s="9"/>
      <c r="T2362" s="2"/>
      <c r="U2362" s="9"/>
    </row>
    <row r="2363" spans="2:21" x14ac:dyDescent="0.35">
      <c r="B2363" s="9"/>
      <c r="C2363" s="2"/>
      <c r="D2363" s="2"/>
      <c r="I2363" s="9"/>
      <c r="J2363" s="2"/>
      <c r="L2363" s="9"/>
      <c r="M2363" s="2"/>
      <c r="N2363" s="9"/>
      <c r="P2363" s="3">
        <v>0</v>
      </c>
      <c r="S2363" s="9"/>
      <c r="T2363" s="2"/>
      <c r="U2363" s="9"/>
    </row>
    <row r="2364" spans="2:21" x14ac:dyDescent="0.35">
      <c r="B2364" s="9"/>
      <c r="C2364" s="2"/>
      <c r="D2364" s="2"/>
      <c r="I2364" s="9"/>
      <c r="J2364" s="2"/>
      <c r="L2364" s="9"/>
      <c r="M2364" s="2"/>
      <c r="N2364" s="9"/>
      <c r="P2364" s="3">
        <v>0</v>
      </c>
      <c r="S2364" s="9"/>
      <c r="T2364" s="2"/>
      <c r="U2364" s="9"/>
    </row>
    <row r="2365" spans="2:21" x14ac:dyDescent="0.35">
      <c r="B2365" s="9"/>
      <c r="C2365" s="2"/>
      <c r="D2365" s="2"/>
      <c r="I2365" s="9"/>
      <c r="J2365" s="2"/>
      <c r="L2365" s="9"/>
      <c r="M2365" s="2"/>
      <c r="N2365" s="9"/>
      <c r="P2365" s="3">
        <v>0</v>
      </c>
      <c r="S2365" s="9"/>
      <c r="T2365" s="2"/>
      <c r="U2365" s="9"/>
    </row>
    <row r="2366" spans="2:21" x14ac:dyDescent="0.35">
      <c r="B2366" s="9"/>
      <c r="C2366" s="2"/>
      <c r="D2366" s="2"/>
      <c r="I2366" s="9"/>
      <c r="J2366" s="2"/>
      <c r="L2366" s="9"/>
      <c r="M2366" s="2"/>
      <c r="N2366" s="9"/>
      <c r="P2366" s="3">
        <v>0</v>
      </c>
      <c r="S2366" s="9"/>
      <c r="T2366" s="2"/>
      <c r="U2366" s="9"/>
    </row>
    <row r="2367" spans="2:21" x14ac:dyDescent="0.35">
      <c r="B2367" s="9"/>
      <c r="C2367" s="2"/>
      <c r="D2367" s="2"/>
      <c r="I2367" s="9"/>
      <c r="J2367" s="2"/>
      <c r="L2367" s="9"/>
      <c r="M2367" s="2"/>
      <c r="N2367" s="9"/>
      <c r="P2367" s="3">
        <v>0</v>
      </c>
      <c r="S2367" s="9"/>
      <c r="T2367" s="2"/>
      <c r="U2367" s="9"/>
    </row>
    <row r="2368" spans="2:21" x14ac:dyDescent="0.35">
      <c r="B2368" s="9"/>
      <c r="C2368" s="2"/>
      <c r="D2368" s="2"/>
      <c r="I2368" s="9"/>
      <c r="J2368" s="2"/>
      <c r="L2368" s="9"/>
      <c r="M2368" s="2"/>
      <c r="N2368" s="9"/>
      <c r="P2368" s="3">
        <v>0</v>
      </c>
      <c r="S2368" s="9"/>
      <c r="T2368" s="2"/>
      <c r="U2368" s="9"/>
    </row>
    <row r="2369" spans="2:21" x14ac:dyDescent="0.35">
      <c r="B2369" s="9"/>
      <c r="C2369" s="2"/>
      <c r="D2369" s="2"/>
      <c r="I2369" s="9"/>
      <c r="J2369" s="2"/>
      <c r="L2369" s="9"/>
      <c r="M2369" s="2"/>
      <c r="N2369" s="9"/>
      <c r="P2369" s="3">
        <v>0</v>
      </c>
      <c r="S2369" s="9"/>
      <c r="T2369" s="2"/>
      <c r="U2369" s="9"/>
    </row>
    <row r="2370" spans="2:21" x14ac:dyDescent="0.35">
      <c r="B2370" s="9"/>
      <c r="C2370" s="2"/>
      <c r="D2370" s="2"/>
      <c r="I2370" s="9"/>
      <c r="J2370" s="2"/>
      <c r="L2370" s="9"/>
      <c r="M2370" s="2"/>
      <c r="N2370" s="9"/>
      <c r="P2370" s="3">
        <v>0</v>
      </c>
      <c r="S2370" s="9"/>
      <c r="T2370" s="2"/>
      <c r="U2370" s="9"/>
    </row>
    <row r="2371" spans="2:21" x14ac:dyDescent="0.35">
      <c r="B2371" s="9"/>
      <c r="C2371" s="2"/>
      <c r="D2371" s="2"/>
      <c r="I2371" s="9"/>
      <c r="J2371" s="2"/>
      <c r="L2371" s="9"/>
      <c r="M2371" s="2"/>
      <c r="N2371" s="9"/>
      <c r="P2371" s="3">
        <v>0</v>
      </c>
      <c r="S2371" s="9"/>
      <c r="T2371" s="2"/>
      <c r="U2371" s="9"/>
    </row>
    <row r="2372" spans="2:21" x14ac:dyDescent="0.35">
      <c r="B2372" s="9"/>
      <c r="C2372" s="2"/>
      <c r="D2372" s="2"/>
      <c r="I2372" s="9"/>
      <c r="J2372" s="2"/>
      <c r="L2372" s="9"/>
      <c r="M2372" s="2"/>
      <c r="N2372" s="9"/>
      <c r="P2372" s="3">
        <v>0</v>
      </c>
      <c r="S2372" s="9"/>
      <c r="T2372" s="2"/>
      <c r="U2372" s="9"/>
    </row>
    <row r="2373" spans="2:21" x14ac:dyDescent="0.35">
      <c r="B2373" s="9"/>
      <c r="C2373" s="2"/>
      <c r="D2373" s="2"/>
      <c r="I2373" s="9"/>
      <c r="J2373" s="2"/>
      <c r="L2373" s="9"/>
      <c r="M2373" s="2"/>
      <c r="N2373" s="9"/>
      <c r="P2373" s="3">
        <v>0</v>
      </c>
      <c r="S2373" s="9"/>
      <c r="T2373" s="2"/>
      <c r="U2373" s="9"/>
    </row>
    <row r="2374" spans="2:21" x14ac:dyDescent="0.35">
      <c r="B2374" s="9"/>
      <c r="C2374" s="2"/>
      <c r="D2374" s="2"/>
      <c r="I2374" s="9"/>
      <c r="J2374" s="2"/>
      <c r="L2374" s="9"/>
      <c r="M2374" s="2"/>
      <c r="N2374" s="9"/>
      <c r="P2374" s="3">
        <v>0</v>
      </c>
      <c r="S2374" s="9"/>
      <c r="T2374" s="2"/>
      <c r="U2374" s="9"/>
    </row>
    <row r="2375" spans="2:21" x14ac:dyDescent="0.35">
      <c r="B2375" s="9"/>
      <c r="C2375" s="2"/>
      <c r="D2375" s="2"/>
      <c r="I2375" s="9"/>
      <c r="J2375" s="2"/>
      <c r="L2375" s="9"/>
      <c r="M2375" s="2"/>
      <c r="N2375" s="9"/>
      <c r="P2375" s="3">
        <v>0</v>
      </c>
      <c r="S2375" s="9"/>
      <c r="T2375" s="2"/>
      <c r="U2375" s="9"/>
    </row>
    <row r="2376" spans="2:21" x14ac:dyDescent="0.35">
      <c r="B2376" s="9"/>
      <c r="C2376" s="2"/>
      <c r="D2376" s="2"/>
      <c r="I2376" s="9"/>
      <c r="J2376" s="2"/>
      <c r="L2376" s="9"/>
      <c r="M2376" s="2"/>
      <c r="N2376" s="9"/>
      <c r="P2376" s="3">
        <v>0</v>
      </c>
      <c r="S2376" s="9"/>
      <c r="T2376" s="2"/>
      <c r="U2376" s="9"/>
    </row>
    <row r="2377" spans="2:21" x14ac:dyDescent="0.35">
      <c r="B2377" s="9"/>
      <c r="C2377" s="2"/>
      <c r="D2377" s="2"/>
      <c r="I2377" s="9"/>
      <c r="J2377" s="2"/>
      <c r="L2377" s="9"/>
      <c r="M2377" s="2"/>
      <c r="N2377" s="9"/>
      <c r="P2377" s="3">
        <v>0</v>
      </c>
      <c r="S2377" s="9"/>
      <c r="T2377" s="2"/>
      <c r="U2377" s="9"/>
    </row>
    <row r="2378" spans="2:21" x14ac:dyDescent="0.35">
      <c r="B2378" s="9"/>
      <c r="C2378" s="2"/>
      <c r="D2378" s="2"/>
      <c r="I2378" s="9"/>
      <c r="J2378" s="2"/>
      <c r="L2378" s="9"/>
      <c r="M2378" s="2"/>
      <c r="N2378" s="9"/>
      <c r="P2378" s="3">
        <v>0</v>
      </c>
      <c r="S2378" s="9"/>
      <c r="T2378" s="2"/>
      <c r="U2378" s="9"/>
    </row>
    <row r="2379" spans="2:21" x14ac:dyDescent="0.35">
      <c r="B2379" s="9"/>
      <c r="C2379" s="2"/>
      <c r="D2379" s="2"/>
      <c r="I2379" s="9"/>
      <c r="J2379" s="2"/>
      <c r="L2379" s="9"/>
      <c r="M2379" s="2"/>
      <c r="N2379" s="9"/>
      <c r="P2379" s="3">
        <v>0</v>
      </c>
      <c r="S2379" s="9"/>
      <c r="T2379" s="2"/>
      <c r="U2379" s="9"/>
    </row>
    <row r="2380" spans="2:21" x14ac:dyDescent="0.35">
      <c r="B2380" s="9"/>
      <c r="C2380" s="2"/>
      <c r="D2380" s="2"/>
      <c r="I2380" s="9"/>
      <c r="J2380" s="2"/>
      <c r="L2380" s="9"/>
      <c r="M2380" s="2"/>
      <c r="N2380" s="9"/>
      <c r="P2380" s="3">
        <v>0</v>
      </c>
      <c r="S2380" s="9"/>
      <c r="T2380" s="2"/>
      <c r="U2380" s="9"/>
    </row>
    <row r="2381" spans="2:21" x14ac:dyDescent="0.35">
      <c r="B2381" s="9"/>
      <c r="C2381" s="2"/>
      <c r="D2381" s="2"/>
      <c r="I2381" s="9"/>
      <c r="J2381" s="2"/>
      <c r="L2381" s="9"/>
      <c r="M2381" s="2"/>
      <c r="N2381" s="9"/>
      <c r="P2381" s="3">
        <v>0</v>
      </c>
      <c r="S2381" s="9"/>
      <c r="T2381" s="2"/>
      <c r="U2381" s="9"/>
    </row>
    <row r="2382" spans="2:21" x14ac:dyDescent="0.35">
      <c r="B2382" s="9"/>
      <c r="C2382" s="2"/>
      <c r="D2382" s="2"/>
      <c r="I2382" s="9"/>
      <c r="J2382" s="2"/>
      <c r="L2382" s="9"/>
      <c r="M2382" s="2"/>
      <c r="N2382" s="9"/>
      <c r="P2382" s="3">
        <v>0</v>
      </c>
      <c r="S2382" s="9"/>
      <c r="T2382" s="2"/>
      <c r="U2382" s="9"/>
    </row>
    <row r="2383" spans="2:21" x14ac:dyDescent="0.35">
      <c r="B2383" s="9"/>
      <c r="C2383" s="2"/>
      <c r="D2383" s="2"/>
      <c r="I2383" s="9"/>
      <c r="J2383" s="2"/>
      <c r="L2383" s="9"/>
      <c r="M2383" s="2"/>
      <c r="N2383" s="9"/>
      <c r="P2383" s="3">
        <v>0</v>
      </c>
      <c r="S2383" s="9"/>
      <c r="T2383" s="2"/>
      <c r="U2383" s="9"/>
    </row>
    <row r="2384" spans="2:21" x14ac:dyDescent="0.35">
      <c r="B2384" s="9"/>
      <c r="C2384" s="2"/>
      <c r="D2384" s="2"/>
      <c r="I2384" s="9"/>
      <c r="J2384" s="2"/>
      <c r="L2384" s="9"/>
      <c r="M2384" s="2"/>
      <c r="N2384" s="9"/>
      <c r="P2384" s="3">
        <v>-434.76</v>
      </c>
      <c r="S2384" s="9"/>
      <c r="T2384" s="2"/>
      <c r="U2384" s="9"/>
    </row>
    <row r="2385" spans="2:21" x14ac:dyDescent="0.35">
      <c r="B2385" s="9"/>
      <c r="C2385" s="2"/>
      <c r="D2385" s="2"/>
      <c r="I2385" s="9"/>
      <c r="J2385" s="2"/>
      <c r="L2385" s="9"/>
      <c r="M2385" s="2"/>
      <c r="N2385" s="9"/>
      <c r="P2385" s="3">
        <v>-869.52</v>
      </c>
      <c r="S2385" s="9"/>
      <c r="T2385" s="2"/>
      <c r="U2385" s="9"/>
    </row>
    <row r="2386" spans="2:21" x14ac:dyDescent="0.35">
      <c r="B2386" s="9"/>
      <c r="C2386" s="2"/>
      <c r="D2386" s="2"/>
      <c r="I2386" s="9"/>
      <c r="J2386" s="2"/>
      <c r="L2386" s="9"/>
      <c r="M2386" s="2"/>
      <c r="N2386" s="9"/>
      <c r="P2386" s="3">
        <v>-1304.28</v>
      </c>
      <c r="S2386" s="9"/>
      <c r="T2386" s="2"/>
      <c r="U2386" s="9"/>
    </row>
    <row r="2387" spans="2:21" x14ac:dyDescent="0.35">
      <c r="B2387" s="9"/>
      <c r="C2387" s="2"/>
      <c r="D2387" s="2"/>
      <c r="I2387" s="9"/>
      <c r="J2387" s="2"/>
      <c r="L2387" s="9"/>
      <c r="M2387" s="2"/>
      <c r="N2387" s="9"/>
      <c r="P2387" s="3">
        <v>-1739.04</v>
      </c>
      <c r="S2387" s="9"/>
      <c r="T2387" s="2"/>
      <c r="U2387" s="9"/>
    </row>
    <row r="2388" spans="2:21" x14ac:dyDescent="0.35">
      <c r="B2388" s="9"/>
      <c r="C2388" s="2"/>
      <c r="D2388" s="2"/>
      <c r="I2388" s="9"/>
      <c r="J2388" s="2"/>
      <c r="L2388" s="9"/>
      <c r="M2388" s="2"/>
      <c r="N2388" s="9"/>
      <c r="P2388" s="3">
        <v>-1304.28</v>
      </c>
      <c r="S2388" s="9"/>
      <c r="T2388" s="2"/>
      <c r="U2388" s="9"/>
    </row>
    <row r="2389" spans="2:21" x14ac:dyDescent="0.35">
      <c r="B2389" s="9"/>
      <c r="C2389" s="2"/>
      <c r="D2389" s="2"/>
      <c r="I2389" s="9"/>
      <c r="J2389" s="2"/>
      <c r="L2389" s="9"/>
      <c r="M2389" s="2"/>
      <c r="N2389" s="9"/>
      <c r="P2389" s="3">
        <v>-869.52</v>
      </c>
      <c r="S2389" s="9"/>
      <c r="T2389" s="2"/>
      <c r="U2389" s="9"/>
    </row>
    <row r="2390" spans="2:21" x14ac:dyDescent="0.35">
      <c r="B2390" s="9"/>
      <c r="C2390" s="2"/>
      <c r="D2390" s="2"/>
      <c r="I2390" s="9"/>
      <c r="J2390" s="2"/>
      <c r="L2390" s="9"/>
      <c r="M2390" s="2"/>
      <c r="N2390" s="9"/>
      <c r="P2390" s="3">
        <v>-434.76</v>
      </c>
      <c r="S2390" s="9"/>
      <c r="T2390" s="2"/>
      <c r="U2390" s="9"/>
    </row>
    <row r="2391" spans="2:21" x14ac:dyDescent="0.35">
      <c r="B2391" s="9"/>
      <c r="C2391" s="2"/>
      <c r="D2391" s="2"/>
      <c r="I2391" s="9"/>
      <c r="J2391" s="2"/>
      <c r="L2391" s="9"/>
      <c r="M2391" s="2"/>
      <c r="N2391" s="9"/>
      <c r="P2391" s="3">
        <v>0</v>
      </c>
      <c r="S2391" s="9"/>
      <c r="T2391" s="2"/>
      <c r="U2391" s="9"/>
    </row>
    <row r="2392" spans="2:21" x14ac:dyDescent="0.35">
      <c r="B2392" s="9"/>
      <c r="C2392" s="2"/>
      <c r="D2392" s="2"/>
      <c r="I2392" s="9"/>
      <c r="J2392" s="2"/>
      <c r="L2392" s="9"/>
      <c r="M2392" s="2"/>
      <c r="N2392" s="9"/>
      <c r="P2392" s="3">
        <v>0</v>
      </c>
      <c r="S2392" s="9"/>
      <c r="T2392" s="2"/>
      <c r="U2392" s="9"/>
    </row>
    <row r="2393" spans="2:21" x14ac:dyDescent="0.35">
      <c r="B2393" s="9"/>
      <c r="C2393" s="2"/>
      <c r="D2393" s="2"/>
      <c r="I2393" s="9"/>
      <c r="J2393" s="2"/>
      <c r="L2393" s="9"/>
      <c r="M2393" s="2"/>
      <c r="N2393" s="9"/>
      <c r="P2393" s="3">
        <v>0</v>
      </c>
      <c r="S2393" s="9"/>
      <c r="T2393" s="2"/>
      <c r="U2393" s="9"/>
    </row>
    <row r="2394" spans="2:21" x14ac:dyDescent="0.35">
      <c r="B2394" s="9"/>
      <c r="C2394" s="2"/>
      <c r="D2394" s="2"/>
      <c r="I2394" s="9"/>
      <c r="J2394" s="2"/>
      <c r="L2394" s="9"/>
      <c r="M2394" s="2"/>
      <c r="N2394" s="9"/>
      <c r="P2394" s="3">
        <v>0</v>
      </c>
      <c r="S2394" s="9"/>
      <c r="T2394" s="2"/>
      <c r="U2394" s="9"/>
    </row>
    <row r="2395" spans="2:21" x14ac:dyDescent="0.35">
      <c r="B2395" s="9"/>
      <c r="C2395" s="2"/>
      <c r="D2395" s="2"/>
      <c r="I2395" s="9"/>
      <c r="J2395" s="2"/>
      <c r="L2395" s="9"/>
      <c r="M2395" s="2"/>
      <c r="N2395" s="9"/>
      <c r="P2395" s="3">
        <v>0</v>
      </c>
      <c r="S2395" s="9"/>
      <c r="T2395" s="2"/>
      <c r="U2395" s="9"/>
    </row>
    <row r="2396" spans="2:21" x14ac:dyDescent="0.35">
      <c r="B2396" s="9"/>
      <c r="C2396" s="2"/>
      <c r="D2396" s="2"/>
      <c r="I2396" s="9"/>
      <c r="J2396" s="2"/>
      <c r="L2396" s="9"/>
      <c r="M2396" s="2"/>
      <c r="N2396" s="9"/>
      <c r="P2396" s="3">
        <v>0</v>
      </c>
      <c r="S2396" s="9"/>
      <c r="T2396" s="2"/>
      <c r="U2396" s="9"/>
    </row>
    <row r="2397" spans="2:21" x14ac:dyDescent="0.35">
      <c r="B2397" s="9"/>
      <c r="C2397" s="2"/>
      <c r="D2397" s="2"/>
      <c r="I2397" s="9"/>
      <c r="J2397" s="2"/>
      <c r="L2397" s="9"/>
      <c r="M2397" s="2"/>
      <c r="N2397" s="9"/>
      <c r="P2397" s="3">
        <v>0</v>
      </c>
      <c r="S2397" s="9"/>
      <c r="T2397" s="2"/>
      <c r="U2397" s="9"/>
    </row>
    <row r="2398" spans="2:21" x14ac:dyDescent="0.35">
      <c r="B2398" s="9"/>
      <c r="C2398" s="2"/>
      <c r="D2398" s="2"/>
      <c r="I2398" s="9"/>
      <c r="J2398" s="2"/>
      <c r="L2398" s="9"/>
      <c r="M2398" s="2"/>
      <c r="N2398" s="9"/>
      <c r="P2398" s="3">
        <v>0</v>
      </c>
      <c r="S2398" s="9"/>
      <c r="T2398" s="2"/>
      <c r="U2398" s="9"/>
    </row>
    <row r="2399" spans="2:21" x14ac:dyDescent="0.35">
      <c r="B2399" s="9"/>
      <c r="C2399" s="2"/>
      <c r="D2399" s="2"/>
      <c r="I2399" s="9"/>
      <c r="J2399" s="2"/>
      <c r="L2399" s="9"/>
      <c r="M2399" s="2"/>
      <c r="N2399" s="9"/>
      <c r="P2399" s="3">
        <v>0</v>
      </c>
      <c r="S2399" s="9"/>
      <c r="T2399" s="2"/>
      <c r="U2399" s="9"/>
    </row>
    <row r="2400" spans="2:21" x14ac:dyDescent="0.35">
      <c r="B2400" s="9"/>
      <c r="C2400" s="2"/>
      <c r="D2400" s="2"/>
      <c r="I2400" s="9"/>
      <c r="J2400" s="2"/>
      <c r="L2400" s="9"/>
      <c r="M2400" s="2"/>
      <c r="N2400" s="9"/>
      <c r="P2400" s="3">
        <v>0</v>
      </c>
      <c r="S2400" s="9"/>
      <c r="T2400" s="2"/>
      <c r="U2400" s="9"/>
    </row>
    <row r="2401" spans="2:21" x14ac:dyDescent="0.35">
      <c r="B2401" s="9"/>
      <c r="C2401" s="2"/>
      <c r="D2401" s="2"/>
      <c r="I2401" s="9"/>
      <c r="J2401" s="2"/>
      <c r="L2401" s="9"/>
      <c r="M2401" s="2"/>
      <c r="N2401" s="9"/>
      <c r="P2401" s="3">
        <v>0</v>
      </c>
      <c r="S2401" s="9"/>
      <c r="T2401" s="2"/>
      <c r="U2401" s="9"/>
    </row>
    <row r="2402" spans="2:21" x14ac:dyDescent="0.35">
      <c r="B2402" s="9"/>
      <c r="C2402" s="2"/>
      <c r="D2402" s="2"/>
      <c r="I2402" s="9"/>
      <c r="J2402" s="2"/>
      <c r="L2402" s="9"/>
      <c r="M2402" s="2"/>
      <c r="N2402" s="9"/>
      <c r="P2402" s="3">
        <v>0</v>
      </c>
      <c r="S2402" s="9"/>
      <c r="T2402" s="2"/>
      <c r="U2402" s="9"/>
    </row>
    <row r="2403" spans="2:21" x14ac:dyDescent="0.35">
      <c r="B2403" s="9"/>
      <c r="C2403" s="2"/>
      <c r="D2403" s="2"/>
      <c r="I2403" s="9"/>
      <c r="J2403" s="2"/>
      <c r="L2403" s="9"/>
      <c r="M2403" s="2"/>
      <c r="N2403" s="9"/>
      <c r="P2403" s="3">
        <v>0</v>
      </c>
      <c r="S2403" s="9"/>
      <c r="T2403" s="2"/>
      <c r="U2403" s="9"/>
    </row>
    <row r="2404" spans="2:21" x14ac:dyDescent="0.35">
      <c r="B2404" s="9"/>
      <c r="C2404" s="2"/>
      <c r="D2404" s="2"/>
      <c r="I2404" s="9"/>
      <c r="J2404" s="2"/>
      <c r="L2404" s="9"/>
      <c r="M2404" s="2"/>
      <c r="N2404" s="9"/>
      <c r="P2404" s="3">
        <v>0</v>
      </c>
      <c r="S2404" s="9"/>
      <c r="T2404" s="2"/>
      <c r="U2404" s="9"/>
    </row>
    <row r="2405" spans="2:21" x14ac:dyDescent="0.35">
      <c r="B2405" s="9"/>
      <c r="C2405" s="2"/>
      <c r="D2405" s="2"/>
      <c r="I2405" s="9"/>
      <c r="J2405" s="2"/>
      <c r="L2405" s="9"/>
      <c r="M2405" s="2"/>
      <c r="N2405" s="9"/>
      <c r="P2405" s="3">
        <v>0</v>
      </c>
      <c r="S2405" s="9"/>
      <c r="T2405" s="2"/>
      <c r="U2405" s="9"/>
    </row>
    <row r="2406" spans="2:21" x14ac:dyDescent="0.35">
      <c r="B2406" s="9"/>
      <c r="C2406" s="2"/>
      <c r="D2406" s="2"/>
      <c r="I2406" s="9"/>
      <c r="J2406" s="2"/>
      <c r="L2406" s="9"/>
      <c r="M2406" s="2"/>
      <c r="N2406" s="9"/>
      <c r="P2406" s="3">
        <v>0</v>
      </c>
      <c r="S2406" s="9"/>
      <c r="T2406" s="2"/>
      <c r="U2406" s="9"/>
    </row>
    <row r="2407" spans="2:21" x14ac:dyDescent="0.35">
      <c r="B2407" s="9"/>
      <c r="C2407" s="2"/>
      <c r="D2407" s="2"/>
      <c r="I2407" s="9"/>
      <c r="J2407" s="2"/>
      <c r="L2407" s="9"/>
      <c r="M2407" s="2"/>
      <c r="N2407" s="9"/>
      <c r="P2407" s="3">
        <v>0</v>
      </c>
      <c r="S2407" s="9"/>
      <c r="T2407" s="2"/>
      <c r="U2407" s="9"/>
    </row>
    <row r="2408" spans="2:21" x14ac:dyDescent="0.35">
      <c r="B2408" s="9"/>
      <c r="C2408" s="2"/>
      <c r="D2408" s="2"/>
      <c r="I2408" s="9"/>
      <c r="J2408" s="2"/>
      <c r="L2408" s="9"/>
      <c r="M2408" s="2"/>
      <c r="N2408" s="9"/>
      <c r="P2408" s="3">
        <v>0</v>
      </c>
      <c r="S2408" s="9"/>
      <c r="T2408" s="2"/>
      <c r="U2408" s="9"/>
    </row>
    <row r="2409" spans="2:21" x14ac:dyDescent="0.35">
      <c r="B2409" s="9"/>
      <c r="C2409" s="2"/>
      <c r="D2409" s="2"/>
      <c r="I2409" s="9"/>
      <c r="J2409" s="2"/>
      <c r="L2409" s="9"/>
      <c r="M2409" s="2"/>
      <c r="N2409" s="9"/>
      <c r="P2409" s="3">
        <v>0</v>
      </c>
      <c r="S2409" s="9"/>
      <c r="T2409" s="2"/>
      <c r="U2409" s="9"/>
    </row>
    <row r="2410" spans="2:21" x14ac:dyDescent="0.35">
      <c r="B2410" s="9"/>
      <c r="C2410" s="2"/>
      <c r="D2410" s="2"/>
      <c r="I2410" s="9"/>
      <c r="J2410" s="2"/>
      <c r="L2410" s="9"/>
      <c r="M2410" s="2"/>
      <c r="N2410" s="9"/>
      <c r="P2410" s="3">
        <v>0</v>
      </c>
      <c r="S2410" s="9"/>
      <c r="T2410" s="2"/>
      <c r="U2410" s="9"/>
    </row>
    <row r="2411" spans="2:21" x14ac:dyDescent="0.35">
      <c r="B2411" s="9"/>
      <c r="C2411" s="2"/>
      <c r="D2411" s="2"/>
      <c r="I2411" s="9"/>
      <c r="J2411" s="2"/>
      <c r="L2411" s="9"/>
      <c r="M2411" s="2"/>
      <c r="N2411" s="9"/>
      <c r="P2411" s="3">
        <v>0</v>
      </c>
      <c r="S2411" s="9"/>
      <c r="T2411" s="2"/>
      <c r="U2411" s="9"/>
    </row>
    <row r="2412" spans="2:21" x14ac:dyDescent="0.35">
      <c r="B2412" s="9"/>
      <c r="C2412" s="2"/>
      <c r="D2412" s="2"/>
      <c r="I2412" s="9"/>
      <c r="J2412" s="2"/>
      <c r="L2412" s="9"/>
      <c r="M2412" s="2"/>
      <c r="N2412" s="9"/>
      <c r="P2412" s="3">
        <v>0</v>
      </c>
      <c r="S2412" s="9"/>
      <c r="T2412" s="2"/>
      <c r="U2412" s="9"/>
    </row>
    <row r="2413" spans="2:21" x14ac:dyDescent="0.35">
      <c r="B2413" s="9"/>
      <c r="C2413" s="2"/>
      <c r="D2413" s="2"/>
      <c r="I2413" s="9"/>
      <c r="J2413" s="2"/>
      <c r="L2413" s="9"/>
      <c r="M2413" s="2"/>
      <c r="N2413" s="9"/>
      <c r="P2413" s="3">
        <v>0</v>
      </c>
      <c r="S2413" s="9"/>
      <c r="T2413" s="2"/>
      <c r="U2413" s="9"/>
    </row>
    <row r="2414" spans="2:21" x14ac:dyDescent="0.35">
      <c r="B2414" s="9"/>
      <c r="C2414" s="2"/>
      <c r="D2414" s="2"/>
      <c r="I2414" s="9"/>
      <c r="J2414" s="2"/>
      <c r="L2414" s="9"/>
      <c r="M2414" s="2"/>
      <c r="N2414" s="9"/>
      <c r="P2414" s="3">
        <v>0</v>
      </c>
      <c r="S2414" s="9"/>
      <c r="T2414" s="2"/>
      <c r="U2414" s="9"/>
    </row>
    <row r="2415" spans="2:21" x14ac:dyDescent="0.35">
      <c r="B2415" s="9"/>
      <c r="C2415" s="2"/>
      <c r="D2415" s="2"/>
      <c r="I2415" s="9"/>
      <c r="J2415" s="2"/>
      <c r="L2415" s="9"/>
      <c r="M2415" s="2"/>
      <c r="N2415" s="9"/>
      <c r="P2415" s="3">
        <v>0</v>
      </c>
      <c r="S2415" s="9"/>
      <c r="T2415" s="2"/>
      <c r="U2415" s="9"/>
    </row>
    <row r="2416" spans="2:21" x14ac:dyDescent="0.35">
      <c r="B2416" s="9"/>
      <c r="C2416" s="2"/>
      <c r="D2416" s="2"/>
      <c r="I2416" s="9"/>
      <c r="J2416" s="2"/>
      <c r="L2416" s="9"/>
      <c r="M2416" s="2"/>
      <c r="N2416" s="9"/>
      <c r="P2416" s="3">
        <v>0</v>
      </c>
      <c r="S2416" s="9"/>
      <c r="T2416" s="2"/>
      <c r="U2416" s="9"/>
    </row>
    <row r="2417" spans="2:21" x14ac:dyDescent="0.35">
      <c r="B2417" s="9"/>
      <c r="C2417" s="2"/>
      <c r="D2417" s="2"/>
      <c r="I2417" s="9"/>
      <c r="J2417" s="2"/>
      <c r="L2417" s="9"/>
      <c r="M2417" s="2"/>
      <c r="N2417" s="9"/>
      <c r="P2417" s="3">
        <v>0</v>
      </c>
      <c r="S2417" s="9"/>
      <c r="T2417" s="2"/>
      <c r="U2417" s="9"/>
    </row>
    <row r="2418" spans="2:21" x14ac:dyDescent="0.35">
      <c r="B2418" s="9"/>
      <c r="C2418" s="2"/>
      <c r="D2418" s="2"/>
      <c r="I2418" s="9"/>
      <c r="J2418" s="2"/>
      <c r="L2418" s="9"/>
      <c r="M2418" s="2"/>
      <c r="N2418" s="9"/>
      <c r="P2418" s="3">
        <v>-251.60949199999999</v>
      </c>
      <c r="S2418" s="9"/>
      <c r="T2418" s="2"/>
      <c r="U2418" s="9"/>
    </row>
    <row r="2419" spans="2:21" x14ac:dyDescent="0.35">
      <c r="B2419" s="9"/>
      <c r="C2419" s="2"/>
      <c r="D2419" s="2"/>
      <c r="I2419" s="9"/>
      <c r="J2419" s="2"/>
      <c r="L2419" s="9"/>
      <c r="M2419" s="2"/>
      <c r="N2419" s="9"/>
      <c r="P2419" s="3">
        <v>-686.36949200000004</v>
      </c>
      <c r="S2419" s="9"/>
      <c r="T2419" s="2"/>
      <c r="U2419" s="9"/>
    </row>
    <row r="2420" spans="2:21" x14ac:dyDescent="0.35">
      <c r="B2420" s="9"/>
      <c r="C2420" s="2"/>
      <c r="D2420" s="2"/>
      <c r="I2420" s="9"/>
      <c r="J2420" s="2"/>
      <c r="L2420" s="9"/>
      <c r="M2420" s="2"/>
      <c r="N2420" s="9"/>
      <c r="P2420" s="3">
        <v>-1121.129492</v>
      </c>
      <c r="S2420" s="9"/>
      <c r="T2420" s="2"/>
      <c r="U2420" s="9"/>
    </row>
    <row r="2421" spans="2:21" x14ac:dyDescent="0.35">
      <c r="B2421" s="9"/>
      <c r="C2421" s="2"/>
      <c r="D2421" s="2"/>
      <c r="I2421" s="9"/>
      <c r="J2421" s="2"/>
      <c r="L2421" s="9"/>
      <c r="M2421" s="2"/>
      <c r="N2421" s="9"/>
      <c r="P2421" s="3">
        <v>-1555.889492</v>
      </c>
      <c r="S2421" s="9"/>
      <c r="T2421" s="2"/>
      <c r="U2421" s="9"/>
    </row>
    <row r="2422" spans="2:21" x14ac:dyDescent="0.35">
      <c r="B2422" s="9"/>
      <c r="C2422" s="2"/>
      <c r="D2422" s="2"/>
      <c r="I2422" s="9"/>
      <c r="J2422" s="2"/>
      <c r="L2422" s="9"/>
      <c r="M2422" s="2"/>
      <c r="N2422" s="9"/>
      <c r="P2422" s="3">
        <v>-1990.649492</v>
      </c>
      <c r="S2422" s="9"/>
      <c r="T2422" s="2"/>
      <c r="U2422" s="9"/>
    </row>
    <row r="2423" spans="2:21" x14ac:dyDescent="0.35">
      <c r="B2423" s="9"/>
      <c r="C2423" s="2"/>
      <c r="D2423" s="2"/>
      <c r="I2423" s="9"/>
      <c r="J2423" s="2"/>
      <c r="L2423" s="9"/>
      <c r="M2423" s="2"/>
      <c r="N2423" s="9"/>
      <c r="P2423" s="3">
        <v>-2425.4094919999998</v>
      </c>
      <c r="S2423" s="9"/>
      <c r="T2423" s="2"/>
      <c r="U2423" s="9"/>
    </row>
    <row r="2424" spans="2:21" x14ac:dyDescent="0.35">
      <c r="B2424" s="9"/>
      <c r="C2424" s="2"/>
      <c r="D2424" s="2"/>
      <c r="I2424" s="9"/>
      <c r="J2424" s="2"/>
      <c r="L2424" s="9"/>
      <c r="M2424" s="2"/>
      <c r="N2424" s="9"/>
      <c r="P2424" s="3">
        <v>-2860.169492</v>
      </c>
      <c r="S2424" s="9"/>
      <c r="T2424" s="2"/>
      <c r="U2424" s="9"/>
    </row>
    <row r="2425" spans="2:21" x14ac:dyDescent="0.35">
      <c r="B2425" s="9"/>
      <c r="C2425" s="2"/>
      <c r="D2425" s="2"/>
      <c r="I2425" s="9"/>
      <c r="J2425" s="2"/>
      <c r="L2425" s="9"/>
      <c r="M2425" s="2"/>
      <c r="N2425" s="9"/>
      <c r="P2425" s="3">
        <v>-2860.169492</v>
      </c>
      <c r="S2425" s="9"/>
      <c r="T2425" s="2"/>
      <c r="U2425" s="9"/>
    </row>
    <row r="2426" spans="2:21" x14ac:dyDescent="0.35">
      <c r="B2426" s="9"/>
      <c r="C2426" s="2"/>
      <c r="D2426" s="2"/>
      <c r="I2426" s="9"/>
      <c r="J2426" s="2"/>
      <c r="L2426" s="9"/>
      <c r="M2426" s="2"/>
      <c r="N2426" s="9"/>
      <c r="P2426" s="3">
        <v>-2860.169492</v>
      </c>
      <c r="S2426" s="9"/>
      <c r="T2426" s="2"/>
      <c r="U2426" s="9"/>
    </row>
    <row r="2427" spans="2:21" x14ac:dyDescent="0.35">
      <c r="B2427" s="9"/>
      <c r="C2427" s="2"/>
      <c r="D2427" s="2"/>
      <c r="I2427" s="9"/>
      <c r="J2427" s="2"/>
      <c r="L2427" s="9"/>
      <c r="M2427" s="2"/>
      <c r="N2427" s="9"/>
      <c r="P2427" s="3">
        <v>-2860.169492</v>
      </c>
      <c r="S2427" s="9"/>
      <c r="T2427" s="2"/>
      <c r="U2427" s="9"/>
    </row>
    <row r="2428" spans="2:21" x14ac:dyDescent="0.35">
      <c r="B2428" s="9"/>
      <c r="C2428" s="2"/>
      <c r="D2428" s="2"/>
      <c r="I2428" s="9"/>
      <c r="J2428" s="2"/>
      <c r="L2428" s="9"/>
      <c r="M2428" s="2"/>
      <c r="N2428" s="9"/>
      <c r="P2428" s="3">
        <v>-2860.169492</v>
      </c>
      <c r="S2428" s="9"/>
      <c r="T2428" s="2"/>
      <c r="U2428" s="9"/>
    </row>
    <row r="2429" spans="2:21" x14ac:dyDescent="0.35">
      <c r="B2429" s="9"/>
      <c r="C2429" s="2"/>
      <c r="D2429" s="2"/>
      <c r="I2429" s="9"/>
      <c r="J2429" s="2"/>
      <c r="L2429" s="9"/>
      <c r="M2429" s="2"/>
      <c r="N2429" s="9"/>
      <c r="P2429" s="3">
        <v>-2860.169492</v>
      </c>
      <c r="S2429" s="9"/>
      <c r="T2429" s="2"/>
      <c r="U2429" s="9"/>
    </row>
    <row r="2430" spans="2:21" x14ac:dyDescent="0.35">
      <c r="B2430" s="9"/>
      <c r="C2430" s="2"/>
      <c r="D2430" s="2"/>
      <c r="I2430" s="9"/>
      <c r="J2430" s="2"/>
      <c r="L2430" s="9"/>
      <c r="M2430" s="2"/>
      <c r="N2430" s="9"/>
      <c r="P2430" s="3">
        <v>-2860.169492</v>
      </c>
      <c r="S2430" s="9"/>
      <c r="T2430" s="2"/>
      <c r="U2430" s="9"/>
    </row>
    <row r="2431" spans="2:21" x14ac:dyDescent="0.35">
      <c r="B2431" s="9"/>
      <c r="C2431" s="2"/>
      <c r="D2431" s="2"/>
      <c r="I2431" s="9"/>
      <c r="J2431" s="2"/>
      <c r="L2431" s="9"/>
      <c r="M2431" s="2"/>
      <c r="N2431" s="9"/>
      <c r="P2431" s="3">
        <v>-2860.169492</v>
      </c>
      <c r="S2431" s="9"/>
      <c r="T2431" s="2"/>
      <c r="U2431" s="9"/>
    </row>
    <row r="2432" spans="2:21" x14ac:dyDescent="0.35">
      <c r="B2432" s="9"/>
      <c r="C2432" s="2"/>
      <c r="D2432" s="2"/>
      <c r="I2432" s="9"/>
      <c r="J2432" s="2"/>
      <c r="L2432" s="9"/>
      <c r="M2432" s="2"/>
      <c r="N2432" s="9"/>
      <c r="P2432" s="3">
        <v>-2860.169492</v>
      </c>
      <c r="S2432" s="9"/>
      <c r="T2432" s="2"/>
      <c r="U2432" s="9"/>
    </row>
    <row r="2433" spans="2:21" x14ac:dyDescent="0.35">
      <c r="B2433" s="9"/>
      <c r="C2433" s="2"/>
      <c r="D2433" s="2"/>
      <c r="I2433" s="9"/>
      <c r="J2433" s="2"/>
      <c r="L2433" s="9"/>
      <c r="M2433" s="2"/>
      <c r="N2433" s="9"/>
      <c r="P2433" s="3">
        <v>-2860.169492</v>
      </c>
      <c r="S2433" s="9"/>
      <c r="T2433" s="2"/>
      <c r="U2433" s="9"/>
    </row>
    <row r="2434" spans="2:21" x14ac:dyDescent="0.35">
      <c r="B2434" s="9"/>
      <c r="C2434" s="2"/>
      <c r="D2434" s="2"/>
      <c r="I2434" s="9"/>
      <c r="J2434" s="2"/>
      <c r="L2434" s="9"/>
      <c r="M2434" s="2"/>
      <c r="N2434" s="9"/>
      <c r="P2434" s="3">
        <v>-2860.169492</v>
      </c>
      <c r="S2434" s="9"/>
      <c r="T2434" s="2"/>
      <c r="U2434" s="9"/>
    </row>
    <row r="2435" spans="2:21" x14ac:dyDescent="0.35">
      <c r="B2435" s="9"/>
      <c r="C2435" s="2"/>
      <c r="D2435" s="2"/>
      <c r="I2435" s="9"/>
      <c r="J2435" s="2"/>
      <c r="L2435" s="9"/>
      <c r="M2435" s="2"/>
      <c r="N2435" s="9"/>
      <c r="P2435" s="3">
        <v>-2860.169492</v>
      </c>
      <c r="S2435" s="9"/>
      <c r="T2435" s="2"/>
      <c r="U2435" s="9"/>
    </row>
    <row r="2436" spans="2:21" x14ac:dyDescent="0.35">
      <c r="B2436" s="9"/>
      <c r="C2436" s="2"/>
      <c r="D2436" s="2"/>
      <c r="I2436" s="9"/>
      <c r="J2436" s="2"/>
      <c r="L2436" s="9"/>
      <c r="M2436" s="2"/>
      <c r="N2436" s="9"/>
      <c r="P2436" s="3">
        <v>-2860.169492</v>
      </c>
      <c r="S2436" s="9"/>
      <c r="T2436" s="2"/>
      <c r="U2436" s="9"/>
    </row>
    <row r="2437" spans="2:21" x14ac:dyDescent="0.35">
      <c r="B2437" s="9"/>
      <c r="C2437" s="2"/>
      <c r="D2437" s="2"/>
      <c r="I2437" s="9"/>
      <c r="J2437" s="2"/>
      <c r="L2437" s="9"/>
      <c r="M2437" s="2"/>
      <c r="N2437" s="9"/>
      <c r="P2437" s="3">
        <v>-2860.169492</v>
      </c>
      <c r="S2437" s="9"/>
      <c r="T2437" s="2"/>
      <c r="U2437" s="9"/>
    </row>
    <row r="2438" spans="2:21" x14ac:dyDescent="0.35">
      <c r="B2438" s="9"/>
      <c r="C2438" s="2"/>
      <c r="D2438" s="2"/>
      <c r="I2438" s="9"/>
      <c r="J2438" s="2"/>
      <c r="L2438" s="9"/>
      <c r="M2438" s="2"/>
      <c r="N2438" s="9"/>
      <c r="P2438" s="3">
        <v>-2860.169492</v>
      </c>
      <c r="S2438" s="9"/>
      <c r="T2438" s="2"/>
      <c r="U2438" s="9"/>
    </row>
    <row r="2439" spans="2:21" x14ac:dyDescent="0.35">
      <c r="B2439" s="9"/>
      <c r="C2439" s="2"/>
      <c r="D2439" s="2"/>
      <c r="I2439" s="9"/>
      <c r="J2439" s="2"/>
      <c r="L2439" s="9"/>
      <c r="M2439" s="2"/>
      <c r="N2439" s="9"/>
      <c r="P2439" s="3">
        <v>-2425.4094919999998</v>
      </c>
      <c r="S2439" s="9"/>
      <c r="T2439" s="2"/>
      <c r="U2439" s="9"/>
    </row>
    <row r="2440" spans="2:21" x14ac:dyDescent="0.35">
      <c r="B2440" s="9"/>
      <c r="C2440" s="2"/>
      <c r="D2440" s="2"/>
      <c r="I2440" s="9"/>
      <c r="J2440" s="2"/>
      <c r="L2440" s="9"/>
      <c r="M2440" s="2"/>
      <c r="N2440" s="9"/>
      <c r="P2440" s="3">
        <v>-1990.649492</v>
      </c>
      <c r="S2440" s="9"/>
      <c r="T2440" s="2"/>
      <c r="U2440" s="9"/>
    </row>
    <row r="2441" spans="2:21" x14ac:dyDescent="0.35">
      <c r="B2441" s="9"/>
      <c r="C2441" s="2"/>
      <c r="D2441" s="2"/>
      <c r="I2441" s="9"/>
      <c r="J2441" s="2"/>
      <c r="L2441" s="9"/>
      <c r="M2441" s="2"/>
      <c r="N2441" s="9"/>
      <c r="P2441" s="3">
        <v>-1555.889492</v>
      </c>
      <c r="S2441" s="9"/>
      <c r="T2441" s="2"/>
      <c r="U2441" s="9"/>
    </row>
    <row r="2442" spans="2:21" x14ac:dyDescent="0.35">
      <c r="B2442" s="9"/>
      <c r="C2442" s="2"/>
      <c r="D2442" s="2"/>
      <c r="I2442" s="9"/>
      <c r="J2442" s="2"/>
      <c r="L2442" s="9"/>
      <c r="M2442" s="2"/>
      <c r="N2442" s="9"/>
      <c r="P2442" s="3">
        <v>-1121.129492</v>
      </c>
      <c r="S2442" s="9"/>
      <c r="T2442" s="2"/>
      <c r="U2442" s="9"/>
    </row>
    <row r="2443" spans="2:21" x14ac:dyDescent="0.35">
      <c r="B2443" s="9"/>
      <c r="C2443" s="2"/>
      <c r="D2443" s="2"/>
      <c r="I2443" s="9"/>
      <c r="J2443" s="2"/>
      <c r="L2443" s="9"/>
      <c r="M2443" s="2"/>
      <c r="N2443" s="9"/>
      <c r="P2443" s="3">
        <v>-686.36949200000004</v>
      </c>
      <c r="S2443" s="9"/>
      <c r="T2443" s="2"/>
      <c r="U2443" s="9"/>
    </row>
    <row r="2444" spans="2:21" x14ac:dyDescent="0.35">
      <c r="B2444" s="9"/>
      <c r="C2444" s="2"/>
      <c r="D2444" s="2"/>
      <c r="I2444" s="9"/>
      <c r="J2444" s="2"/>
      <c r="L2444" s="9"/>
      <c r="M2444" s="2"/>
      <c r="N2444" s="9"/>
      <c r="P2444" s="3">
        <v>-251.60949199999999</v>
      </c>
      <c r="S2444" s="9"/>
      <c r="T2444" s="2"/>
      <c r="U2444" s="9"/>
    </row>
    <row r="2445" spans="2:21" x14ac:dyDescent="0.35">
      <c r="B2445" s="9"/>
      <c r="C2445" s="2"/>
      <c r="D2445" s="2"/>
      <c r="I2445" s="9"/>
      <c r="J2445" s="2"/>
      <c r="L2445" s="9"/>
      <c r="M2445" s="2"/>
      <c r="N2445" s="9"/>
      <c r="P2445" s="3">
        <v>0</v>
      </c>
      <c r="S2445" s="9"/>
      <c r="T2445" s="2"/>
      <c r="U2445" s="9"/>
    </row>
    <row r="2446" spans="2:21" x14ac:dyDescent="0.35">
      <c r="B2446" s="9"/>
      <c r="C2446" s="2"/>
      <c r="D2446" s="2"/>
      <c r="I2446" s="9"/>
      <c r="J2446" s="2"/>
      <c r="L2446" s="9"/>
      <c r="M2446" s="2"/>
      <c r="N2446" s="9"/>
      <c r="P2446" s="3">
        <v>0</v>
      </c>
      <c r="S2446" s="9"/>
      <c r="T2446" s="2"/>
      <c r="U2446" s="9"/>
    </row>
    <row r="2447" spans="2:21" x14ac:dyDescent="0.35">
      <c r="B2447" s="9"/>
      <c r="C2447" s="2"/>
      <c r="D2447" s="2"/>
      <c r="I2447" s="9"/>
      <c r="J2447" s="2"/>
      <c r="L2447" s="9"/>
      <c r="M2447" s="2"/>
      <c r="N2447" s="9"/>
      <c r="P2447" s="3">
        <v>0</v>
      </c>
      <c r="S2447" s="9"/>
      <c r="T2447" s="2"/>
      <c r="U2447" s="9"/>
    </row>
    <row r="2448" spans="2:21" x14ac:dyDescent="0.35">
      <c r="B2448" s="9"/>
      <c r="C2448" s="2"/>
      <c r="D2448" s="2"/>
      <c r="I2448" s="9"/>
      <c r="J2448" s="2"/>
      <c r="L2448" s="9"/>
      <c r="M2448" s="2"/>
      <c r="N2448" s="9"/>
      <c r="P2448" s="3">
        <v>0</v>
      </c>
      <c r="S2448" s="9"/>
      <c r="T2448" s="2"/>
      <c r="U2448" s="9"/>
    </row>
    <row r="2449" spans="2:21" x14ac:dyDescent="0.35">
      <c r="B2449" s="9"/>
      <c r="C2449" s="2"/>
      <c r="D2449" s="2"/>
      <c r="I2449" s="9"/>
      <c r="J2449" s="2"/>
      <c r="L2449" s="9"/>
      <c r="M2449" s="2"/>
      <c r="N2449" s="9"/>
      <c r="P2449" s="3">
        <v>0</v>
      </c>
      <c r="S2449" s="9"/>
      <c r="T2449" s="2"/>
      <c r="U2449" s="9"/>
    </row>
    <row r="2450" spans="2:21" x14ac:dyDescent="0.35">
      <c r="B2450" s="9"/>
      <c r="C2450" s="2"/>
      <c r="D2450" s="2"/>
      <c r="I2450" s="9"/>
      <c r="J2450" s="2"/>
      <c r="L2450" s="9"/>
      <c r="M2450" s="2"/>
      <c r="N2450" s="9"/>
      <c r="P2450" s="3">
        <v>0</v>
      </c>
      <c r="S2450" s="9"/>
      <c r="T2450" s="2"/>
      <c r="U2450" s="9"/>
    </row>
    <row r="2451" spans="2:21" x14ac:dyDescent="0.35">
      <c r="B2451" s="9"/>
      <c r="C2451" s="2"/>
      <c r="D2451" s="2"/>
      <c r="I2451" s="9"/>
      <c r="J2451" s="2"/>
      <c r="L2451" s="9"/>
      <c r="M2451" s="2"/>
      <c r="N2451" s="9"/>
      <c r="P2451" s="3">
        <v>0</v>
      </c>
      <c r="S2451" s="9"/>
      <c r="T2451" s="2"/>
      <c r="U2451" s="9"/>
    </row>
    <row r="2452" spans="2:21" x14ac:dyDescent="0.35">
      <c r="B2452" s="9"/>
      <c r="C2452" s="2"/>
      <c r="D2452" s="2"/>
      <c r="I2452" s="9"/>
      <c r="J2452" s="2"/>
      <c r="L2452" s="9"/>
      <c r="M2452" s="2"/>
      <c r="N2452" s="9"/>
      <c r="P2452" s="3">
        <v>0</v>
      </c>
      <c r="S2452" s="9"/>
      <c r="T2452" s="2"/>
      <c r="U2452" s="9"/>
    </row>
    <row r="2453" spans="2:21" x14ac:dyDescent="0.35">
      <c r="B2453" s="9"/>
      <c r="C2453" s="2"/>
      <c r="D2453" s="2"/>
      <c r="I2453" s="9"/>
      <c r="J2453" s="2"/>
      <c r="L2453" s="9"/>
      <c r="M2453" s="2"/>
      <c r="N2453" s="9"/>
      <c r="P2453" s="3">
        <v>0</v>
      </c>
      <c r="S2453" s="9"/>
      <c r="T2453" s="2"/>
      <c r="U2453" s="9"/>
    </row>
    <row r="2454" spans="2:21" x14ac:dyDescent="0.35">
      <c r="B2454" s="9"/>
      <c r="C2454" s="2"/>
      <c r="D2454" s="2"/>
      <c r="I2454" s="9"/>
      <c r="J2454" s="2"/>
      <c r="L2454" s="9"/>
      <c r="M2454" s="2"/>
      <c r="N2454" s="9"/>
      <c r="P2454" s="3">
        <v>0</v>
      </c>
      <c r="S2454" s="9"/>
      <c r="T2454" s="2"/>
      <c r="U2454" s="9"/>
    </row>
    <row r="2455" spans="2:21" x14ac:dyDescent="0.35">
      <c r="B2455" s="9"/>
      <c r="C2455" s="2"/>
      <c r="D2455" s="2"/>
      <c r="I2455" s="9"/>
      <c r="J2455" s="2"/>
      <c r="L2455" s="9"/>
      <c r="M2455" s="2"/>
      <c r="N2455" s="9"/>
      <c r="P2455" s="3">
        <v>0</v>
      </c>
      <c r="S2455" s="9"/>
      <c r="T2455" s="2"/>
      <c r="U2455" s="9"/>
    </row>
    <row r="2456" spans="2:21" x14ac:dyDescent="0.35">
      <c r="B2456" s="9"/>
      <c r="C2456" s="2"/>
      <c r="D2456" s="2"/>
      <c r="I2456" s="9"/>
      <c r="J2456" s="2"/>
      <c r="L2456" s="9"/>
      <c r="M2456" s="2"/>
      <c r="N2456" s="9"/>
      <c r="P2456" s="3">
        <v>0</v>
      </c>
      <c r="S2456" s="9"/>
      <c r="T2456" s="2"/>
      <c r="U2456" s="9"/>
    </row>
    <row r="2457" spans="2:21" x14ac:dyDescent="0.35">
      <c r="B2457" s="9"/>
      <c r="C2457" s="2"/>
      <c r="D2457" s="2"/>
      <c r="I2457" s="9"/>
      <c r="J2457" s="2"/>
      <c r="L2457" s="9"/>
      <c r="M2457" s="2"/>
      <c r="N2457" s="9"/>
      <c r="P2457" s="3">
        <v>0</v>
      </c>
      <c r="S2457" s="9"/>
      <c r="T2457" s="2"/>
      <c r="U2457" s="9"/>
    </row>
    <row r="2458" spans="2:21" x14ac:dyDescent="0.35">
      <c r="B2458" s="9"/>
      <c r="C2458" s="2"/>
      <c r="D2458" s="2"/>
      <c r="I2458" s="9"/>
      <c r="J2458" s="2"/>
      <c r="L2458" s="9"/>
      <c r="M2458" s="2"/>
      <c r="N2458" s="9"/>
      <c r="P2458" s="3">
        <v>0</v>
      </c>
      <c r="S2458" s="9"/>
      <c r="T2458" s="2"/>
      <c r="U2458" s="9"/>
    </row>
    <row r="2459" spans="2:21" x14ac:dyDescent="0.35">
      <c r="B2459" s="9"/>
      <c r="C2459" s="2"/>
      <c r="D2459" s="2"/>
      <c r="I2459" s="9"/>
      <c r="J2459" s="2"/>
      <c r="L2459" s="9"/>
      <c r="M2459" s="2"/>
      <c r="N2459" s="9"/>
      <c r="P2459" s="3">
        <v>0</v>
      </c>
      <c r="S2459" s="9"/>
      <c r="T2459" s="2"/>
      <c r="U2459" s="9"/>
    </row>
    <row r="2460" spans="2:21" x14ac:dyDescent="0.35">
      <c r="B2460" s="9"/>
      <c r="C2460" s="2"/>
      <c r="D2460" s="2"/>
      <c r="I2460" s="9"/>
      <c r="J2460" s="2"/>
      <c r="L2460" s="9"/>
      <c r="M2460" s="2"/>
      <c r="N2460" s="9"/>
      <c r="P2460" s="3">
        <v>0</v>
      </c>
      <c r="S2460" s="9"/>
      <c r="T2460" s="2"/>
      <c r="U2460" s="9"/>
    </row>
    <row r="2461" spans="2:21" x14ac:dyDescent="0.35">
      <c r="B2461" s="9"/>
      <c r="C2461" s="2"/>
      <c r="D2461" s="2"/>
      <c r="I2461" s="9"/>
      <c r="J2461" s="2"/>
      <c r="L2461" s="9"/>
      <c r="M2461" s="2"/>
      <c r="N2461" s="9"/>
      <c r="P2461" s="3">
        <v>0</v>
      </c>
      <c r="S2461" s="9"/>
      <c r="T2461" s="2"/>
      <c r="U2461" s="9"/>
    </row>
    <row r="2462" spans="2:21" x14ac:dyDescent="0.35">
      <c r="B2462" s="9"/>
      <c r="C2462" s="2"/>
      <c r="D2462" s="2"/>
      <c r="I2462" s="9"/>
      <c r="J2462" s="2"/>
      <c r="L2462" s="9"/>
      <c r="M2462" s="2"/>
      <c r="N2462" s="9"/>
      <c r="P2462" s="3">
        <v>0</v>
      </c>
      <c r="S2462" s="9"/>
      <c r="T2462" s="2"/>
      <c r="U2462" s="9"/>
    </row>
    <row r="2463" spans="2:21" x14ac:dyDescent="0.35">
      <c r="B2463" s="9"/>
      <c r="C2463" s="2"/>
      <c r="D2463" s="2"/>
      <c r="I2463" s="9"/>
      <c r="J2463" s="2"/>
      <c r="L2463" s="9"/>
      <c r="M2463" s="2"/>
      <c r="N2463" s="9"/>
      <c r="P2463" s="3">
        <v>0</v>
      </c>
      <c r="S2463" s="9"/>
      <c r="T2463" s="2"/>
      <c r="U2463" s="9"/>
    </row>
    <row r="2464" spans="2:21" x14ac:dyDescent="0.35">
      <c r="B2464" s="9"/>
      <c r="C2464" s="2"/>
      <c r="D2464" s="2"/>
      <c r="I2464" s="9"/>
      <c r="J2464" s="2"/>
      <c r="L2464" s="9"/>
      <c r="M2464" s="2"/>
      <c r="N2464" s="9"/>
      <c r="P2464" s="3">
        <v>0</v>
      </c>
      <c r="S2464" s="9"/>
      <c r="T2464" s="2"/>
      <c r="U2464" s="9"/>
    </row>
    <row r="2465" spans="2:21" x14ac:dyDescent="0.35">
      <c r="B2465" s="9"/>
      <c r="C2465" s="2"/>
      <c r="D2465" s="2"/>
      <c r="I2465" s="9"/>
      <c r="J2465" s="2"/>
      <c r="L2465" s="9"/>
      <c r="M2465" s="2"/>
      <c r="N2465" s="9"/>
      <c r="P2465" s="3">
        <v>0</v>
      </c>
      <c r="S2465" s="9"/>
      <c r="T2465" s="2"/>
      <c r="U2465" s="9"/>
    </row>
    <row r="2466" spans="2:21" x14ac:dyDescent="0.35">
      <c r="B2466" s="9"/>
      <c r="C2466" s="2"/>
      <c r="D2466" s="2"/>
      <c r="I2466" s="9"/>
      <c r="J2466" s="2"/>
      <c r="L2466" s="9"/>
      <c r="M2466" s="2"/>
      <c r="N2466" s="9"/>
      <c r="P2466" s="3">
        <v>-251.60949199999999</v>
      </c>
      <c r="S2466" s="9"/>
      <c r="T2466" s="2"/>
      <c r="U2466" s="9"/>
    </row>
    <row r="2467" spans="2:21" x14ac:dyDescent="0.35">
      <c r="B2467" s="9"/>
      <c r="C2467" s="2"/>
      <c r="D2467" s="2"/>
      <c r="I2467" s="9"/>
      <c r="J2467" s="2"/>
      <c r="L2467" s="9"/>
      <c r="M2467" s="2"/>
      <c r="N2467" s="9"/>
      <c r="P2467" s="3">
        <v>-686.36949200000004</v>
      </c>
      <c r="S2467" s="9"/>
      <c r="T2467" s="2"/>
      <c r="U2467" s="9"/>
    </row>
    <row r="2468" spans="2:21" x14ac:dyDescent="0.35">
      <c r="B2468" s="9"/>
      <c r="C2468" s="2"/>
      <c r="D2468" s="2"/>
      <c r="I2468" s="9"/>
      <c r="J2468" s="2"/>
      <c r="L2468" s="9"/>
      <c r="M2468" s="2"/>
      <c r="N2468" s="9"/>
      <c r="P2468" s="3">
        <v>-1121.129492</v>
      </c>
      <c r="S2468" s="9"/>
      <c r="T2468" s="2"/>
      <c r="U2468" s="9"/>
    </row>
    <row r="2469" spans="2:21" x14ac:dyDescent="0.35">
      <c r="B2469" s="9"/>
      <c r="C2469" s="2"/>
      <c r="D2469" s="2"/>
      <c r="I2469" s="9"/>
      <c r="J2469" s="2"/>
      <c r="L2469" s="9"/>
      <c r="M2469" s="2"/>
      <c r="N2469" s="9"/>
      <c r="P2469" s="3">
        <v>-1555.889492</v>
      </c>
      <c r="S2469" s="9"/>
      <c r="T2469" s="2"/>
      <c r="U2469" s="9"/>
    </row>
    <row r="2470" spans="2:21" x14ac:dyDescent="0.35">
      <c r="B2470" s="9"/>
      <c r="C2470" s="2"/>
      <c r="D2470" s="2"/>
      <c r="I2470" s="9"/>
      <c r="J2470" s="2"/>
      <c r="L2470" s="9"/>
      <c r="M2470" s="2"/>
      <c r="N2470" s="9"/>
      <c r="P2470" s="3">
        <v>-1990.649492</v>
      </c>
      <c r="S2470" s="9"/>
      <c r="T2470" s="2"/>
      <c r="U2470" s="9"/>
    </row>
    <row r="2471" spans="2:21" x14ac:dyDescent="0.35">
      <c r="B2471" s="9"/>
      <c r="C2471" s="2"/>
      <c r="D2471" s="2"/>
      <c r="I2471" s="9"/>
      <c r="J2471" s="2"/>
      <c r="L2471" s="9"/>
      <c r="M2471" s="2"/>
      <c r="N2471" s="9"/>
      <c r="P2471" s="3">
        <v>-2425.4094919999998</v>
      </c>
      <c r="S2471" s="9"/>
      <c r="T2471" s="2"/>
      <c r="U2471" s="9"/>
    </row>
    <row r="2472" spans="2:21" x14ac:dyDescent="0.35">
      <c r="B2472" s="9"/>
      <c r="C2472" s="2"/>
      <c r="D2472" s="2"/>
      <c r="I2472" s="9"/>
      <c r="J2472" s="2"/>
      <c r="L2472" s="9"/>
      <c r="M2472" s="2"/>
      <c r="N2472" s="9"/>
      <c r="P2472" s="3">
        <v>-2860.169492</v>
      </c>
      <c r="S2472" s="9"/>
      <c r="T2472" s="2"/>
      <c r="U2472" s="9"/>
    </row>
    <row r="2473" spans="2:21" x14ac:dyDescent="0.35">
      <c r="B2473" s="9"/>
      <c r="C2473" s="2"/>
      <c r="D2473" s="2"/>
      <c r="I2473" s="9"/>
      <c r="J2473" s="2"/>
      <c r="L2473" s="9"/>
      <c r="M2473" s="2"/>
      <c r="N2473" s="9"/>
      <c r="P2473" s="3">
        <v>-2774.1557565600001</v>
      </c>
      <c r="S2473" s="9"/>
      <c r="T2473" s="2"/>
      <c r="U2473" s="9"/>
    </row>
    <row r="2474" spans="2:21" x14ac:dyDescent="0.35">
      <c r="B2474" s="9"/>
      <c r="C2474" s="2"/>
      <c r="D2474" s="2"/>
      <c r="I2474" s="9"/>
      <c r="J2474" s="2"/>
      <c r="L2474" s="9"/>
      <c r="M2474" s="2"/>
      <c r="N2474" s="9"/>
      <c r="P2474" s="3">
        <v>-2339.3957565599999</v>
      </c>
      <c r="S2474" s="9"/>
      <c r="T2474" s="2"/>
      <c r="U2474" s="9"/>
    </row>
    <row r="2475" spans="2:21" x14ac:dyDescent="0.35">
      <c r="B2475" s="9"/>
      <c r="C2475" s="2"/>
      <c r="D2475" s="2"/>
      <c r="I2475" s="9"/>
      <c r="J2475" s="2"/>
      <c r="L2475" s="9"/>
      <c r="M2475" s="2"/>
      <c r="N2475" s="9"/>
      <c r="P2475" s="3">
        <v>-2123.8739869299998</v>
      </c>
      <c r="S2475" s="9"/>
      <c r="T2475" s="2"/>
      <c r="U2475" s="9"/>
    </row>
    <row r="2476" spans="2:21" x14ac:dyDescent="0.35">
      <c r="B2476" s="9"/>
      <c r="C2476" s="2"/>
      <c r="D2476" s="2"/>
      <c r="I2476" s="9"/>
      <c r="J2476" s="2"/>
      <c r="L2476" s="9"/>
      <c r="M2476" s="2"/>
      <c r="N2476" s="9"/>
      <c r="P2476" s="3">
        <v>-1923.3842871899999</v>
      </c>
      <c r="S2476" s="9"/>
      <c r="T2476" s="2"/>
      <c r="U2476" s="9"/>
    </row>
    <row r="2477" spans="2:21" x14ac:dyDescent="0.35">
      <c r="B2477" s="9"/>
      <c r="C2477" s="2"/>
      <c r="D2477" s="2"/>
      <c r="I2477" s="9"/>
      <c r="J2477" s="2"/>
      <c r="L2477" s="9"/>
      <c r="M2477" s="2"/>
      <c r="N2477" s="9"/>
      <c r="P2477" s="3">
        <v>-1903.2998071899999</v>
      </c>
      <c r="S2477" s="9"/>
      <c r="T2477" s="2"/>
      <c r="U2477" s="9"/>
    </row>
    <row r="2478" spans="2:21" x14ac:dyDescent="0.35">
      <c r="B2478" s="9"/>
      <c r="C2478" s="2"/>
      <c r="D2478" s="2"/>
      <c r="I2478" s="9"/>
      <c r="J2478" s="2"/>
      <c r="L2478" s="9"/>
      <c r="M2478" s="2"/>
      <c r="N2478" s="9"/>
      <c r="P2478" s="3">
        <v>-1711.6735175700001</v>
      </c>
      <c r="S2478" s="9"/>
      <c r="T2478" s="2"/>
      <c r="U2478" s="9"/>
    </row>
    <row r="2479" spans="2:21" x14ac:dyDescent="0.35">
      <c r="B2479" s="9"/>
      <c r="C2479" s="2"/>
      <c r="D2479" s="2"/>
      <c r="I2479" s="9"/>
      <c r="J2479" s="2"/>
      <c r="L2479" s="9"/>
      <c r="M2479" s="2"/>
      <c r="N2479" s="9"/>
      <c r="P2479" s="3">
        <v>-1832.60852757</v>
      </c>
      <c r="S2479" s="9"/>
      <c r="T2479" s="2"/>
      <c r="U2479" s="9"/>
    </row>
    <row r="2480" spans="2:21" x14ac:dyDescent="0.35">
      <c r="B2480" s="9"/>
      <c r="C2480" s="2"/>
      <c r="D2480" s="2"/>
      <c r="I2480" s="9"/>
      <c r="J2480" s="2"/>
      <c r="L2480" s="9"/>
      <c r="M2480" s="2"/>
      <c r="N2480" s="9"/>
      <c r="P2480" s="3">
        <v>-1942.7259775699999</v>
      </c>
      <c r="S2480" s="9"/>
      <c r="T2480" s="2"/>
      <c r="U2480" s="9"/>
    </row>
    <row r="2481" spans="2:21" x14ac:dyDescent="0.35">
      <c r="B2481" s="9"/>
      <c r="C2481" s="2"/>
      <c r="D2481" s="2"/>
      <c r="I2481" s="9"/>
      <c r="J2481" s="2"/>
      <c r="L2481" s="9"/>
      <c r="M2481" s="2"/>
      <c r="N2481" s="9"/>
      <c r="P2481" s="3">
        <v>-2028.5408375699999</v>
      </c>
      <c r="S2481" s="9"/>
      <c r="T2481" s="2"/>
      <c r="U2481" s="9"/>
    </row>
    <row r="2482" spans="2:21" x14ac:dyDescent="0.35">
      <c r="B2482" s="9"/>
      <c r="C2482" s="2"/>
      <c r="D2482" s="2"/>
      <c r="I2482" s="9"/>
      <c r="J2482" s="2"/>
      <c r="L2482" s="9"/>
      <c r="M2482" s="2"/>
      <c r="N2482" s="9"/>
      <c r="P2482" s="3">
        <v>-2009.50360757</v>
      </c>
      <c r="S2482" s="9"/>
      <c r="T2482" s="2"/>
      <c r="U2482" s="9"/>
    </row>
    <row r="2483" spans="2:21" x14ac:dyDescent="0.35">
      <c r="B2483" s="9"/>
      <c r="C2483" s="2"/>
      <c r="D2483" s="2"/>
      <c r="I2483" s="9"/>
      <c r="J2483" s="2"/>
      <c r="L2483" s="9"/>
      <c r="M2483" s="2"/>
      <c r="N2483" s="9"/>
      <c r="P2483" s="3">
        <v>-1891.44551757</v>
      </c>
      <c r="S2483" s="9"/>
      <c r="T2483" s="2"/>
      <c r="U2483" s="9"/>
    </row>
    <row r="2484" spans="2:21" x14ac:dyDescent="0.35">
      <c r="B2484" s="9"/>
      <c r="C2484" s="2"/>
      <c r="D2484" s="2"/>
      <c r="I2484" s="9"/>
      <c r="J2484" s="2"/>
      <c r="L2484" s="9"/>
      <c r="M2484" s="2"/>
      <c r="N2484" s="9"/>
      <c r="P2484" s="3">
        <v>-1625.8707275700001</v>
      </c>
      <c r="S2484" s="9"/>
      <c r="T2484" s="2"/>
      <c r="U2484" s="9"/>
    </row>
    <row r="2485" spans="2:21" x14ac:dyDescent="0.35">
      <c r="B2485" s="9"/>
      <c r="C2485" s="2"/>
      <c r="D2485" s="2"/>
      <c r="I2485" s="9"/>
      <c r="J2485" s="2"/>
      <c r="L2485" s="9"/>
      <c r="M2485" s="2"/>
      <c r="N2485" s="9"/>
      <c r="P2485" s="3">
        <v>-1470.5276975700001</v>
      </c>
      <c r="S2485" s="9"/>
      <c r="T2485" s="2"/>
      <c r="U2485" s="9"/>
    </row>
    <row r="2486" spans="2:21" x14ac:dyDescent="0.35">
      <c r="B2486" s="9"/>
      <c r="C2486" s="2"/>
      <c r="D2486" s="2"/>
      <c r="I2486" s="9"/>
      <c r="J2486" s="2"/>
      <c r="L2486" s="9"/>
      <c r="M2486" s="2"/>
      <c r="N2486" s="9"/>
      <c r="P2486" s="3">
        <v>-1035.7676975700001</v>
      </c>
      <c r="S2486" s="9"/>
      <c r="T2486" s="2"/>
      <c r="U2486" s="9"/>
    </row>
    <row r="2487" spans="2:21" x14ac:dyDescent="0.35">
      <c r="B2487" s="9"/>
      <c r="C2487" s="2"/>
      <c r="D2487" s="2"/>
      <c r="I2487" s="9"/>
      <c r="J2487" s="2"/>
      <c r="L2487" s="9"/>
      <c r="M2487" s="2"/>
      <c r="N2487" s="9"/>
      <c r="P2487" s="3">
        <v>-601.00769757</v>
      </c>
      <c r="S2487" s="9"/>
      <c r="T2487" s="2"/>
      <c r="U2487" s="9"/>
    </row>
    <row r="2488" spans="2:21" x14ac:dyDescent="0.35">
      <c r="B2488" s="9"/>
      <c r="C2488" s="2"/>
      <c r="D2488" s="2"/>
      <c r="I2488" s="9"/>
      <c r="J2488" s="2"/>
      <c r="L2488" s="9"/>
      <c r="M2488" s="2"/>
      <c r="N2488" s="9"/>
      <c r="P2488" s="3">
        <v>-166.24769757000001</v>
      </c>
      <c r="S2488" s="9"/>
      <c r="T2488" s="2"/>
      <c r="U2488" s="9"/>
    </row>
    <row r="2489" spans="2:21" x14ac:dyDescent="0.35">
      <c r="B2489" s="9"/>
      <c r="C2489" s="2"/>
      <c r="D2489" s="2"/>
      <c r="I2489" s="9"/>
      <c r="J2489" s="2"/>
      <c r="L2489" s="9"/>
      <c r="M2489" s="2"/>
      <c r="N2489" s="9"/>
      <c r="P2489" s="3">
        <v>0</v>
      </c>
      <c r="S2489" s="9"/>
      <c r="T2489" s="2"/>
      <c r="U2489" s="9"/>
    </row>
    <row r="2490" spans="2:21" x14ac:dyDescent="0.35">
      <c r="B2490" s="9"/>
      <c r="C2490" s="2"/>
      <c r="D2490" s="2"/>
      <c r="I2490" s="9"/>
      <c r="J2490" s="2"/>
      <c r="L2490" s="9"/>
      <c r="M2490" s="2"/>
      <c r="N2490" s="9"/>
      <c r="P2490" s="3">
        <v>0</v>
      </c>
      <c r="S2490" s="9"/>
      <c r="T2490" s="2"/>
      <c r="U2490" s="9"/>
    </row>
    <row r="2491" spans="2:21" x14ac:dyDescent="0.35">
      <c r="B2491" s="9"/>
      <c r="C2491" s="2"/>
      <c r="D2491" s="2"/>
      <c r="I2491" s="9"/>
      <c r="J2491" s="2"/>
      <c r="L2491" s="9"/>
      <c r="M2491" s="2"/>
      <c r="N2491" s="9"/>
      <c r="P2491" s="3">
        <v>0</v>
      </c>
      <c r="S2491" s="9"/>
      <c r="T2491" s="2"/>
      <c r="U2491" s="9"/>
    </row>
    <row r="2492" spans="2:21" x14ac:dyDescent="0.35">
      <c r="B2492" s="9"/>
      <c r="C2492" s="2"/>
      <c r="D2492" s="2"/>
      <c r="I2492" s="9"/>
      <c r="J2492" s="2"/>
      <c r="L2492" s="9"/>
      <c r="M2492" s="2"/>
      <c r="N2492" s="9"/>
      <c r="P2492" s="3">
        <v>0</v>
      </c>
      <c r="S2492" s="9"/>
      <c r="T2492" s="2"/>
      <c r="U2492" s="9"/>
    </row>
    <row r="2493" spans="2:21" x14ac:dyDescent="0.35">
      <c r="B2493" s="9"/>
      <c r="C2493" s="2"/>
      <c r="D2493" s="2"/>
      <c r="I2493" s="9"/>
      <c r="J2493" s="2"/>
      <c r="L2493" s="9"/>
      <c r="M2493" s="2"/>
      <c r="N2493" s="9"/>
      <c r="P2493" s="3">
        <v>0</v>
      </c>
      <c r="S2493" s="9"/>
      <c r="T2493" s="2"/>
      <c r="U2493" s="9"/>
    </row>
    <row r="2494" spans="2:21" x14ac:dyDescent="0.35">
      <c r="B2494" s="9"/>
      <c r="C2494" s="2"/>
      <c r="D2494" s="2"/>
      <c r="I2494" s="9"/>
      <c r="J2494" s="2"/>
      <c r="L2494" s="9"/>
      <c r="M2494" s="2"/>
      <c r="N2494" s="9"/>
      <c r="P2494" s="3">
        <v>0</v>
      </c>
      <c r="S2494" s="9"/>
      <c r="T2494" s="2"/>
      <c r="U2494" s="9"/>
    </row>
    <row r="2495" spans="2:21" x14ac:dyDescent="0.35">
      <c r="B2495" s="9"/>
      <c r="C2495" s="2"/>
      <c r="D2495" s="2"/>
      <c r="I2495" s="9"/>
      <c r="J2495" s="2"/>
      <c r="L2495" s="9"/>
      <c r="M2495" s="2"/>
      <c r="N2495" s="9"/>
      <c r="P2495" s="3">
        <v>-338.56828757</v>
      </c>
      <c r="S2495" s="9"/>
      <c r="T2495" s="2"/>
      <c r="U2495" s="9"/>
    </row>
    <row r="2496" spans="2:21" x14ac:dyDescent="0.35">
      <c r="B2496" s="9"/>
      <c r="C2496" s="2"/>
      <c r="D2496" s="2"/>
      <c r="I2496" s="9"/>
      <c r="J2496" s="2"/>
      <c r="L2496" s="9"/>
      <c r="M2496" s="2"/>
      <c r="N2496" s="9"/>
      <c r="P2496" s="3">
        <v>-773.32828757000004</v>
      </c>
      <c r="S2496" s="9"/>
      <c r="T2496" s="2"/>
      <c r="U2496" s="9"/>
    </row>
    <row r="2497" spans="2:21" x14ac:dyDescent="0.35">
      <c r="B2497" s="9"/>
      <c r="C2497" s="2"/>
      <c r="D2497" s="2"/>
      <c r="I2497" s="9"/>
      <c r="J2497" s="2"/>
      <c r="L2497" s="9"/>
      <c r="M2497" s="2"/>
      <c r="N2497" s="9"/>
      <c r="P2497" s="3">
        <v>-1208.0882875699999</v>
      </c>
      <c r="S2497" s="9"/>
      <c r="T2497" s="2"/>
      <c r="U2497" s="9"/>
    </row>
    <row r="2498" spans="2:21" x14ac:dyDescent="0.35">
      <c r="B2498" s="9"/>
      <c r="C2498" s="2"/>
      <c r="D2498" s="2"/>
      <c r="I2498" s="9"/>
      <c r="J2498" s="2"/>
      <c r="L2498" s="9"/>
      <c r="M2498" s="2"/>
      <c r="N2498" s="9"/>
      <c r="P2498" s="3">
        <v>-773.32828757000004</v>
      </c>
      <c r="S2498" s="9"/>
      <c r="T2498" s="2"/>
      <c r="U2498" s="9"/>
    </row>
    <row r="2499" spans="2:21" x14ac:dyDescent="0.35">
      <c r="B2499" s="9"/>
      <c r="C2499" s="2"/>
      <c r="D2499" s="2"/>
      <c r="I2499" s="9"/>
      <c r="J2499" s="2"/>
      <c r="L2499" s="9"/>
      <c r="M2499" s="2"/>
      <c r="N2499" s="9"/>
      <c r="P2499" s="3">
        <v>-422.80412756999999</v>
      </c>
      <c r="S2499" s="9"/>
      <c r="T2499" s="2"/>
      <c r="U2499" s="9"/>
    </row>
    <row r="2500" spans="2:21" x14ac:dyDescent="0.35">
      <c r="B2500" s="9"/>
      <c r="C2500" s="2"/>
      <c r="D2500" s="2"/>
      <c r="I2500" s="9"/>
      <c r="J2500" s="2"/>
      <c r="L2500" s="9"/>
      <c r="M2500" s="2"/>
      <c r="N2500" s="9"/>
      <c r="P2500" s="3">
        <v>-223.81952756999999</v>
      </c>
      <c r="S2500" s="9"/>
      <c r="T2500" s="2"/>
      <c r="U2500" s="9"/>
    </row>
    <row r="2501" spans="2:21" x14ac:dyDescent="0.35">
      <c r="B2501" s="9"/>
      <c r="C2501" s="2"/>
      <c r="D2501" s="2"/>
      <c r="I2501" s="9"/>
      <c r="J2501" s="2"/>
      <c r="L2501" s="9"/>
      <c r="M2501" s="2"/>
      <c r="N2501" s="9"/>
      <c r="P2501" s="3">
        <v>-293.44354757000002</v>
      </c>
      <c r="S2501" s="9"/>
      <c r="T2501" s="2"/>
      <c r="U2501" s="9"/>
    </row>
    <row r="2502" spans="2:21" x14ac:dyDescent="0.35">
      <c r="B2502" s="9"/>
      <c r="C2502" s="2"/>
      <c r="D2502" s="2"/>
      <c r="I2502" s="9"/>
      <c r="J2502" s="2"/>
      <c r="L2502" s="9"/>
      <c r="M2502" s="2"/>
      <c r="N2502" s="9"/>
      <c r="P2502" s="3">
        <v>-340.67528991</v>
      </c>
      <c r="S2502" s="9"/>
      <c r="T2502" s="2"/>
      <c r="U2502" s="9"/>
    </row>
    <row r="2503" spans="2:21" x14ac:dyDescent="0.35">
      <c r="B2503" s="9"/>
      <c r="C2503" s="2"/>
      <c r="D2503" s="2"/>
      <c r="I2503" s="9"/>
      <c r="J2503" s="2"/>
      <c r="L2503" s="9"/>
      <c r="M2503" s="2"/>
      <c r="N2503" s="9"/>
      <c r="P2503" s="3">
        <v>-246.56265991000001</v>
      </c>
      <c r="S2503" s="9"/>
      <c r="T2503" s="2"/>
      <c r="U2503" s="9"/>
    </row>
    <row r="2504" spans="2:21" x14ac:dyDescent="0.35">
      <c r="B2504" s="9"/>
      <c r="C2504" s="2"/>
      <c r="D2504" s="2"/>
      <c r="I2504" s="9"/>
      <c r="J2504" s="2"/>
      <c r="L2504" s="9"/>
      <c r="M2504" s="2"/>
      <c r="N2504" s="9"/>
      <c r="P2504" s="3">
        <v>-272.11342990999998</v>
      </c>
      <c r="S2504" s="9"/>
      <c r="T2504" s="2"/>
      <c r="U2504" s="9"/>
    </row>
    <row r="2505" spans="2:21" x14ac:dyDescent="0.35">
      <c r="B2505" s="9"/>
      <c r="C2505" s="2"/>
      <c r="D2505" s="2"/>
      <c r="I2505" s="9"/>
      <c r="J2505" s="2"/>
      <c r="L2505" s="9"/>
      <c r="M2505" s="2"/>
      <c r="N2505" s="9"/>
      <c r="P2505" s="3">
        <v>-360.99761991000003</v>
      </c>
      <c r="S2505" s="9"/>
      <c r="T2505" s="2"/>
      <c r="U2505" s="9"/>
    </row>
    <row r="2506" spans="2:21" x14ac:dyDescent="0.35">
      <c r="B2506" s="9"/>
      <c r="C2506" s="2"/>
      <c r="D2506" s="2"/>
      <c r="I2506" s="9"/>
      <c r="J2506" s="2"/>
      <c r="L2506" s="9"/>
      <c r="M2506" s="2"/>
      <c r="N2506" s="9"/>
      <c r="P2506" s="3">
        <v>-394.97324990999999</v>
      </c>
      <c r="S2506" s="9"/>
      <c r="T2506" s="2"/>
      <c r="U2506" s="9"/>
    </row>
    <row r="2507" spans="2:21" x14ac:dyDescent="0.35">
      <c r="B2507" s="9"/>
      <c r="C2507" s="2"/>
      <c r="D2507" s="2"/>
      <c r="I2507" s="9"/>
      <c r="J2507" s="2"/>
      <c r="L2507" s="9"/>
      <c r="M2507" s="2"/>
      <c r="N2507" s="9"/>
      <c r="P2507" s="3">
        <v>-404.88910991</v>
      </c>
      <c r="S2507" s="9"/>
      <c r="T2507" s="2"/>
      <c r="U2507" s="9"/>
    </row>
    <row r="2508" spans="2:21" x14ac:dyDescent="0.35">
      <c r="B2508" s="9"/>
      <c r="C2508" s="2"/>
      <c r="D2508" s="2"/>
      <c r="I2508" s="9"/>
      <c r="J2508" s="2"/>
      <c r="L2508" s="9"/>
      <c r="M2508" s="2"/>
      <c r="N2508" s="9"/>
      <c r="P2508" s="3">
        <v>-395.96227991000001</v>
      </c>
      <c r="S2508" s="9"/>
      <c r="T2508" s="2"/>
      <c r="U2508" s="9"/>
    </row>
    <row r="2509" spans="2:21" x14ac:dyDescent="0.35">
      <c r="B2509" s="9"/>
      <c r="C2509" s="2"/>
      <c r="D2509" s="2"/>
      <c r="I2509" s="9"/>
      <c r="J2509" s="2"/>
      <c r="L2509" s="9"/>
      <c r="M2509" s="2"/>
      <c r="N2509" s="9"/>
      <c r="P2509" s="3">
        <v>-471.05968990999997</v>
      </c>
      <c r="S2509" s="9"/>
      <c r="T2509" s="2"/>
      <c r="U2509" s="9"/>
    </row>
    <row r="2510" spans="2:21" x14ac:dyDescent="0.35">
      <c r="B2510" s="9"/>
      <c r="C2510" s="2"/>
      <c r="D2510" s="2"/>
      <c r="I2510" s="9"/>
      <c r="J2510" s="2"/>
      <c r="L2510" s="9"/>
      <c r="M2510" s="2"/>
      <c r="N2510" s="9"/>
      <c r="P2510" s="3">
        <v>-434.76</v>
      </c>
      <c r="S2510" s="9"/>
      <c r="T2510" s="2"/>
      <c r="U2510" s="9"/>
    </row>
    <row r="2511" spans="2:21" x14ac:dyDescent="0.35">
      <c r="B2511" s="9"/>
      <c r="C2511" s="2"/>
      <c r="D2511" s="2"/>
      <c r="I2511" s="9"/>
      <c r="J2511" s="2"/>
      <c r="L2511" s="9"/>
      <c r="M2511" s="2"/>
      <c r="N2511" s="9"/>
      <c r="P2511" s="3">
        <v>0</v>
      </c>
      <c r="S2511" s="9"/>
      <c r="T2511" s="2"/>
      <c r="U2511" s="9"/>
    </row>
    <row r="2512" spans="2:21" x14ac:dyDescent="0.35">
      <c r="B2512" s="9"/>
      <c r="C2512" s="2"/>
      <c r="D2512" s="2"/>
      <c r="I2512" s="9"/>
      <c r="J2512" s="2"/>
      <c r="L2512" s="9"/>
      <c r="M2512" s="2"/>
      <c r="N2512" s="9"/>
      <c r="P2512" s="3">
        <v>0</v>
      </c>
      <c r="S2512" s="9"/>
      <c r="T2512" s="2"/>
      <c r="U2512" s="9"/>
    </row>
    <row r="2513" spans="2:21" x14ac:dyDescent="0.35">
      <c r="B2513" s="9"/>
      <c r="C2513" s="2"/>
      <c r="D2513" s="2"/>
      <c r="I2513" s="9"/>
      <c r="J2513" s="2"/>
      <c r="L2513" s="9"/>
      <c r="M2513" s="2"/>
      <c r="N2513" s="9"/>
      <c r="P2513" s="3">
        <v>0</v>
      </c>
      <c r="S2513" s="9"/>
      <c r="T2513" s="2"/>
      <c r="U2513" s="9"/>
    </row>
    <row r="2514" spans="2:21" x14ac:dyDescent="0.35">
      <c r="B2514" s="9"/>
      <c r="C2514" s="2"/>
      <c r="D2514" s="2"/>
      <c r="I2514" s="9"/>
      <c r="J2514" s="2"/>
      <c r="L2514" s="9"/>
      <c r="M2514" s="2"/>
      <c r="N2514" s="9"/>
      <c r="P2514" s="3">
        <v>0</v>
      </c>
      <c r="S2514" s="9"/>
      <c r="T2514" s="2"/>
      <c r="U2514" s="9"/>
    </row>
    <row r="2515" spans="2:21" x14ac:dyDescent="0.35">
      <c r="B2515" s="9"/>
      <c r="C2515" s="2"/>
      <c r="D2515" s="2"/>
      <c r="I2515" s="9"/>
      <c r="J2515" s="2"/>
      <c r="L2515" s="9"/>
      <c r="M2515" s="2"/>
      <c r="N2515" s="9"/>
      <c r="P2515" s="3">
        <v>0</v>
      </c>
      <c r="S2515" s="9"/>
      <c r="T2515" s="2"/>
      <c r="U2515" s="9"/>
    </row>
    <row r="2516" spans="2:21" x14ac:dyDescent="0.35">
      <c r="B2516" s="9"/>
      <c r="C2516" s="2"/>
      <c r="D2516" s="2"/>
      <c r="I2516" s="9"/>
      <c r="J2516" s="2"/>
      <c r="L2516" s="9"/>
      <c r="M2516" s="2"/>
      <c r="N2516" s="9"/>
      <c r="P2516" s="3">
        <v>0</v>
      </c>
      <c r="S2516" s="9"/>
      <c r="T2516" s="2"/>
      <c r="U2516" s="9"/>
    </row>
    <row r="2517" spans="2:21" x14ac:dyDescent="0.35">
      <c r="B2517" s="9"/>
      <c r="C2517" s="2"/>
      <c r="D2517" s="2"/>
      <c r="I2517" s="9"/>
      <c r="J2517" s="2"/>
      <c r="L2517" s="9"/>
      <c r="M2517" s="2"/>
      <c r="N2517" s="9"/>
      <c r="P2517" s="3">
        <v>0</v>
      </c>
      <c r="S2517" s="9"/>
      <c r="T2517" s="2"/>
      <c r="U2517" s="9"/>
    </row>
    <row r="2518" spans="2:21" x14ac:dyDescent="0.35">
      <c r="B2518" s="9"/>
      <c r="C2518" s="2"/>
      <c r="D2518" s="2"/>
      <c r="I2518" s="9"/>
      <c r="J2518" s="2"/>
      <c r="L2518" s="9"/>
      <c r="M2518" s="2"/>
      <c r="N2518" s="9"/>
      <c r="P2518" s="3">
        <v>0</v>
      </c>
      <c r="S2518" s="9"/>
      <c r="T2518" s="2"/>
      <c r="U2518" s="9"/>
    </row>
    <row r="2519" spans="2:21" x14ac:dyDescent="0.35">
      <c r="B2519" s="9"/>
      <c r="C2519" s="2"/>
      <c r="D2519" s="2"/>
      <c r="I2519" s="9"/>
      <c r="J2519" s="2"/>
      <c r="L2519" s="9"/>
      <c r="M2519" s="2"/>
      <c r="N2519" s="9"/>
      <c r="P2519" s="3">
        <v>0</v>
      </c>
      <c r="S2519" s="9"/>
      <c r="T2519" s="2"/>
      <c r="U2519" s="9"/>
    </row>
    <row r="2520" spans="2:21" x14ac:dyDescent="0.35">
      <c r="B2520" s="9"/>
      <c r="C2520" s="2"/>
      <c r="D2520" s="2"/>
      <c r="I2520" s="9"/>
      <c r="J2520" s="2"/>
      <c r="L2520" s="9"/>
      <c r="M2520" s="2"/>
      <c r="N2520" s="9"/>
      <c r="P2520" s="3">
        <v>-161.19792576</v>
      </c>
      <c r="S2520" s="9"/>
      <c r="T2520" s="2"/>
      <c r="U2520" s="9"/>
    </row>
    <row r="2521" spans="2:21" x14ac:dyDescent="0.35">
      <c r="B2521" s="9"/>
      <c r="C2521" s="2"/>
      <c r="D2521" s="2"/>
      <c r="I2521" s="9"/>
      <c r="J2521" s="2"/>
      <c r="L2521" s="9"/>
      <c r="M2521" s="2"/>
      <c r="N2521" s="9"/>
      <c r="P2521" s="3">
        <v>-595.95792575999997</v>
      </c>
      <c r="S2521" s="9"/>
      <c r="T2521" s="2"/>
      <c r="U2521" s="9"/>
    </row>
    <row r="2522" spans="2:21" x14ac:dyDescent="0.35">
      <c r="B2522" s="9"/>
      <c r="C2522" s="2"/>
      <c r="D2522" s="2"/>
      <c r="I2522" s="9"/>
      <c r="J2522" s="2"/>
      <c r="L2522" s="9"/>
      <c r="M2522" s="2"/>
      <c r="N2522" s="9"/>
      <c r="P2522" s="3">
        <v>-212.01618991000001</v>
      </c>
      <c r="S2522" s="9"/>
      <c r="T2522" s="2"/>
      <c r="U2522" s="9"/>
    </row>
    <row r="2523" spans="2:21" x14ac:dyDescent="0.35">
      <c r="B2523" s="9"/>
      <c r="C2523" s="2"/>
      <c r="D2523" s="2"/>
      <c r="I2523" s="9"/>
      <c r="J2523" s="2"/>
      <c r="L2523" s="9"/>
      <c r="M2523" s="2"/>
      <c r="N2523" s="9"/>
      <c r="P2523" s="3">
        <v>83.303340090000006</v>
      </c>
      <c r="S2523" s="9"/>
      <c r="T2523" s="2"/>
      <c r="U2523" s="9"/>
    </row>
    <row r="2524" spans="2:21" x14ac:dyDescent="0.35">
      <c r="B2524" s="9"/>
      <c r="C2524" s="2"/>
      <c r="D2524" s="2"/>
      <c r="I2524" s="9"/>
      <c r="J2524" s="2"/>
      <c r="L2524" s="9"/>
      <c r="M2524" s="2"/>
      <c r="N2524" s="9"/>
      <c r="P2524" s="3">
        <v>461.75819009000003</v>
      </c>
      <c r="S2524" s="9"/>
      <c r="T2524" s="2"/>
      <c r="U2524" s="9"/>
    </row>
    <row r="2525" spans="2:21" x14ac:dyDescent="0.35">
      <c r="B2525" s="9"/>
      <c r="C2525" s="2"/>
      <c r="D2525" s="2"/>
      <c r="I2525" s="9"/>
      <c r="J2525" s="2"/>
      <c r="L2525" s="9"/>
      <c r="M2525" s="2"/>
      <c r="N2525" s="9"/>
      <c r="P2525" s="3">
        <v>658.68734009000002</v>
      </c>
      <c r="S2525" s="9"/>
      <c r="T2525" s="2"/>
      <c r="U2525" s="9"/>
    </row>
    <row r="2526" spans="2:21" x14ac:dyDescent="0.35">
      <c r="B2526" s="9"/>
      <c r="C2526" s="2"/>
      <c r="D2526" s="2"/>
      <c r="I2526" s="9"/>
      <c r="J2526" s="2"/>
      <c r="L2526" s="9"/>
      <c r="M2526" s="2"/>
      <c r="N2526" s="9"/>
      <c r="P2526" s="3">
        <v>444.64792656999998</v>
      </c>
      <c r="S2526" s="9"/>
      <c r="T2526" s="2"/>
      <c r="U2526" s="9"/>
    </row>
    <row r="2527" spans="2:21" x14ac:dyDescent="0.35">
      <c r="B2527" s="9"/>
      <c r="C2527" s="2"/>
      <c r="D2527" s="2"/>
      <c r="I2527" s="9"/>
      <c r="J2527" s="2"/>
      <c r="L2527" s="9"/>
      <c r="M2527" s="2"/>
      <c r="N2527" s="9"/>
      <c r="P2527" s="3">
        <v>502.53209657000002</v>
      </c>
      <c r="S2527" s="9"/>
      <c r="T2527" s="2"/>
      <c r="U2527" s="9"/>
    </row>
    <row r="2528" spans="2:21" x14ac:dyDescent="0.35">
      <c r="B2528" s="9"/>
      <c r="C2528" s="2"/>
      <c r="D2528" s="2"/>
      <c r="I2528" s="9"/>
      <c r="J2528" s="2"/>
      <c r="L2528" s="9"/>
      <c r="M2528" s="2"/>
      <c r="N2528" s="9"/>
      <c r="P2528" s="3">
        <v>495.02668656999998</v>
      </c>
      <c r="S2528" s="9"/>
      <c r="T2528" s="2"/>
      <c r="U2528" s="9"/>
    </row>
    <row r="2529" spans="2:21" x14ac:dyDescent="0.35">
      <c r="B2529" s="9"/>
      <c r="C2529" s="2"/>
      <c r="D2529" s="2"/>
      <c r="I2529" s="9"/>
      <c r="J2529" s="2"/>
      <c r="L2529" s="9"/>
      <c r="M2529" s="2"/>
      <c r="N2529" s="9"/>
      <c r="P2529" s="3">
        <v>485.56380657</v>
      </c>
      <c r="S2529" s="9"/>
      <c r="T2529" s="2"/>
      <c r="U2529" s="9"/>
    </row>
    <row r="2530" spans="2:21" x14ac:dyDescent="0.35">
      <c r="B2530" s="9"/>
      <c r="C2530" s="2"/>
      <c r="D2530" s="2"/>
      <c r="I2530" s="9"/>
      <c r="J2530" s="2"/>
      <c r="L2530" s="9"/>
      <c r="M2530" s="2"/>
      <c r="N2530" s="9"/>
      <c r="P2530" s="3">
        <v>471.61656656999997</v>
      </c>
      <c r="S2530" s="9"/>
      <c r="T2530" s="2"/>
      <c r="U2530" s="9"/>
    </row>
    <row r="2531" spans="2:21" x14ac:dyDescent="0.35">
      <c r="B2531" s="9"/>
      <c r="C2531" s="2"/>
      <c r="D2531" s="2"/>
      <c r="I2531" s="9"/>
      <c r="J2531" s="2"/>
      <c r="L2531" s="9"/>
      <c r="M2531" s="2"/>
      <c r="N2531" s="9"/>
      <c r="P2531" s="3">
        <v>564.29561305000004</v>
      </c>
      <c r="S2531" s="9"/>
      <c r="T2531" s="2"/>
      <c r="U2531" s="9"/>
    </row>
    <row r="2532" spans="2:21" x14ac:dyDescent="0.35">
      <c r="B2532" s="9"/>
      <c r="C2532" s="2"/>
      <c r="D2532" s="2"/>
      <c r="I2532" s="9"/>
      <c r="J2532" s="2"/>
      <c r="L2532" s="9"/>
      <c r="M2532" s="2"/>
      <c r="N2532" s="9"/>
      <c r="P2532" s="3">
        <v>648.11101952000001</v>
      </c>
      <c r="S2532" s="9"/>
      <c r="T2532" s="2"/>
      <c r="U2532" s="9"/>
    </row>
    <row r="2533" spans="2:21" x14ac:dyDescent="0.35">
      <c r="B2533" s="9"/>
      <c r="C2533" s="2"/>
      <c r="D2533" s="2"/>
      <c r="I2533" s="9"/>
      <c r="J2533" s="2"/>
      <c r="L2533" s="9"/>
      <c r="M2533" s="2"/>
      <c r="N2533" s="9"/>
      <c r="P2533" s="3">
        <v>492.73281198000001</v>
      </c>
      <c r="S2533" s="9"/>
      <c r="T2533" s="2"/>
      <c r="U2533" s="9"/>
    </row>
    <row r="2534" spans="2:21" x14ac:dyDescent="0.35">
      <c r="B2534" s="9"/>
      <c r="C2534" s="2"/>
      <c r="D2534" s="2"/>
      <c r="I2534" s="9"/>
      <c r="J2534" s="2"/>
      <c r="L2534" s="9"/>
      <c r="M2534" s="2"/>
      <c r="N2534" s="9"/>
      <c r="P2534" s="3">
        <v>57.972811980000003</v>
      </c>
      <c r="S2534" s="9"/>
      <c r="T2534" s="2"/>
      <c r="U2534" s="9"/>
    </row>
    <row r="2535" spans="2:21" x14ac:dyDescent="0.35">
      <c r="B2535" s="9"/>
      <c r="C2535" s="2"/>
      <c r="D2535" s="2"/>
      <c r="I2535" s="9"/>
      <c r="J2535" s="2"/>
      <c r="L2535" s="9"/>
      <c r="M2535" s="2"/>
      <c r="N2535" s="9"/>
      <c r="P2535" s="3">
        <v>0</v>
      </c>
      <c r="S2535" s="9"/>
      <c r="T2535" s="2"/>
      <c r="U2535" s="9"/>
    </row>
    <row r="2536" spans="2:21" x14ac:dyDescent="0.35">
      <c r="B2536" s="9"/>
      <c r="C2536" s="2"/>
      <c r="D2536" s="2"/>
      <c r="I2536" s="9"/>
      <c r="J2536" s="2"/>
      <c r="L2536" s="9"/>
      <c r="M2536" s="2"/>
      <c r="N2536" s="9"/>
      <c r="P2536" s="3">
        <v>0</v>
      </c>
      <c r="S2536" s="9"/>
      <c r="T2536" s="2"/>
      <c r="U2536" s="9"/>
    </row>
    <row r="2537" spans="2:21" x14ac:dyDescent="0.35">
      <c r="B2537" s="9"/>
      <c r="C2537" s="2"/>
      <c r="D2537" s="2"/>
      <c r="I2537" s="9"/>
      <c r="J2537" s="2"/>
      <c r="L2537" s="9"/>
      <c r="M2537" s="2"/>
      <c r="N2537" s="9"/>
      <c r="P2537" s="3">
        <v>-251.60949199999999</v>
      </c>
      <c r="S2537" s="9"/>
      <c r="T2537" s="2"/>
      <c r="U2537" s="9"/>
    </row>
    <row r="2538" spans="2:21" x14ac:dyDescent="0.35">
      <c r="B2538" s="9"/>
      <c r="C2538" s="2"/>
      <c r="D2538" s="2"/>
      <c r="I2538" s="9"/>
      <c r="J2538" s="2"/>
      <c r="L2538" s="9"/>
      <c r="M2538" s="2"/>
      <c r="N2538" s="9"/>
      <c r="P2538" s="3">
        <v>-686.36949200000004</v>
      </c>
      <c r="S2538" s="9"/>
      <c r="T2538" s="2"/>
      <c r="U2538" s="9"/>
    </row>
    <row r="2539" spans="2:21" x14ac:dyDescent="0.35">
      <c r="B2539" s="9"/>
      <c r="C2539" s="2"/>
      <c r="D2539" s="2"/>
      <c r="I2539" s="9"/>
      <c r="J2539" s="2"/>
      <c r="L2539" s="9"/>
      <c r="M2539" s="2"/>
      <c r="N2539" s="9"/>
      <c r="P2539" s="3">
        <v>-1121.129492</v>
      </c>
      <c r="S2539" s="9"/>
      <c r="T2539" s="2"/>
      <c r="U2539" s="9"/>
    </row>
    <row r="2540" spans="2:21" x14ac:dyDescent="0.35">
      <c r="B2540" s="9"/>
      <c r="C2540" s="2"/>
      <c r="D2540" s="2"/>
      <c r="I2540" s="9"/>
      <c r="J2540" s="2"/>
      <c r="L2540" s="9"/>
      <c r="M2540" s="2"/>
      <c r="N2540" s="9"/>
      <c r="P2540" s="3">
        <v>-1555.889492</v>
      </c>
      <c r="S2540" s="9"/>
      <c r="T2540" s="2"/>
      <c r="U2540" s="9"/>
    </row>
    <row r="2541" spans="2:21" x14ac:dyDescent="0.35">
      <c r="B2541" s="9"/>
      <c r="C2541" s="2"/>
      <c r="D2541" s="2"/>
      <c r="I2541" s="9"/>
      <c r="J2541" s="2"/>
      <c r="L2541" s="9"/>
      <c r="M2541" s="2"/>
      <c r="N2541" s="9"/>
      <c r="P2541" s="3">
        <v>-1990.649492</v>
      </c>
      <c r="S2541" s="9"/>
      <c r="T2541" s="2"/>
      <c r="U2541" s="9"/>
    </row>
    <row r="2542" spans="2:21" x14ac:dyDescent="0.35">
      <c r="B2542" s="9"/>
      <c r="C2542" s="2"/>
      <c r="D2542" s="2"/>
      <c r="I2542" s="9"/>
      <c r="J2542" s="2"/>
      <c r="L2542" s="9"/>
      <c r="M2542" s="2"/>
      <c r="N2542" s="9"/>
      <c r="P2542" s="3">
        <v>-2425.4094919999998</v>
      </c>
      <c r="S2542" s="9"/>
      <c r="T2542" s="2"/>
      <c r="U2542" s="9"/>
    </row>
    <row r="2543" spans="2:21" x14ac:dyDescent="0.35">
      <c r="B2543" s="9"/>
      <c r="C2543" s="2"/>
      <c r="D2543" s="2"/>
      <c r="I2543" s="9"/>
      <c r="J2543" s="2"/>
      <c r="L2543" s="9"/>
      <c r="M2543" s="2"/>
      <c r="N2543" s="9"/>
      <c r="P2543" s="3">
        <v>-2860.169492</v>
      </c>
      <c r="S2543" s="9"/>
      <c r="T2543" s="2"/>
      <c r="U2543" s="9"/>
    </row>
    <row r="2544" spans="2:21" x14ac:dyDescent="0.35">
      <c r="B2544" s="9"/>
      <c r="C2544" s="2"/>
      <c r="D2544" s="2"/>
      <c r="I2544" s="9"/>
      <c r="J2544" s="2"/>
      <c r="L2544" s="9"/>
      <c r="M2544" s="2"/>
      <c r="N2544" s="9"/>
      <c r="P2544" s="3">
        <v>-2793.40643155</v>
      </c>
      <c r="S2544" s="9"/>
      <c r="T2544" s="2"/>
      <c r="U2544" s="9"/>
    </row>
    <row r="2545" spans="2:21" x14ac:dyDescent="0.35">
      <c r="B2545" s="9"/>
      <c r="C2545" s="2"/>
      <c r="D2545" s="2"/>
      <c r="I2545" s="9"/>
      <c r="J2545" s="2"/>
      <c r="L2545" s="9"/>
      <c r="M2545" s="2"/>
      <c r="N2545" s="9"/>
      <c r="P2545" s="3">
        <v>-2491.1412722999999</v>
      </c>
      <c r="S2545" s="9"/>
      <c r="T2545" s="2"/>
      <c r="U2545" s="9"/>
    </row>
    <row r="2546" spans="2:21" x14ac:dyDescent="0.35">
      <c r="B2546" s="9"/>
      <c r="C2546" s="2"/>
      <c r="D2546" s="2"/>
      <c r="I2546" s="9"/>
      <c r="J2546" s="2"/>
      <c r="L2546" s="9"/>
      <c r="M2546" s="2"/>
      <c r="N2546" s="9"/>
      <c r="P2546" s="3">
        <v>-2201.4415927999999</v>
      </c>
      <c r="S2546" s="9"/>
      <c r="T2546" s="2"/>
      <c r="U2546" s="9"/>
    </row>
    <row r="2547" spans="2:21" x14ac:dyDescent="0.35">
      <c r="B2547" s="9"/>
      <c r="C2547" s="2"/>
      <c r="D2547" s="2"/>
      <c r="I2547" s="9"/>
      <c r="J2547" s="2"/>
      <c r="L2547" s="9"/>
      <c r="M2547" s="2"/>
      <c r="N2547" s="9"/>
      <c r="P2547" s="3">
        <v>-2119.6987331800001</v>
      </c>
      <c r="S2547" s="9"/>
      <c r="T2547" s="2"/>
      <c r="U2547" s="9"/>
    </row>
    <row r="2548" spans="2:21" x14ac:dyDescent="0.35">
      <c r="B2548" s="9"/>
      <c r="C2548" s="2"/>
      <c r="D2548" s="2"/>
      <c r="I2548" s="9"/>
      <c r="J2548" s="2"/>
      <c r="L2548" s="9"/>
      <c r="M2548" s="2"/>
      <c r="N2548" s="9"/>
      <c r="P2548" s="3">
        <v>-2059.1372534299999</v>
      </c>
      <c r="S2548" s="9"/>
      <c r="T2548" s="2"/>
      <c r="U2548" s="9"/>
    </row>
    <row r="2549" spans="2:21" x14ac:dyDescent="0.35">
      <c r="B2549" s="9"/>
      <c r="C2549" s="2"/>
      <c r="D2549" s="2"/>
      <c r="I2549" s="9"/>
      <c r="J2549" s="2"/>
      <c r="L2549" s="9"/>
      <c r="M2549" s="2"/>
      <c r="N2549" s="9"/>
      <c r="P2549" s="3">
        <v>-2225.11253343</v>
      </c>
      <c r="S2549" s="9"/>
      <c r="T2549" s="2"/>
      <c r="U2549" s="9"/>
    </row>
    <row r="2550" spans="2:21" x14ac:dyDescent="0.35">
      <c r="B2550" s="9"/>
      <c r="C2550" s="2"/>
      <c r="D2550" s="2"/>
      <c r="I2550" s="9"/>
      <c r="J2550" s="2"/>
      <c r="L2550" s="9"/>
      <c r="M2550" s="2"/>
      <c r="N2550" s="9"/>
      <c r="P2550" s="3">
        <v>-2508.53789886</v>
      </c>
      <c r="S2550" s="9"/>
      <c r="T2550" s="2"/>
      <c r="U2550" s="9"/>
    </row>
    <row r="2551" spans="2:21" x14ac:dyDescent="0.35">
      <c r="B2551" s="9"/>
      <c r="C2551" s="2"/>
      <c r="D2551" s="2"/>
      <c r="I2551" s="9"/>
      <c r="J2551" s="2"/>
      <c r="L2551" s="9"/>
      <c r="M2551" s="2"/>
      <c r="N2551" s="9"/>
      <c r="P2551" s="3">
        <v>-2739.16577886</v>
      </c>
      <c r="S2551" s="9"/>
      <c r="T2551" s="2"/>
      <c r="U2551" s="9"/>
    </row>
    <row r="2552" spans="2:21" x14ac:dyDescent="0.35">
      <c r="B2552" s="9"/>
      <c r="C2552" s="2"/>
      <c r="D2552" s="2"/>
      <c r="I2552" s="9"/>
      <c r="J2552" s="2"/>
      <c r="L2552" s="9"/>
      <c r="M2552" s="2"/>
      <c r="N2552" s="9"/>
      <c r="P2552" s="3">
        <v>-2860.169492</v>
      </c>
      <c r="S2552" s="9"/>
      <c r="T2552" s="2"/>
      <c r="U2552" s="9"/>
    </row>
    <row r="2553" spans="2:21" x14ac:dyDescent="0.35">
      <c r="B2553" s="9"/>
      <c r="C2553" s="2"/>
      <c r="D2553" s="2"/>
      <c r="I2553" s="9"/>
      <c r="J2553" s="2"/>
      <c r="L2553" s="9"/>
      <c r="M2553" s="2"/>
      <c r="N2553" s="9"/>
      <c r="P2553" s="3">
        <v>-2860.169492</v>
      </c>
      <c r="S2553" s="9"/>
      <c r="T2553" s="2"/>
      <c r="U2553" s="9"/>
    </row>
    <row r="2554" spans="2:21" x14ac:dyDescent="0.35">
      <c r="B2554" s="9"/>
      <c r="C2554" s="2"/>
      <c r="D2554" s="2"/>
      <c r="I2554" s="9"/>
      <c r="J2554" s="2"/>
      <c r="L2554" s="9"/>
      <c r="M2554" s="2"/>
      <c r="N2554" s="9"/>
      <c r="P2554" s="3">
        <v>-2860.169492</v>
      </c>
      <c r="S2554" s="9"/>
      <c r="T2554" s="2"/>
      <c r="U2554" s="9"/>
    </row>
    <row r="2555" spans="2:21" x14ac:dyDescent="0.35">
      <c r="B2555" s="9"/>
      <c r="C2555" s="2"/>
      <c r="D2555" s="2"/>
      <c r="I2555" s="9"/>
      <c r="J2555" s="2"/>
      <c r="L2555" s="9"/>
      <c r="M2555" s="2"/>
      <c r="N2555" s="9"/>
      <c r="P2555" s="3">
        <v>-2483.34648238</v>
      </c>
      <c r="S2555" s="9"/>
      <c r="T2555" s="2"/>
      <c r="U2555" s="9"/>
    </row>
    <row r="2556" spans="2:21" x14ac:dyDescent="0.35">
      <c r="B2556" s="9"/>
      <c r="C2556" s="2"/>
      <c r="D2556" s="2"/>
      <c r="I2556" s="9"/>
      <c r="J2556" s="2"/>
      <c r="L2556" s="9"/>
      <c r="M2556" s="2"/>
      <c r="N2556" s="9"/>
      <c r="P2556" s="3">
        <v>-2157.7221159000001</v>
      </c>
      <c r="S2556" s="9"/>
      <c r="T2556" s="2"/>
      <c r="U2556" s="9"/>
    </row>
    <row r="2557" spans="2:21" x14ac:dyDescent="0.35">
      <c r="B2557" s="9"/>
      <c r="C2557" s="2"/>
      <c r="D2557" s="2"/>
      <c r="I2557" s="9"/>
      <c r="J2557" s="2"/>
      <c r="L2557" s="9"/>
      <c r="M2557" s="2"/>
      <c r="N2557" s="9"/>
      <c r="P2557" s="3">
        <v>-2252.1148734499998</v>
      </c>
      <c r="S2557" s="9"/>
      <c r="T2557" s="2"/>
      <c r="U2557" s="9"/>
    </row>
    <row r="2558" spans="2:21" x14ac:dyDescent="0.35">
      <c r="B2558" s="9"/>
      <c r="C2558" s="2"/>
      <c r="D2558" s="2"/>
      <c r="I2558" s="9"/>
      <c r="J2558" s="2"/>
      <c r="L2558" s="9"/>
      <c r="M2558" s="2"/>
      <c r="N2558" s="9"/>
      <c r="P2558" s="3">
        <v>-2686.87487345</v>
      </c>
      <c r="S2558" s="9"/>
      <c r="T2558" s="2"/>
      <c r="U2558" s="9"/>
    </row>
    <row r="2559" spans="2:21" x14ac:dyDescent="0.35">
      <c r="B2559" s="9"/>
      <c r="C2559" s="2"/>
      <c r="D2559" s="2"/>
      <c r="I2559" s="9"/>
      <c r="J2559" s="2"/>
      <c r="L2559" s="9"/>
      <c r="M2559" s="2"/>
      <c r="N2559" s="9"/>
      <c r="P2559" s="3">
        <v>-2252.1148734499998</v>
      </c>
      <c r="S2559" s="9"/>
      <c r="T2559" s="2"/>
      <c r="U2559" s="9"/>
    </row>
    <row r="2560" spans="2:21" x14ac:dyDescent="0.35">
      <c r="B2560" s="9"/>
      <c r="C2560" s="2"/>
      <c r="D2560" s="2"/>
      <c r="I2560" s="9"/>
      <c r="J2560" s="2"/>
      <c r="L2560" s="9"/>
      <c r="M2560" s="2"/>
      <c r="N2560" s="9"/>
      <c r="P2560" s="3">
        <v>-1817.35487345</v>
      </c>
      <c r="S2560" s="9"/>
      <c r="T2560" s="2"/>
      <c r="U2560" s="9"/>
    </row>
    <row r="2561" spans="2:21" x14ac:dyDescent="0.35">
      <c r="B2561" s="9"/>
      <c r="C2561" s="2"/>
      <c r="D2561" s="2"/>
      <c r="I2561" s="9"/>
      <c r="J2561" s="2"/>
      <c r="L2561" s="9"/>
      <c r="M2561" s="2"/>
      <c r="N2561" s="9"/>
      <c r="P2561" s="3">
        <v>-1382.59487345</v>
      </c>
      <c r="S2561" s="9"/>
      <c r="T2561" s="2"/>
      <c r="U2561" s="9"/>
    </row>
    <row r="2562" spans="2:21" x14ac:dyDescent="0.35">
      <c r="B2562" s="9"/>
      <c r="C2562" s="2"/>
      <c r="D2562" s="2"/>
      <c r="I2562" s="9"/>
      <c r="J2562" s="2"/>
      <c r="L2562" s="9"/>
      <c r="M2562" s="2"/>
      <c r="N2562" s="9"/>
      <c r="P2562" s="3">
        <v>-947.83487345000003</v>
      </c>
      <c r="S2562" s="9"/>
      <c r="T2562" s="2"/>
      <c r="U2562" s="9"/>
    </row>
    <row r="2563" spans="2:21" x14ac:dyDescent="0.35">
      <c r="B2563" s="9"/>
      <c r="C2563" s="2"/>
      <c r="D2563" s="2"/>
      <c r="I2563" s="9"/>
      <c r="J2563" s="2"/>
      <c r="L2563" s="9"/>
      <c r="M2563" s="2"/>
      <c r="N2563" s="9"/>
      <c r="P2563" s="3">
        <v>-513.07487345000004</v>
      </c>
      <c r="S2563" s="9"/>
      <c r="T2563" s="2"/>
      <c r="U2563" s="9"/>
    </row>
    <row r="2564" spans="2:21" x14ac:dyDescent="0.35">
      <c r="B2564" s="9"/>
      <c r="C2564" s="2"/>
      <c r="D2564" s="2"/>
      <c r="I2564" s="9"/>
      <c r="J2564" s="2"/>
      <c r="L2564" s="9"/>
      <c r="M2564" s="2"/>
      <c r="N2564" s="9"/>
      <c r="P2564" s="3">
        <v>-78.314873449999993</v>
      </c>
      <c r="S2564" s="9"/>
      <c r="T2564" s="2"/>
      <c r="U2564" s="9"/>
    </row>
    <row r="2565" spans="2:21" x14ac:dyDescent="0.35">
      <c r="B2565" s="9"/>
      <c r="C2565" s="2"/>
      <c r="D2565" s="2"/>
      <c r="I2565" s="9"/>
      <c r="J2565" s="2"/>
      <c r="L2565" s="9"/>
      <c r="M2565" s="2"/>
      <c r="N2565" s="9"/>
      <c r="P2565" s="3">
        <v>0</v>
      </c>
      <c r="S2565" s="9"/>
      <c r="T2565" s="2"/>
      <c r="U2565" s="9"/>
    </row>
    <row r="2566" spans="2:21" x14ac:dyDescent="0.35">
      <c r="B2566" s="9"/>
      <c r="C2566" s="2"/>
      <c r="D2566" s="2"/>
      <c r="I2566" s="9"/>
      <c r="J2566" s="2"/>
      <c r="L2566" s="9"/>
      <c r="M2566" s="2"/>
      <c r="N2566" s="9"/>
      <c r="P2566" s="3">
        <v>0</v>
      </c>
      <c r="S2566" s="9"/>
      <c r="T2566" s="2"/>
      <c r="U2566" s="9"/>
    </row>
    <row r="2567" spans="2:21" x14ac:dyDescent="0.35">
      <c r="B2567" s="9"/>
      <c r="C2567" s="2"/>
      <c r="D2567" s="2"/>
      <c r="I2567" s="9"/>
      <c r="J2567" s="2"/>
      <c r="L2567" s="9"/>
      <c r="M2567" s="2"/>
      <c r="N2567" s="9"/>
      <c r="P2567" s="3">
        <v>0</v>
      </c>
      <c r="S2567" s="9"/>
      <c r="T2567" s="2"/>
      <c r="U2567" s="9"/>
    </row>
    <row r="2568" spans="2:21" x14ac:dyDescent="0.35">
      <c r="B2568" s="9"/>
      <c r="C2568" s="2"/>
      <c r="D2568" s="2"/>
      <c r="I2568" s="9"/>
      <c r="J2568" s="2"/>
      <c r="L2568" s="9"/>
      <c r="M2568" s="2"/>
      <c r="N2568" s="9"/>
      <c r="P2568" s="3">
        <v>0</v>
      </c>
      <c r="S2568" s="9"/>
      <c r="T2568" s="2"/>
      <c r="U2568" s="9"/>
    </row>
    <row r="2569" spans="2:21" x14ac:dyDescent="0.35">
      <c r="B2569" s="9"/>
      <c r="C2569" s="2"/>
      <c r="D2569" s="2"/>
      <c r="I2569" s="9"/>
      <c r="J2569" s="2"/>
      <c r="L2569" s="9"/>
      <c r="M2569" s="2"/>
      <c r="N2569" s="9"/>
      <c r="P2569" s="3">
        <v>0</v>
      </c>
      <c r="S2569" s="9"/>
      <c r="T2569" s="2"/>
      <c r="U2569" s="9"/>
    </row>
    <row r="2570" spans="2:21" x14ac:dyDescent="0.35">
      <c r="B2570" s="9"/>
      <c r="C2570" s="2"/>
      <c r="D2570" s="2"/>
      <c r="I2570" s="9"/>
      <c r="J2570" s="2"/>
      <c r="L2570" s="9"/>
      <c r="M2570" s="2"/>
      <c r="N2570" s="9"/>
      <c r="P2570" s="3">
        <v>0</v>
      </c>
      <c r="S2570" s="9"/>
      <c r="T2570" s="2"/>
      <c r="U2570" s="9"/>
    </row>
    <row r="2571" spans="2:21" x14ac:dyDescent="0.35">
      <c r="B2571" s="9"/>
      <c r="C2571" s="2"/>
      <c r="D2571" s="2"/>
      <c r="I2571" s="9"/>
      <c r="J2571" s="2"/>
      <c r="L2571" s="9"/>
      <c r="M2571" s="2"/>
      <c r="N2571" s="9"/>
      <c r="P2571" s="3">
        <v>0</v>
      </c>
      <c r="S2571" s="9"/>
      <c r="T2571" s="2"/>
      <c r="U2571" s="9"/>
    </row>
    <row r="2572" spans="2:21" x14ac:dyDescent="0.35">
      <c r="B2572" s="9"/>
      <c r="C2572" s="2"/>
      <c r="D2572" s="2"/>
      <c r="I2572" s="9"/>
      <c r="J2572" s="2"/>
      <c r="L2572" s="9"/>
      <c r="M2572" s="2"/>
      <c r="N2572" s="9"/>
      <c r="P2572" s="3">
        <v>0</v>
      </c>
      <c r="S2572" s="9"/>
      <c r="T2572" s="2"/>
      <c r="U2572" s="9"/>
    </row>
    <row r="2573" spans="2:21" x14ac:dyDescent="0.35">
      <c r="B2573" s="9"/>
      <c r="C2573" s="2"/>
      <c r="D2573" s="2"/>
      <c r="I2573" s="9"/>
      <c r="J2573" s="2"/>
      <c r="L2573" s="9"/>
      <c r="M2573" s="2"/>
      <c r="N2573" s="9"/>
      <c r="P2573" s="3">
        <v>0</v>
      </c>
      <c r="S2573" s="9"/>
      <c r="T2573" s="2"/>
      <c r="U2573" s="9"/>
    </row>
    <row r="2574" spans="2:21" x14ac:dyDescent="0.35">
      <c r="B2574" s="9"/>
      <c r="C2574" s="2"/>
      <c r="D2574" s="2"/>
      <c r="I2574" s="9"/>
      <c r="J2574" s="2"/>
      <c r="L2574" s="9"/>
      <c r="M2574" s="2"/>
      <c r="N2574" s="9"/>
      <c r="P2574" s="3">
        <v>0</v>
      </c>
      <c r="S2574" s="9"/>
      <c r="T2574" s="2"/>
      <c r="U2574" s="9"/>
    </row>
    <row r="2575" spans="2:21" x14ac:dyDescent="0.35">
      <c r="B2575" s="9"/>
      <c r="C2575" s="2"/>
      <c r="D2575" s="2"/>
      <c r="I2575" s="9"/>
      <c r="J2575" s="2"/>
      <c r="L2575" s="9"/>
      <c r="M2575" s="2"/>
      <c r="N2575" s="9"/>
      <c r="P2575" s="3">
        <v>0</v>
      </c>
      <c r="S2575" s="9"/>
      <c r="T2575" s="2"/>
      <c r="U2575" s="9"/>
    </row>
    <row r="2576" spans="2:21" x14ac:dyDescent="0.35">
      <c r="B2576" s="9"/>
      <c r="C2576" s="2"/>
      <c r="D2576" s="2"/>
      <c r="I2576" s="9"/>
      <c r="J2576" s="2"/>
      <c r="L2576" s="9"/>
      <c r="M2576" s="2"/>
      <c r="N2576" s="9"/>
      <c r="P2576" s="3">
        <v>0</v>
      </c>
      <c r="S2576" s="9"/>
      <c r="T2576" s="2"/>
      <c r="U2576" s="9"/>
    </row>
    <row r="2577" spans="2:21" x14ac:dyDescent="0.35">
      <c r="B2577" s="9"/>
      <c r="C2577" s="2"/>
      <c r="D2577" s="2"/>
      <c r="I2577" s="9"/>
      <c r="J2577" s="2"/>
      <c r="L2577" s="9"/>
      <c r="M2577" s="2"/>
      <c r="N2577" s="9"/>
      <c r="P2577" s="3">
        <v>0</v>
      </c>
      <c r="S2577" s="9"/>
      <c r="T2577" s="2"/>
      <c r="U2577" s="9"/>
    </row>
    <row r="2578" spans="2:21" x14ac:dyDescent="0.35">
      <c r="B2578" s="9"/>
      <c r="C2578" s="2"/>
      <c r="D2578" s="2"/>
      <c r="I2578" s="9"/>
      <c r="J2578" s="2"/>
      <c r="L2578" s="9"/>
      <c r="M2578" s="2"/>
      <c r="N2578" s="9"/>
      <c r="P2578" s="3">
        <v>0</v>
      </c>
      <c r="S2578" s="9"/>
      <c r="T2578" s="2"/>
      <c r="U2578" s="9"/>
    </row>
    <row r="2579" spans="2:21" x14ac:dyDescent="0.35">
      <c r="B2579" s="9"/>
      <c r="C2579" s="2"/>
      <c r="D2579" s="2"/>
      <c r="I2579" s="9"/>
      <c r="J2579" s="2"/>
      <c r="L2579" s="9"/>
      <c r="M2579" s="2"/>
      <c r="N2579" s="9"/>
      <c r="P2579" s="3">
        <v>0</v>
      </c>
      <c r="S2579" s="9"/>
      <c r="T2579" s="2"/>
      <c r="U2579" s="9"/>
    </row>
    <row r="2580" spans="2:21" x14ac:dyDescent="0.35">
      <c r="B2580" s="9"/>
      <c r="C2580" s="2"/>
      <c r="D2580" s="2"/>
      <c r="I2580" s="9"/>
      <c r="J2580" s="2"/>
      <c r="L2580" s="9"/>
      <c r="M2580" s="2"/>
      <c r="N2580" s="9"/>
      <c r="P2580" s="3">
        <v>0</v>
      </c>
      <c r="S2580" s="9"/>
      <c r="T2580" s="2"/>
      <c r="U2580" s="9"/>
    </row>
    <row r="2581" spans="2:21" x14ac:dyDescent="0.35">
      <c r="B2581" s="9"/>
      <c r="C2581" s="2"/>
      <c r="D2581" s="2"/>
      <c r="I2581" s="9"/>
      <c r="J2581" s="2"/>
      <c r="L2581" s="9"/>
      <c r="M2581" s="2"/>
      <c r="N2581" s="9"/>
      <c r="P2581" s="3">
        <v>0</v>
      </c>
      <c r="S2581" s="9"/>
      <c r="T2581" s="2"/>
      <c r="U2581" s="9"/>
    </row>
    <row r="2582" spans="2:21" x14ac:dyDescent="0.35">
      <c r="B2582" s="9"/>
      <c r="C2582" s="2"/>
      <c r="D2582" s="2"/>
      <c r="I2582" s="9"/>
      <c r="J2582" s="2"/>
      <c r="L2582" s="9"/>
      <c r="M2582" s="2"/>
      <c r="N2582" s="9"/>
      <c r="P2582" s="3">
        <v>0</v>
      </c>
      <c r="S2582" s="9"/>
      <c r="T2582" s="2"/>
      <c r="U2582" s="9"/>
    </row>
    <row r="2583" spans="2:21" x14ac:dyDescent="0.35">
      <c r="B2583" s="9"/>
      <c r="C2583" s="2"/>
      <c r="D2583" s="2"/>
      <c r="I2583" s="9"/>
      <c r="J2583" s="2"/>
      <c r="L2583" s="9"/>
      <c r="M2583" s="2"/>
      <c r="N2583" s="9"/>
      <c r="P2583" s="3">
        <v>0</v>
      </c>
      <c r="S2583" s="9"/>
      <c r="T2583" s="2"/>
      <c r="U2583" s="9"/>
    </row>
    <row r="2584" spans="2:21" x14ac:dyDescent="0.35">
      <c r="B2584" s="9"/>
      <c r="C2584" s="2"/>
      <c r="D2584" s="2"/>
      <c r="I2584" s="9"/>
      <c r="J2584" s="2"/>
      <c r="L2584" s="9"/>
      <c r="M2584" s="2"/>
      <c r="N2584" s="9"/>
      <c r="P2584" s="3">
        <v>0</v>
      </c>
      <c r="S2584" s="9"/>
      <c r="T2584" s="2"/>
      <c r="U2584" s="9"/>
    </row>
    <row r="2585" spans="2:21" x14ac:dyDescent="0.35">
      <c r="B2585" s="9"/>
      <c r="C2585" s="2"/>
      <c r="D2585" s="2"/>
      <c r="I2585" s="9"/>
      <c r="J2585" s="2"/>
      <c r="L2585" s="9"/>
      <c r="M2585" s="2"/>
      <c r="N2585" s="9"/>
      <c r="P2585" s="3">
        <v>0</v>
      </c>
      <c r="S2585" s="9"/>
      <c r="T2585" s="2"/>
      <c r="U2585" s="9"/>
    </row>
    <row r="2586" spans="2:21" x14ac:dyDescent="0.35">
      <c r="B2586" s="9"/>
      <c r="C2586" s="2"/>
      <c r="D2586" s="2"/>
      <c r="I2586" s="9"/>
      <c r="J2586" s="2"/>
      <c r="L2586" s="9"/>
      <c r="M2586" s="2"/>
      <c r="N2586" s="9"/>
      <c r="P2586" s="3">
        <v>0</v>
      </c>
      <c r="S2586" s="9"/>
      <c r="T2586" s="2"/>
      <c r="U2586" s="9"/>
    </row>
    <row r="2587" spans="2:21" x14ac:dyDescent="0.35">
      <c r="B2587" s="9"/>
      <c r="C2587" s="2"/>
      <c r="D2587" s="2"/>
      <c r="I2587" s="9"/>
      <c r="J2587" s="2"/>
      <c r="L2587" s="9"/>
      <c r="M2587" s="2"/>
      <c r="N2587" s="9"/>
      <c r="P2587" s="3">
        <v>0</v>
      </c>
      <c r="S2587" s="9"/>
      <c r="T2587" s="2"/>
      <c r="U2587" s="9"/>
    </row>
    <row r="2588" spans="2:21" x14ac:dyDescent="0.35">
      <c r="B2588" s="9"/>
      <c r="C2588" s="2"/>
      <c r="D2588" s="2"/>
      <c r="I2588" s="9"/>
      <c r="J2588" s="2"/>
      <c r="L2588" s="9"/>
      <c r="M2588" s="2"/>
      <c r="N2588" s="9"/>
      <c r="P2588" s="3">
        <v>0</v>
      </c>
      <c r="S2588" s="9"/>
      <c r="T2588" s="2"/>
      <c r="U2588" s="9"/>
    </row>
    <row r="2589" spans="2:21" x14ac:dyDescent="0.35">
      <c r="B2589" s="9"/>
      <c r="C2589" s="2"/>
      <c r="D2589" s="2"/>
      <c r="I2589" s="9"/>
      <c r="J2589" s="2"/>
      <c r="L2589" s="9"/>
      <c r="M2589" s="2"/>
      <c r="N2589" s="9"/>
      <c r="P2589" s="3">
        <v>0</v>
      </c>
      <c r="S2589" s="9"/>
      <c r="T2589" s="2"/>
      <c r="U2589" s="9"/>
    </row>
    <row r="2590" spans="2:21" x14ac:dyDescent="0.35">
      <c r="B2590" s="9"/>
      <c r="C2590" s="2"/>
      <c r="D2590" s="2"/>
      <c r="I2590" s="9"/>
      <c r="J2590" s="2"/>
      <c r="L2590" s="9"/>
      <c r="M2590" s="2"/>
      <c r="N2590" s="9"/>
      <c r="P2590" s="3">
        <v>0</v>
      </c>
      <c r="S2590" s="9"/>
      <c r="T2590" s="2"/>
      <c r="U2590" s="9"/>
    </row>
    <row r="2591" spans="2:21" x14ac:dyDescent="0.35">
      <c r="B2591" s="9"/>
      <c r="C2591" s="2"/>
      <c r="D2591" s="2"/>
      <c r="I2591" s="9"/>
      <c r="J2591" s="2"/>
      <c r="L2591" s="9"/>
      <c r="M2591" s="2"/>
      <c r="N2591" s="9"/>
      <c r="P2591" s="3">
        <v>0</v>
      </c>
      <c r="S2591" s="9"/>
      <c r="T2591" s="2"/>
      <c r="U2591" s="9"/>
    </row>
    <row r="2592" spans="2:21" x14ac:dyDescent="0.35">
      <c r="B2592" s="9"/>
      <c r="C2592" s="2"/>
      <c r="D2592" s="2"/>
      <c r="I2592" s="9"/>
      <c r="J2592" s="2"/>
      <c r="L2592" s="9"/>
      <c r="M2592" s="2"/>
      <c r="N2592" s="9"/>
      <c r="P2592" s="3">
        <v>0</v>
      </c>
      <c r="S2592" s="9"/>
      <c r="T2592" s="2"/>
      <c r="U2592" s="9"/>
    </row>
    <row r="2593" spans="2:21" x14ac:dyDescent="0.35">
      <c r="B2593" s="9"/>
      <c r="C2593" s="2"/>
      <c r="D2593" s="2"/>
      <c r="I2593" s="9"/>
      <c r="J2593" s="2"/>
      <c r="L2593" s="9"/>
      <c r="M2593" s="2"/>
      <c r="N2593" s="9"/>
      <c r="P2593" s="3">
        <v>0</v>
      </c>
      <c r="S2593" s="9"/>
      <c r="T2593" s="2"/>
      <c r="U2593" s="9"/>
    </row>
    <row r="2594" spans="2:21" x14ac:dyDescent="0.35">
      <c r="B2594" s="9"/>
      <c r="C2594" s="2"/>
      <c r="D2594" s="2"/>
      <c r="I2594" s="9"/>
      <c r="J2594" s="2"/>
      <c r="L2594" s="9"/>
      <c r="M2594" s="2"/>
      <c r="N2594" s="9"/>
      <c r="P2594" s="3">
        <v>0</v>
      </c>
      <c r="S2594" s="9"/>
      <c r="T2594" s="2"/>
      <c r="U2594" s="9"/>
    </row>
    <row r="2595" spans="2:21" x14ac:dyDescent="0.35">
      <c r="B2595" s="9"/>
      <c r="C2595" s="2"/>
      <c r="D2595" s="2"/>
      <c r="I2595" s="9"/>
      <c r="J2595" s="2"/>
      <c r="L2595" s="9"/>
      <c r="M2595" s="2"/>
      <c r="N2595" s="9"/>
      <c r="P2595" s="3">
        <v>0</v>
      </c>
      <c r="S2595" s="9"/>
      <c r="T2595" s="2"/>
      <c r="U2595" s="9"/>
    </row>
    <row r="2596" spans="2:21" x14ac:dyDescent="0.35">
      <c r="B2596" s="9"/>
      <c r="C2596" s="2"/>
      <c r="D2596" s="2"/>
      <c r="I2596" s="9"/>
      <c r="J2596" s="2"/>
      <c r="L2596" s="9"/>
      <c r="M2596" s="2"/>
      <c r="N2596" s="9"/>
      <c r="P2596" s="3">
        <v>0</v>
      </c>
      <c r="S2596" s="9"/>
      <c r="T2596" s="2"/>
      <c r="U2596" s="9"/>
    </row>
    <row r="2597" spans="2:21" x14ac:dyDescent="0.35">
      <c r="B2597" s="9"/>
      <c r="C2597" s="2"/>
      <c r="D2597" s="2"/>
      <c r="I2597" s="9"/>
      <c r="J2597" s="2"/>
      <c r="L2597" s="9"/>
      <c r="M2597" s="2"/>
      <c r="N2597" s="9"/>
      <c r="P2597" s="3">
        <v>0</v>
      </c>
      <c r="S2597" s="9"/>
      <c r="T2597" s="2"/>
      <c r="U2597" s="9"/>
    </row>
    <row r="2598" spans="2:21" x14ac:dyDescent="0.35">
      <c r="B2598" s="9"/>
      <c r="C2598" s="2"/>
      <c r="D2598" s="2"/>
      <c r="I2598" s="9"/>
      <c r="J2598" s="2"/>
      <c r="L2598" s="9"/>
      <c r="M2598" s="2"/>
      <c r="N2598" s="9"/>
      <c r="P2598" s="3">
        <v>0</v>
      </c>
      <c r="S2598" s="9"/>
      <c r="T2598" s="2"/>
      <c r="U2598" s="9"/>
    </row>
    <row r="2599" spans="2:21" x14ac:dyDescent="0.35">
      <c r="B2599" s="9"/>
      <c r="C2599" s="2"/>
      <c r="D2599" s="2"/>
      <c r="I2599" s="9"/>
      <c r="J2599" s="2"/>
      <c r="L2599" s="9"/>
      <c r="M2599" s="2"/>
      <c r="N2599" s="9"/>
      <c r="P2599" s="3">
        <v>0</v>
      </c>
      <c r="S2599" s="9"/>
      <c r="T2599" s="2"/>
      <c r="U2599" s="9"/>
    </row>
    <row r="2600" spans="2:21" x14ac:dyDescent="0.35">
      <c r="B2600" s="9"/>
      <c r="C2600" s="2"/>
      <c r="D2600" s="2"/>
      <c r="I2600" s="9"/>
      <c r="J2600" s="2"/>
      <c r="L2600" s="9"/>
      <c r="M2600" s="2"/>
      <c r="N2600" s="9"/>
      <c r="P2600" s="3">
        <v>0</v>
      </c>
      <c r="S2600" s="9"/>
      <c r="T2600" s="2"/>
      <c r="U2600" s="9"/>
    </row>
    <row r="2601" spans="2:21" x14ac:dyDescent="0.35">
      <c r="B2601" s="9"/>
      <c r="C2601" s="2"/>
      <c r="D2601" s="2"/>
      <c r="I2601" s="9"/>
      <c r="J2601" s="2"/>
      <c r="L2601" s="9"/>
      <c r="M2601" s="2"/>
      <c r="N2601" s="9"/>
      <c r="P2601" s="3">
        <v>0</v>
      </c>
      <c r="S2601" s="9"/>
      <c r="T2601" s="2"/>
      <c r="U2601" s="9"/>
    </row>
    <row r="2602" spans="2:21" x14ac:dyDescent="0.35">
      <c r="B2602" s="9"/>
      <c r="C2602" s="2"/>
      <c r="D2602" s="2"/>
      <c r="I2602" s="9"/>
      <c r="J2602" s="2"/>
      <c r="L2602" s="9"/>
      <c r="M2602" s="2"/>
      <c r="N2602" s="9"/>
      <c r="P2602" s="3">
        <v>0</v>
      </c>
      <c r="S2602" s="9"/>
      <c r="T2602" s="2"/>
      <c r="U2602" s="9"/>
    </row>
    <row r="2603" spans="2:21" x14ac:dyDescent="0.35">
      <c r="B2603" s="9"/>
      <c r="C2603" s="2"/>
      <c r="D2603" s="2"/>
      <c r="I2603" s="9"/>
      <c r="J2603" s="2"/>
      <c r="L2603" s="9"/>
      <c r="M2603" s="2"/>
      <c r="N2603" s="9"/>
      <c r="P2603" s="3">
        <v>0</v>
      </c>
      <c r="S2603" s="9"/>
      <c r="T2603" s="2"/>
      <c r="U2603" s="9"/>
    </row>
    <row r="2604" spans="2:21" x14ac:dyDescent="0.35">
      <c r="B2604" s="9"/>
      <c r="C2604" s="2"/>
      <c r="D2604" s="2"/>
      <c r="I2604" s="9"/>
      <c r="J2604" s="2"/>
      <c r="L2604" s="9"/>
      <c r="M2604" s="2"/>
      <c r="N2604" s="9"/>
      <c r="P2604" s="3">
        <v>0</v>
      </c>
      <c r="S2604" s="9"/>
      <c r="T2604" s="2"/>
      <c r="U2604" s="9"/>
    </row>
    <row r="2605" spans="2:21" x14ac:dyDescent="0.35">
      <c r="B2605" s="9"/>
      <c r="C2605" s="2"/>
      <c r="D2605" s="2"/>
      <c r="I2605" s="9"/>
      <c r="J2605" s="2"/>
      <c r="L2605" s="9"/>
      <c r="M2605" s="2"/>
      <c r="N2605" s="9"/>
      <c r="P2605" s="3">
        <v>0</v>
      </c>
      <c r="S2605" s="9"/>
      <c r="T2605" s="2"/>
      <c r="U2605" s="9"/>
    </row>
    <row r="2606" spans="2:21" x14ac:dyDescent="0.35">
      <c r="B2606" s="9"/>
      <c r="C2606" s="2"/>
      <c r="D2606" s="2"/>
      <c r="I2606" s="9"/>
      <c r="J2606" s="2"/>
      <c r="L2606" s="9"/>
      <c r="M2606" s="2"/>
      <c r="N2606" s="9"/>
      <c r="P2606" s="3">
        <v>0</v>
      </c>
      <c r="S2606" s="9"/>
      <c r="T2606" s="2"/>
      <c r="U2606" s="9"/>
    </row>
    <row r="2607" spans="2:21" x14ac:dyDescent="0.35">
      <c r="B2607" s="9"/>
      <c r="C2607" s="2"/>
      <c r="D2607" s="2"/>
      <c r="I2607" s="9"/>
      <c r="J2607" s="2"/>
      <c r="L2607" s="9"/>
      <c r="M2607" s="2"/>
      <c r="N2607" s="9"/>
      <c r="P2607" s="3">
        <v>0</v>
      </c>
      <c r="S2607" s="9"/>
      <c r="T2607" s="2"/>
      <c r="U2607" s="9"/>
    </row>
    <row r="2608" spans="2:21" x14ac:dyDescent="0.35">
      <c r="B2608" s="9"/>
      <c r="C2608" s="2"/>
      <c r="D2608" s="2"/>
      <c r="I2608" s="9"/>
      <c r="J2608" s="2"/>
      <c r="L2608" s="9"/>
      <c r="M2608" s="2"/>
      <c r="N2608" s="9"/>
      <c r="P2608" s="3">
        <v>0</v>
      </c>
      <c r="S2608" s="9"/>
      <c r="T2608" s="2"/>
      <c r="U2608" s="9"/>
    </row>
    <row r="2609" spans="2:21" x14ac:dyDescent="0.35">
      <c r="B2609" s="9"/>
      <c r="C2609" s="2"/>
      <c r="D2609" s="2"/>
      <c r="I2609" s="9"/>
      <c r="J2609" s="2"/>
      <c r="L2609" s="9"/>
      <c r="M2609" s="2"/>
      <c r="N2609" s="9"/>
      <c r="P2609" s="3">
        <v>0</v>
      </c>
      <c r="S2609" s="9"/>
      <c r="T2609" s="2"/>
      <c r="U2609" s="9"/>
    </row>
    <row r="2610" spans="2:21" x14ac:dyDescent="0.35">
      <c r="B2610" s="9"/>
      <c r="C2610" s="2"/>
      <c r="D2610" s="2"/>
      <c r="I2610" s="9"/>
      <c r="J2610" s="2"/>
      <c r="L2610" s="9"/>
      <c r="M2610" s="2"/>
      <c r="N2610" s="9"/>
      <c r="P2610" s="3">
        <v>0</v>
      </c>
      <c r="S2610" s="9"/>
      <c r="T2610" s="2"/>
      <c r="U2610" s="9"/>
    </row>
    <row r="2611" spans="2:21" x14ac:dyDescent="0.35">
      <c r="B2611" s="9"/>
      <c r="C2611" s="2"/>
      <c r="D2611" s="2"/>
      <c r="I2611" s="9"/>
      <c r="J2611" s="2"/>
      <c r="L2611" s="9"/>
      <c r="M2611" s="2"/>
      <c r="N2611" s="9"/>
      <c r="P2611" s="3">
        <v>0</v>
      </c>
      <c r="S2611" s="9"/>
      <c r="T2611" s="2"/>
      <c r="U2611" s="9"/>
    </row>
    <row r="2612" spans="2:21" x14ac:dyDescent="0.35">
      <c r="B2612" s="9"/>
      <c r="C2612" s="2"/>
      <c r="D2612" s="2"/>
      <c r="I2612" s="9"/>
      <c r="J2612" s="2"/>
      <c r="L2612" s="9"/>
      <c r="M2612" s="2"/>
      <c r="N2612" s="9"/>
      <c r="P2612" s="3">
        <v>0</v>
      </c>
      <c r="S2612" s="9"/>
      <c r="T2612" s="2"/>
      <c r="U2612" s="9"/>
    </row>
    <row r="2613" spans="2:21" x14ac:dyDescent="0.35">
      <c r="B2613" s="9"/>
      <c r="C2613" s="2"/>
      <c r="D2613" s="2"/>
      <c r="I2613" s="9"/>
      <c r="J2613" s="2"/>
      <c r="L2613" s="9"/>
      <c r="M2613" s="2"/>
      <c r="N2613" s="9"/>
      <c r="P2613" s="3">
        <v>0</v>
      </c>
      <c r="S2613" s="9"/>
      <c r="T2613" s="2"/>
      <c r="U2613" s="9"/>
    </row>
    <row r="2614" spans="2:21" x14ac:dyDescent="0.35">
      <c r="B2614" s="9"/>
      <c r="C2614" s="2"/>
      <c r="D2614" s="2"/>
      <c r="I2614" s="9"/>
      <c r="J2614" s="2"/>
      <c r="L2614" s="9"/>
      <c r="M2614" s="2"/>
      <c r="N2614" s="9"/>
      <c r="P2614" s="3">
        <v>0</v>
      </c>
      <c r="S2614" s="9"/>
      <c r="T2614" s="2"/>
      <c r="U2614" s="9"/>
    </row>
    <row r="2615" spans="2:21" x14ac:dyDescent="0.35">
      <c r="B2615" s="9"/>
      <c r="C2615" s="2"/>
      <c r="D2615" s="2"/>
      <c r="I2615" s="9"/>
      <c r="J2615" s="2"/>
      <c r="L2615" s="9"/>
      <c r="M2615" s="2"/>
      <c r="N2615" s="9"/>
      <c r="P2615" s="3">
        <v>0</v>
      </c>
      <c r="S2615" s="9"/>
      <c r="T2615" s="2"/>
      <c r="U2615" s="9"/>
    </row>
    <row r="2616" spans="2:21" x14ac:dyDescent="0.35">
      <c r="B2616" s="9"/>
      <c r="C2616" s="2"/>
      <c r="D2616" s="2"/>
      <c r="I2616" s="9"/>
      <c r="J2616" s="2"/>
      <c r="L2616" s="9"/>
      <c r="M2616" s="2"/>
      <c r="N2616" s="9"/>
      <c r="P2616" s="3">
        <v>0</v>
      </c>
      <c r="S2616" s="9"/>
      <c r="T2616" s="2"/>
      <c r="U2616" s="9"/>
    </row>
    <row r="2617" spans="2:21" x14ac:dyDescent="0.35">
      <c r="B2617" s="9"/>
      <c r="C2617" s="2"/>
      <c r="D2617" s="2"/>
      <c r="I2617" s="9"/>
      <c r="J2617" s="2"/>
      <c r="L2617" s="9"/>
      <c r="M2617" s="2"/>
      <c r="N2617" s="9"/>
      <c r="P2617" s="3">
        <v>0</v>
      </c>
      <c r="S2617" s="9"/>
      <c r="T2617" s="2"/>
      <c r="U2617" s="9"/>
    </row>
    <row r="2618" spans="2:21" x14ac:dyDescent="0.35">
      <c r="B2618" s="9"/>
      <c r="C2618" s="2"/>
      <c r="D2618" s="2"/>
      <c r="I2618" s="9"/>
      <c r="J2618" s="2"/>
      <c r="L2618" s="9"/>
      <c r="M2618" s="2"/>
      <c r="N2618" s="9"/>
      <c r="P2618" s="3">
        <v>0</v>
      </c>
      <c r="S2618" s="9"/>
      <c r="T2618" s="2"/>
      <c r="U2618" s="9"/>
    </row>
    <row r="2619" spans="2:21" x14ac:dyDescent="0.35">
      <c r="B2619" s="9"/>
      <c r="C2619" s="2"/>
      <c r="D2619" s="2"/>
      <c r="I2619" s="9"/>
      <c r="J2619" s="2"/>
      <c r="L2619" s="9"/>
      <c r="M2619" s="2"/>
      <c r="N2619" s="9"/>
      <c r="P2619" s="3">
        <v>0</v>
      </c>
      <c r="S2619" s="9"/>
      <c r="T2619" s="2"/>
      <c r="U2619" s="9"/>
    </row>
    <row r="2620" spans="2:21" x14ac:dyDescent="0.35">
      <c r="B2620" s="9"/>
      <c r="C2620" s="2"/>
      <c r="D2620" s="2"/>
      <c r="I2620" s="9"/>
      <c r="J2620" s="2"/>
      <c r="L2620" s="9"/>
      <c r="M2620" s="2"/>
      <c r="N2620" s="9"/>
      <c r="P2620" s="3">
        <v>0</v>
      </c>
      <c r="S2620" s="9"/>
      <c r="T2620" s="2"/>
      <c r="U2620" s="9"/>
    </row>
    <row r="2621" spans="2:21" x14ac:dyDescent="0.35">
      <c r="B2621" s="9"/>
      <c r="C2621" s="2"/>
      <c r="D2621" s="2"/>
      <c r="I2621" s="9"/>
      <c r="J2621" s="2"/>
      <c r="L2621" s="9"/>
      <c r="M2621" s="2"/>
      <c r="N2621" s="9"/>
      <c r="P2621" s="3">
        <v>0</v>
      </c>
      <c r="S2621" s="9"/>
      <c r="T2621" s="2"/>
      <c r="U2621" s="9"/>
    </row>
    <row r="2622" spans="2:21" x14ac:dyDescent="0.35">
      <c r="B2622" s="9"/>
      <c r="C2622" s="2"/>
      <c r="D2622" s="2"/>
      <c r="I2622" s="9"/>
      <c r="J2622" s="2"/>
      <c r="L2622" s="9"/>
      <c r="M2622" s="2"/>
      <c r="N2622" s="9"/>
      <c r="P2622" s="3">
        <v>0</v>
      </c>
      <c r="S2622" s="9"/>
      <c r="T2622" s="2"/>
      <c r="U2622" s="9"/>
    </row>
    <row r="2623" spans="2:21" x14ac:dyDescent="0.35">
      <c r="B2623" s="9"/>
      <c r="C2623" s="2"/>
      <c r="D2623" s="2"/>
      <c r="I2623" s="9"/>
      <c r="J2623" s="2"/>
      <c r="L2623" s="9"/>
      <c r="M2623" s="2"/>
      <c r="N2623" s="9"/>
      <c r="P2623" s="3">
        <v>0</v>
      </c>
      <c r="S2623" s="9"/>
      <c r="T2623" s="2"/>
      <c r="U2623" s="9"/>
    </row>
    <row r="2624" spans="2:21" x14ac:dyDescent="0.35">
      <c r="B2624" s="9"/>
      <c r="C2624" s="2"/>
      <c r="D2624" s="2"/>
      <c r="I2624" s="9"/>
      <c r="J2624" s="2"/>
      <c r="L2624" s="9"/>
      <c r="M2624" s="2"/>
      <c r="N2624" s="9"/>
      <c r="P2624" s="3">
        <v>0</v>
      </c>
      <c r="S2624" s="9"/>
      <c r="T2624" s="2"/>
      <c r="U2624" s="9"/>
    </row>
    <row r="2625" spans="2:21" x14ac:dyDescent="0.35">
      <c r="B2625" s="9"/>
      <c r="C2625" s="2"/>
      <c r="D2625" s="2"/>
      <c r="I2625" s="9"/>
      <c r="J2625" s="2"/>
      <c r="L2625" s="9"/>
      <c r="M2625" s="2"/>
      <c r="N2625" s="9"/>
      <c r="P2625" s="3">
        <v>0</v>
      </c>
      <c r="S2625" s="9"/>
      <c r="T2625" s="2"/>
      <c r="U2625" s="9"/>
    </row>
    <row r="2626" spans="2:21" x14ac:dyDescent="0.35">
      <c r="B2626" s="9"/>
      <c r="C2626" s="2"/>
      <c r="D2626" s="2"/>
      <c r="I2626" s="9"/>
      <c r="J2626" s="2"/>
      <c r="L2626" s="9"/>
      <c r="M2626" s="2"/>
      <c r="N2626" s="9"/>
      <c r="P2626" s="3">
        <v>0</v>
      </c>
      <c r="S2626" s="9"/>
      <c r="T2626" s="2"/>
      <c r="U2626" s="9"/>
    </row>
    <row r="2627" spans="2:21" x14ac:dyDescent="0.35">
      <c r="B2627" s="9"/>
      <c r="C2627" s="2"/>
      <c r="D2627" s="2"/>
      <c r="I2627" s="9"/>
      <c r="J2627" s="2"/>
      <c r="L2627" s="9"/>
      <c r="M2627" s="2"/>
      <c r="N2627" s="9"/>
      <c r="P2627" s="3">
        <v>0</v>
      </c>
      <c r="S2627" s="9"/>
      <c r="T2627" s="2"/>
      <c r="U2627" s="9"/>
    </row>
    <row r="2628" spans="2:21" x14ac:dyDescent="0.35">
      <c r="B2628" s="9"/>
      <c r="C2628" s="2"/>
      <c r="D2628" s="2"/>
      <c r="I2628" s="9"/>
      <c r="J2628" s="2"/>
      <c r="L2628" s="9"/>
      <c r="M2628" s="2"/>
      <c r="N2628" s="9"/>
      <c r="P2628" s="3">
        <v>0</v>
      </c>
      <c r="S2628" s="9"/>
      <c r="T2628" s="2"/>
      <c r="U2628" s="9"/>
    </row>
    <row r="2629" spans="2:21" x14ac:dyDescent="0.35">
      <c r="B2629" s="9"/>
      <c r="C2629" s="2"/>
      <c r="D2629" s="2"/>
      <c r="I2629" s="9"/>
      <c r="J2629" s="2"/>
      <c r="L2629" s="9"/>
      <c r="M2629" s="2"/>
      <c r="N2629" s="9"/>
      <c r="P2629" s="3">
        <v>0</v>
      </c>
      <c r="S2629" s="9"/>
      <c r="T2629" s="2"/>
      <c r="U2629" s="9"/>
    </row>
    <row r="2630" spans="2:21" x14ac:dyDescent="0.35">
      <c r="B2630" s="9"/>
      <c r="C2630" s="2"/>
      <c r="D2630" s="2"/>
      <c r="I2630" s="9"/>
      <c r="J2630" s="2"/>
      <c r="L2630" s="9"/>
      <c r="M2630" s="2"/>
      <c r="N2630" s="9"/>
      <c r="P2630" s="3">
        <v>0</v>
      </c>
      <c r="S2630" s="9"/>
      <c r="T2630" s="2"/>
      <c r="U2630" s="9"/>
    </row>
    <row r="2631" spans="2:21" x14ac:dyDescent="0.35">
      <c r="B2631" s="9"/>
      <c r="C2631" s="2"/>
      <c r="D2631" s="2"/>
      <c r="I2631" s="9"/>
      <c r="J2631" s="2"/>
      <c r="L2631" s="9"/>
      <c r="M2631" s="2"/>
      <c r="N2631" s="9"/>
      <c r="P2631" s="3">
        <v>0</v>
      </c>
      <c r="S2631" s="9"/>
      <c r="T2631" s="2"/>
      <c r="U2631" s="9"/>
    </row>
    <row r="2632" spans="2:21" x14ac:dyDescent="0.35">
      <c r="B2632" s="9"/>
      <c r="C2632" s="2"/>
      <c r="D2632" s="2"/>
      <c r="I2632" s="9"/>
      <c r="J2632" s="2"/>
      <c r="L2632" s="9"/>
      <c r="M2632" s="2"/>
      <c r="N2632" s="9"/>
      <c r="P2632" s="3">
        <v>0</v>
      </c>
      <c r="S2632" s="9"/>
      <c r="T2632" s="2"/>
      <c r="U2632" s="9"/>
    </row>
    <row r="2633" spans="2:21" x14ac:dyDescent="0.35">
      <c r="B2633" s="9"/>
      <c r="C2633" s="2"/>
      <c r="D2633" s="2"/>
      <c r="I2633" s="9"/>
      <c r="J2633" s="2"/>
      <c r="L2633" s="9"/>
      <c r="M2633" s="2"/>
      <c r="N2633" s="9"/>
      <c r="P2633" s="3">
        <v>0</v>
      </c>
      <c r="S2633" s="9"/>
      <c r="T2633" s="2"/>
      <c r="U2633" s="9"/>
    </row>
    <row r="2634" spans="2:21" x14ac:dyDescent="0.35">
      <c r="B2634" s="9"/>
      <c r="C2634" s="2"/>
      <c r="D2634" s="2"/>
      <c r="I2634" s="9"/>
      <c r="J2634" s="2"/>
      <c r="L2634" s="9"/>
      <c r="M2634" s="2"/>
      <c r="N2634" s="9"/>
      <c r="P2634" s="3">
        <v>0</v>
      </c>
      <c r="S2634" s="9"/>
      <c r="T2634" s="2"/>
      <c r="U2634" s="9"/>
    </row>
    <row r="2635" spans="2:21" x14ac:dyDescent="0.35">
      <c r="B2635" s="9"/>
      <c r="C2635" s="2"/>
      <c r="D2635" s="2"/>
      <c r="I2635" s="9"/>
      <c r="J2635" s="2"/>
      <c r="L2635" s="9"/>
      <c r="M2635" s="2"/>
      <c r="N2635" s="9"/>
      <c r="P2635" s="3">
        <v>0</v>
      </c>
      <c r="S2635" s="9"/>
      <c r="T2635" s="2"/>
      <c r="U2635" s="9"/>
    </row>
    <row r="2636" spans="2:21" x14ac:dyDescent="0.35">
      <c r="B2636" s="9"/>
      <c r="C2636" s="2"/>
      <c r="D2636" s="2"/>
      <c r="I2636" s="9"/>
      <c r="J2636" s="2"/>
      <c r="L2636" s="9"/>
      <c r="M2636" s="2"/>
      <c r="N2636" s="9"/>
      <c r="P2636" s="3">
        <v>0</v>
      </c>
      <c r="S2636" s="9"/>
      <c r="T2636" s="2"/>
      <c r="U2636" s="9"/>
    </row>
    <row r="2637" spans="2:21" x14ac:dyDescent="0.35">
      <c r="B2637" s="9"/>
      <c r="C2637" s="2"/>
      <c r="D2637" s="2"/>
      <c r="I2637" s="9"/>
      <c r="J2637" s="2"/>
      <c r="L2637" s="9"/>
      <c r="M2637" s="2"/>
      <c r="N2637" s="9"/>
      <c r="P2637" s="3">
        <v>0</v>
      </c>
      <c r="S2637" s="9"/>
      <c r="T2637" s="2"/>
      <c r="U2637" s="9"/>
    </row>
    <row r="2638" spans="2:21" x14ac:dyDescent="0.35">
      <c r="B2638" s="9"/>
      <c r="C2638" s="2"/>
      <c r="D2638" s="2"/>
      <c r="I2638" s="9"/>
      <c r="J2638" s="2"/>
      <c r="L2638" s="9"/>
      <c r="M2638" s="2"/>
      <c r="N2638" s="9"/>
      <c r="P2638" s="3">
        <v>0</v>
      </c>
      <c r="S2638" s="9"/>
      <c r="T2638" s="2"/>
      <c r="U2638" s="9"/>
    </row>
    <row r="2639" spans="2:21" x14ac:dyDescent="0.35">
      <c r="B2639" s="9"/>
      <c r="C2639" s="2"/>
      <c r="D2639" s="2"/>
      <c r="I2639" s="9"/>
      <c r="J2639" s="2"/>
      <c r="L2639" s="9"/>
      <c r="M2639" s="2"/>
      <c r="N2639" s="9"/>
      <c r="P2639" s="3">
        <v>0</v>
      </c>
      <c r="S2639" s="9"/>
      <c r="T2639" s="2"/>
      <c r="U2639" s="9"/>
    </row>
    <row r="2640" spans="2:21" x14ac:dyDescent="0.35">
      <c r="B2640" s="9"/>
      <c r="C2640" s="2"/>
      <c r="D2640" s="2"/>
      <c r="I2640" s="9"/>
      <c r="J2640" s="2"/>
      <c r="L2640" s="9"/>
      <c r="M2640" s="2"/>
      <c r="N2640" s="9"/>
      <c r="P2640" s="3">
        <v>0</v>
      </c>
      <c r="S2640" s="9"/>
      <c r="T2640" s="2"/>
      <c r="U2640" s="9"/>
    </row>
    <row r="2641" spans="2:21" x14ac:dyDescent="0.35">
      <c r="B2641" s="9"/>
      <c r="C2641" s="2"/>
      <c r="D2641" s="2"/>
      <c r="I2641" s="9"/>
      <c r="J2641" s="2"/>
      <c r="L2641" s="9"/>
      <c r="M2641" s="2"/>
      <c r="N2641" s="9"/>
      <c r="P2641" s="3">
        <v>0</v>
      </c>
      <c r="S2641" s="9"/>
      <c r="T2641" s="2"/>
      <c r="U2641" s="9"/>
    </row>
    <row r="2642" spans="2:21" x14ac:dyDescent="0.35">
      <c r="B2642" s="9"/>
      <c r="C2642" s="2"/>
      <c r="D2642" s="2"/>
      <c r="I2642" s="9"/>
      <c r="J2642" s="2"/>
      <c r="L2642" s="9"/>
      <c r="M2642" s="2"/>
      <c r="N2642" s="9"/>
      <c r="P2642" s="3">
        <v>0</v>
      </c>
      <c r="S2642" s="9"/>
      <c r="T2642" s="2"/>
      <c r="U2642" s="9"/>
    </row>
    <row r="2643" spans="2:21" x14ac:dyDescent="0.35">
      <c r="B2643" s="9"/>
      <c r="C2643" s="2"/>
      <c r="D2643" s="2"/>
      <c r="I2643" s="9"/>
      <c r="J2643" s="2"/>
      <c r="L2643" s="9"/>
      <c r="M2643" s="2"/>
      <c r="N2643" s="9"/>
      <c r="P2643" s="3">
        <v>0</v>
      </c>
      <c r="S2643" s="9"/>
      <c r="T2643" s="2"/>
      <c r="U2643" s="9"/>
    </row>
    <row r="2644" spans="2:21" x14ac:dyDescent="0.35">
      <c r="B2644" s="9"/>
      <c r="C2644" s="2"/>
      <c r="D2644" s="2"/>
      <c r="I2644" s="9"/>
      <c r="J2644" s="2"/>
      <c r="L2644" s="9"/>
      <c r="M2644" s="2"/>
      <c r="N2644" s="9"/>
      <c r="P2644" s="3">
        <v>0</v>
      </c>
      <c r="S2644" s="9"/>
      <c r="T2644" s="2"/>
      <c r="U2644" s="9"/>
    </row>
    <row r="2645" spans="2:21" x14ac:dyDescent="0.35">
      <c r="B2645" s="9"/>
      <c r="C2645" s="2"/>
      <c r="D2645" s="2"/>
      <c r="I2645" s="9"/>
      <c r="J2645" s="2"/>
      <c r="L2645" s="9"/>
      <c r="M2645" s="2"/>
      <c r="N2645" s="9"/>
      <c r="P2645" s="3">
        <v>0</v>
      </c>
      <c r="S2645" s="9"/>
      <c r="T2645" s="2"/>
      <c r="U2645" s="9"/>
    </row>
    <row r="2646" spans="2:21" x14ac:dyDescent="0.35">
      <c r="B2646" s="9"/>
      <c r="C2646" s="2"/>
      <c r="D2646" s="2"/>
      <c r="I2646" s="9"/>
      <c r="J2646" s="2"/>
      <c r="L2646" s="9"/>
      <c r="M2646" s="2"/>
      <c r="N2646" s="9"/>
      <c r="P2646" s="3">
        <v>0</v>
      </c>
      <c r="S2646" s="9"/>
      <c r="T2646" s="2"/>
      <c r="U2646" s="9"/>
    </row>
    <row r="2647" spans="2:21" x14ac:dyDescent="0.35">
      <c r="B2647" s="9"/>
      <c r="C2647" s="2"/>
      <c r="D2647" s="2"/>
      <c r="I2647" s="9"/>
      <c r="J2647" s="2"/>
      <c r="L2647" s="9"/>
      <c r="M2647" s="2"/>
      <c r="N2647" s="9"/>
      <c r="P2647" s="3">
        <v>0</v>
      </c>
      <c r="S2647" s="9"/>
      <c r="T2647" s="2"/>
      <c r="U2647" s="9"/>
    </row>
    <row r="2648" spans="2:21" x14ac:dyDescent="0.35">
      <c r="B2648" s="9"/>
      <c r="C2648" s="2"/>
      <c r="D2648" s="2"/>
      <c r="I2648" s="9"/>
      <c r="J2648" s="2"/>
      <c r="L2648" s="9"/>
      <c r="M2648" s="2"/>
      <c r="N2648" s="9"/>
      <c r="P2648" s="3">
        <v>0</v>
      </c>
      <c r="S2648" s="9"/>
      <c r="T2648" s="2"/>
      <c r="U2648" s="9"/>
    </row>
    <row r="2649" spans="2:21" x14ac:dyDescent="0.35">
      <c r="B2649" s="9"/>
      <c r="C2649" s="2"/>
      <c r="D2649" s="2"/>
      <c r="I2649" s="9"/>
      <c r="J2649" s="2"/>
      <c r="L2649" s="9"/>
      <c r="M2649" s="2"/>
      <c r="N2649" s="9"/>
      <c r="P2649" s="3">
        <v>0</v>
      </c>
      <c r="S2649" s="9"/>
      <c r="T2649" s="2"/>
      <c r="U2649" s="9"/>
    </row>
    <row r="2650" spans="2:21" x14ac:dyDescent="0.35">
      <c r="B2650" s="9"/>
      <c r="C2650" s="2"/>
      <c r="D2650" s="2"/>
      <c r="I2650" s="9"/>
      <c r="J2650" s="2"/>
      <c r="L2650" s="9"/>
      <c r="M2650" s="2"/>
      <c r="N2650" s="9"/>
      <c r="P2650" s="3">
        <v>0</v>
      </c>
      <c r="S2650" s="9"/>
      <c r="T2650" s="2"/>
      <c r="U2650" s="9"/>
    </row>
    <row r="2651" spans="2:21" x14ac:dyDescent="0.35">
      <c r="B2651" s="9"/>
      <c r="C2651" s="2"/>
      <c r="D2651" s="2"/>
      <c r="I2651" s="9"/>
      <c r="J2651" s="2"/>
      <c r="L2651" s="9"/>
      <c r="M2651" s="2"/>
      <c r="N2651" s="9"/>
      <c r="P2651" s="3">
        <v>0</v>
      </c>
      <c r="S2651" s="9"/>
      <c r="T2651" s="2"/>
      <c r="U2651" s="9"/>
    </row>
    <row r="2652" spans="2:21" x14ac:dyDescent="0.35">
      <c r="B2652" s="9"/>
      <c r="C2652" s="2"/>
      <c r="D2652" s="2"/>
      <c r="I2652" s="9"/>
      <c r="J2652" s="2"/>
      <c r="L2652" s="9"/>
      <c r="M2652" s="2"/>
      <c r="N2652" s="9"/>
      <c r="P2652" s="3">
        <v>0</v>
      </c>
      <c r="S2652" s="9"/>
      <c r="T2652" s="2"/>
      <c r="U2652" s="9"/>
    </row>
    <row r="2653" spans="2:21" x14ac:dyDescent="0.35">
      <c r="B2653" s="9"/>
      <c r="C2653" s="2"/>
      <c r="D2653" s="2"/>
      <c r="I2653" s="9"/>
      <c r="J2653" s="2"/>
      <c r="L2653" s="9"/>
      <c r="M2653" s="2"/>
      <c r="N2653" s="9"/>
      <c r="P2653" s="3">
        <v>0</v>
      </c>
      <c r="S2653" s="9"/>
      <c r="T2653" s="2"/>
      <c r="U2653" s="9"/>
    </row>
    <row r="2654" spans="2:21" x14ac:dyDescent="0.35">
      <c r="B2654" s="9"/>
      <c r="C2654" s="2"/>
      <c r="D2654" s="2"/>
      <c r="I2654" s="9"/>
      <c r="J2654" s="2"/>
      <c r="L2654" s="9"/>
      <c r="M2654" s="2"/>
      <c r="N2654" s="9"/>
      <c r="P2654" s="3">
        <v>0</v>
      </c>
      <c r="S2654" s="9"/>
      <c r="T2654" s="2"/>
      <c r="U2654" s="9"/>
    </row>
    <row r="2655" spans="2:21" x14ac:dyDescent="0.35">
      <c r="B2655" s="9"/>
      <c r="C2655" s="2"/>
      <c r="D2655" s="2"/>
      <c r="I2655" s="9"/>
      <c r="J2655" s="2"/>
      <c r="L2655" s="9"/>
      <c r="M2655" s="2"/>
      <c r="N2655" s="9"/>
      <c r="P2655" s="3">
        <v>0</v>
      </c>
      <c r="S2655" s="9"/>
      <c r="T2655" s="2"/>
      <c r="U2655" s="9"/>
    </row>
    <row r="2656" spans="2:21" x14ac:dyDescent="0.35">
      <c r="B2656" s="9"/>
      <c r="C2656" s="2"/>
      <c r="D2656" s="2"/>
      <c r="I2656" s="9"/>
      <c r="J2656" s="2"/>
      <c r="L2656" s="9"/>
      <c r="M2656" s="2"/>
      <c r="N2656" s="9"/>
      <c r="P2656" s="3">
        <v>0</v>
      </c>
      <c r="S2656" s="9"/>
      <c r="T2656" s="2"/>
      <c r="U2656" s="9"/>
    </row>
    <row r="2657" spans="2:21" x14ac:dyDescent="0.35">
      <c r="B2657" s="9"/>
      <c r="C2657" s="2"/>
      <c r="D2657" s="2"/>
      <c r="I2657" s="9"/>
      <c r="J2657" s="2"/>
      <c r="L2657" s="9"/>
      <c r="M2657" s="2"/>
      <c r="N2657" s="9"/>
      <c r="P2657" s="3">
        <v>0</v>
      </c>
      <c r="S2657" s="9"/>
      <c r="T2657" s="2"/>
      <c r="U2657" s="9"/>
    </row>
    <row r="2658" spans="2:21" x14ac:dyDescent="0.35">
      <c r="B2658" s="9"/>
      <c r="C2658" s="2"/>
      <c r="D2658" s="2"/>
      <c r="I2658" s="9"/>
      <c r="J2658" s="2"/>
      <c r="L2658" s="9"/>
      <c r="M2658" s="2"/>
      <c r="N2658" s="9"/>
      <c r="P2658" s="3">
        <v>0</v>
      </c>
      <c r="S2658" s="9"/>
      <c r="T2658" s="2"/>
      <c r="U2658" s="9"/>
    </row>
    <row r="2659" spans="2:21" x14ac:dyDescent="0.35">
      <c r="B2659" s="9"/>
      <c r="C2659" s="2"/>
      <c r="D2659" s="2"/>
      <c r="I2659" s="9"/>
      <c r="J2659" s="2"/>
      <c r="L2659" s="9"/>
      <c r="M2659" s="2"/>
      <c r="N2659" s="9"/>
      <c r="P2659" s="3">
        <v>0</v>
      </c>
      <c r="S2659" s="9"/>
      <c r="T2659" s="2"/>
      <c r="U2659" s="9"/>
    </row>
    <row r="2660" spans="2:21" x14ac:dyDescent="0.35">
      <c r="B2660" s="9"/>
      <c r="C2660" s="2"/>
      <c r="D2660" s="2"/>
      <c r="I2660" s="9"/>
      <c r="J2660" s="2"/>
      <c r="L2660" s="9"/>
      <c r="M2660" s="2"/>
      <c r="N2660" s="9"/>
      <c r="P2660" s="3">
        <v>0</v>
      </c>
      <c r="S2660" s="9"/>
      <c r="T2660" s="2"/>
      <c r="U2660" s="9"/>
    </row>
    <row r="2661" spans="2:21" x14ac:dyDescent="0.35">
      <c r="B2661" s="9"/>
      <c r="C2661" s="2"/>
      <c r="D2661" s="2"/>
      <c r="I2661" s="9"/>
      <c r="J2661" s="2"/>
      <c r="L2661" s="9"/>
      <c r="M2661" s="2"/>
      <c r="N2661" s="9"/>
      <c r="P2661" s="3">
        <v>0</v>
      </c>
      <c r="S2661" s="9"/>
      <c r="T2661" s="2"/>
      <c r="U2661" s="9"/>
    </row>
    <row r="2662" spans="2:21" x14ac:dyDescent="0.35">
      <c r="B2662" s="9"/>
      <c r="C2662" s="2"/>
      <c r="D2662" s="2"/>
      <c r="I2662" s="9"/>
      <c r="J2662" s="2"/>
      <c r="L2662" s="9"/>
      <c r="M2662" s="2"/>
      <c r="N2662" s="9"/>
      <c r="P2662" s="3">
        <v>0</v>
      </c>
      <c r="S2662" s="9"/>
      <c r="T2662" s="2"/>
      <c r="U2662" s="9"/>
    </row>
    <row r="2663" spans="2:21" x14ac:dyDescent="0.35">
      <c r="B2663" s="9"/>
      <c r="C2663" s="2"/>
      <c r="D2663" s="2"/>
      <c r="I2663" s="9"/>
      <c r="J2663" s="2"/>
      <c r="L2663" s="9"/>
      <c r="M2663" s="2"/>
      <c r="N2663" s="9"/>
      <c r="P2663" s="3">
        <v>0</v>
      </c>
      <c r="S2663" s="9"/>
      <c r="T2663" s="2"/>
      <c r="U2663" s="9"/>
    </row>
    <row r="2664" spans="2:21" x14ac:dyDescent="0.35">
      <c r="B2664" s="9"/>
      <c r="C2664" s="2"/>
      <c r="D2664" s="2"/>
      <c r="I2664" s="9"/>
      <c r="J2664" s="2"/>
      <c r="L2664" s="9"/>
      <c r="M2664" s="2"/>
      <c r="N2664" s="9"/>
      <c r="P2664" s="3">
        <v>0</v>
      </c>
      <c r="S2664" s="9"/>
      <c r="T2664" s="2"/>
      <c r="U2664" s="9"/>
    </row>
    <row r="2665" spans="2:21" x14ac:dyDescent="0.35">
      <c r="B2665" s="9"/>
      <c r="C2665" s="2"/>
      <c r="D2665" s="2"/>
      <c r="I2665" s="9"/>
      <c r="J2665" s="2"/>
      <c r="L2665" s="9"/>
      <c r="M2665" s="2"/>
      <c r="N2665" s="9"/>
      <c r="P2665" s="3">
        <v>0</v>
      </c>
      <c r="S2665" s="9"/>
      <c r="T2665" s="2"/>
      <c r="U2665" s="9"/>
    </row>
    <row r="2666" spans="2:21" x14ac:dyDescent="0.35">
      <c r="B2666" s="9"/>
      <c r="C2666" s="2"/>
      <c r="D2666" s="2"/>
      <c r="I2666" s="9"/>
      <c r="J2666" s="2"/>
      <c r="L2666" s="9"/>
      <c r="M2666" s="2"/>
      <c r="N2666" s="9"/>
      <c r="P2666" s="3">
        <v>0</v>
      </c>
      <c r="S2666" s="9"/>
      <c r="T2666" s="2"/>
      <c r="U2666" s="9"/>
    </row>
    <row r="2667" spans="2:21" x14ac:dyDescent="0.35">
      <c r="B2667" s="9"/>
      <c r="C2667" s="2"/>
      <c r="D2667" s="2"/>
      <c r="I2667" s="9"/>
      <c r="J2667" s="2"/>
      <c r="L2667" s="9"/>
      <c r="M2667" s="2"/>
      <c r="N2667" s="9"/>
      <c r="P2667" s="3">
        <v>0</v>
      </c>
      <c r="S2667" s="9"/>
      <c r="T2667" s="2"/>
      <c r="U2667" s="9"/>
    </row>
    <row r="2668" spans="2:21" x14ac:dyDescent="0.35">
      <c r="B2668" s="9"/>
      <c r="C2668" s="2"/>
      <c r="D2668" s="2"/>
      <c r="I2668" s="9"/>
      <c r="J2668" s="2"/>
      <c r="L2668" s="9"/>
      <c r="M2668" s="2"/>
      <c r="N2668" s="9"/>
      <c r="P2668" s="3">
        <v>0</v>
      </c>
      <c r="S2668" s="9"/>
      <c r="T2668" s="2"/>
      <c r="U2668" s="9"/>
    </row>
    <row r="2669" spans="2:21" x14ac:dyDescent="0.35">
      <c r="B2669" s="9"/>
      <c r="C2669" s="2"/>
      <c r="D2669" s="2"/>
      <c r="I2669" s="9"/>
      <c r="J2669" s="2"/>
      <c r="L2669" s="9"/>
      <c r="M2669" s="2"/>
      <c r="N2669" s="9"/>
      <c r="P2669" s="3">
        <v>0</v>
      </c>
      <c r="S2669" s="9"/>
      <c r="T2669" s="2"/>
      <c r="U2669" s="9"/>
    </row>
    <row r="2670" spans="2:21" x14ac:dyDescent="0.35">
      <c r="B2670" s="9"/>
      <c r="C2670" s="2"/>
      <c r="D2670" s="2"/>
      <c r="I2670" s="9"/>
      <c r="J2670" s="2"/>
      <c r="L2670" s="9"/>
      <c r="M2670" s="2"/>
      <c r="N2670" s="9"/>
      <c r="P2670" s="3">
        <v>0</v>
      </c>
      <c r="S2670" s="9"/>
      <c r="T2670" s="2"/>
      <c r="U2670" s="9"/>
    </row>
    <row r="2671" spans="2:21" x14ac:dyDescent="0.35">
      <c r="B2671" s="9"/>
      <c r="C2671" s="2"/>
      <c r="D2671" s="2"/>
      <c r="I2671" s="9"/>
      <c r="J2671" s="2"/>
      <c r="L2671" s="9"/>
      <c r="M2671" s="2"/>
      <c r="N2671" s="9"/>
      <c r="P2671" s="3">
        <v>0</v>
      </c>
      <c r="S2671" s="9"/>
      <c r="T2671" s="2"/>
      <c r="U2671" s="9"/>
    </row>
    <row r="2672" spans="2:21" x14ac:dyDescent="0.35">
      <c r="B2672" s="9"/>
      <c r="C2672" s="2"/>
      <c r="D2672" s="2"/>
      <c r="I2672" s="9"/>
      <c r="J2672" s="2"/>
      <c r="L2672" s="9"/>
      <c r="M2672" s="2"/>
      <c r="N2672" s="9"/>
      <c r="P2672" s="3">
        <v>0</v>
      </c>
      <c r="S2672" s="9"/>
      <c r="T2672" s="2"/>
      <c r="U2672" s="9"/>
    </row>
    <row r="2673" spans="2:21" x14ac:dyDescent="0.35">
      <c r="B2673" s="9"/>
      <c r="C2673" s="2"/>
      <c r="D2673" s="2"/>
      <c r="I2673" s="9"/>
      <c r="J2673" s="2"/>
      <c r="L2673" s="9"/>
      <c r="M2673" s="2"/>
      <c r="N2673" s="9"/>
      <c r="P2673" s="3">
        <v>0</v>
      </c>
      <c r="S2673" s="9"/>
      <c r="T2673" s="2"/>
      <c r="U2673" s="9"/>
    </row>
    <row r="2674" spans="2:21" x14ac:dyDescent="0.35">
      <c r="B2674" s="9"/>
      <c r="C2674" s="2"/>
      <c r="D2674" s="2"/>
      <c r="I2674" s="9"/>
      <c r="J2674" s="2"/>
      <c r="L2674" s="9"/>
      <c r="M2674" s="2"/>
      <c r="N2674" s="9"/>
      <c r="P2674" s="3">
        <v>0</v>
      </c>
      <c r="S2674" s="9"/>
      <c r="T2674" s="2"/>
      <c r="U2674" s="9"/>
    </row>
    <row r="2675" spans="2:21" x14ac:dyDescent="0.35">
      <c r="B2675" s="9"/>
      <c r="C2675" s="2"/>
      <c r="D2675" s="2"/>
      <c r="I2675" s="9"/>
      <c r="J2675" s="2"/>
      <c r="L2675" s="9"/>
      <c r="M2675" s="2"/>
      <c r="N2675" s="9"/>
      <c r="P2675" s="3">
        <v>0</v>
      </c>
      <c r="S2675" s="9"/>
      <c r="T2675" s="2"/>
      <c r="U2675" s="9"/>
    </row>
    <row r="2676" spans="2:21" x14ac:dyDescent="0.35">
      <c r="B2676" s="9"/>
      <c r="C2676" s="2"/>
      <c r="D2676" s="2"/>
      <c r="I2676" s="9"/>
      <c r="J2676" s="2"/>
      <c r="L2676" s="9"/>
      <c r="M2676" s="2"/>
      <c r="N2676" s="9"/>
      <c r="P2676" s="3">
        <v>0</v>
      </c>
      <c r="S2676" s="9"/>
      <c r="T2676" s="2"/>
      <c r="U2676" s="9"/>
    </row>
    <row r="2677" spans="2:21" x14ac:dyDescent="0.35">
      <c r="B2677" s="9"/>
      <c r="C2677" s="2"/>
      <c r="D2677" s="2"/>
      <c r="I2677" s="9"/>
      <c r="J2677" s="2"/>
      <c r="L2677" s="9"/>
      <c r="M2677" s="2"/>
      <c r="N2677" s="9"/>
      <c r="P2677" s="3">
        <v>0</v>
      </c>
      <c r="S2677" s="9"/>
      <c r="T2677" s="2"/>
      <c r="U2677" s="9"/>
    </row>
    <row r="2678" spans="2:21" x14ac:dyDescent="0.35">
      <c r="B2678" s="9"/>
      <c r="C2678" s="2"/>
      <c r="D2678" s="2"/>
      <c r="I2678" s="9"/>
      <c r="J2678" s="2"/>
      <c r="L2678" s="9"/>
      <c r="M2678" s="2"/>
      <c r="N2678" s="9"/>
      <c r="P2678" s="3">
        <v>0</v>
      </c>
      <c r="S2678" s="9"/>
      <c r="T2678" s="2"/>
      <c r="U2678" s="9"/>
    </row>
    <row r="2679" spans="2:21" x14ac:dyDescent="0.35">
      <c r="B2679" s="9"/>
      <c r="C2679" s="2"/>
      <c r="D2679" s="2"/>
      <c r="I2679" s="9"/>
      <c r="J2679" s="2"/>
      <c r="L2679" s="9"/>
      <c r="M2679" s="2"/>
      <c r="N2679" s="9"/>
      <c r="P2679" s="3">
        <v>0</v>
      </c>
      <c r="S2679" s="9"/>
      <c r="T2679" s="2"/>
      <c r="U2679" s="9"/>
    </row>
    <row r="2680" spans="2:21" x14ac:dyDescent="0.35">
      <c r="B2680" s="9"/>
      <c r="C2680" s="2"/>
      <c r="D2680" s="2"/>
      <c r="I2680" s="9"/>
      <c r="J2680" s="2"/>
      <c r="L2680" s="9"/>
      <c r="M2680" s="2"/>
      <c r="N2680" s="9"/>
      <c r="P2680" s="3">
        <v>0</v>
      </c>
      <c r="S2680" s="9"/>
      <c r="T2680" s="2"/>
      <c r="U2680" s="9"/>
    </row>
    <row r="2681" spans="2:21" x14ac:dyDescent="0.35">
      <c r="B2681" s="9"/>
      <c r="C2681" s="2"/>
      <c r="D2681" s="2"/>
      <c r="I2681" s="9"/>
      <c r="J2681" s="2"/>
      <c r="L2681" s="9"/>
      <c r="M2681" s="2"/>
      <c r="N2681" s="9"/>
      <c r="P2681" s="3">
        <v>0</v>
      </c>
      <c r="S2681" s="9"/>
      <c r="T2681" s="2"/>
      <c r="U2681" s="9"/>
    </row>
    <row r="2682" spans="2:21" x14ac:dyDescent="0.35">
      <c r="B2682" s="9"/>
      <c r="C2682" s="2"/>
      <c r="D2682" s="2"/>
      <c r="I2682" s="9"/>
      <c r="J2682" s="2"/>
      <c r="L2682" s="9"/>
      <c r="M2682" s="2"/>
      <c r="N2682" s="9"/>
      <c r="P2682" s="3">
        <v>-114.97106937</v>
      </c>
      <c r="S2682" s="9"/>
      <c r="T2682" s="2"/>
      <c r="U2682" s="9"/>
    </row>
    <row r="2683" spans="2:21" x14ac:dyDescent="0.35">
      <c r="B2683" s="9"/>
      <c r="C2683" s="2"/>
      <c r="D2683" s="2"/>
      <c r="I2683" s="9"/>
      <c r="J2683" s="2"/>
      <c r="L2683" s="9"/>
      <c r="M2683" s="2"/>
      <c r="N2683" s="9"/>
      <c r="P2683" s="3">
        <v>-549.73106937</v>
      </c>
      <c r="S2683" s="9"/>
      <c r="T2683" s="2"/>
      <c r="U2683" s="9"/>
    </row>
    <row r="2684" spans="2:21" x14ac:dyDescent="0.35">
      <c r="B2684" s="9"/>
      <c r="C2684" s="2"/>
      <c r="D2684" s="2"/>
      <c r="I2684" s="9"/>
      <c r="J2684" s="2"/>
      <c r="L2684" s="9"/>
      <c r="M2684" s="2"/>
      <c r="N2684" s="9"/>
      <c r="P2684" s="3">
        <v>-984.49106936999999</v>
      </c>
      <c r="S2684" s="9"/>
      <c r="T2684" s="2"/>
      <c r="U2684" s="9"/>
    </row>
    <row r="2685" spans="2:21" x14ac:dyDescent="0.35">
      <c r="B2685" s="9"/>
      <c r="C2685" s="2"/>
      <c r="D2685" s="2"/>
      <c r="I2685" s="9"/>
      <c r="J2685" s="2"/>
      <c r="L2685" s="9"/>
      <c r="M2685" s="2"/>
      <c r="N2685" s="9"/>
      <c r="P2685" s="3">
        <v>-1419.2510693700001</v>
      </c>
      <c r="S2685" s="9"/>
      <c r="T2685" s="2"/>
      <c r="U2685" s="9"/>
    </row>
    <row r="2686" spans="2:21" x14ac:dyDescent="0.35">
      <c r="B2686" s="9"/>
      <c r="C2686" s="2"/>
      <c r="D2686" s="2"/>
      <c r="I2686" s="9"/>
      <c r="J2686" s="2"/>
      <c r="L2686" s="9"/>
      <c r="M2686" s="2"/>
      <c r="N2686" s="9"/>
      <c r="P2686" s="3">
        <v>-1854.0110693700001</v>
      </c>
      <c r="S2686" s="9"/>
      <c r="T2686" s="2"/>
      <c r="U2686" s="9"/>
    </row>
    <row r="2687" spans="2:21" x14ac:dyDescent="0.35">
      <c r="B2687" s="9"/>
      <c r="C2687" s="2"/>
      <c r="D2687" s="2"/>
      <c r="I2687" s="9"/>
      <c r="J2687" s="2"/>
      <c r="L2687" s="9"/>
      <c r="M2687" s="2"/>
      <c r="N2687" s="9"/>
      <c r="P2687" s="3">
        <v>-2288.7710693700001</v>
      </c>
      <c r="S2687" s="9"/>
      <c r="T2687" s="2"/>
      <c r="U2687" s="9"/>
    </row>
    <row r="2688" spans="2:21" x14ac:dyDescent="0.35">
      <c r="B2688" s="9"/>
      <c r="C2688" s="2"/>
      <c r="D2688" s="2"/>
      <c r="I2688" s="9"/>
      <c r="J2688" s="2"/>
      <c r="L2688" s="9"/>
      <c r="M2688" s="2"/>
      <c r="N2688" s="9"/>
      <c r="P2688" s="3">
        <v>-2723.5310693699998</v>
      </c>
      <c r="S2688" s="9"/>
      <c r="T2688" s="2"/>
      <c r="U2688" s="9"/>
    </row>
    <row r="2689" spans="2:21" x14ac:dyDescent="0.35">
      <c r="B2689" s="9"/>
      <c r="C2689" s="2"/>
      <c r="D2689" s="2"/>
      <c r="I2689" s="9"/>
      <c r="J2689" s="2"/>
      <c r="L2689" s="9"/>
      <c r="M2689" s="2"/>
      <c r="N2689" s="9"/>
      <c r="P2689" s="3">
        <v>-2860.169492</v>
      </c>
      <c r="S2689" s="9"/>
      <c r="T2689" s="2"/>
      <c r="U2689" s="9"/>
    </row>
    <row r="2690" spans="2:21" x14ac:dyDescent="0.35">
      <c r="B2690" s="9"/>
      <c r="C2690" s="2"/>
      <c r="D2690" s="2"/>
      <c r="I2690" s="9"/>
      <c r="J2690" s="2"/>
      <c r="L2690" s="9"/>
      <c r="M2690" s="2"/>
      <c r="N2690" s="9"/>
      <c r="P2690" s="3">
        <v>-2860.169492</v>
      </c>
      <c r="S2690" s="9"/>
      <c r="T2690" s="2"/>
      <c r="U2690" s="9"/>
    </row>
    <row r="2691" spans="2:21" x14ac:dyDescent="0.35">
      <c r="B2691" s="9"/>
      <c r="C2691" s="2"/>
      <c r="D2691" s="2"/>
      <c r="I2691" s="9"/>
      <c r="J2691" s="2"/>
      <c r="L2691" s="9"/>
      <c r="M2691" s="2"/>
      <c r="N2691" s="9"/>
      <c r="P2691" s="3">
        <v>-2860.169492</v>
      </c>
      <c r="S2691" s="9"/>
      <c r="T2691" s="2"/>
      <c r="U2691" s="9"/>
    </row>
    <row r="2692" spans="2:21" x14ac:dyDescent="0.35">
      <c r="B2692" s="9"/>
      <c r="C2692" s="2"/>
      <c r="D2692" s="2"/>
      <c r="I2692" s="9"/>
      <c r="J2692" s="2"/>
      <c r="L2692" s="9"/>
      <c r="M2692" s="2"/>
      <c r="N2692" s="9"/>
      <c r="P2692" s="3">
        <v>-2860.169492</v>
      </c>
      <c r="S2692" s="9"/>
      <c r="T2692" s="2"/>
      <c r="U2692" s="9"/>
    </row>
    <row r="2693" spans="2:21" x14ac:dyDescent="0.35">
      <c r="B2693" s="9"/>
      <c r="C2693" s="2"/>
      <c r="D2693" s="2"/>
      <c r="I2693" s="9"/>
      <c r="J2693" s="2"/>
      <c r="L2693" s="9"/>
      <c r="M2693" s="2"/>
      <c r="N2693" s="9"/>
      <c r="P2693" s="3">
        <v>-2860.169492</v>
      </c>
      <c r="S2693" s="9"/>
      <c r="T2693" s="2"/>
      <c r="U2693" s="9"/>
    </row>
    <row r="2694" spans="2:21" x14ac:dyDescent="0.35">
      <c r="B2694" s="9"/>
      <c r="C2694" s="2"/>
      <c r="D2694" s="2"/>
      <c r="I2694" s="9"/>
      <c r="J2694" s="2"/>
      <c r="L2694" s="9"/>
      <c r="M2694" s="2"/>
      <c r="N2694" s="9"/>
      <c r="P2694" s="3">
        <v>-2860.169492</v>
      </c>
      <c r="S2694" s="9"/>
      <c r="T2694" s="2"/>
      <c r="U2694" s="9"/>
    </row>
    <row r="2695" spans="2:21" x14ac:dyDescent="0.35">
      <c r="B2695" s="9"/>
      <c r="C2695" s="2"/>
      <c r="D2695" s="2"/>
      <c r="I2695" s="9"/>
      <c r="J2695" s="2"/>
      <c r="L2695" s="9"/>
      <c r="M2695" s="2"/>
      <c r="N2695" s="9"/>
      <c r="P2695" s="3">
        <v>-2860.169492</v>
      </c>
      <c r="S2695" s="9"/>
      <c r="T2695" s="2"/>
      <c r="U2695" s="9"/>
    </row>
    <row r="2696" spans="2:21" x14ac:dyDescent="0.35">
      <c r="B2696" s="9"/>
      <c r="C2696" s="2"/>
      <c r="D2696" s="2"/>
      <c r="I2696" s="9"/>
      <c r="J2696" s="2"/>
      <c r="L2696" s="9"/>
      <c r="M2696" s="2"/>
      <c r="N2696" s="9"/>
      <c r="P2696" s="3">
        <v>-2860.169492</v>
      </c>
      <c r="S2696" s="9"/>
      <c r="T2696" s="2"/>
      <c r="U2696" s="9"/>
    </row>
    <row r="2697" spans="2:21" x14ac:dyDescent="0.35">
      <c r="B2697" s="9"/>
      <c r="C2697" s="2"/>
      <c r="D2697" s="2"/>
      <c r="I2697" s="9"/>
      <c r="J2697" s="2"/>
      <c r="L2697" s="9"/>
      <c r="M2697" s="2"/>
      <c r="N2697" s="9"/>
      <c r="P2697" s="3">
        <v>-2860.169492</v>
      </c>
      <c r="S2697" s="9"/>
      <c r="T2697" s="2"/>
      <c r="U2697" s="9"/>
    </row>
    <row r="2698" spans="2:21" x14ac:dyDescent="0.35">
      <c r="B2698" s="9"/>
      <c r="C2698" s="2"/>
      <c r="D2698" s="2"/>
      <c r="I2698" s="9"/>
      <c r="J2698" s="2"/>
      <c r="L2698" s="9"/>
      <c r="M2698" s="2"/>
      <c r="N2698" s="9"/>
      <c r="P2698" s="3">
        <v>-2860.169492</v>
      </c>
      <c r="S2698" s="9"/>
      <c r="T2698" s="2"/>
      <c r="U2698" s="9"/>
    </row>
    <row r="2699" spans="2:21" x14ac:dyDescent="0.35">
      <c r="B2699" s="9"/>
      <c r="C2699" s="2"/>
      <c r="D2699" s="2"/>
      <c r="I2699" s="9"/>
      <c r="J2699" s="2"/>
      <c r="L2699" s="9"/>
      <c r="M2699" s="2"/>
      <c r="N2699" s="9"/>
      <c r="P2699" s="3">
        <v>-2860.169492</v>
      </c>
      <c r="S2699" s="9"/>
      <c r="T2699" s="2"/>
      <c r="U2699" s="9"/>
    </row>
    <row r="2700" spans="2:21" x14ac:dyDescent="0.35">
      <c r="B2700" s="9"/>
      <c r="C2700" s="2"/>
      <c r="D2700" s="2"/>
      <c r="I2700" s="9"/>
      <c r="J2700" s="2"/>
      <c r="L2700" s="9"/>
      <c r="M2700" s="2"/>
      <c r="N2700" s="9"/>
      <c r="P2700" s="3">
        <v>-2860.169492</v>
      </c>
      <c r="S2700" s="9"/>
      <c r="T2700" s="2"/>
      <c r="U2700" s="9"/>
    </row>
    <row r="2701" spans="2:21" x14ac:dyDescent="0.35">
      <c r="B2701" s="9"/>
      <c r="C2701" s="2"/>
      <c r="D2701" s="2"/>
      <c r="I2701" s="9"/>
      <c r="J2701" s="2"/>
      <c r="L2701" s="9"/>
      <c r="M2701" s="2"/>
      <c r="N2701" s="9"/>
      <c r="P2701" s="3">
        <v>-2860.169492</v>
      </c>
      <c r="S2701" s="9"/>
      <c r="T2701" s="2"/>
      <c r="U2701" s="9"/>
    </row>
    <row r="2702" spans="2:21" x14ac:dyDescent="0.35">
      <c r="B2702" s="9"/>
      <c r="C2702" s="2"/>
      <c r="D2702" s="2"/>
      <c r="I2702" s="9"/>
      <c r="J2702" s="2"/>
      <c r="L2702" s="9"/>
      <c r="M2702" s="2"/>
      <c r="N2702" s="9"/>
      <c r="P2702" s="3">
        <v>-2860.169492</v>
      </c>
      <c r="S2702" s="9"/>
      <c r="T2702" s="2"/>
      <c r="U2702" s="9"/>
    </row>
    <row r="2703" spans="2:21" x14ac:dyDescent="0.35">
      <c r="B2703" s="9"/>
      <c r="C2703" s="2"/>
      <c r="D2703" s="2"/>
      <c r="I2703" s="9"/>
      <c r="J2703" s="2"/>
      <c r="L2703" s="9"/>
      <c r="M2703" s="2"/>
      <c r="N2703" s="9"/>
      <c r="P2703" s="3">
        <v>-2425.4094919999998</v>
      </c>
      <c r="S2703" s="9"/>
      <c r="T2703" s="2"/>
      <c r="U2703" s="9"/>
    </row>
    <row r="2704" spans="2:21" x14ac:dyDescent="0.35">
      <c r="B2704" s="9"/>
      <c r="C2704" s="2"/>
      <c r="D2704" s="2"/>
      <c r="I2704" s="9"/>
      <c r="J2704" s="2"/>
      <c r="L2704" s="9"/>
      <c r="M2704" s="2"/>
      <c r="N2704" s="9"/>
      <c r="P2704" s="3">
        <v>-1990.649492</v>
      </c>
      <c r="S2704" s="9"/>
      <c r="T2704" s="2"/>
      <c r="U2704" s="9"/>
    </row>
    <row r="2705" spans="2:21" x14ac:dyDescent="0.35">
      <c r="B2705" s="9"/>
      <c r="C2705" s="2"/>
      <c r="D2705" s="2"/>
      <c r="I2705" s="9"/>
      <c r="J2705" s="2"/>
      <c r="L2705" s="9"/>
      <c r="M2705" s="2"/>
      <c r="N2705" s="9"/>
      <c r="P2705" s="3">
        <v>-1555.889492</v>
      </c>
      <c r="S2705" s="9"/>
      <c r="T2705" s="2"/>
      <c r="U2705" s="9"/>
    </row>
    <row r="2706" spans="2:21" x14ac:dyDescent="0.35">
      <c r="B2706" s="9"/>
      <c r="C2706" s="2"/>
      <c r="D2706" s="2"/>
      <c r="I2706" s="9"/>
      <c r="J2706" s="2"/>
      <c r="L2706" s="9"/>
      <c r="M2706" s="2"/>
      <c r="N2706" s="9"/>
      <c r="P2706" s="3">
        <v>-1121.129492</v>
      </c>
      <c r="S2706" s="9"/>
      <c r="T2706" s="2"/>
      <c r="U2706" s="9"/>
    </row>
    <row r="2707" spans="2:21" x14ac:dyDescent="0.35">
      <c r="B2707" s="9"/>
      <c r="C2707" s="2"/>
      <c r="D2707" s="2"/>
      <c r="I2707" s="9"/>
      <c r="J2707" s="2"/>
      <c r="L2707" s="9"/>
      <c r="M2707" s="2"/>
      <c r="N2707" s="9"/>
      <c r="P2707" s="3">
        <v>-1555.889492</v>
      </c>
      <c r="S2707" s="9"/>
      <c r="T2707" s="2"/>
      <c r="U2707" s="9"/>
    </row>
    <row r="2708" spans="2:21" x14ac:dyDescent="0.35">
      <c r="B2708" s="9"/>
      <c r="C2708" s="2"/>
      <c r="D2708" s="2"/>
      <c r="I2708" s="9"/>
      <c r="J2708" s="2"/>
      <c r="L2708" s="9"/>
      <c r="M2708" s="2"/>
      <c r="N2708" s="9"/>
      <c r="P2708" s="3">
        <v>-1990.649492</v>
      </c>
      <c r="S2708" s="9"/>
      <c r="T2708" s="2"/>
      <c r="U2708" s="9"/>
    </row>
    <row r="2709" spans="2:21" x14ac:dyDescent="0.35">
      <c r="B2709" s="9"/>
      <c r="C2709" s="2"/>
      <c r="D2709" s="2"/>
      <c r="I2709" s="9"/>
      <c r="J2709" s="2"/>
      <c r="L2709" s="9"/>
      <c r="M2709" s="2"/>
      <c r="N2709" s="9"/>
      <c r="P2709" s="3">
        <v>-2425.4094919999998</v>
      </c>
      <c r="S2709" s="9"/>
      <c r="T2709" s="2"/>
      <c r="U2709" s="9"/>
    </row>
    <row r="2710" spans="2:21" x14ac:dyDescent="0.35">
      <c r="B2710" s="9"/>
      <c r="C2710" s="2"/>
      <c r="D2710" s="2"/>
      <c r="I2710" s="9"/>
      <c r="J2710" s="2"/>
      <c r="L2710" s="9"/>
      <c r="M2710" s="2"/>
      <c r="N2710" s="9"/>
      <c r="P2710" s="3">
        <v>-2860.169492</v>
      </c>
      <c r="S2710" s="9"/>
      <c r="T2710" s="2"/>
      <c r="U2710" s="9"/>
    </row>
    <row r="2711" spans="2:21" x14ac:dyDescent="0.35">
      <c r="B2711" s="9"/>
      <c r="C2711" s="2"/>
      <c r="D2711" s="2"/>
      <c r="I2711" s="9"/>
      <c r="J2711" s="2"/>
      <c r="L2711" s="9"/>
      <c r="M2711" s="2"/>
      <c r="N2711" s="9"/>
      <c r="P2711" s="3">
        <v>-2860.169492</v>
      </c>
      <c r="S2711" s="9"/>
      <c r="T2711" s="2"/>
      <c r="U2711" s="9"/>
    </row>
    <row r="2712" spans="2:21" x14ac:dyDescent="0.35">
      <c r="B2712" s="9"/>
      <c r="C2712" s="2"/>
      <c r="D2712" s="2"/>
      <c r="I2712" s="9"/>
      <c r="J2712" s="2"/>
      <c r="L2712" s="9"/>
      <c r="M2712" s="2"/>
      <c r="N2712" s="9"/>
      <c r="P2712" s="3">
        <v>-2637.3179777300002</v>
      </c>
      <c r="S2712" s="9"/>
      <c r="T2712" s="2"/>
      <c r="U2712" s="9"/>
    </row>
    <row r="2713" spans="2:21" x14ac:dyDescent="0.35">
      <c r="B2713" s="9"/>
      <c r="C2713" s="2"/>
      <c r="D2713" s="2"/>
      <c r="I2713" s="9"/>
      <c r="J2713" s="2"/>
      <c r="L2713" s="9"/>
      <c r="M2713" s="2"/>
      <c r="N2713" s="9"/>
      <c r="P2713" s="3">
        <v>-2202.5579777299999</v>
      </c>
      <c r="S2713" s="9"/>
      <c r="T2713" s="2"/>
      <c r="U2713" s="9"/>
    </row>
    <row r="2714" spans="2:21" x14ac:dyDescent="0.35">
      <c r="B2714" s="9"/>
      <c r="C2714" s="2"/>
      <c r="D2714" s="2"/>
      <c r="I2714" s="9"/>
      <c r="J2714" s="2"/>
      <c r="L2714" s="9"/>
      <c r="M2714" s="2"/>
      <c r="N2714" s="9"/>
      <c r="P2714" s="3">
        <v>-2229.2854182299998</v>
      </c>
      <c r="S2714" s="9"/>
      <c r="T2714" s="2"/>
      <c r="U2714" s="9"/>
    </row>
    <row r="2715" spans="2:21" x14ac:dyDescent="0.35">
      <c r="B2715" s="9"/>
      <c r="C2715" s="2"/>
      <c r="D2715" s="2"/>
      <c r="I2715" s="9"/>
      <c r="J2715" s="2"/>
      <c r="L2715" s="9"/>
      <c r="M2715" s="2"/>
      <c r="N2715" s="9"/>
      <c r="P2715" s="3">
        <v>-2508.3425486000001</v>
      </c>
      <c r="S2715" s="9"/>
      <c r="T2715" s="2"/>
      <c r="U2715" s="9"/>
    </row>
    <row r="2716" spans="2:21" x14ac:dyDescent="0.35">
      <c r="B2716" s="9"/>
      <c r="C2716" s="2"/>
      <c r="D2716" s="2"/>
      <c r="I2716" s="9"/>
      <c r="J2716" s="2"/>
      <c r="L2716" s="9"/>
      <c r="M2716" s="2"/>
      <c r="N2716" s="9"/>
      <c r="P2716" s="3">
        <v>-2538.10797886</v>
      </c>
      <c r="S2716" s="9"/>
      <c r="T2716" s="2"/>
      <c r="U2716" s="9"/>
    </row>
    <row r="2717" spans="2:21" x14ac:dyDescent="0.35">
      <c r="B2717" s="9"/>
      <c r="C2717" s="2"/>
      <c r="D2717" s="2"/>
      <c r="I2717" s="9"/>
      <c r="J2717" s="2"/>
      <c r="L2717" s="9"/>
      <c r="M2717" s="2"/>
      <c r="N2717" s="9"/>
      <c r="P2717" s="3">
        <v>-2421.8490288600001</v>
      </c>
      <c r="S2717" s="9"/>
      <c r="T2717" s="2"/>
      <c r="U2717" s="9"/>
    </row>
    <row r="2718" spans="2:21" x14ac:dyDescent="0.35">
      <c r="B2718" s="9"/>
      <c r="C2718" s="2"/>
      <c r="D2718" s="2"/>
      <c r="I2718" s="9"/>
      <c r="J2718" s="2"/>
      <c r="L2718" s="9"/>
      <c r="M2718" s="2"/>
      <c r="N2718" s="9"/>
      <c r="P2718" s="3">
        <v>-2132.15058886</v>
      </c>
      <c r="S2718" s="9"/>
      <c r="T2718" s="2"/>
      <c r="U2718" s="9"/>
    </row>
    <row r="2719" spans="2:21" x14ac:dyDescent="0.35">
      <c r="B2719" s="9"/>
      <c r="C2719" s="2"/>
      <c r="D2719" s="2"/>
      <c r="I2719" s="9"/>
      <c r="J2719" s="2"/>
      <c r="L2719" s="9"/>
      <c r="M2719" s="2"/>
      <c r="N2719" s="9"/>
      <c r="P2719" s="3">
        <v>-1697.39058886</v>
      </c>
      <c r="S2719" s="9"/>
      <c r="T2719" s="2"/>
      <c r="U2719" s="9"/>
    </row>
    <row r="2720" spans="2:21" x14ac:dyDescent="0.35">
      <c r="B2720" s="9"/>
      <c r="C2720" s="2"/>
      <c r="D2720" s="2"/>
      <c r="I2720" s="9"/>
      <c r="J2720" s="2"/>
      <c r="L2720" s="9"/>
      <c r="M2720" s="2"/>
      <c r="N2720" s="9"/>
      <c r="P2720" s="3">
        <v>-1304.07259886</v>
      </c>
      <c r="S2720" s="9"/>
      <c r="T2720" s="2"/>
      <c r="U2720" s="9"/>
    </row>
    <row r="2721" spans="2:21" x14ac:dyDescent="0.35">
      <c r="B2721" s="9"/>
      <c r="C2721" s="2"/>
      <c r="D2721" s="2"/>
      <c r="I2721" s="9"/>
      <c r="J2721" s="2"/>
      <c r="L2721" s="9"/>
      <c r="M2721" s="2"/>
      <c r="N2721" s="9"/>
      <c r="P2721" s="3">
        <v>-941.86609885999997</v>
      </c>
      <c r="S2721" s="9"/>
      <c r="T2721" s="2"/>
      <c r="U2721" s="9"/>
    </row>
    <row r="2722" spans="2:21" x14ac:dyDescent="0.35">
      <c r="B2722" s="9"/>
      <c r="C2722" s="2"/>
      <c r="D2722" s="2"/>
      <c r="I2722" s="9"/>
      <c r="J2722" s="2"/>
      <c r="L2722" s="9"/>
      <c r="M2722" s="2"/>
      <c r="N2722" s="9"/>
      <c r="P2722" s="3">
        <v>-698.41135885999995</v>
      </c>
      <c r="S2722" s="9"/>
      <c r="T2722" s="2"/>
      <c r="U2722" s="9"/>
    </row>
    <row r="2723" spans="2:21" x14ac:dyDescent="0.35">
      <c r="B2723" s="9"/>
      <c r="C2723" s="2"/>
      <c r="D2723" s="2"/>
      <c r="I2723" s="9"/>
      <c r="J2723" s="2"/>
      <c r="L2723" s="9"/>
      <c r="M2723" s="2"/>
      <c r="N2723" s="9"/>
      <c r="P2723" s="3">
        <v>-483.78555238000001</v>
      </c>
      <c r="S2723" s="9"/>
      <c r="T2723" s="2"/>
      <c r="U2723" s="9"/>
    </row>
    <row r="2724" spans="2:21" x14ac:dyDescent="0.35">
      <c r="B2724" s="9"/>
      <c r="C2724" s="2"/>
      <c r="D2724" s="2"/>
      <c r="I2724" s="9"/>
      <c r="J2724" s="2"/>
      <c r="L2724" s="9"/>
      <c r="M2724" s="2"/>
      <c r="N2724" s="9"/>
      <c r="P2724" s="3">
        <v>-387.06660590000001</v>
      </c>
      <c r="S2724" s="9"/>
      <c r="T2724" s="2"/>
      <c r="U2724" s="9"/>
    </row>
    <row r="2725" spans="2:21" x14ac:dyDescent="0.35">
      <c r="B2725" s="9"/>
      <c r="C2725" s="2"/>
      <c r="D2725" s="2"/>
      <c r="I2725" s="9"/>
      <c r="J2725" s="2"/>
      <c r="L2725" s="9"/>
      <c r="M2725" s="2"/>
      <c r="N2725" s="9"/>
      <c r="P2725" s="3">
        <v>-738.75910345</v>
      </c>
      <c r="S2725" s="9"/>
      <c r="T2725" s="2"/>
      <c r="U2725" s="9"/>
    </row>
    <row r="2726" spans="2:21" x14ac:dyDescent="0.35">
      <c r="B2726" s="9"/>
      <c r="C2726" s="2"/>
      <c r="D2726" s="2"/>
      <c r="I2726" s="9"/>
      <c r="J2726" s="2"/>
      <c r="L2726" s="9"/>
      <c r="M2726" s="2"/>
      <c r="N2726" s="9"/>
      <c r="P2726" s="3">
        <v>-1173.5191034500001</v>
      </c>
      <c r="S2726" s="9"/>
      <c r="T2726" s="2"/>
      <c r="U2726" s="9"/>
    </row>
    <row r="2727" spans="2:21" x14ac:dyDescent="0.35">
      <c r="B2727" s="9"/>
      <c r="C2727" s="2"/>
      <c r="D2727" s="2"/>
      <c r="I2727" s="9"/>
      <c r="J2727" s="2"/>
      <c r="L2727" s="9"/>
      <c r="M2727" s="2"/>
      <c r="N2727" s="9"/>
      <c r="P2727" s="3">
        <v>-1608.2791034500001</v>
      </c>
      <c r="S2727" s="9"/>
      <c r="T2727" s="2"/>
      <c r="U2727" s="9"/>
    </row>
    <row r="2728" spans="2:21" x14ac:dyDescent="0.35">
      <c r="B2728" s="9"/>
      <c r="C2728" s="2"/>
      <c r="D2728" s="2"/>
      <c r="I2728" s="9"/>
      <c r="J2728" s="2"/>
      <c r="L2728" s="9"/>
      <c r="M2728" s="2"/>
      <c r="N2728" s="9"/>
      <c r="P2728" s="3">
        <v>-2043.0391034500001</v>
      </c>
      <c r="S2728" s="9"/>
      <c r="T2728" s="2"/>
      <c r="U2728" s="9"/>
    </row>
    <row r="2729" spans="2:21" x14ac:dyDescent="0.35">
      <c r="B2729" s="9"/>
      <c r="C2729" s="2"/>
      <c r="D2729" s="2"/>
      <c r="I2729" s="9"/>
      <c r="J2729" s="2"/>
      <c r="L2729" s="9"/>
      <c r="M2729" s="2"/>
      <c r="N2729" s="9"/>
      <c r="P2729" s="3">
        <v>-2477.7991034500001</v>
      </c>
      <c r="S2729" s="9"/>
      <c r="T2729" s="2"/>
      <c r="U2729" s="9"/>
    </row>
    <row r="2730" spans="2:21" x14ac:dyDescent="0.35">
      <c r="B2730" s="9"/>
      <c r="C2730" s="2"/>
      <c r="D2730" s="2"/>
      <c r="I2730" s="9"/>
      <c r="J2730" s="2"/>
      <c r="L2730" s="9"/>
      <c r="M2730" s="2"/>
      <c r="N2730" s="9"/>
      <c r="P2730" s="3">
        <v>-2860.169492</v>
      </c>
      <c r="S2730" s="9"/>
      <c r="T2730" s="2"/>
      <c r="U2730" s="9"/>
    </row>
    <row r="2731" spans="2:21" x14ac:dyDescent="0.35">
      <c r="B2731" s="9"/>
      <c r="C2731" s="2"/>
      <c r="D2731" s="2"/>
      <c r="I2731" s="9"/>
      <c r="J2731" s="2"/>
      <c r="L2731" s="9"/>
      <c r="M2731" s="2"/>
      <c r="N2731" s="9"/>
      <c r="P2731" s="3">
        <v>-2860.169492</v>
      </c>
      <c r="S2731" s="9"/>
      <c r="T2731" s="2"/>
      <c r="U2731" s="9"/>
    </row>
    <row r="2732" spans="2:21" x14ac:dyDescent="0.35">
      <c r="B2732" s="9"/>
      <c r="C2732" s="2"/>
      <c r="D2732" s="2"/>
      <c r="I2732" s="9"/>
      <c r="J2732" s="2"/>
      <c r="L2732" s="9"/>
      <c r="M2732" s="2"/>
      <c r="N2732" s="9"/>
      <c r="P2732" s="3">
        <v>-2860.169492</v>
      </c>
      <c r="S2732" s="9"/>
      <c r="T2732" s="2"/>
      <c r="U2732" s="9"/>
    </row>
    <row r="2733" spans="2:21" x14ac:dyDescent="0.35">
      <c r="B2733" s="9"/>
      <c r="C2733" s="2"/>
      <c r="D2733" s="2"/>
      <c r="I2733" s="9"/>
      <c r="J2733" s="2"/>
      <c r="L2733" s="9"/>
      <c r="M2733" s="2"/>
      <c r="N2733" s="9"/>
      <c r="P2733" s="3">
        <v>-2860.169492</v>
      </c>
      <c r="S2733" s="9"/>
      <c r="T2733" s="2"/>
      <c r="U2733" s="9"/>
    </row>
    <row r="2734" spans="2:21" x14ac:dyDescent="0.35">
      <c r="B2734" s="9"/>
      <c r="C2734" s="2"/>
      <c r="D2734" s="2"/>
      <c r="I2734" s="9"/>
      <c r="J2734" s="2"/>
      <c r="L2734" s="9"/>
      <c r="M2734" s="2"/>
      <c r="N2734" s="9"/>
      <c r="P2734" s="3">
        <v>-2780.5321177300002</v>
      </c>
      <c r="S2734" s="9"/>
      <c r="T2734" s="2"/>
      <c r="U2734" s="9"/>
    </row>
    <row r="2735" spans="2:21" x14ac:dyDescent="0.35">
      <c r="B2735" s="9"/>
      <c r="C2735" s="2"/>
      <c r="D2735" s="2"/>
      <c r="I2735" s="9"/>
      <c r="J2735" s="2"/>
      <c r="L2735" s="9"/>
      <c r="M2735" s="2"/>
      <c r="N2735" s="9"/>
      <c r="P2735" s="3">
        <v>-2345.77211773</v>
      </c>
      <c r="S2735" s="9"/>
      <c r="T2735" s="2"/>
      <c r="U2735" s="9"/>
    </row>
    <row r="2736" spans="2:21" x14ac:dyDescent="0.35">
      <c r="B2736" s="9"/>
      <c r="C2736" s="2"/>
      <c r="D2736" s="2"/>
      <c r="I2736" s="9"/>
      <c r="J2736" s="2"/>
      <c r="L2736" s="9"/>
      <c r="M2736" s="2"/>
      <c r="N2736" s="9"/>
      <c r="P2736" s="3">
        <v>-1911.01211773</v>
      </c>
      <c r="S2736" s="9"/>
      <c r="T2736" s="2"/>
      <c r="U2736" s="9"/>
    </row>
    <row r="2737" spans="2:21" x14ac:dyDescent="0.35">
      <c r="B2737" s="9"/>
      <c r="C2737" s="2"/>
      <c r="D2737" s="2"/>
      <c r="I2737" s="9"/>
      <c r="J2737" s="2"/>
      <c r="L2737" s="9"/>
      <c r="M2737" s="2"/>
      <c r="N2737" s="9"/>
      <c r="P2737" s="3">
        <v>-1476.25211773</v>
      </c>
      <c r="S2737" s="9"/>
      <c r="T2737" s="2"/>
      <c r="U2737" s="9"/>
    </row>
    <row r="2738" spans="2:21" x14ac:dyDescent="0.35">
      <c r="B2738" s="9"/>
      <c r="C2738" s="2"/>
      <c r="D2738" s="2"/>
      <c r="I2738" s="9"/>
      <c r="J2738" s="2"/>
      <c r="L2738" s="9"/>
      <c r="M2738" s="2"/>
      <c r="N2738" s="9"/>
      <c r="P2738" s="3">
        <v>-1382.4833282300001</v>
      </c>
      <c r="S2738" s="9"/>
      <c r="T2738" s="2"/>
      <c r="U2738" s="9"/>
    </row>
    <row r="2739" spans="2:21" x14ac:dyDescent="0.35">
      <c r="B2739" s="9"/>
      <c r="C2739" s="2"/>
      <c r="D2739" s="2"/>
      <c r="I2739" s="9"/>
      <c r="J2739" s="2"/>
      <c r="L2739" s="9"/>
      <c r="M2739" s="2"/>
      <c r="N2739" s="9"/>
      <c r="P2739" s="3">
        <v>-1556.0806086</v>
      </c>
      <c r="S2739" s="9"/>
      <c r="T2739" s="2"/>
      <c r="U2739" s="9"/>
    </row>
    <row r="2740" spans="2:21" x14ac:dyDescent="0.35">
      <c r="B2740" s="9"/>
      <c r="C2740" s="2"/>
      <c r="D2740" s="2"/>
      <c r="I2740" s="9"/>
      <c r="J2740" s="2"/>
      <c r="L2740" s="9"/>
      <c r="M2740" s="2"/>
      <c r="N2740" s="9"/>
      <c r="P2740" s="3">
        <v>-1658.4527688600001</v>
      </c>
      <c r="S2740" s="9"/>
      <c r="T2740" s="2"/>
      <c r="U2740" s="9"/>
    </row>
    <row r="2741" spans="2:21" x14ac:dyDescent="0.35">
      <c r="B2741" s="9"/>
      <c r="C2741" s="2"/>
      <c r="D2741" s="2"/>
      <c r="I2741" s="9"/>
      <c r="J2741" s="2"/>
      <c r="L2741" s="9"/>
      <c r="M2741" s="2"/>
      <c r="N2741" s="9"/>
      <c r="P2741" s="3">
        <v>-1815.60913886</v>
      </c>
      <c r="S2741" s="9"/>
      <c r="T2741" s="2"/>
      <c r="U2741" s="9"/>
    </row>
    <row r="2742" spans="2:21" x14ac:dyDescent="0.35">
      <c r="B2742" s="9"/>
      <c r="C2742" s="2"/>
      <c r="D2742" s="2"/>
      <c r="I2742" s="9"/>
      <c r="J2742" s="2"/>
      <c r="L2742" s="9"/>
      <c r="M2742" s="2"/>
      <c r="N2742" s="9"/>
      <c r="P2742" s="3">
        <v>-1873.08292886</v>
      </c>
      <c r="S2742" s="9"/>
      <c r="T2742" s="2"/>
      <c r="U2742" s="9"/>
    </row>
    <row r="2743" spans="2:21" x14ac:dyDescent="0.35">
      <c r="B2743" s="9"/>
      <c r="C2743" s="2"/>
      <c r="D2743" s="2"/>
      <c r="I2743" s="9"/>
      <c r="J2743" s="2"/>
      <c r="L2743" s="9"/>
      <c r="M2743" s="2"/>
      <c r="N2743" s="9"/>
      <c r="P2743" s="3">
        <v>-1752.5746288600001</v>
      </c>
      <c r="S2743" s="9"/>
      <c r="T2743" s="2"/>
      <c r="U2743" s="9"/>
    </row>
    <row r="2744" spans="2:21" x14ac:dyDescent="0.35">
      <c r="B2744" s="9"/>
      <c r="C2744" s="2"/>
      <c r="D2744" s="2"/>
      <c r="I2744" s="9"/>
      <c r="J2744" s="2"/>
      <c r="L2744" s="9"/>
      <c r="M2744" s="2"/>
      <c r="N2744" s="9"/>
      <c r="P2744" s="3">
        <v>-1638.8404388599999</v>
      </c>
      <c r="S2744" s="9"/>
      <c r="T2744" s="2"/>
      <c r="U2744" s="9"/>
    </row>
    <row r="2745" spans="2:21" x14ac:dyDescent="0.35">
      <c r="B2745" s="9"/>
      <c r="C2745" s="2"/>
      <c r="D2745" s="2"/>
      <c r="I2745" s="9"/>
      <c r="J2745" s="2"/>
      <c r="L2745" s="9"/>
      <c r="M2745" s="2"/>
      <c r="N2745" s="9"/>
      <c r="P2745" s="3">
        <v>-1545.1736888600001</v>
      </c>
      <c r="S2745" s="9"/>
      <c r="T2745" s="2"/>
      <c r="U2745" s="9"/>
    </row>
    <row r="2746" spans="2:21" x14ac:dyDescent="0.35">
      <c r="B2746" s="9"/>
      <c r="C2746" s="2"/>
      <c r="D2746" s="2"/>
      <c r="I2746" s="9"/>
      <c r="J2746" s="2"/>
      <c r="L2746" s="9"/>
      <c r="M2746" s="2"/>
      <c r="N2746" s="9"/>
      <c r="P2746" s="3">
        <v>-1488.0499288599999</v>
      </c>
      <c r="S2746" s="9"/>
      <c r="T2746" s="2"/>
      <c r="U2746" s="9"/>
    </row>
    <row r="2747" spans="2:21" x14ac:dyDescent="0.35">
      <c r="B2747" s="9"/>
      <c r="C2747" s="2"/>
      <c r="D2747" s="2"/>
      <c r="I2747" s="9"/>
      <c r="J2747" s="2"/>
      <c r="L2747" s="9"/>
      <c r="M2747" s="2"/>
      <c r="N2747" s="9"/>
      <c r="P2747" s="3">
        <v>-1391.48434238</v>
      </c>
      <c r="S2747" s="9"/>
      <c r="T2747" s="2"/>
      <c r="U2747" s="9"/>
    </row>
    <row r="2748" spans="2:21" x14ac:dyDescent="0.35">
      <c r="B2748" s="9"/>
      <c r="C2748" s="2"/>
      <c r="D2748" s="2"/>
      <c r="I2748" s="9"/>
      <c r="J2748" s="2"/>
      <c r="L2748" s="9"/>
      <c r="M2748" s="2"/>
      <c r="N2748" s="9"/>
      <c r="P2748" s="3">
        <v>-1369.2230959000001</v>
      </c>
      <c r="S2748" s="9"/>
      <c r="T2748" s="2"/>
      <c r="U2748" s="9"/>
    </row>
    <row r="2749" spans="2:21" x14ac:dyDescent="0.35">
      <c r="B2749" s="9"/>
      <c r="C2749" s="2"/>
      <c r="D2749" s="2"/>
      <c r="I2749" s="9"/>
      <c r="J2749" s="2"/>
      <c r="L2749" s="9"/>
      <c r="M2749" s="2"/>
      <c r="N2749" s="9"/>
      <c r="P2749" s="3">
        <v>-1755.2703634500001</v>
      </c>
      <c r="S2749" s="9"/>
      <c r="T2749" s="2"/>
      <c r="U2749" s="9"/>
    </row>
    <row r="2750" spans="2:21" x14ac:dyDescent="0.35">
      <c r="B2750" s="9"/>
      <c r="C2750" s="2"/>
      <c r="D2750" s="2"/>
      <c r="I2750" s="9"/>
      <c r="J2750" s="2"/>
      <c r="L2750" s="9"/>
      <c r="M2750" s="2"/>
      <c r="N2750" s="9"/>
      <c r="P2750" s="3">
        <v>-2190.0303634500001</v>
      </c>
      <c r="S2750" s="9"/>
      <c r="T2750" s="2"/>
      <c r="U2750" s="9"/>
    </row>
    <row r="2751" spans="2:21" x14ac:dyDescent="0.35">
      <c r="B2751" s="9"/>
      <c r="C2751" s="2"/>
      <c r="D2751" s="2"/>
      <c r="I2751" s="9"/>
      <c r="J2751" s="2"/>
      <c r="L2751" s="9"/>
      <c r="M2751" s="2"/>
      <c r="N2751" s="9"/>
      <c r="P2751" s="3">
        <v>-2624.7903634499999</v>
      </c>
      <c r="S2751" s="9"/>
      <c r="T2751" s="2"/>
      <c r="U2751" s="9"/>
    </row>
    <row r="2752" spans="2:21" x14ac:dyDescent="0.35">
      <c r="B2752" s="9"/>
      <c r="C2752" s="2"/>
      <c r="D2752" s="2"/>
      <c r="I2752" s="9"/>
      <c r="J2752" s="2"/>
      <c r="L2752" s="9"/>
      <c r="M2752" s="2"/>
      <c r="N2752" s="9"/>
      <c r="P2752" s="3">
        <v>-2860.169492</v>
      </c>
      <c r="S2752" s="9"/>
      <c r="T2752" s="2"/>
      <c r="U2752" s="9"/>
    </row>
    <row r="2753" spans="2:21" x14ac:dyDescent="0.35">
      <c r="B2753" s="9"/>
      <c r="C2753" s="2"/>
      <c r="D2753" s="2"/>
      <c r="I2753" s="9"/>
      <c r="J2753" s="2"/>
      <c r="L2753" s="9"/>
      <c r="M2753" s="2"/>
      <c r="N2753" s="9"/>
      <c r="P2753" s="3">
        <v>-2860.169492</v>
      </c>
      <c r="S2753" s="9"/>
      <c r="T2753" s="2"/>
      <c r="U2753" s="9"/>
    </row>
    <row r="2754" spans="2:21" x14ac:dyDescent="0.35">
      <c r="B2754" s="9"/>
      <c r="C2754" s="2"/>
      <c r="D2754" s="2"/>
      <c r="I2754" s="9"/>
      <c r="J2754" s="2"/>
      <c r="L2754" s="9"/>
      <c r="M2754" s="2"/>
      <c r="N2754" s="9"/>
      <c r="P2754" s="3">
        <v>-2860.169492</v>
      </c>
      <c r="S2754" s="9"/>
      <c r="T2754" s="2"/>
      <c r="U2754" s="9"/>
    </row>
    <row r="2755" spans="2:21" x14ac:dyDescent="0.35">
      <c r="B2755" s="9"/>
      <c r="C2755" s="2"/>
      <c r="D2755" s="2"/>
      <c r="I2755" s="9"/>
      <c r="J2755" s="2"/>
      <c r="L2755" s="9"/>
      <c r="M2755" s="2"/>
      <c r="N2755" s="9"/>
      <c r="P2755" s="3">
        <v>-2860.169492</v>
      </c>
      <c r="S2755" s="9"/>
      <c r="T2755" s="2"/>
      <c r="U2755" s="9"/>
    </row>
    <row r="2756" spans="2:21" x14ac:dyDescent="0.35">
      <c r="B2756" s="9"/>
      <c r="C2756" s="2"/>
      <c r="D2756" s="2"/>
      <c r="I2756" s="9"/>
      <c r="J2756" s="2"/>
      <c r="L2756" s="9"/>
      <c r="M2756" s="2"/>
      <c r="N2756" s="9"/>
      <c r="P2756" s="3">
        <v>-2860.169492</v>
      </c>
      <c r="S2756" s="9"/>
      <c r="T2756" s="2"/>
      <c r="U2756" s="9"/>
    </row>
    <row r="2757" spans="2:21" x14ac:dyDescent="0.35">
      <c r="B2757" s="9"/>
      <c r="C2757" s="2"/>
      <c r="D2757" s="2"/>
      <c r="I2757" s="9"/>
      <c r="J2757" s="2"/>
      <c r="L2757" s="9"/>
      <c r="M2757" s="2"/>
      <c r="N2757" s="9"/>
      <c r="P2757" s="3">
        <v>-2860.169492</v>
      </c>
      <c r="S2757" s="9"/>
      <c r="T2757" s="2"/>
      <c r="U2757" s="9"/>
    </row>
    <row r="2758" spans="2:21" x14ac:dyDescent="0.35">
      <c r="B2758" s="9"/>
      <c r="C2758" s="2"/>
      <c r="D2758" s="2"/>
      <c r="I2758" s="9"/>
      <c r="J2758" s="2"/>
      <c r="L2758" s="9"/>
      <c r="M2758" s="2"/>
      <c r="N2758" s="9"/>
      <c r="P2758" s="3">
        <v>-2860.169492</v>
      </c>
      <c r="S2758" s="9"/>
      <c r="T2758" s="2"/>
      <c r="U2758" s="9"/>
    </row>
    <row r="2759" spans="2:21" x14ac:dyDescent="0.35">
      <c r="B2759" s="9"/>
      <c r="C2759" s="2"/>
      <c r="D2759" s="2"/>
      <c r="I2759" s="9"/>
      <c r="J2759" s="2"/>
      <c r="L2759" s="9"/>
      <c r="M2759" s="2"/>
      <c r="N2759" s="9"/>
      <c r="P2759" s="3">
        <v>-2860.169492</v>
      </c>
      <c r="S2759" s="9"/>
      <c r="T2759" s="2"/>
      <c r="U2759" s="9"/>
    </row>
    <row r="2760" spans="2:21" x14ac:dyDescent="0.35">
      <c r="B2760" s="9"/>
      <c r="C2760" s="2"/>
      <c r="D2760" s="2"/>
      <c r="I2760" s="9"/>
      <c r="J2760" s="2"/>
      <c r="L2760" s="9"/>
      <c r="M2760" s="2"/>
      <c r="N2760" s="9"/>
      <c r="P2760" s="3">
        <v>-2860.169492</v>
      </c>
      <c r="S2760" s="9"/>
      <c r="T2760" s="2"/>
      <c r="U2760" s="9"/>
    </row>
    <row r="2761" spans="2:21" x14ac:dyDescent="0.35">
      <c r="B2761" s="9"/>
      <c r="C2761" s="2"/>
      <c r="D2761" s="2"/>
      <c r="I2761" s="9"/>
      <c r="J2761" s="2"/>
      <c r="L2761" s="9"/>
      <c r="M2761" s="2"/>
      <c r="N2761" s="9"/>
      <c r="P2761" s="3">
        <v>-2860.169492</v>
      </c>
      <c r="S2761" s="9"/>
      <c r="T2761" s="2"/>
      <c r="U2761" s="9"/>
    </row>
    <row r="2762" spans="2:21" x14ac:dyDescent="0.35">
      <c r="B2762" s="9"/>
      <c r="C2762" s="2"/>
      <c r="D2762" s="2"/>
      <c r="I2762" s="9"/>
      <c r="J2762" s="2"/>
      <c r="L2762" s="9"/>
      <c r="M2762" s="2"/>
      <c r="N2762" s="9"/>
      <c r="P2762" s="3">
        <v>-2860.169492</v>
      </c>
      <c r="S2762" s="9"/>
      <c r="T2762" s="2"/>
      <c r="U2762" s="9"/>
    </row>
    <row r="2763" spans="2:21" x14ac:dyDescent="0.35">
      <c r="B2763" s="9"/>
      <c r="C2763" s="2"/>
      <c r="D2763" s="2"/>
      <c r="I2763" s="9"/>
      <c r="J2763" s="2"/>
      <c r="L2763" s="9"/>
      <c r="M2763" s="2"/>
      <c r="N2763" s="9"/>
      <c r="P2763" s="3">
        <v>-2860.169492</v>
      </c>
      <c r="S2763" s="9"/>
      <c r="T2763" s="2"/>
      <c r="U2763" s="9"/>
    </row>
    <row r="2764" spans="2:21" x14ac:dyDescent="0.35">
      <c r="B2764" s="9"/>
      <c r="C2764" s="2"/>
      <c r="D2764" s="2"/>
      <c r="I2764" s="9"/>
      <c r="J2764" s="2"/>
      <c r="L2764" s="9"/>
      <c r="M2764" s="2"/>
      <c r="N2764" s="9"/>
      <c r="P2764" s="3">
        <v>-2860.169492</v>
      </c>
      <c r="S2764" s="9"/>
      <c r="T2764" s="2"/>
      <c r="U2764" s="9"/>
    </row>
    <row r="2765" spans="2:21" x14ac:dyDescent="0.35">
      <c r="B2765" s="9"/>
      <c r="C2765" s="2"/>
      <c r="D2765" s="2"/>
      <c r="I2765" s="9"/>
      <c r="J2765" s="2"/>
      <c r="L2765" s="9"/>
      <c r="M2765" s="2"/>
      <c r="N2765" s="9"/>
      <c r="P2765" s="3">
        <v>-2860.169492</v>
      </c>
      <c r="S2765" s="9"/>
      <c r="T2765" s="2"/>
      <c r="U2765" s="9"/>
    </row>
    <row r="2766" spans="2:21" x14ac:dyDescent="0.35">
      <c r="B2766" s="9"/>
      <c r="C2766" s="2"/>
      <c r="D2766" s="2"/>
      <c r="I2766" s="9"/>
      <c r="J2766" s="2"/>
      <c r="L2766" s="9"/>
      <c r="M2766" s="2"/>
      <c r="N2766" s="9"/>
      <c r="P2766" s="3">
        <v>-2860.169492</v>
      </c>
      <c r="S2766" s="9"/>
      <c r="T2766" s="2"/>
      <c r="U2766" s="9"/>
    </row>
    <row r="2767" spans="2:21" x14ac:dyDescent="0.35">
      <c r="B2767" s="9"/>
      <c r="C2767" s="2"/>
      <c r="D2767" s="2"/>
      <c r="I2767" s="9"/>
      <c r="J2767" s="2"/>
      <c r="L2767" s="9"/>
      <c r="M2767" s="2"/>
      <c r="N2767" s="9"/>
      <c r="P2767" s="3">
        <v>-2860.169492</v>
      </c>
      <c r="S2767" s="9"/>
      <c r="T2767" s="2"/>
      <c r="U2767" s="9"/>
    </row>
    <row r="2768" spans="2:21" x14ac:dyDescent="0.35">
      <c r="B2768" s="9"/>
      <c r="C2768" s="2"/>
      <c r="D2768" s="2"/>
      <c r="I2768" s="9"/>
      <c r="J2768" s="2"/>
      <c r="L2768" s="9"/>
      <c r="M2768" s="2"/>
      <c r="N2768" s="9"/>
      <c r="P2768" s="3">
        <v>-2860.169492</v>
      </c>
      <c r="S2768" s="9"/>
      <c r="T2768" s="2"/>
      <c r="U2768" s="9"/>
    </row>
    <row r="2769" spans="2:21" x14ac:dyDescent="0.35">
      <c r="B2769" s="9"/>
      <c r="C2769" s="2"/>
      <c r="D2769" s="2"/>
      <c r="I2769" s="9"/>
      <c r="J2769" s="2"/>
      <c r="L2769" s="9"/>
      <c r="M2769" s="2"/>
      <c r="N2769" s="9"/>
      <c r="P2769" s="3">
        <v>-2860.169492</v>
      </c>
      <c r="S2769" s="9"/>
      <c r="T2769" s="2"/>
      <c r="U2769" s="9"/>
    </row>
    <row r="2770" spans="2:21" x14ac:dyDescent="0.35">
      <c r="B2770" s="9"/>
      <c r="C2770" s="2"/>
      <c r="D2770" s="2"/>
      <c r="I2770" s="9"/>
      <c r="J2770" s="2"/>
      <c r="L2770" s="9"/>
      <c r="M2770" s="2"/>
      <c r="N2770" s="9"/>
      <c r="P2770" s="3">
        <v>-2860.169492</v>
      </c>
      <c r="S2770" s="9"/>
      <c r="T2770" s="2"/>
      <c r="U2770" s="9"/>
    </row>
    <row r="2771" spans="2:21" x14ac:dyDescent="0.35">
      <c r="B2771" s="9"/>
      <c r="C2771" s="2"/>
      <c r="D2771" s="2"/>
      <c r="I2771" s="9"/>
      <c r="J2771" s="2"/>
      <c r="L2771" s="9"/>
      <c r="M2771" s="2"/>
      <c r="N2771" s="9"/>
      <c r="P2771" s="3">
        <v>-2860.169492</v>
      </c>
      <c r="S2771" s="9"/>
      <c r="T2771" s="2"/>
      <c r="U2771" s="9"/>
    </row>
    <row r="2772" spans="2:21" x14ac:dyDescent="0.35">
      <c r="B2772" s="9"/>
      <c r="C2772" s="2"/>
      <c r="D2772" s="2"/>
      <c r="I2772" s="9"/>
      <c r="J2772" s="2"/>
      <c r="L2772" s="9"/>
      <c r="M2772" s="2"/>
      <c r="N2772" s="9"/>
      <c r="P2772" s="3">
        <v>-2860.169492</v>
      </c>
      <c r="S2772" s="9"/>
      <c r="T2772" s="2"/>
      <c r="U2772" s="9"/>
    </row>
    <row r="2773" spans="2:21" x14ac:dyDescent="0.35">
      <c r="B2773" s="9"/>
      <c r="C2773" s="2"/>
      <c r="D2773" s="2"/>
      <c r="I2773" s="9"/>
      <c r="J2773" s="2"/>
      <c r="L2773" s="9"/>
      <c r="M2773" s="2"/>
      <c r="N2773" s="9"/>
      <c r="P2773" s="3">
        <v>-2860.169492</v>
      </c>
      <c r="S2773" s="9"/>
      <c r="T2773" s="2"/>
      <c r="U2773" s="9"/>
    </row>
    <row r="2774" spans="2:21" x14ac:dyDescent="0.35">
      <c r="B2774" s="9"/>
      <c r="C2774" s="2"/>
      <c r="D2774" s="2"/>
      <c r="I2774" s="9"/>
      <c r="J2774" s="2"/>
      <c r="L2774" s="9"/>
      <c r="M2774" s="2"/>
      <c r="N2774" s="9"/>
      <c r="P2774" s="3">
        <v>-2860.169492</v>
      </c>
      <c r="S2774" s="9"/>
      <c r="T2774" s="2"/>
      <c r="U2774" s="9"/>
    </row>
    <row r="2775" spans="2:21" x14ac:dyDescent="0.35">
      <c r="B2775" s="9"/>
      <c r="C2775" s="2"/>
      <c r="D2775" s="2"/>
      <c r="I2775" s="9"/>
      <c r="J2775" s="2"/>
      <c r="L2775" s="9"/>
      <c r="M2775" s="2"/>
      <c r="N2775" s="9"/>
      <c r="P2775" s="3">
        <v>-2860.169492</v>
      </c>
      <c r="S2775" s="9"/>
      <c r="T2775" s="2"/>
      <c r="U2775" s="9"/>
    </row>
    <row r="2776" spans="2:21" x14ac:dyDescent="0.35">
      <c r="B2776" s="9"/>
      <c r="C2776" s="2"/>
      <c r="D2776" s="2"/>
      <c r="I2776" s="9"/>
      <c r="J2776" s="2"/>
      <c r="L2776" s="9"/>
      <c r="M2776" s="2"/>
      <c r="N2776" s="9"/>
      <c r="P2776" s="3">
        <v>-2860.169492</v>
      </c>
      <c r="S2776" s="9"/>
      <c r="T2776" s="2"/>
      <c r="U2776" s="9"/>
    </row>
    <row r="2777" spans="2:21" x14ac:dyDescent="0.35">
      <c r="B2777" s="9"/>
      <c r="C2777" s="2"/>
      <c r="D2777" s="2"/>
      <c r="I2777" s="9"/>
      <c r="J2777" s="2"/>
      <c r="L2777" s="9"/>
      <c r="M2777" s="2"/>
      <c r="N2777" s="9"/>
      <c r="P2777" s="3">
        <v>-2860.169492</v>
      </c>
      <c r="S2777" s="9"/>
      <c r="T2777" s="2"/>
      <c r="U2777" s="9"/>
    </row>
    <row r="2778" spans="2:21" x14ac:dyDescent="0.35">
      <c r="B2778" s="9"/>
      <c r="C2778" s="2"/>
      <c r="D2778" s="2"/>
      <c r="I2778" s="9"/>
      <c r="J2778" s="2"/>
      <c r="L2778" s="9"/>
      <c r="M2778" s="2"/>
      <c r="N2778" s="9"/>
      <c r="P2778" s="3">
        <v>-2860.169492</v>
      </c>
      <c r="S2778" s="9"/>
      <c r="T2778" s="2"/>
      <c r="U2778" s="9"/>
    </row>
    <row r="2779" spans="2:21" x14ac:dyDescent="0.35">
      <c r="B2779" s="9"/>
      <c r="C2779" s="2"/>
      <c r="D2779" s="2"/>
      <c r="I2779" s="9"/>
      <c r="J2779" s="2"/>
      <c r="L2779" s="9"/>
      <c r="M2779" s="2"/>
      <c r="N2779" s="9"/>
      <c r="P2779" s="3">
        <v>-2860.169492</v>
      </c>
      <c r="S2779" s="9"/>
      <c r="T2779" s="2"/>
      <c r="U2779" s="9"/>
    </row>
    <row r="2780" spans="2:21" x14ac:dyDescent="0.35">
      <c r="B2780" s="9"/>
      <c r="C2780" s="2"/>
      <c r="D2780" s="2"/>
      <c r="I2780" s="9"/>
      <c r="J2780" s="2"/>
      <c r="L2780" s="9"/>
      <c r="M2780" s="2"/>
      <c r="N2780" s="9"/>
      <c r="P2780" s="3">
        <v>-2860.169492</v>
      </c>
      <c r="S2780" s="9"/>
      <c r="T2780" s="2"/>
      <c r="U2780" s="9"/>
    </row>
    <row r="2781" spans="2:21" x14ac:dyDescent="0.35">
      <c r="B2781" s="9"/>
      <c r="C2781" s="2"/>
      <c r="D2781" s="2"/>
      <c r="I2781" s="9"/>
      <c r="J2781" s="2"/>
      <c r="L2781" s="9"/>
      <c r="M2781" s="2"/>
      <c r="N2781" s="9"/>
      <c r="P2781" s="3">
        <v>-2860.169492</v>
      </c>
      <c r="S2781" s="9"/>
      <c r="T2781" s="2"/>
      <c r="U2781" s="9"/>
    </row>
    <row r="2782" spans="2:21" x14ac:dyDescent="0.35">
      <c r="B2782" s="9"/>
      <c r="C2782" s="2"/>
      <c r="D2782" s="2"/>
      <c r="I2782" s="9"/>
      <c r="J2782" s="2"/>
      <c r="L2782" s="9"/>
      <c r="M2782" s="2"/>
      <c r="N2782" s="9"/>
      <c r="P2782" s="3">
        <v>-2860.169492</v>
      </c>
      <c r="S2782" s="9"/>
      <c r="T2782" s="2"/>
      <c r="U2782" s="9"/>
    </row>
    <row r="2783" spans="2:21" x14ac:dyDescent="0.35">
      <c r="B2783" s="9"/>
      <c r="C2783" s="2"/>
      <c r="D2783" s="2"/>
      <c r="I2783" s="9"/>
      <c r="J2783" s="2"/>
      <c r="L2783" s="9"/>
      <c r="M2783" s="2"/>
      <c r="N2783" s="9"/>
      <c r="P2783" s="3">
        <v>-2860.169492</v>
      </c>
      <c r="S2783" s="9"/>
      <c r="T2783" s="2"/>
      <c r="U2783" s="9"/>
    </row>
    <row r="2784" spans="2:21" x14ac:dyDescent="0.35">
      <c r="B2784" s="9"/>
      <c r="C2784" s="2"/>
      <c r="D2784" s="2"/>
      <c r="I2784" s="9"/>
      <c r="J2784" s="2"/>
      <c r="L2784" s="9"/>
      <c r="M2784" s="2"/>
      <c r="N2784" s="9"/>
      <c r="P2784" s="3">
        <v>-2860.169492</v>
      </c>
      <c r="S2784" s="9"/>
      <c r="T2784" s="2"/>
      <c r="U2784" s="9"/>
    </row>
    <row r="2785" spans="2:21" x14ac:dyDescent="0.35">
      <c r="B2785" s="9"/>
      <c r="C2785" s="2"/>
      <c r="D2785" s="2"/>
      <c r="I2785" s="9"/>
      <c r="J2785" s="2"/>
      <c r="L2785" s="9"/>
      <c r="M2785" s="2"/>
      <c r="N2785" s="9"/>
      <c r="P2785" s="3">
        <v>-2860.169492</v>
      </c>
      <c r="S2785" s="9"/>
      <c r="T2785" s="2"/>
      <c r="U2785" s="9"/>
    </row>
    <row r="2786" spans="2:21" x14ac:dyDescent="0.35">
      <c r="B2786" s="9"/>
      <c r="C2786" s="2"/>
      <c r="D2786" s="2"/>
      <c r="I2786" s="9"/>
      <c r="J2786" s="2"/>
      <c r="L2786" s="9"/>
      <c r="M2786" s="2"/>
      <c r="N2786" s="9"/>
      <c r="P2786" s="3">
        <v>-2860.169492</v>
      </c>
      <c r="S2786" s="9"/>
      <c r="T2786" s="2"/>
      <c r="U2786" s="9"/>
    </row>
    <row r="2787" spans="2:21" x14ac:dyDescent="0.35">
      <c r="B2787" s="9"/>
      <c r="C2787" s="2"/>
      <c r="D2787" s="2"/>
      <c r="I2787" s="9"/>
      <c r="J2787" s="2"/>
      <c r="L2787" s="9"/>
      <c r="M2787" s="2"/>
      <c r="N2787" s="9"/>
      <c r="P2787" s="3">
        <v>-2860.169492</v>
      </c>
      <c r="S2787" s="9"/>
      <c r="T2787" s="2"/>
      <c r="U2787" s="9"/>
    </row>
    <row r="2788" spans="2:21" x14ac:dyDescent="0.35">
      <c r="B2788" s="9"/>
      <c r="C2788" s="2"/>
      <c r="D2788" s="2"/>
      <c r="I2788" s="9"/>
      <c r="J2788" s="2"/>
      <c r="L2788" s="9"/>
      <c r="M2788" s="2"/>
      <c r="N2788" s="9"/>
      <c r="P2788" s="3">
        <v>-2860.169492</v>
      </c>
      <c r="S2788" s="9"/>
      <c r="T2788" s="2"/>
      <c r="U2788" s="9"/>
    </row>
    <row r="2789" spans="2:21" x14ac:dyDescent="0.35">
      <c r="B2789" s="9"/>
      <c r="C2789" s="2"/>
      <c r="D2789" s="2"/>
      <c r="I2789" s="9"/>
      <c r="J2789" s="2"/>
      <c r="L2789" s="9"/>
      <c r="M2789" s="2"/>
      <c r="N2789" s="9"/>
      <c r="P2789" s="3">
        <v>-2860.169492</v>
      </c>
      <c r="S2789" s="9"/>
      <c r="T2789" s="2"/>
      <c r="U2789" s="9"/>
    </row>
    <row r="2790" spans="2:21" x14ac:dyDescent="0.35">
      <c r="B2790" s="9"/>
      <c r="C2790" s="2"/>
      <c r="D2790" s="2"/>
      <c r="I2790" s="9"/>
      <c r="J2790" s="2"/>
      <c r="L2790" s="9"/>
      <c r="M2790" s="2"/>
      <c r="N2790" s="9"/>
      <c r="P2790" s="3">
        <v>-2860.169492</v>
      </c>
      <c r="S2790" s="9"/>
      <c r="T2790" s="2"/>
      <c r="U2790" s="9"/>
    </row>
    <row r="2791" spans="2:21" x14ac:dyDescent="0.35">
      <c r="B2791" s="9"/>
      <c r="C2791" s="2"/>
      <c r="D2791" s="2"/>
      <c r="I2791" s="9"/>
      <c r="J2791" s="2"/>
      <c r="L2791" s="9"/>
      <c r="M2791" s="2"/>
      <c r="N2791" s="9"/>
      <c r="P2791" s="3">
        <v>-2860.169492</v>
      </c>
      <c r="S2791" s="9"/>
      <c r="T2791" s="2"/>
      <c r="U2791" s="9"/>
    </row>
    <row r="2792" spans="2:21" x14ac:dyDescent="0.35">
      <c r="B2792" s="9"/>
      <c r="C2792" s="2"/>
      <c r="D2792" s="2"/>
      <c r="I2792" s="9"/>
      <c r="J2792" s="2"/>
      <c r="L2792" s="9"/>
      <c r="M2792" s="2"/>
      <c r="N2792" s="9"/>
      <c r="P2792" s="3">
        <v>-2860.169492</v>
      </c>
      <c r="S2792" s="9"/>
      <c r="T2792" s="2"/>
      <c r="U2792" s="9"/>
    </row>
    <row r="2793" spans="2:21" x14ac:dyDescent="0.35">
      <c r="B2793" s="9"/>
      <c r="C2793" s="2"/>
      <c r="D2793" s="2"/>
      <c r="I2793" s="9"/>
      <c r="J2793" s="2"/>
      <c r="L2793" s="9"/>
      <c r="M2793" s="2"/>
      <c r="N2793" s="9"/>
      <c r="P2793" s="3">
        <v>-2860.169492</v>
      </c>
      <c r="S2793" s="9"/>
      <c r="T2793" s="2"/>
      <c r="U2793" s="9"/>
    </row>
    <row r="2794" spans="2:21" x14ac:dyDescent="0.35">
      <c r="B2794" s="9"/>
      <c r="C2794" s="2"/>
      <c r="D2794" s="2"/>
      <c r="I2794" s="9"/>
      <c r="J2794" s="2"/>
      <c r="L2794" s="9"/>
      <c r="M2794" s="2"/>
      <c r="N2794" s="9"/>
      <c r="P2794" s="3">
        <v>-2860.169492</v>
      </c>
      <c r="S2794" s="9"/>
      <c r="T2794" s="2"/>
      <c r="U2794" s="9"/>
    </row>
    <row r="2795" spans="2:21" x14ac:dyDescent="0.35">
      <c r="B2795" s="9"/>
      <c r="C2795" s="2"/>
      <c r="D2795" s="2"/>
      <c r="I2795" s="9"/>
      <c r="J2795" s="2"/>
      <c r="L2795" s="9"/>
      <c r="M2795" s="2"/>
      <c r="N2795" s="9"/>
      <c r="P2795" s="3">
        <v>-2860.169492</v>
      </c>
      <c r="S2795" s="9"/>
      <c r="T2795" s="2"/>
      <c r="U2795" s="9"/>
    </row>
    <row r="2796" spans="2:21" x14ac:dyDescent="0.35">
      <c r="B2796" s="9"/>
      <c r="C2796" s="2"/>
      <c r="D2796" s="2"/>
      <c r="I2796" s="9"/>
      <c r="J2796" s="2"/>
      <c r="L2796" s="9"/>
      <c r="M2796" s="2"/>
      <c r="N2796" s="9"/>
      <c r="P2796" s="3">
        <v>-2827.1165059</v>
      </c>
      <c r="S2796" s="9"/>
      <c r="T2796" s="2"/>
      <c r="U2796" s="9"/>
    </row>
    <row r="2797" spans="2:21" x14ac:dyDescent="0.35">
      <c r="B2797" s="9"/>
      <c r="C2797" s="2"/>
      <c r="D2797" s="2"/>
      <c r="I2797" s="9"/>
      <c r="J2797" s="2"/>
      <c r="L2797" s="9"/>
      <c r="M2797" s="2"/>
      <c r="N2797" s="9"/>
      <c r="P2797" s="3">
        <v>-2860.169492</v>
      </c>
      <c r="S2797" s="9"/>
      <c r="T2797" s="2"/>
      <c r="U2797" s="9"/>
    </row>
    <row r="2798" spans="2:21" x14ac:dyDescent="0.35">
      <c r="B2798" s="9"/>
      <c r="C2798" s="2"/>
      <c r="D2798" s="2"/>
      <c r="I2798" s="9"/>
      <c r="J2798" s="2"/>
      <c r="L2798" s="9"/>
      <c r="M2798" s="2"/>
      <c r="N2798" s="9"/>
      <c r="P2798" s="3">
        <v>-2860.169492</v>
      </c>
      <c r="S2798" s="9"/>
      <c r="T2798" s="2"/>
      <c r="U2798" s="9"/>
    </row>
    <row r="2799" spans="2:21" x14ac:dyDescent="0.35">
      <c r="B2799" s="9"/>
      <c r="C2799" s="2"/>
      <c r="D2799" s="2"/>
      <c r="I2799" s="9"/>
      <c r="J2799" s="2"/>
      <c r="L2799" s="9"/>
      <c r="M2799" s="2"/>
      <c r="N2799" s="9"/>
      <c r="P2799" s="3">
        <v>-2425.4094919999998</v>
      </c>
      <c r="S2799" s="9"/>
      <c r="T2799" s="2"/>
      <c r="U2799" s="9"/>
    </row>
    <row r="2800" spans="2:21" x14ac:dyDescent="0.35">
      <c r="B2800" s="9"/>
      <c r="C2800" s="2"/>
      <c r="D2800" s="2"/>
      <c r="I2800" s="9"/>
      <c r="J2800" s="2"/>
      <c r="L2800" s="9"/>
      <c r="M2800" s="2"/>
      <c r="N2800" s="9"/>
      <c r="P2800" s="3">
        <v>-1990.649492</v>
      </c>
      <c r="S2800" s="9"/>
      <c r="T2800" s="2"/>
      <c r="U2800" s="9"/>
    </row>
    <row r="2801" spans="2:21" x14ac:dyDescent="0.35">
      <c r="B2801" s="9"/>
      <c r="C2801" s="2"/>
      <c r="D2801" s="2"/>
      <c r="I2801" s="9"/>
      <c r="J2801" s="2"/>
      <c r="L2801" s="9"/>
      <c r="M2801" s="2"/>
      <c r="N2801" s="9"/>
      <c r="P2801" s="3">
        <v>-1555.889492</v>
      </c>
      <c r="S2801" s="9"/>
      <c r="T2801" s="2"/>
      <c r="U2801" s="9"/>
    </row>
    <row r="2802" spans="2:21" x14ac:dyDescent="0.35">
      <c r="B2802" s="9"/>
      <c r="C2802" s="2"/>
      <c r="D2802" s="2"/>
      <c r="I2802" s="9"/>
      <c r="J2802" s="2"/>
      <c r="L2802" s="9"/>
      <c r="M2802" s="2"/>
      <c r="N2802" s="9"/>
      <c r="P2802" s="3">
        <v>-1121.129492</v>
      </c>
      <c r="S2802" s="9"/>
      <c r="T2802" s="2"/>
      <c r="U2802" s="9"/>
    </row>
    <row r="2803" spans="2:21" x14ac:dyDescent="0.35">
      <c r="B2803" s="9"/>
      <c r="C2803" s="2"/>
      <c r="D2803" s="2"/>
      <c r="I2803" s="9"/>
      <c r="J2803" s="2"/>
      <c r="L2803" s="9"/>
      <c r="M2803" s="2"/>
      <c r="N2803" s="9"/>
      <c r="P2803" s="3">
        <v>-686.36949200000004</v>
      </c>
      <c r="S2803" s="9"/>
      <c r="T2803" s="2"/>
      <c r="U2803" s="9"/>
    </row>
    <row r="2804" spans="2:21" x14ac:dyDescent="0.35">
      <c r="B2804" s="9"/>
      <c r="C2804" s="2"/>
      <c r="D2804" s="2"/>
      <c r="I2804" s="9"/>
      <c r="J2804" s="2"/>
      <c r="L2804" s="9"/>
      <c r="M2804" s="2"/>
      <c r="N2804" s="9"/>
      <c r="P2804" s="3">
        <v>-1121.129492</v>
      </c>
      <c r="S2804" s="9"/>
      <c r="T2804" s="2"/>
      <c r="U2804" s="9"/>
    </row>
    <row r="2805" spans="2:21" x14ac:dyDescent="0.35">
      <c r="B2805" s="9"/>
      <c r="C2805" s="2"/>
      <c r="D2805" s="2"/>
      <c r="I2805" s="9"/>
      <c r="J2805" s="2"/>
      <c r="L2805" s="9"/>
      <c r="M2805" s="2"/>
      <c r="N2805" s="9"/>
      <c r="P2805" s="3">
        <v>-1555.889492</v>
      </c>
      <c r="S2805" s="9"/>
      <c r="T2805" s="2"/>
      <c r="U2805" s="9"/>
    </row>
    <row r="2806" spans="2:21" x14ac:dyDescent="0.35">
      <c r="B2806" s="9"/>
      <c r="C2806" s="2"/>
      <c r="D2806" s="2"/>
      <c r="I2806" s="9"/>
      <c r="J2806" s="2"/>
      <c r="L2806" s="9"/>
      <c r="M2806" s="2"/>
      <c r="N2806" s="9"/>
      <c r="P2806" s="3">
        <v>-1990.649492</v>
      </c>
      <c r="S2806" s="9"/>
      <c r="T2806" s="2"/>
      <c r="U2806" s="9"/>
    </row>
    <row r="2807" spans="2:21" x14ac:dyDescent="0.35">
      <c r="B2807" s="9"/>
      <c r="C2807" s="2"/>
      <c r="D2807" s="2"/>
      <c r="I2807" s="9"/>
      <c r="J2807" s="2"/>
      <c r="L2807" s="9"/>
      <c r="M2807" s="2"/>
      <c r="N2807" s="9"/>
      <c r="P2807" s="3">
        <v>-2425.4094919999998</v>
      </c>
      <c r="S2807" s="9"/>
      <c r="T2807" s="2"/>
      <c r="U2807" s="9"/>
    </row>
    <row r="2808" spans="2:21" x14ac:dyDescent="0.35">
      <c r="B2808" s="9"/>
      <c r="C2808" s="2"/>
      <c r="D2808" s="2"/>
      <c r="I2808" s="9"/>
      <c r="J2808" s="2"/>
      <c r="L2808" s="9"/>
      <c r="M2808" s="2"/>
      <c r="N2808" s="9"/>
      <c r="P2808" s="3">
        <v>-2860.169492</v>
      </c>
      <c r="S2808" s="9"/>
      <c r="T2808" s="2"/>
      <c r="U2808" s="9"/>
    </row>
    <row r="2809" spans="2:21" x14ac:dyDescent="0.35">
      <c r="B2809" s="9"/>
      <c r="C2809" s="2"/>
      <c r="D2809" s="2"/>
      <c r="I2809" s="9"/>
      <c r="J2809" s="2"/>
      <c r="L2809" s="9"/>
      <c r="M2809" s="2"/>
      <c r="N2809" s="9"/>
      <c r="P2809" s="3">
        <v>-2860.169492</v>
      </c>
      <c r="S2809" s="9"/>
      <c r="T2809" s="2"/>
      <c r="U2809" s="9"/>
    </row>
    <row r="2810" spans="2:21" x14ac:dyDescent="0.35">
      <c r="B2810" s="9"/>
      <c r="C2810" s="2"/>
      <c r="D2810" s="2"/>
      <c r="I2810" s="9"/>
      <c r="J2810" s="2"/>
      <c r="L2810" s="9"/>
      <c r="M2810" s="2"/>
      <c r="N2810" s="9"/>
      <c r="P2810" s="3">
        <v>-2860.169492</v>
      </c>
      <c r="S2810" s="9"/>
      <c r="T2810" s="2"/>
      <c r="U2810" s="9"/>
    </row>
    <row r="2811" spans="2:21" x14ac:dyDescent="0.35">
      <c r="B2811" s="9"/>
      <c r="C2811" s="2"/>
      <c r="D2811" s="2"/>
      <c r="I2811" s="9"/>
      <c r="J2811" s="2"/>
      <c r="L2811" s="9"/>
      <c r="M2811" s="2"/>
      <c r="N2811" s="9"/>
      <c r="P2811" s="3">
        <v>-2860.169492</v>
      </c>
      <c r="S2811" s="9"/>
      <c r="T2811" s="2"/>
      <c r="U2811" s="9"/>
    </row>
    <row r="2812" spans="2:21" x14ac:dyDescent="0.35">
      <c r="B2812" s="9"/>
      <c r="C2812" s="2"/>
      <c r="D2812" s="2"/>
      <c r="I2812" s="9"/>
      <c r="J2812" s="2"/>
      <c r="L2812" s="9"/>
      <c r="M2812" s="2"/>
      <c r="N2812" s="9"/>
      <c r="P2812" s="3">
        <v>-2860.169492</v>
      </c>
      <c r="S2812" s="9"/>
      <c r="T2812" s="2"/>
      <c r="U2812" s="9"/>
    </row>
    <row r="2813" spans="2:21" x14ac:dyDescent="0.35">
      <c r="B2813" s="9"/>
      <c r="C2813" s="2"/>
      <c r="D2813" s="2"/>
      <c r="I2813" s="9"/>
      <c r="J2813" s="2"/>
      <c r="L2813" s="9"/>
      <c r="M2813" s="2"/>
      <c r="N2813" s="9"/>
      <c r="P2813" s="3">
        <v>-2860.169492</v>
      </c>
      <c r="S2813" s="9"/>
      <c r="T2813" s="2"/>
      <c r="U2813" s="9"/>
    </row>
    <row r="2814" spans="2:21" x14ac:dyDescent="0.35">
      <c r="B2814" s="9"/>
      <c r="C2814" s="2"/>
      <c r="D2814" s="2"/>
      <c r="I2814" s="9"/>
      <c r="J2814" s="2"/>
      <c r="L2814" s="9"/>
      <c r="M2814" s="2"/>
      <c r="N2814" s="9"/>
      <c r="P2814" s="3">
        <v>-2778.80616839</v>
      </c>
      <c r="S2814" s="9"/>
      <c r="T2814" s="2"/>
      <c r="U2814" s="9"/>
    </row>
    <row r="2815" spans="2:21" x14ac:dyDescent="0.35">
      <c r="B2815" s="9"/>
      <c r="C2815" s="2"/>
      <c r="D2815" s="2"/>
      <c r="I2815" s="9"/>
      <c r="J2815" s="2"/>
      <c r="L2815" s="9"/>
      <c r="M2815" s="2"/>
      <c r="N2815" s="9"/>
      <c r="P2815" s="3">
        <v>-2617.4338183899999</v>
      </c>
      <c r="S2815" s="9"/>
      <c r="T2815" s="2"/>
      <c r="U2815" s="9"/>
    </row>
    <row r="2816" spans="2:21" x14ac:dyDescent="0.35">
      <c r="B2816" s="9"/>
      <c r="C2816" s="2"/>
      <c r="D2816" s="2"/>
      <c r="I2816" s="9"/>
      <c r="J2816" s="2"/>
      <c r="L2816" s="9"/>
      <c r="M2816" s="2"/>
      <c r="N2816" s="9"/>
      <c r="P2816" s="3">
        <v>-2497.5559983899998</v>
      </c>
      <c r="S2816" s="9"/>
      <c r="T2816" s="2"/>
      <c r="U2816" s="9"/>
    </row>
    <row r="2817" spans="2:21" x14ac:dyDescent="0.35">
      <c r="B2817" s="9"/>
      <c r="C2817" s="2"/>
      <c r="D2817" s="2"/>
      <c r="I2817" s="9"/>
      <c r="J2817" s="2"/>
      <c r="L2817" s="9"/>
      <c r="M2817" s="2"/>
      <c r="N2817" s="9"/>
      <c r="P2817" s="3">
        <v>-2343.1700483899999</v>
      </c>
      <c r="S2817" s="9"/>
      <c r="T2817" s="2"/>
      <c r="U2817" s="9"/>
    </row>
    <row r="2818" spans="2:21" x14ac:dyDescent="0.35">
      <c r="B2818" s="9"/>
      <c r="C2818" s="2"/>
      <c r="D2818" s="2"/>
      <c r="I2818" s="9"/>
      <c r="J2818" s="2"/>
      <c r="L2818" s="9"/>
      <c r="M2818" s="2"/>
      <c r="N2818" s="9"/>
      <c r="P2818" s="3">
        <v>-2222.4487483900002</v>
      </c>
      <c r="S2818" s="9"/>
      <c r="T2818" s="2"/>
      <c r="U2818" s="9"/>
    </row>
    <row r="2819" spans="2:21" x14ac:dyDescent="0.35">
      <c r="B2819" s="9"/>
      <c r="C2819" s="2"/>
      <c r="D2819" s="2"/>
      <c r="I2819" s="9"/>
      <c r="J2819" s="2"/>
      <c r="L2819" s="9"/>
      <c r="M2819" s="2"/>
      <c r="N2819" s="9"/>
      <c r="P2819" s="3">
        <v>-2132.4377883900002</v>
      </c>
      <c r="S2819" s="9"/>
      <c r="T2819" s="2"/>
      <c r="U2819" s="9"/>
    </row>
    <row r="2820" spans="2:21" x14ac:dyDescent="0.35">
      <c r="B2820" s="9"/>
      <c r="C2820" s="2"/>
      <c r="D2820" s="2"/>
      <c r="I2820" s="9"/>
      <c r="J2820" s="2"/>
      <c r="L2820" s="9"/>
      <c r="M2820" s="2"/>
      <c r="N2820" s="9"/>
      <c r="P2820" s="3">
        <v>-2007.2768583899999</v>
      </c>
      <c r="S2820" s="9"/>
      <c r="T2820" s="2"/>
      <c r="U2820" s="9"/>
    </row>
    <row r="2821" spans="2:21" x14ac:dyDescent="0.35">
      <c r="B2821" s="9"/>
      <c r="C2821" s="2"/>
      <c r="D2821" s="2"/>
      <c r="I2821" s="9"/>
      <c r="J2821" s="2"/>
      <c r="L2821" s="9"/>
      <c r="M2821" s="2"/>
      <c r="N2821" s="9"/>
      <c r="P2821" s="3">
        <v>-2436.90992839</v>
      </c>
      <c r="S2821" s="9"/>
      <c r="T2821" s="2"/>
      <c r="U2821" s="9"/>
    </row>
    <row r="2822" spans="2:21" x14ac:dyDescent="0.35">
      <c r="B2822" s="9"/>
      <c r="C2822" s="2"/>
      <c r="D2822" s="2"/>
      <c r="I2822" s="9"/>
      <c r="J2822" s="2"/>
      <c r="L2822" s="9"/>
      <c r="M2822" s="2"/>
      <c r="N2822" s="9"/>
      <c r="P2822" s="3">
        <v>-2002.14992839</v>
      </c>
      <c r="S2822" s="9"/>
      <c r="T2822" s="2"/>
      <c r="U2822" s="9"/>
    </row>
    <row r="2823" spans="2:21" x14ac:dyDescent="0.35">
      <c r="B2823" s="9"/>
      <c r="C2823" s="2"/>
      <c r="D2823" s="2"/>
      <c r="I2823" s="9"/>
      <c r="J2823" s="2"/>
      <c r="L2823" s="9"/>
      <c r="M2823" s="2"/>
      <c r="N2823" s="9"/>
      <c r="P2823" s="3">
        <v>-1567.38992839</v>
      </c>
      <c r="S2823" s="9"/>
      <c r="T2823" s="2"/>
      <c r="U2823" s="9"/>
    </row>
    <row r="2824" spans="2:21" x14ac:dyDescent="0.35">
      <c r="B2824" s="9"/>
      <c r="C2824" s="2"/>
      <c r="D2824" s="2"/>
      <c r="I2824" s="9"/>
      <c r="J2824" s="2"/>
      <c r="L2824" s="9"/>
      <c r="M2824" s="2"/>
      <c r="N2824" s="9"/>
      <c r="P2824" s="3">
        <v>-1132.62992839</v>
      </c>
      <c r="S2824" s="9"/>
      <c r="T2824" s="2"/>
      <c r="U2824" s="9"/>
    </row>
    <row r="2825" spans="2:21" x14ac:dyDescent="0.35">
      <c r="B2825" s="9"/>
      <c r="C2825" s="2"/>
      <c r="D2825" s="2"/>
      <c r="I2825" s="9"/>
      <c r="J2825" s="2"/>
      <c r="L2825" s="9"/>
      <c r="M2825" s="2"/>
      <c r="N2825" s="9"/>
      <c r="P2825" s="3">
        <v>-697.86992839000004</v>
      </c>
      <c r="S2825" s="9"/>
      <c r="T2825" s="2"/>
      <c r="U2825" s="9"/>
    </row>
    <row r="2826" spans="2:21" x14ac:dyDescent="0.35">
      <c r="B2826" s="9"/>
      <c r="C2826" s="2"/>
      <c r="D2826" s="2"/>
      <c r="I2826" s="9"/>
      <c r="J2826" s="2"/>
      <c r="L2826" s="9"/>
      <c r="M2826" s="2"/>
      <c r="N2826" s="9"/>
      <c r="P2826" s="3">
        <v>-263.10992838999999</v>
      </c>
      <c r="S2826" s="9"/>
      <c r="T2826" s="2"/>
      <c r="U2826" s="9"/>
    </row>
    <row r="2827" spans="2:21" x14ac:dyDescent="0.35">
      <c r="B2827" s="9"/>
      <c r="C2827" s="2"/>
      <c r="D2827" s="2"/>
      <c r="I2827" s="9"/>
      <c r="J2827" s="2"/>
      <c r="L2827" s="9"/>
      <c r="M2827" s="2"/>
      <c r="N2827" s="9"/>
      <c r="P2827" s="3">
        <v>-686.36949200000004</v>
      </c>
      <c r="S2827" s="9"/>
      <c r="T2827" s="2"/>
      <c r="U2827" s="9"/>
    </row>
    <row r="2828" spans="2:21" x14ac:dyDescent="0.35">
      <c r="B2828" s="9"/>
      <c r="C2828" s="2"/>
      <c r="D2828" s="2"/>
      <c r="I2828" s="9"/>
      <c r="J2828" s="2"/>
      <c r="L2828" s="9"/>
      <c r="M2828" s="2"/>
      <c r="N2828" s="9"/>
      <c r="P2828" s="3">
        <v>-1121.129492</v>
      </c>
      <c r="S2828" s="9"/>
      <c r="T2828" s="2"/>
      <c r="U2828" s="9"/>
    </row>
    <row r="2829" spans="2:21" x14ac:dyDescent="0.35">
      <c r="B2829" s="9"/>
      <c r="C2829" s="2"/>
      <c r="D2829" s="2"/>
      <c r="I2829" s="9"/>
      <c r="J2829" s="2"/>
      <c r="L2829" s="9"/>
      <c r="M2829" s="2"/>
      <c r="N2829" s="9"/>
      <c r="P2829" s="3">
        <v>-1555.889492</v>
      </c>
      <c r="S2829" s="9"/>
      <c r="T2829" s="2"/>
      <c r="U2829" s="9"/>
    </row>
    <row r="2830" spans="2:21" x14ac:dyDescent="0.35">
      <c r="B2830" s="9"/>
      <c r="C2830" s="2"/>
      <c r="D2830" s="2"/>
      <c r="I2830" s="9"/>
      <c r="J2830" s="2"/>
      <c r="L2830" s="9"/>
      <c r="M2830" s="2"/>
      <c r="N2830" s="9"/>
      <c r="P2830" s="3">
        <v>-1990.649492</v>
      </c>
      <c r="S2830" s="9"/>
      <c r="T2830" s="2"/>
      <c r="U2830" s="9"/>
    </row>
    <row r="2831" spans="2:21" x14ac:dyDescent="0.35">
      <c r="B2831" s="9"/>
      <c r="C2831" s="2"/>
      <c r="D2831" s="2"/>
      <c r="I2831" s="9"/>
      <c r="J2831" s="2"/>
      <c r="L2831" s="9"/>
      <c r="M2831" s="2"/>
      <c r="N2831" s="9"/>
      <c r="P2831" s="3">
        <v>-2425.4094919999998</v>
      </c>
      <c r="S2831" s="9"/>
      <c r="T2831" s="2"/>
      <c r="U2831" s="9"/>
    </row>
    <row r="2832" spans="2:21" x14ac:dyDescent="0.35">
      <c r="B2832" s="9"/>
      <c r="C2832" s="2"/>
      <c r="D2832" s="2"/>
      <c r="I2832" s="9"/>
      <c r="J2832" s="2"/>
      <c r="L2832" s="9"/>
      <c r="M2832" s="2"/>
      <c r="N2832" s="9"/>
      <c r="P2832" s="3">
        <v>-2860.169492</v>
      </c>
      <c r="S2832" s="9"/>
      <c r="T2832" s="2"/>
      <c r="U2832" s="9"/>
    </row>
    <row r="2833" spans="2:21" x14ac:dyDescent="0.35">
      <c r="B2833" s="9"/>
      <c r="C2833" s="2"/>
      <c r="D2833" s="2"/>
      <c r="I2833" s="9"/>
      <c r="J2833" s="2"/>
      <c r="L2833" s="9"/>
      <c r="M2833" s="2"/>
      <c r="N2833" s="9"/>
      <c r="P2833" s="3">
        <v>-2860.169492</v>
      </c>
      <c r="S2833" s="9"/>
      <c r="T2833" s="2"/>
      <c r="U2833" s="9"/>
    </row>
    <row r="2834" spans="2:21" x14ac:dyDescent="0.35">
      <c r="B2834" s="9"/>
      <c r="C2834" s="2"/>
      <c r="D2834" s="2"/>
      <c r="I2834" s="9"/>
      <c r="J2834" s="2"/>
      <c r="L2834" s="9"/>
      <c r="M2834" s="2"/>
      <c r="N2834" s="9"/>
      <c r="P2834" s="3">
        <v>-2860.169492</v>
      </c>
      <c r="S2834" s="9"/>
      <c r="T2834" s="2"/>
      <c r="U2834" s="9"/>
    </row>
    <row r="2835" spans="2:21" x14ac:dyDescent="0.35">
      <c r="B2835" s="9"/>
      <c r="C2835" s="2"/>
      <c r="D2835" s="2"/>
      <c r="I2835" s="9"/>
      <c r="J2835" s="2"/>
      <c r="L2835" s="9"/>
      <c r="M2835" s="2"/>
      <c r="N2835" s="9"/>
      <c r="P2835" s="3">
        <v>-2860.169492</v>
      </c>
      <c r="S2835" s="9"/>
      <c r="T2835" s="2"/>
      <c r="U2835" s="9"/>
    </row>
    <row r="2836" spans="2:21" x14ac:dyDescent="0.35">
      <c r="B2836" s="9"/>
      <c r="C2836" s="2"/>
      <c r="D2836" s="2"/>
      <c r="I2836" s="9"/>
      <c r="J2836" s="2"/>
      <c r="L2836" s="9"/>
      <c r="M2836" s="2"/>
      <c r="N2836" s="9"/>
      <c r="P2836" s="3">
        <v>-2860.169492</v>
      </c>
      <c r="S2836" s="9"/>
      <c r="T2836" s="2"/>
      <c r="U2836" s="9"/>
    </row>
    <row r="2837" spans="2:21" x14ac:dyDescent="0.35">
      <c r="B2837" s="9"/>
      <c r="C2837" s="2"/>
      <c r="D2837" s="2"/>
      <c r="I2837" s="9"/>
      <c r="J2837" s="2"/>
      <c r="L2837" s="9"/>
      <c r="M2837" s="2"/>
      <c r="N2837" s="9"/>
      <c r="P2837" s="3">
        <v>-2860.169492</v>
      </c>
      <c r="S2837" s="9"/>
      <c r="T2837" s="2"/>
      <c r="U2837" s="9"/>
    </row>
    <row r="2838" spans="2:21" x14ac:dyDescent="0.35">
      <c r="B2838" s="9"/>
      <c r="C2838" s="2"/>
      <c r="D2838" s="2"/>
      <c r="I2838" s="9"/>
      <c r="J2838" s="2"/>
      <c r="L2838" s="9"/>
      <c r="M2838" s="2"/>
      <c r="N2838" s="9"/>
      <c r="P2838" s="3">
        <v>-2860.169492</v>
      </c>
      <c r="S2838" s="9"/>
      <c r="T2838" s="2"/>
      <c r="U2838" s="9"/>
    </row>
    <row r="2839" spans="2:21" x14ac:dyDescent="0.35">
      <c r="B2839" s="9"/>
      <c r="C2839" s="2"/>
      <c r="D2839" s="2"/>
      <c r="I2839" s="9"/>
      <c r="J2839" s="2"/>
      <c r="L2839" s="9"/>
      <c r="M2839" s="2"/>
      <c r="N2839" s="9"/>
      <c r="P2839" s="3">
        <v>-2860.169492</v>
      </c>
      <c r="S2839" s="9"/>
      <c r="T2839" s="2"/>
      <c r="U2839" s="9"/>
    </row>
    <row r="2840" spans="2:21" x14ac:dyDescent="0.35">
      <c r="B2840" s="9"/>
      <c r="C2840" s="2"/>
      <c r="D2840" s="2"/>
      <c r="I2840" s="9"/>
      <c r="J2840" s="2"/>
      <c r="L2840" s="9"/>
      <c r="M2840" s="2"/>
      <c r="N2840" s="9"/>
      <c r="P2840" s="3">
        <v>-2860.169492</v>
      </c>
      <c r="S2840" s="9"/>
      <c r="T2840" s="2"/>
      <c r="U2840" s="9"/>
    </row>
    <row r="2841" spans="2:21" x14ac:dyDescent="0.35">
      <c r="B2841" s="9"/>
      <c r="C2841" s="2"/>
      <c r="D2841" s="2"/>
      <c r="I2841" s="9"/>
      <c r="J2841" s="2"/>
      <c r="L2841" s="9"/>
      <c r="M2841" s="2"/>
      <c r="N2841" s="9"/>
      <c r="P2841" s="3">
        <v>-2860.169492</v>
      </c>
      <c r="S2841" s="9"/>
      <c r="T2841" s="2"/>
      <c r="U2841" s="9"/>
    </row>
    <row r="2842" spans="2:21" x14ac:dyDescent="0.35">
      <c r="B2842" s="9"/>
      <c r="C2842" s="2"/>
      <c r="D2842" s="2"/>
      <c r="I2842" s="9"/>
      <c r="J2842" s="2"/>
      <c r="L2842" s="9"/>
      <c r="M2842" s="2"/>
      <c r="N2842" s="9"/>
      <c r="P2842" s="3">
        <v>-2860.169492</v>
      </c>
      <c r="S2842" s="9"/>
      <c r="T2842" s="2"/>
      <c r="U2842" s="9"/>
    </row>
    <row r="2843" spans="2:21" x14ac:dyDescent="0.35">
      <c r="B2843" s="9"/>
      <c r="C2843" s="2"/>
      <c r="D2843" s="2"/>
      <c r="I2843" s="9"/>
      <c r="J2843" s="2"/>
      <c r="L2843" s="9"/>
      <c r="M2843" s="2"/>
      <c r="N2843" s="9"/>
      <c r="P2843" s="3">
        <v>-2860.169492</v>
      </c>
      <c r="S2843" s="9"/>
      <c r="T2843" s="2"/>
      <c r="U2843" s="9"/>
    </row>
    <row r="2844" spans="2:21" x14ac:dyDescent="0.35">
      <c r="B2844" s="9"/>
      <c r="C2844" s="2"/>
      <c r="D2844" s="2"/>
      <c r="I2844" s="9"/>
      <c r="J2844" s="2"/>
      <c r="L2844" s="9"/>
      <c r="M2844" s="2"/>
      <c r="N2844" s="9"/>
      <c r="P2844" s="3">
        <v>-2860.169492</v>
      </c>
      <c r="S2844" s="9"/>
      <c r="T2844" s="2"/>
      <c r="U2844" s="9"/>
    </row>
    <row r="2845" spans="2:21" x14ac:dyDescent="0.35">
      <c r="B2845" s="9"/>
      <c r="C2845" s="2"/>
      <c r="D2845" s="2"/>
      <c r="I2845" s="9"/>
      <c r="J2845" s="2"/>
      <c r="L2845" s="9"/>
      <c r="M2845" s="2"/>
      <c r="N2845" s="9"/>
      <c r="P2845" s="3">
        <v>-2860.169492</v>
      </c>
      <c r="S2845" s="9"/>
      <c r="T2845" s="2"/>
      <c r="U2845" s="9"/>
    </row>
    <row r="2846" spans="2:21" x14ac:dyDescent="0.35">
      <c r="B2846" s="9"/>
      <c r="C2846" s="2"/>
      <c r="D2846" s="2"/>
      <c r="I2846" s="9"/>
      <c r="J2846" s="2"/>
      <c r="L2846" s="9"/>
      <c r="M2846" s="2"/>
      <c r="N2846" s="9"/>
      <c r="P2846" s="3">
        <v>-2860.169492</v>
      </c>
      <c r="S2846" s="9"/>
      <c r="T2846" s="2"/>
      <c r="U2846" s="9"/>
    </row>
    <row r="2847" spans="2:21" x14ac:dyDescent="0.35">
      <c r="B2847" s="9"/>
      <c r="C2847" s="2"/>
      <c r="D2847" s="2"/>
      <c r="I2847" s="9"/>
      <c r="J2847" s="2"/>
      <c r="L2847" s="9"/>
      <c r="M2847" s="2"/>
      <c r="N2847" s="9"/>
      <c r="P2847" s="3">
        <v>-2425.4094919999998</v>
      </c>
      <c r="S2847" s="9"/>
      <c r="T2847" s="2"/>
      <c r="U2847" s="9"/>
    </row>
    <row r="2848" spans="2:21" x14ac:dyDescent="0.35">
      <c r="B2848" s="9"/>
      <c r="C2848" s="2"/>
      <c r="D2848" s="2"/>
      <c r="I2848" s="9"/>
      <c r="J2848" s="2"/>
      <c r="L2848" s="9"/>
      <c r="M2848" s="2"/>
      <c r="N2848" s="9"/>
      <c r="P2848" s="3">
        <v>-1990.649492</v>
      </c>
      <c r="S2848" s="9"/>
      <c r="T2848" s="2"/>
      <c r="U2848" s="9"/>
    </row>
    <row r="2849" spans="2:21" x14ac:dyDescent="0.35">
      <c r="B2849" s="9"/>
      <c r="C2849" s="2"/>
      <c r="D2849" s="2"/>
      <c r="I2849" s="9"/>
      <c r="J2849" s="2"/>
      <c r="L2849" s="9"/>
      <c r="M2849" s="2"/>
      <c r="N2849" s="9"/>
      <c r="P2849" s="3">
        <v>-1555.889492</v>
      </c>
      <c r="S2849" s="9"/>
      <c r="T2849" s="2"/>
      <c r="U2849" s="9"/>
    </row>
    <row r="2850" spans="2:21" x14ac:dyDescent="0.35">
      <c r="B2850" s="9"/>
      <c r="C2850" s="2"/>
      <c r="D2850" s="2"/>
      <c r="I2850" s="9"/>
      <c r="J2850" s="2"/>
      <c r="L2850" s="9"/>
      <c r="M2850" s="2"/>
      <c r="N2850" s="9"/>
      <c r="P2850" s="3">
        <v>-1121.129492</v>
      </c>
      <c r="S2850" s="9"/>
      <c r="T2850" s="2"/>
      <c r="U2850" s="9"/>
    </row>
    <row r="2851" spans="2:21" x14ac:dyDescent="0.35">
      <c r="B2851" s="9"/>
      <c r="C2851" s="2"/>
      <c r="D2851" s="2"/>
      <c r="I2851" s="9"/>
      <c r="J2851" s="2"/>
      <c r="L2851" s="9"/>
      <c r="M2851" s="2"/>
      <c r="N2851" s="9"/>
      <c r="P2851" s="3">
        <v>-686.36949200000004</v>
      </c>
      <c r="S2851" s="9"/>
      <c r="T2851" s="2"/>
      <c r="U2851" s="9"/>
    </row>
    <row r="2852" spans="2:21" x14ac:dyDescent="0.35">
      <c r="B2852" s="9"/>
      <c r="C2852" s="2"/>
      <c r="D2852" s="2"/>
      <c r="I2852" s="9"/>
      <c r="J2852" s="2"/>
      <c r="L2852" s="9"/>
      <c r="M2852" s="2"/>
      <c r="N2852" s="9"/>
      <c r="P2852" s="3">
        <v>-1121.129492</v>
      </c>
      <c r="S2852" s="9"/>
      <c r="T2852" s="2"/>
      <c r="U2852" s="9"/>
    </row>
    <row r="2853" spans="2:21" x14ac:dyDescent="0.35">
      <c r="B2853" s="9"/>
      <c r="C2853" s="2"/>
      <c r="D2853" s="2"/>
      <c r="I2853" s="9"/>
      <c r="J2853" s="2"/>
      <c r="L2853" s="9"/>
      <c r="M2853" s="2"/>
      <c r="N2853" s="9"/>
      <c r="P2853" s="3">
        <v>-1555.889492</v>
      </c>
      <c r="S2853" s="9"/>
      <c r="T2853" s="2"/>
      <c r="U2853" s="9"/>
    </row>
    <row r="2854" spans="2:21" x14ac:dyDescent="0.35">
      <c r="B2854" s="9"/>
      <c r="C2854" s="2"/>
      <c r="D2854" s="2"/>
      <c r="I2854" s="9"/>
      <c r="J2854" s="2"/>
      <c r="L2854" s="9"/>
      <c r="M2854" s="2"/>
      <c r="N2854" s="9"/>
      <c r="P2854" s="3">
        <v>-1990.649492</v>
      </c>
      <c r="S2854" s="9"/>
      <c r="T2854" s="2"/>
      <c r="U2854" s="9"/>
    </row>
    <row r="2855" spans="2:21" x14ac:dyDescent="0.35">
      <c r="B2855" s="9"/>
      <c r="C2855" s="2"/>
      <c r="D2855" s="2"/>
      <c r="I2855" s="9"/>
      <c r="J2855" s="2"/>
      <c r="L2855" s="9"/>
      <c r="M2855" s="2"/>
      <c r="N2855" s="9"/>
      <c r="P2855" s="3">
        <v>-2425.4094919999998</v>
      </c>
      <c r="S2855" s="9"/>
      <c r="T2855" s="2"/>
      <c r="U2855" s="9"/>
    </row>
    <row r="2856" spans="2:21" x14ac:dyDescent="0.35">
      <c r="B2856" s="9"/>
      <c r="C2856" s="2"/>
      <c r="D2856" s="2"/>
      <c r="I2856" s="9"/>
      <c r="J2856" s="2"/>
      <c r="L2856" s="9"/>
      <c r="M2856" s="2"/>
      <c r="N2856" s="9"/>
      <c r="P2856" s="3">
        <v>-2860.169492</v>
      </c>
      <c r="S2856" s="9"/>
      <c r="T2856" s="2"/>
      <c r="U2856" s="9"/>
    </row>
    <row r="2857" spans="2:21" x14ac:dyDescent="0.35">
      <c r="B2857" s="9"/>
      <c r="C2857" s="2"/>
      <c r="D2857" s="2"/>
      <c r="I2857" s="9"/>
      <c r="J2857" s="2"/>
      <c r="L2857" s="9"/>
      <c r="M2857" s="2"/>
      <c r="N2857" s="9"/>
      <c r="P2857" s="3">
        <v>-2860.169492</v>
      </c>
      <c r="S2857" s="9"/>
      <c r="T2857" s="2"/>
      <c r="U2857" s="9"/>
    </row>
    <row r="2858" spans="2:21" x14ac:dyDescent="0.35">
      <c r="B2858" s="9"/>
      <c r="C2858" s="2"/>
      <c r="D2858" s="2"/>
      <c r="I2858" s="9"/>
      <c r="J2858" s="2"/>
      <c r="L2858" s="9"/>
      <c r="M2858" s="2"/>
      <c r="N2858" s="9"/>
      <c r="P2858" s="3">
        <v>-2860.169492</v>
      </c>
      <c r="S2858" s="9"/>
      <c r="T2858" s="2"/>
      <c r="U2858" s="9"/>
    </row>
    <row r="2859" spans="2:21" x14ac:dyDescent="0.35">
      <c r="B2859" s="9"/>
      <c r="C2859" s="2"/>
      <c r="D2859" s="2"/>
      <c r="I2859" s="9"/>
      <c r="J2859" s="2"/>
      <c r="L2859" s="9"/>
      <c r="M2859" s="2"/>
      <c r="N2859" s="9"/>
      <c r="P2859" s="3">
        <v>-2860.169492</v>
      </c>
      <c r="S2859" s="9"/>
      <c r="T2859" s="2"/>
      <c r="U2859" s="9"/>
    </row>
    <row r="2860" spans="2:21" x14ac:dyDescent="0.35">
      <c r="B2860" s="9"/>
      <c r="C2860" s="2"/>
      <c r="D2860" s="2"/>
      <c r="I2860" s="9"/>
      <c r="J2860" s="2"/>
      <c r="L2860" s="9"/>
      <c r="M2860" s="2"/>
      <c r="N2860" s="9"/>
      <c r="P2860" s="3">
        <v>-2694.94027839</v>
      </c>
      <c r="S2860" s="9"/>
      <c r="T2860" s="2"/>
      <c r="U2860" s="9"/>
    </row>
    <row r="2861" spans="2:21" x14ac:dyDescent="0.35">
      <c r="B2861" s="9"/>
      <c r="C2861" s="2"/>
      <c r="D2861" s="2"/>
      <c r="I2861" s="9"/>
      <c r="J2861" s="2"/>
      <c r="L2861" s="9"/>
      <c r="M2861" s="2"/>
      <c r="N2861" s="9"/>
      <c r="P2861" s="3">
        <v>-2260.1802783899998</v>
      </c>
      <c r="S2861" s="9"/>
      <c r="T2861" s="2"/>
      <c r="U2861" s="9"/>
    </row>
    <row r="2862" spans="2:21" x14ac:dyDescent="0.35">
      <c r="B2862" s="9"/>
      <c r="C2862" s="2"/>
      <c r="D2862" s="2"/>
      <c r="I2862" s="9"/>
      <c r="J2862" s="2"/>
      <c r="L2862" s="9"/>
      <c r="M2862" s="2"/>
      <c r="N2862" s="9"/>
      <c r="P2862" s="3">
        <v>-2133.8694788600001</v>
      </c>
      <c r="S2862" s="9"/>
      <c r="T2862" s="2"/>
      <c r="U2862" s="9"/>
    </row>
    <row r="2863" spans="2:21" x14ac:dyDescent="0.35">
      <c r="B2863" s="9"/>
      <c r="C2863" s="2"/>
      <c r="D2863" s="2"/>
      <c r="I2863" s="9"/>
      <c r="J2863" s="2"/>
      <c r="L2863" s="9"/>
      <c r="M2863" s="2"/>
      <c r="N2863" s="9"/>
      <c r="P2863" s="3">
        <v>-1959.9400688600001</v>
      </c>
      <c r="S2863" s="9"/>
      <c r="T2863" s="2"/>
      <c r="U2863" s="9"/>
    </row>
    <row r="2864" spans="2:21" x14ac:dyDescent="0.35">
      <c r="B2864" s="9"/>
      <c r="C2864" s="2"/>
      <c r="D2864" s="2"/>
      <c r="I2864" s="9"/>
      <c r="J2864" s="2"/>
      <c r="L2864" s="9"/>
      <c r="M2864" s="2"/>
      <c r="N2864" s="9"/>
      <c r="P2864" s="3">
        <v>-1975.2455388599999</v>
      </c>
      <c r="S2864" s="9"/>
      <c r="T2864" s="2"/>
      <c r="U2864" s="9"/>
    </row>
    <row r="2865" spans="2:21" x14ac:dyDescent="0.35">
      <c r="B2865" s="9"/>
      <c r="C2865" s="2"/>
      <c r="D2865" s="2"/>
      <c r="I2865" s="9"/>
      <c r="J2865" s="2"/>
      <c r="L2865" s="9"/>
      <c r="M2865" s="2"/>
      <c r="N2865" s="9"/>
      <c r="P2865" s="3">
        <v>-1955.24270886</v>
      </c>
      <c r="S2865" s="9"/>
      <c r="T2865" s="2"/>
      <c r="U2865" s="9"/>
    </row>
    <row r="2866" spans="2:21" x14ac:dyDescent="0.35">
      <c r="B2866" s="9"/>
      <c r="C2866" s="2"/>
      <c r="D2866" s="2"/>
      <c r="I2866" s="9"/>
      <c r="J2866" s="2"/>
      <c r="L2866" s="9"/>
      <c r="M2866" s="2"/>
      <c r="N2866" s="9"/>
      <c r="P2866" s="3">
        <v>-1795.41460886</v>
      </c>
      <c r="S2866" s="9"/>
      <c r="T2866" s="2"/>
      <c r="U2866" s="9"/>
    </row>
    <row r="2867" spans="2:21" x14ac:dyDescent="0.35">
      <c r="B2867" s="9"/>
      <c r="C2867" s="2"/>
      <c r="D2867" s="2"/>
      <c r="I2867" s="9"/>
      <c r="J2867" s="2"/>
      <c r="L2867" s="9"/>
      <c r="M2867" s="2"/>
      <c r="N2867" s="9"/>
      <c r="P2867" s="3">
        <v>-1432.17870238</v>
      </c>
      <c r="S2867" s="9"/>
      <c r="T2867" s="2"/>
      <c r="U2867" s="9"/>
    </row>
    <row r="2868" spans="2:21" x14ac:dyDescent="0.35">
      <c r="B2868" s="9"/>
      <c r="C2868" s="2"/>
      <c r="D2868" s="2"/>
      <c r="I2868" s="9"/>
      <c r="J2868" s="2"/>
      <c r="L2868" s="9"/>
      <c r="M2868" s="2"/>
      <c r="N2868" s="9"/>
      <c r="P2868" s="3">
        <v>-1099.1611058999999</v>
      </c>
      <c r="S2868" s="9"/>
      <c r="T2868" s="2"/>
      <c r="U2868" s="9"/>
    </row>
    <row r="2869" spans="2:21" x14ac:dyDescent="0.35">
      <c r="B2869" s="9"/>
      <c r="C2869" s="2"/>
      <c r="D2869" s="2"/>
      <c r="I2869" s="9"/>
      <c r="J2869" s="2"/>
      <c r="L2869" s="9"/>
      <c r="M2869" s="2"/>
      <c r="N2869" s="9"/>
      <c r="P2869" s="3">
        <v>-1335.25637345</v>
      </c>
      <c r="S2869" s="9"/>
      <c r="T2869" s="2"/>
      <c r="U2869" s="9"/>
    </row>
    <row r="2870" spans="2:21" x14ac:dyDescent="0.35">
      <c r="B2870" s="9"/>
      <c r="C2870" s="2"/>
      <c r="D2870" s="2"/>
      <c r="I2870" s="9"/>
      <c r="J2870" s="2"/>
      <c r="L2870" s="9"/>
      <c r="M2870" s="2"/>
      <c r="N2870" s="9"/>
      <c r="P2870" s="3">
        <v>-1770.0163734499999</v>
      </c>
      <c r="S2870" s="9"/>
      <c r="T2870" s="2"/>
      <c r="U2870" s="9"/>
    </row>
    <row r="2871" spans="2:21" x14ac:dyDescent="0.35">
      <c r="B2871" s="9"/>
      <c r="C2871" s="2"/>
      <c r="D2871" s="2"/>
      <c r="I2871" s="9"/>
      <c r="J2871" s="2"/>
      <c r="L2871" s="9"/>
      <c r="M2871" s="2"/>
      <c r="N2871" s="9"/>
      <c r="P2871" s="3">
        <v>-1335.25637345</v>
      </c>
      <c r="S2871" s="9"/>
      <c r="T2871" s="2"/>
      <c r="U2871" s="9"/>
    </row>
    <row r="2872" spans="2:21" x14ac:dyDescent="0.35">
      <c r="B2872" s="9"/>
      <c r="C2872" s="2"/>
      <c r="D2872" s="2"/>
      <c r="I2872" s="9"/>
      <c r="J2872" s="2"/>
      <c r="L2872" s="9"/>
      <c r="M2872" s="2"/>
      <c r="N2872" s="9"/>
      <c r="P2872" s="3">
        <v>-900.49637344999996</v>
      </c>
      <c r="S2872" s="9"/>
      <c r="T2872" s="2"/>
      <c r="U2872" s="9"/>
    </row>
    <row r="2873" spans="2:21" x14ac:dyDescent="0.35">
      <c r="B2873" s="9"/>
      <c r="C2873" s="2"/>
      <c r="D2873" s="2"/>
      <c r="I2873" s="9"/>
      <c r="J2873" s="2"/>
      <c r="L2873" s="9"/>
      <c r="M2873" s="2"/>
      <c r="N2873" s="9"/>
      <c r="P2873" s="3">
        <v>-465.73637344999997</v>
      </c>
      <c r="S2873" s="9"/>
      <c r="T2873" s="2"/>
      <c r="U2873" s="9"/>
    </row>
    <row r="2874" spans="2:21" x14ac:dyDescent="0.35">
      <c r="B2874" s="9"/>
      <c r="C2874" s="2"/>
      <c r="D2874" s="2"/>
      <c r="I2874" s="9"/>
      <c r="J2874" s="2"/>
      <c r="L2874" s="9"/>
      <c r="M2874" s="2"/>
      <c r="N2874" s="9"/>
      <c r="P2874" s="3">
        <v>-30.976373450000001</v>
      </c>
      <c r="S2874" s="9"/>
      <c r="T2874" s="2"/>
      <c r="U2874" s="9"/>
    </row>
    <row r="2875" spans="2:21" x14ac:dyDescent="0.35">
      <c r="B2875" s="9"/>
      <c r="C2875" s="2"/>
      <c r="D2875" s="2"/>
      <c r="I2875" s="9"/>
      <c r="J2875" s="2"/>
      <c r="L2875" s="9"/>
      <c r="M2875" s="2"/>
      <c r="N2875" s="9"/>
      <c r="P2875" s="3">
        <v>0</v>
      </c>
      <c r="S2875" s="9"/>
      <c r="T2875" s="2"/>
      <c r="U2875" s="9"/>
    </row>
    <row r="2876" spans="2:21" x14ac:dyDescent="0.35">
      <c r="B2876" s="9"/>
      <c r="C2876" s="2"/>
      <c r="D2876" s="2"/>
      <c r="I2876" s="9"/>
      <c r="J2876" s="2"/>
      <c r="L2876" s="9"/>
      <c r="M2876" s="2"/>
      <c r="N2876" s="9"/>
      <c r="P2876" s="3">
        <v>0</v>
      </c>
      <c r="S2876" s="9"/>
      <c r="T2876" s="2"/>
      <c r="U2876" s="9"/>
    </row>
    <row r="2877" spans="2:21" x14ac:dyDescent="0.35">
      <c r="B2877" s="9"/>
      <c r="C2877" s="2"/>
      <c r="D2877" s="2"/>
      <c r="I2877" s="9"/>
      <c r="J2877" s="2"/>
      <c r="L2877" s="9"/>
      <c r="M2877" s="2"/>
      <c r="N2877" s="9"/>
      <c r="P2877" s="3">
        <v>-171.00728773</v>
      </c>
      <c r="S2877" s="9"/>
      <c r="T2877" s="2"/>
      <c r="U2877" s="9"/>
    </row>
    <row r="2878" spans="2:21" x14ac:dyDescent="0.35">
      <c r="B2878" s="9"/>
      <c r="C2878" s="2"/>
      <c r="D2878" s="2"/>
      <c r="I2878" s="9"/>
      <c r="J2878" s="2"/>
      <c r="L2878" s="9"/>
      <c r="M2878" s="2"/>
      <c r="N2878" s="9"/>
      <c r="P2878" s="3">
        <v>-605.76728773000002</v>
      </c>
      <c r="S2878" s="9"/>
      <c r="T2878" s="2"/>
      <c r="U2878" s="9"/>
    </row>
    <row r="2879" spans="2:21" x14ac:dyDescent="0.35">
      <c r="B2879" s="9"/>
      <c r="C2879" s="2"/>
      <c r="D2879" s="2"/>
      <c r="I2879" s="9"/>
      <c r="J2879" s="2"/>
      <c r="L2879" s="9"/>
      <c r="M2879" s="2"/>
      <c r="N2879" s="9"/>
      <c r="P2879" s="3">
        <v>-1040.5272877299999</v>
      </c>
      <c r="S2879" s="9"/>
      <c r="T2879" s="2"/>
      <c r="U2879" s="9"/>
    </row>
    <row r="2880" spans="2:21" x14ac:dyDescent="0.35">
      <c r="B2880" s="9"/>
      <c r="C2880" s="2"/>
      <c r="D2880" s="2"/>
      <c r="I2880" s="9"/>
      <c r="J2880" s="2"/>
      <c r="L2880" s="9"/>
      <c r="M2880" s="2"/>
      <c r="N2880" s="9"/>
      <c r="P2880" s="3">
        <v>-605.76728773000002</v>
      </c>
      <c r="S2880" s="9"/>
      <c r="T2880" s="2"/>
      <c r="U2880" s="9"/>
    </row>
    <row r="2881" spans="2:21" x14ac:dyDescent="0.35">
      <c r="B2881" s="9"/>
      <c r="C2881" s="2"/>
      <c r="D2881" s="2"/>
      <c r="I2881" s="9"/>
      <c r="J2881" s="2"/>
      <c r="L2881" s="9"/>
      <c r="M2881" s="2"/>
      <c r="N2881" s="9"/>
      <c r="P2881" s="3">
        <v>-171.00728773</v>
      </c>
      <c r="S2881" s="9"/>
      <c r="T2881" s="2"/>
      <c r="U2881" s="9"/>
    </row>
    <row r="2882" spans="2:21" x14ac:dyDescent="0.35">
      <c r="B2882" s="9"/>
      <c r="C2882" s="2"/>
      <c r="D2882" s="2"/>
      <c r="I2882" s="9"/>
      <c r="J2882" s="2"/>
      <c r="L2882" s="9"/>
      <c r="M2882" s="2"/>
      <c r="N2882" s="9"/>
      <c r="P2882" s="3">
        <v>129.51847176999999</v>
      </c>
      <c r="S2882" s="9"/>
      <c r="T2882" s="2"/>
      <c r="U2882" s="9"/>
    </row>
    <row r="2883" spans="2:21" x14ac:dyDescent="0.35">
      <c r="B2883" s="9"/>
      <c r="C2883" s="2"/>
      <c r="D2883" s="2"/>
      <c r="I2883" s="9"/>
      <c r="J2883" s="2"/>
      <c r="L2883" s="9"/>
      <c r="M2883" s="2"/>
      <c r="N2883" s="9"/>
      <c r="P2883" s="3">
        <v>86.403571400000004</v>
      </c>
      <c r="S2883" s="9"/>
      <c r="T2883" s="2"/>
      <c r="U2883" s="9"/>
    </row>
    <row r="2884" spans="2:21" x14ac:dyDescent="0.35">
      <c r="B2884" s="9"/>
      <c r="C2884" s="2"/>
      <c r="D2884" s="2"/>
      <c r="I2884" s="9"/>
      <c r="J2884" s="2"/>
      <c r="L2884" s="9"/>
      <c r="M2884" s="2"/>
      <c r="N2884" s="9"/>
      <c r="P2884" s="3">
        <v>220.91439113999999</v>
      </c>
      <c r="S2884" s="9"/>
      <c r="T2884" s="2"/>
      <c r="U2884" s="9"/>
    </row>
    <row r="2885" spans="2:21" x14ac:dyDescent="0.35">
      <c r="B2885" s="9"/>
      <c r="C2885" s="2"/>
      <c r="D2885" s="2"/>
      <c r="I2885" s="9"/>
      <c r="J2885" s="2"/>
      <c r="L2885" s="9"/>
      <c r="M2885" s="2"/>
      <c r="N2885" s="9"/>
      <c r="P2885" s="3">
        <v>380.55718114000001</v>
      </c>
      <c r="S2885" s="9"/>
      <c r="T2885" s="2"/>
      <c r="U2885" s="9"/>
    </row>
    <row r="2886" spans="2:21" x14ac:dyDescent="0.35">
      <c r="B2886" s="9"/>
      <c r="C2886" s="2"/>
      <c r="D2886" s="2"/>
      <c r="I2886" s="9"/>
      <c r="J2886" s="2"/>
      <c r="L2886" s="9"/>
      <c r="M2886" s="2"/>
      <c r="N2886" s="9"/>
      <c r="P2886" s="3">
        <v>441.70877114000001</v>
      </c>
      <c r="S2886" s="9"/>
      <c r="T2886" s="2"/>
      <c r="U2886" s="9"/>
    </row>
    <row r="2887" spans="2:21" x14ac:dyDescent="0.35">
      <c r="B2887" s="9"/>
      <c r="C2887" s="2"/>
      <c r="D2887" s="2"/>
      <c r="I2887" s="9"/>
      <c r="J2887" s="2"/>
      <c r="L2887" s="9"/>
      <c r="M2887" s="2"/>
      <c r="N2887" s="9"/>
      <c r="P2887" s="3">
        <v>560.69554114000005</v>
      </c>
      <c r="S2887" s="9"/>
      <c r="T2887" s="2"/>
      <c r="U2887" s="9"/>
    </row>
    <row r="2888" spans="2:21" x14ac:dyDescent="0.35">
      <c r="B2888" s="9"/>
      <c r="C2888" s="2"/>
      <c r="D2888" s="2"/>
      <c r="I2888" s="9"/>
      <c r="J2888" s="2"/>
      <c r="L2888" s="9"/>
      <c r="M2888" s="2"/>
      <c r="N2888" s="9"/>
      <c r="P2888" s="3">
        <v>659.53890114000001</v>
      </c>
      <c r="S2888" s="9"/>
      <c r="T2888" s="2"/>
      <c r="U2888" s="9"/>
    </row>
    <row r="2889" spans="2:21" x14ac:dyDescent="0.35">
      <c r="B2889" s="9"/>
      <c r="C2889" s="2"/>
      <c r="D2889" s="2"/>
      <c r="I2889" s="9"/>
      <c r="J2889" s="2"/>
      <c r="L2889" s="9"/>
      <c r="M2889" s="2"/>
      <c r="N2889" s="9"/>
      <c r="P2889" s="3">
        <v>728.33364114000005</v>
      </c>
      <c r="S2889" s="9"/>
      <c r="T2889" s="2"/>
      <c r="U2889" s="9"/>
    </row>
    <row r="2890" spans="2:21" x14ac:dyDescent="0.35">
      <c r="B2890" s="9"/>
      <c r="C2890" s="2"/>
      <c r="D2890" s="2"/>
      <c r="I2890" s="9"/>
      <c r="J2890" s="2"/>
      <c r="L2890" s="9"/>
      <c r="M2890" s="2"/>
      <c r="N2890" s="9"/>
      <c r="P2890" s="3">
        <v>756.82310113999995</v>
      </c>
      <c r="S2890" s="9"/>
      <c r="T2890" s="2"/>
      <c r="U2890" s="9"/>
    </row>
    <row r="2891" spans="2:21" x14ac:dyDescent="0.35">
      <c r="B2891" s="9"/>
      <c r="C2891" s="2"/>
      <c r="D2891" s="2"/>
      <c r="I2891" s="9"/>
      <c r="J2891" s="2"/>
      <c r="L2891" s="9"/>
      <c r="M2891" s="2"/>
      <c r="N2891" s="9"/>
      <c r="P2891" s="3">
        <v>865.94077761999995</v>
      </c>
      <c r="S2891" s="9"/>
      <c r="T2891" s="2"/>
      <c r="U2891" s="9"/>
    </row>
    <row r="2892" spans="2:21" x14ac:dyDescent="0.35">
      <c r="B2892" s="9"/>
      <c r="C2892" s="2"/>
      <c r="D2892" s="2"/>
      <c r="I2892" s="9"/>
      <c r="J2892" s="2"/>
      <c r="L2892" s="9"/>
      <c r="M2892" s="2"/>
      <c r="N2892" s="9"/>
      <c r="P2892" s="3">
        <v>948.90915410000002</v>
      </c>
      <c r="S2892" s="9"/>
      <c r="T2892" s="2"/>
      <c r="U2892" s="9"/>
    </row>
    <row r="2893" spans="2:21" x14ac:dyDescent="0.35">
      <c r="B2893" s="9"/>
      <c r="C2893" s="2"/>
      <c r="D2893" s="2"/>
      <c r="I2893" s="9"/>
      <c r="J2893" s="2"/>
      <c r="L2893" s="9"/>
      <c r="M2893" s="2"/>
      <c r="N2893" s="9"/>
      <c r="P2893" s="3">
        <v>538.81631655000001</v>
      </c>
      <c r="S2893" s="9"/>
      <c r="T2893" s="2"/>
      <c r="U2893" s="9"/>
    </row>
    <row r="2894" spans="2:21" x14ac:dyDescent="0.35">
      <c r="B2894" s="9"/>
      <c r="C2894" s="2"/>
      <c r="D2894" s="2"/>
      <c r="I2894" s="9"/>
      <c r="J2894" s="2"/>
      <c r="L2894" s="9"/>
      <c r="M2894" s="2"/>
      <c r="N2894" s="9"/>
      <c r="P2894" s="3">
        <v>104.05631655000001</v>
      </c>
      <c r="S2894" s="9"/>
      <c r="T2894" s="2"/>
      <c r="U2894" s="9"/>
    </row>
    <row r="2895" spans="2:21" x14ac:dyDescent="0.35">
      <c r="B2895" s="9"/>
      <c r="C2895" s="2"/>
      <c r="D2895" s="2"/>
      <c r="I2895" s="9"/>
      <c r="J2895" s="2"/>
      <c r="L2895" s="9"/>
      <c r="M2895" s="2"/>
      <c r="N2895" s="9"/>
      <c r="P2895" s="3">
        <v>-330.70368345000003</v>
      </c>
      <c r="S2895" s="9"/>
      <c r="T2895" s="2"/>
      <c r="U2895" s="9"/>
    </row>
    <row r="2896" spans="2:21" x14ac:dyDescent="0.35">
      <c r="B2896" s="9"/>
      <c r="C2896" s="2"/>
      <c r="D2896" s="2"/>
      <c r="I2896" s="9"/>
      <c r="J2896" s="2"/>
      <c r="L2896" s="9"/>
      <c r="M2896" s="2"/>
      <c r="N2896" s="9"/>
      <c r="P2896" s="3">
        <v>0</v>
      </c>
      <c r="S2896" s="9"/>
      <c r="T2896" s="2"/>
      <c r="U2896" s="9"/>
    </row>
    <row r="2897" spans="2:21" x14ac:dyDescent="0.35">
      <c r="B2897" s="9"/>
      <c r="C2897" s="2"/>
      <c r="D2897" s="2"/>
      <c r="I2897" s="9"/>
      <c r="J2897" s="2"/>
      <c r="L2897" s="9"/>
      <c r="M2897" s="2"/>
      <c r="N2897" s="9"/>
      <c r="P2897" s="3">
        <v>0</v>
      </c>
      <c r="S2897" s="9"/>
      <c r="T2897" s="2"/>
      <c r="U2897" s="9"/>
    </row>
    <row r="2898" spans="2:21" x14ac:dyDescent="0.35">
      <c r="B2898" s="9"/>
      <c r="C2898" s="2"/>
      <c r="D2898" s="2"/>
      <c r="I2898" s="9"/>
      <c r="J2898" s="2"/>
      <c r="L2898" s="9"/>
      <c r="M2898" s="2"/>
      <c r="N2898" s="9"/>
      <c r="P2898" s="3">
        <v>0</v>
      </c>
      <c r="S2898" s="9"/>
      <c r="T2898" s="2"/>
      <c r="U2898" s="9"/>
    </row>
    <row r="2899" spans="2:21" x14ac:dyDescent="0.35">
      <c r="B2899" s="9"/>
      <c r="C2899" s="2"/>
      <c r="D2899" s="2"/>
      <c r="I2899" s="9"/>
      <c r="J2899" s="2"/>
      <c r="L2899" s="9"/>
      <c r="M2899" s="2"/>
      <c r="N2899" s="9"/>
      <c r="P2899" s="3">
        <v>0</v>
      </c>
      <c r="S2899" s="9"/>
      <c r="T2899" s="2"/>
      <c r="U2899" s="9"/>
    </row>
    <row r="2900" spans="2:21" x14ac:dyDescent="0.35">
      <c r="B2900" s="9"/>
      <c r="C2900" s="2"/>
      <c r="D2900" s="2"/>
      <c r="I2900" s="9"/>
      <c r="J2900" s="2"/>
      <c r="L2900" s="9"/>
      <c r="M2900" s="2"/>
      <c r="N2900" s="9"/>
      <c r="P2900" s="3">
        <v>-129.01648772999999</v>
      </c>
      <c r="S2900" s="9"/>
      <c r="T2900" s="2"/>
      <c r="U2900" s="9"/>
    </row>
    <row r="2901" spans="2:21" x14ac:dyDescent="0.35">
      <c r="B2901" s="9"/>
      <c r="C2901" s="2"/>
      <c r="D2901" s="2"/>
      <c r="I2901" s="9"/>
      <c r="J2901" s="2"/>
      <c r="L2901" s="9"/>
      <c r="M2901" s="2"/>
      <c r="N2901" s="9"/>
      <c r="P2901" s="3">
        <v>-563.77648772999999</v>
      </c>
      <c r="S2901" s="9"/>
      <c r="T2901" s="2"/>
      <c r="U2901" s="9"/>
    </row>
    <row r="2902" spans="2:21" x14ac:dyDescent="0.35">
      <c r="B2902" s="9"/>
      <c r="C2902" s="2"/>
      <c r="D2902" s="2"/>
      <c r="I2902" s="9"/>
      <c r="J2902" s="2"/>
      <c r="L2902" s="9"/>
      <c r="M2902" s="2"/>
      <c r="N2902" s="9"/>
      <c r="P2902" s="3">
        <v>-998.53648772999998</v>
      </c>
      <c r="S2902" s="9"/>
      <c r="T2902" s="2"/>
      <c r="U2902" s="9"/>
    </row>
    <row r="2903" spans="2:21" x14ac:dyDescent="0.35">
      <c r="B2903" s="9"/>
      <c r="C2903" s="2"/>
      <c r="D2903" s="2"/>
      <c r="I2903" s="9"/>
      <c r="J2903" s="2"/>
      <c r="L2903" s="9"/>
      <c r="M2903" s="2"/>
      <c r="N2903" s="9"/>
      <c r="P2903" s="3">
        <v>-563.77648772999999</v>
      </c>
      <c r="S2903" s="9"/>
      <c r="T2903" s="2"/>
      <c r="U2903" s="9"/>
    </row>
    <row r="2904" spans="2:21" x14ac:dyDescent="0.35">
      <c r="B2904" s="9"/>
      <c r="C2904" s="2"/>
      <c r="D2904" s="2"/>
      <c r="I2904" s="9"/>
      <c r="J2904" s="2"/>
      <c r="L2904" s="9"/>
      <c r="M2904" s="2"/>
      <c r="N2904" s="9"/>
      <c r="P2904" s="3">
        <v>-129.01648772999999</v>
      </c>
      <c r="S2904" s="9"/>
      <c r="T2904" s="2"/>
      <c r="U2904" s="9"/>
    </row>
    <row r="2905" spans="2:21" x14ac:dyDescent="0.35">
      <c r="B2905" s="9"/>
      <c r="C2905" s="2"/>
      <c r="D2905" s="2"/>
      <c r="I2905" s="9"/>
      <c r="J2905" s="2"/>
      <c r="L2905" s="9"/>
      <c r="M2905" s="2"/>
      <c r="N2905" s="9"/>
      <c r="P2905" s="3">
        <v>305.74351227</v>
      </c>
      <c r="S2905" s="9"/>
      <c r="T2905" s="2"/>
      <c r="U2905" s="9"/>
    </row>
    <row r="2906" spans="2:21" x14ac:dyDescent="0.35">
      <c r="B2906" s="9"/>
      <c r="C2906" s="2"/>
      <c r="D2906" s="2"/>
      <c r="I2906" s="9"/>
      <c r="J2906" s="2"/>
      <c r="L2906" s="9"/>
      <c r="M2906" s="2"/>
      <c r="N2906" s="9"/>
      <c r="P2906" s="3">
        <v>514.17233177000003</v>
      </c>
      <c r="S2906" s="9"/>
      <c r="T2906" s="2"/>
      <c r="U2906" s="9"/>
    </row>
    <row r="2907" spans="2:21" x14ac:dyDescent="0.35">
      <c r="B2907" s="9"/>
      <c r="C2907" s="2"/>
      <c r="D2907" s="2"/>
      <c r="I2907" s="9"/>
      <c r="J2907" s="2"/>
      <c r="L2907" s="9"/>
      <c r="M2907" s="2"/>
      <c r="N2907" s="9"/>
      <c r="P2907" s="3">
        <v>433.82716140000002</v>
      </c>
      <c r="S2907" s="9"/>
      <c r="T2907" s="2"/>
      <c r="U2907" s="9"/>
    </row>
    <row r="2908" spans="2:21" x14ac:dyDescent="0.35">
      <c r="B2908" s="9"/>
      <c r="C2908" s="2"/>
      <c r="D2908" s="2"/>
      <c r="I2908" s="9"/>
      <c r="J2908" s="2"/>
      <c r="L2908" s="9"/>
      <c r="M2908" s="2"/>
      <c r="N2908" s="9"/>
      <c r="P2908" s="3">
        <v>464.86471114</v>
      </c>
      <c r="S2908" s="9"/>
      <c r="T2908" s="2"/>
      <c r="U2908" s="9"/>
    </row>
    <row r="2909" spans="2:21" x14ac:dyDescent="0.35">
      <c r="B2909" s="9"/>
      <c r="C2909" s="2"/>
      <c r="D2909" s="2"/>
      <c r="I2909" s="9"/>
      <c r="J2909" s="2"/>
      <c r="L2909" s="9"/>
      <c r="M2909" s="2"/>
      <c r="N2909" s="9"/>
      <c r="P2909" s="3">
        <v>476.68834113999998</v>
      </c>
      <c r="S2909" s="9"/>
      <c r="T2909" s="2"/>
      <c r="U2909" s="9"/>
    </row>
    <row r="2910" spans="2:21" x14ac:dyDescent="0.35">
      <c r="B2910" s="9"/>
      <c r="C2910" s="2"/>
      <c r="D2910" s="2"/>
      <c r="I2910" s="9"/>
      <c r="J2910" s="2"/>
      <c r="L2910" s="9"/>
      <c r="M2910" s="2"/>
      <c r="N2910" s="9"/>
      <c r="P2910" s="3">
        <v>483.82526114000001</v>
      </c>
      <c r="S2910" s="9"/>
      <c r="T2910" s="2"/>
      <c r="U2910" s="9"/>
    </row>
    <row r="2911" spans="2:21" x14ac:dyDescent="0.35">
      <c r="B2911" s="9"/>
      <c r="C2911" s="2"/>
      <c r="D2911" s="2"/>
      <c r="I2911" s="9"/>
      <c r="J2911" s="2"/>
      <c r="L2911" s="9"/>
      <c r="M2911" s="2"/>
      <c r="N2911" s="9"/>
      <c r="P2911" s="3">
        <v>526.03405113999997</v>
      </c>
      <c r="S2911" s="9"/>
      <c r="T2911" s="2"/>
      <c r="U2911" s="9"/>
    </row>
    <row r="2912" spans="2:21" x14ac:dyDescent="0.35">
      <c r="B2912" s="9"/>
      <c r="C2912" s="2"/>
      <c r="D2912" s="2"/>
      <c r="I2912" s="9"/>
      <c r="J2912" s="2"/>
      <c r="L2912" s="9"/>
      <c r="M2912" s="2"/>
      <c r="N2912" s="9"/>
      <c r="P2912" s="3">
        <v>614.13085114</v>
      </c>
      <c r="S2912" s="9"/>
      <c r="T2912" s="2"/>
      <c r="U2912" s="9"/>
    </row>
    <row r="2913" spans="2:21" x14ac:dyDescent="0.35">
      <c r="B2913" s="9"/>
      <c r="C2913" s="2"/>
      <c r="D2913" s="2"/>
      <c r="I2913" s="9"/>
      <c r="J2913" s="2"/>
      <c r="L2913" s="9"/>
      <c r="M2913" s="2"/>
      <c r="N2913" s="9"/>
      <c r="P2913" s="3">
        <v>685.33604114000002</v>
      </c>
      <c r="S2913" s="9"/>
      <c r="T2913" s="2"/>
      <c r="U2913" s="9"/>
    </row>
    <row r="2914" spans="2:21" x14ac:dyDescent="0.35">
      <c r="B2914" s="9"/>
      <c r="C2914" s="2"/>
      <c r="D2914" s="2"/>
      <c r="I2914" s="9"/>
      <c r="J2914" s="2"/>
      <c r="L2914" s="9"/>
      <c r="M2914" s="2"/>
      <c r="N2914" s="9"/>
      <c r="P2914" s="3">
        <v>739.17676114000005</v>
      </c>
      <c r="S2914" s="9"/>
      <c r="T2914" s="2"/>
      <c r="U2914" s="9"/>
    </row>
    <row r="2915" spans="2:21" x14ac:dyDescent="0.35">
      <c r="B2915" s="9"/>
      <c r="C2915" s="2"/>
      <c r="D2915" s="2"/>
      <c r="I2915" s="9"/>
      <c r="J2915" s="2"/>
      <c r="L2915" s="9"/>
      <c r="M2915" s="2"/>
      <c r="N2915" s="9"/>
      <c r="P2915" s="3">
        <v>843.87397762000001</v>
      </c>
      <c r="S2915" s="9"/>
      <c r="T2915" s="2"/>
      <c r="U2915" s="9"/>
    </row>
    <row r="2916" spans="2:21" x14ac:dyDescent="0.35">
      <c r="B2916" s="9"/>
      <c r="C2916" s="2"/>
      <c r="D2916" s="2"/>
      <c r="I2916" s="9"/>
      <c r="J2916" s="2"/>
      <c r="L2916" s="9"/>
      <c r="M2916" s="2"/>
      <c r="N2916" s="9"/>
      <c r="P2916" s="3">
        <v>899.87939410000001</v>
      </c>
      <c r="S2916" s="9"/>
      <c r="T2916" s="2"/>
      <c r="U2916" s="9"/>
    </row>
    <row r="2917" spans="2:21" x14ac:dyDescent="0.35">
      <c r="B2917" s="9"/>
      <c r="C2917" s="2"/>
      <c r="D2917" s="2"/>
      <c r="I2917" s="9"/>
      <c r="J2917" s="2"/>
      <c r="L2917" s="9"/>
      <c r="M2917" s="2"/>
      <c r="N2917" s="9"/>
      <c r="P2917" s="3">
        <v>465.11939410000002</v>
      </c>
      <c r="S2917" s="9"/>
      <c r="T2917" s="2"/>
      <c r="U2917" s="9"/>
    </row>
    <row r="2918" spans="2:21" x14ac:dyDescent="0.35">
      <c r="B2918" s="9"/>
      <c r="C2918" s="2"/>
      <c r="D2918" s="2"/>
      <c r="I2918" s="9"/>
      <c r="J2918" s="2"/>
      <c r="L2918" s="9"/>
      <c r="M2918" s="2"/>
      <c r="N2918" s="9"/>
      <c r="P2918" s="3">
        <v>30.359394099999999</v>
      </c>
      <c r="S2918" s="9"/>
      <c r="T2918" s="2"/>
      <c r="U2918" s="9"/>
    </row>
    <row r="2919" spans="2:21" x14ac:dyDescent="0.35">
      <c r="B2919" s="9"/>
      <c r="C2919" s="2"/>
      <c r="D2919" s="2"/>
      <c r="I2919" s="9"/>
      <c r="J2919" s="2"/>
      <c r="L2919" s="9"/>
      <c r="M2919" s="2"/>
      <c r="N2919" s="9"/>
      <c r="P2919" s="3">
        <v>0</v>
      </c>
      <c r="S2919" s="9"/>
      <c r="T2919" s="2"/>
      <c r="U2919" s="9"/>
    </row>
    <row r="2920" spans="2:21" x14ac:dyDescent="0.35">
      <c r="B2920" s="9"/>
      <c r="C2920" s="2"/>
      <c r="D2920" s="2"/>
      <c r="I2920" s="9"/>
      <c r="J2920" s="2"/>
      <c r="L2920" s="9"/>
      <c r="M2920" s="2"/>
      <c r="N2920" s="9"/>
      <c r="P2920" s="3">
        <v>0</v>
      </c>
      <c r="S2920" s="9"/>
      <c r="T2920" s="2"/>
      <c r="U2920" s="9"/>
    </row>
    <row r="2921" spans="2:21" x14ac:dyDescent="0.35">
      <c r="B2921" s="9"/>
      <c r="C2921" s="2"/>
      <c r="D2921" s="2"/>
      <c r="I2921" s="9"/>
      <c r="J2921" s="2"/>
      <c r="L2921" s="9"/>
      <c r="M2921" s="2"/>
      <c r="N2921" s="9"/>
      <c r="P2921" s="3">
        <v>-425.47053772999999</v>
      </c>
      <c r="S2921" s="9"/>
      <c r="T2921" s="2"/>
      <c r="U2921" s="9"/>
    </row>
    <row r="2922" spans="2:21" x14ac:dyDescent="0.35">
      <c r="B2922" s="9"/>
      <c r="C2922" s="2"/>
      <c r="D2922" s="2"/>
      <c r="I2922" s="9"/>
      <c r="J2922" s="2"/>
      <c r="L2922" s="9"/>
      <c r="M2922" s="2"/>
      <c r="N2922" s="9"/>
      <c r="P2922" s="3">
        <v>-860.23053773000004</v>
      </c>
      <c r="S2922" s="9"/>
      <c r="T2922" s="2"/>
      <c r="U2922" s="9"/>
    </row>
    <row r="2923" spans="2:21" x14ac:dyDescent="0.35">
      <c r="B2923" s="9"/>
      <c r="C2923" s="2"/>
      <c r="D2923" s="2"/>
      <c r="I2923" s="9"/>
      <c r="J2923" s="2"/>
      <c r="L2923" s="9"/>
      <c r="M2923" s="2"/>
      <c r="N2923" s="9"/>
      <c r="P2923" s="3">
        <v>-1294.9905377299999</v>
      </c>
      <c r="S2923" s="9"/>
      <c r="T2923" s="2"/>
      <c r="U2923" s="9"/>
    </row>
    <row r="2924" spans="2:21" x14ac:dyDescent="0.35">
      <c r="B2924" s="9"/>
      <c r="C2924" s="2"/>
      <c r="D2924" s="2"/>
      <c r="I2924" s="9"/>
      <c r="J2924" s="2"/>
      <c r="L2924" s="9"/>
      <c r="M2924" s="2"/>
      <c r="N2924" s="9"/>
      <c r="P2924" s="3">
        <v>-1729.7505377299999</v>
      </c>
      <c r="S2924" s="9"/>
      <c r="T2924" s="2"/>
      <c r="U2924" s="9"/>
    </row>
    <row r="2925" spans="2:21" x14ac:dyDescent="0.35">
      <c r="B2925" s="9"/>
      <c r="C2925" s="2"/>
      <c r="D2925" s="2"/>
      <c r="I2925" s="9"/>
      <c r="J2925" s="2"/>
      <c r="L2925" s="9"/>
      <c r="M2925" s="2"/>
      <c r="N2925" s="9"/>
      <c r="P2925" s="3">
        <v>-2164.5105377300001</v>
      </c>
      <c r="S2925" s="9"/>
      <c r="T2925" s="2"/>
      <c r="U2925" s="9"/>
    </row>
    <row r="2926" spans="2:21" x14ac:dyDescent="0.35">
      <c r="B2926" s="9"/>
      <c r="C2926" s="2"/>
      <c r="D2926" s="2"/>
      <c r="I2926" s="9"/>
      <c r="J2926" s="2"/>
      <c r="L2926" s="9"/>
      <c r="M2926" s="2"/>
      <c r="N2926" s="9"/>
      <c r="P2926" s="3">
        <v>-2599.2705377299999</v>
      </c>
      <c r="S2926" s="9"/>
      <c r="T2926" s="2"/>
      <c r="U2926" s="9"/>
    </row>
    <row r="2927" spans="2:21" x14ac:dyDescent="0.35">
      <c r="B2927" s="9"/>
      <c r="C2927" s="2"/>
      <c r="D2927" s="2"/>
      <c r="I2927" s="9"/>
      <c r="J2927" s="2"/>
      <c r="L2927" s="9"/>
      <c r="M2927" s="2"/>
      <c r="N2927" s="9"/>
      <c r="P2927" s="3">
        <v>-2164.5105377300001</v>
      </c>
      <c r="S2927" s="9"/>
      <c r="T2927" s="2"/>
      <c r="U2927" s="9"/>
    </row>
    <row r="2928" spans="2:21" x14ac:dyDescent="0.35">
      <c r="B2928" s="9"/>
      <c r="C2928" s="2"/>
      <c r="D2928" s="2"/>
      <c r="I2928" s="9"/>
      <c r="J2928" s="2"/>
      <c r="L2928" s="9"/>
      <c r="M2928" s="2"/>
      <c r="N2928" s="9"/>
      <c r="P2928" s="3">
        <v>-1729.7505377299999</v>
      </c>
      <c r="S2928" s="9"/>
      <c r="T2928" s="2"/>
      <c r="U2928" s="9"/>
    </row>
    <row r="2929" spans="2:21" x14ac:dyDescent="0.35">
      <c r="B2929" s="9"/>
      <c r="C2929" s="2"/>
      <c r="D2929" s="2"/>
      <c r="I2929" s="9"/>
      <c r="J2929" s="2"/>
      <c r="L2929" s="9"/>
      <c r="M2929" s="2"/>
      <c r="N2929" s="9"/>
      <c r="P2929" s="3">
        <v>-1294.9905377299999</v>
      </c>
      <c r="S2929" s="9"/>
      <c r="T2929" s="2"/>
      <c r="U2929" s="9"/>
    </row>
    <row r="2930" spans="2:21" x14ac:dyDescent="0.35">
      <c r="B2930" s="9"/>
      <c r="C2930" s="2"/>
      <c r="D2930" s="2"/>
      <c r="I2930" s="9"/>
      <c r="J2930" s="2"/>
      <c r="L2930" s="9"/>
      <c r="M2930" s="2"/>
      <c r="N2930" s="9"/>
      <c r="P2930" s="3">
        <v>-1020.20937823</v>
      </c>
      <c r="S2930" s="9"/>
      <c r="T2930" s="2"/>
      <c r="U2930" s="9"/>
    </row>
    <row r="2931" spans="2:21" x14ac:dyDescent="0.35">
      <c r="B2931" s="9"/>
      <c r="C2931" s="2"/>
      <c r="D2931" s="2"/>
      <c r="I2931" s="9"/>
      <c r="J2931" s="2"/>
      <c r="L2931" s="9"/>
      <c r="M2931" s="2"/>
      <c r="N2931" s="9"/>
      <c r="P2931" s="3">
        <v>-828.05737885999997</v>
      </c>
      <c r="S2931" s="9"/>
      <c r="T2931" s="2"/>
      <c r="U2931" s="9"/>
    </row>
    <row r="2932" spans="2:21" x14ac:dyDescent="0.35">
      <c r="B2932" s="9"/>
      <c r="C2932" s="2"/>
      <c r="D2932" s="2"/>
      <c r="I2932" s="9"/>
      <c r="J2932" s="2"/>
      <c r="L2932" s="9"/>
      <c r="M2932" s="2"/>
      <c r="N2932" s="9"/>
      <c r="P2932" s="3">
        <v>-393.29737885999998</v>
      </c>
      <c r="S2932" s="9"/>
      <c r="T2932" s="2"/>
      <c r="U2932" s="9"/>
    </row>
    <row r="2933" spans="2:21" x14ac:dyDescent="0.35">
      <c r="B2933" s="9"/>
      <c r="C2933" s="2"/>
      <c r="D2933" s="2"/>
      <c r="I2933" s="9"/>
      <c r="J2933" s="2"/>
      <c r="L2933" s="9"/>
      <c r="M2933" s="2"/>
      <c r="N2933" s="9"/>
      <c r="P2933" s="3">
        <v>-117.98493886</v>
      </c>
      <c r="S2933" s="9"/>
      <c r="T2933" s="2"/>
      <c r="U2933" s="9"/>
    </row>
    <row r="2934" spans="2:21" x14ac:dyDescent="0.35">
      <c r="B2934" s="9"/>
      <c r="C2934" s="2"/>
      <c r="D2934" s="2"/>
      <c r="I2934" s="9"/>
      <c r="J2934" s="2"/>
      <c r="L2934" s="9"/>
      <c r="M2934" s="2"/>
      <c r="N2934" s="9"/>
      <c r="P2934" s="3">
        <v>84.961461139999997</v>
      </c>
      <c r="S2934" s="9"/>
      <c r="T2934" s="2"/>
      <c r="U2934" s="9"/>
    </row>
    <row r="2935" spans="2:21" x14ac:dyDescent="0.35">
      <c r="B2935" s="9"/>
      <c r="C2935" s="2"/>
      <c r="D2935" s="2"/>
      <c r="I2935" s="9"/>
      <c r="J2935" s="2"/>
      <c r="L2935" s="9"/>
      <c r="M2935" s="2"/>
      <c r="N2935" s="9"/>
      <c r="P2935" s="3">
        <v>144.87126114</v>
      </c>
      <c r="S2935" s="9"/>
      <c r="T2935" s="2"/>
      <c r="U2935" s="9"/>
    </row>
    <row r="2936" spans="2:21" x14ac:dyDescent="0.35">
      <c r="B2936" s="9"/>
      <c r="C2936" s="2"/>
      <c r="D2936" s="2"/>
      <c r="I2936" s="9"/>
      <c r="J2936" s="2"/>
      <c r="L2936" s="9"/>
      <c r="M2936" s="2"/>
      <c r="N2936" s="9"/>
      <c r="P2936" s="3">
        <v>23.425761139999999</v>
      </c>
      <c r="S2936" s="9"/>
      <c r="T2936" s="2"/>
      <c r="U2936" s="9"/>
    </row>
    <row r="2937" spans="2:21" x14ac:dyDescent="0.35">
      <c r="B2937" s="9"/>
      <c r="C2937" s="2"/>
      <c r="D2937" s="2"/>
      <c r="I2937" s="9"/>
      <c r="J2937" s="2"/>
      <c r="L2937" s="9"/>
      <c r="M2937" s="2"/>
      <c r="N2937" s="9"/>
      <c r="P2937" s="3">
        <v>-294.83954885999998</v>
      </c>
      <c r="S2937" s="9"/>
      <c r="T2937" s="2"/>
      <c r="U2937" s="9"/>
    </row>
    <row r="2938" spans="2:21" x14ac:dyDescent="0.35">
      <c r="B2938" s="9"/>
      <c r="C2938" s="2"/>
      <c r="D2938" s="2"/>
      <c r="I2938" s="9"/>
      <c r="J2938" s="2"/>
      <c r="L2938" s="9"/>
      <c r="M2938" s="2"/>
      <c r="N2938" s="9"/>
      <c r="P2938" s="3">
        <v>-637.96266886000001</v>
      </c>
      <c r="S2938" s="9"/>
      <c r="T2938" s="2"/>
      <c r="U2938" s="9"/>
    </row>
    <row r="2939" spans="2:21" x14ac:dyDescent="0.35">
      <c r="B2939" s="9"/>
      <c r="C2939" s="2"/>
      <c r="D2939" s="2"/>
      <c r="I2939" s="9"/>
      <c r="J2939" s="2"/>
      <c r="L2939" s="9"/>
      <c r="M2939" s="2"/>
      <c r="N2939" s="9"/>
      <c r="P2939" s="3">
        <v>-821.62201238</v>
      </c>
      <c r="S2939" s="9"/>
      <c r="T2939" s="2"/>
      <c r="U2939" s="9"/>
    </row>
    <row r="2940" spans="2:21" x14ac:dyDescent="0.35">
      <c r="B2940" s="9"/>
      <c r="C2940" s="2"/>
      <c r="D2940" s="2"/>
      <c r="I2940" s="9"/>
      <c r="J2940" s="2"/>
      <c r="L2940" s="9"/>
      <c r="M2940" s="2"/>
      <c r="N2940" s="9"/>
      <c r="P2940" s="3">
        <v>-943.78754590000005</v>
      </c>
      <c r="S2940" s="9"/>
      <c r="T2940" s="2"/>
      <c r="U2940" s="9"/>
    </row>
    <row r="2941" spans="2:21" x14ac:dyDescent="0.35">
      <c r="B2941" s="9"/>
      <c r="C2941" s="2"/>
      <c r="D2941" s="2"/>
      <c r="I2941" s="9"/>
      <c r="J2941" s="2"/>
      <c r="L2941" s="9"/>
      <c r="M2941" s="2"/>
      <c r="N2941" s="9"/>
      <c r="P2941" s="3">
        <v>-1304.98836345</v>
      </c>
      <c r="S2941" s="9"/>
      <c r="T2941" s="2"/>
      <c r="U2941" s="9"/>
    </row>
    <row r="2942" spans="2:21" x14ac:dyDescent="0.35">
      <c r="B2942" s="9"/>
      <c r="C2942" s="2"/>
      <c r="D2942" s="2"/>
      <c r="I2942" s="9"/>
      <c r="J2942" s="2"/>
      <c r="L2942" s="9"/>
      <c r="M2942" s="2"/>
      <c r="N2942" s="9"/>
      <c r="P2942" s="3">
        <v>-1739.7483634499999</v>
      </c>
      <c r="S2942" s="9"/>
      <c r="T2942" s="2"/>
      <c r="U2942" s="9"/>
    </row>
    <row r="2943" spans="2:21" x14ac:dyDescent="0.35">
      <c r="B2943" s="9"/>
      <c r="C2943" s="2"/>
      <c r="D2943" s="2"/>
      <c r="I2943" s="9"/>
      <c r="J2943" s="2"/>
      <c r="L2943" s="9"/>
      <c r="M2943" s="2"/>
      <c r="N2943" s="9"/>
      <c r="P2943" s="3">
        <v>-1304.98836345</v>
      </c>
      <c r="S2943" s="9"/>
      <c r="T2943" s="2"/>
      <c r="U2943" s="9"/>
    </row>
    <row r="2944" spans="2:21" x14ac:dyDescent="0.35">
      <c r="B2944" s="9"/>
      <c r="C2944" s="2"/>
      <c r="D2944" s="2"/>
      <c r="I2944" s="9"/>
      <c r="J2944" s="2"/>
      <c r="L2944" s="9"/>
      <c r="M2944" s="2"/>
      <c r="N2944" s="9"/>
      <c r="P2944" s="3">
        <v>-870.22836344999996</v>
      </c>
      <c r="S2944" s="9"/>
      <c r="T2944" s="2"/>
      <c r="U2944" s="9"/>
    </row>
    <row r="2945" spans="2:21" x14ac:dyDescent="0.35">
      <c r="B2945" s="9"/>
      <c r="C2945" s="2"/>
      <c r="D2945" s="2"/>
      <c r="I2945" s="9"/>
      <c r="J2945" s="2"/>
      <c r="L2945" s="9"/>
      <c r="M2945" s="2"/>
      <c r="N2945" s="9"/>
      <c r="P2945" s="3">
        <v>-435.46836345000003</v>
      </c>
      <c r="S2945" s="9"/>
      <c r="T2945" s="2"/>
      <c r="U2945" s="9"/>
    </row>
    <row r="2946" spans="2:21" x14ac:dyDescent="0.35">
      <c r="B2946" s="9"/>
      <c r="C2946" s="2"/>
      <c r="D2946" s="2"/>
      <c r="I2946" s="9"/>
      <c r="J2946" s="2"/>
      <c r="L2946" s="9"/>
      <c r="M2946" s="2"/>
      <c r="N2946" s="9"/>
      <c r="P2946" s="3">
        <v>-0.70836345000000001</v>
      </c>
      <c r="S2946" s="9"/>
      <c r="T2946" s="2"/>
      <c r="U2946" s="9"/>
    </row>
    <row r="2947" spans="2:21" x14ac:dyDescent="0.35">
      <c r="B2947" s="9"/>
      <c r="C2947" s="2"/>
      <c r="D2947" s="2"/>
      <c r="I2947" s="9"/>
      <c r="J2947" s="2"/>
      <c r="L2947" s="9"/>
      <c r="M2947" s="2"/>
      <c r="N2947" s="9"/>
      <c r="P2947" s="3">
        <v>0</v>
      </c>
      <c r="S2947" s="9"/>
      <c r="T2947" s="2"/>
      <c r="U2947" s="9"/>
    </row>
    <row r="2948" spans="2:21" x14ac:dyDescent="0.35">
      <c r="B2948" s="9"/>
      <c r="C2948" s="2"/>
      <c r="D2948" s="2"/>
      <c r="I2948" s="9"/>
      <c r="J2948" s="2"/>
      <c r="L2948" s="9"/>
      <c r="M2948" s="2"/>
      <c r="N2948" s="9"/>
      <c r="P2948" s="3">
        <v>0</v>
      </c>
      <c r="S2948" s="9"/>
      <c r="T2948" s="2"/>
      <c r="U2948" s="9"/>
    </row>
    <row r="2949" spans="2:21" x14ac:dyDescent="0.35">
      <c r="B2949" s="9"/>
      <c r="C2949" s="2"/>
      <c r="D2949" s="2"/>
      <c r="I2949" s="9"/>
      <c r="J2949" s="2"/>
      <c r="L2949" s="9"/>
      <c r="M2949" s="2"/>
      <c r="N2949" s="9"/>
      <c r="P2949" s="3">
        <v>0</v>
      </c>
      <c r="S2949" s="9"/>
      <c r="T2949" s="2"/>
      <c r="U2949" s="9"/>
    </row>
    <row r="2950" spans="2:21" x14ac:dyDescent="0.35">
      <c r="B2950" s="9"/>
      <c r="C2950" s="2"/>
      <c r="D2950" s="2"/>
      <c r="I2950" s="9"/>
      <c r="J2950" s="2"/>
      <c r="L2950" s="9"/>
      <c r="M2950" s="2"/>
      <c r="N2950" s="9"/>
      <c r="P2950" s="3">
        <v>0</v>
      </c>
      <c r="S2950" s="9"/>
      <c r="T2950" s="2"/>
      <c r="U2950" s="9"/>
    </row>
    <row r="2951" spans="2:21" x14ac:dyDescent="0.35">
      <c r="B2951" s="9"/>
      <c r="C2951" s="2"/>
      <c r="D2951" s="2"/>
      <c r="I2951" s="9"/>
      <c r="J2951" s="2"/>
      <c r="L2951" s="9"/>
      <c r="M2951" s="2"/>
      <c r="N2951" s="9"/>
      <c r="P2951" s="3">
        <v>0</v>
      </c>
      <c r="S2951" s="9"/>
      <c r="T2951" s="2"/>
      <c r="U2951" s="9"/>
    </row>
    <row r="2952" spans="2:21" x14ac:dyDescent="0.35">
      <c r="B2952" s="9"/>
      <c r="C2952" s="2"/>
      <c r="D2952" s="2"/>
      <c r="I2952" s="9"/>
      <c r="J2952" s="2"/>
      <c r="L2952" s="9"/>
      <c r="M2952" s="2"/>
      <c r="N2952" s="9"/>
      <c r="P2952" s="3">
        <v>0</v>
      </c>
      <c r="S2952" s="9"/>
      <c r="T2952" s="2"/>
      <c r="U2952" s="9"/>
    </row>
    <row r="2953" spans="2:21" x14ac:dyDescent="0.35">
      <c r="B2953" s="9"/>
      <c r="C2953" s="2"/>
      <c r="D2953" s="2"/>
      <c r="I2953" s="9"/>
      <c r="J2953" s="2"/>
      <c r="L2953" s="9"/>
      <c r="M2953" s="2"/>
      <c r="N2953" s="9"/>
      <c r="P2953" s="3">
        <v>0</v>
      </c>
      <c r="S2953" s="9"/>
      <c r="T2953" s="2"/>
      <c r="U2953" s="9"/>
    </row>
    <row r="2954" spans="2:21" x14ac:dyDescent="0.35">
      <c r="B2954" s="9"/>
      <c r="C2954" s="2"/>
      <c r="D2954" s="2"/>
      <c r="I2954" s="9"/>
      <c r="J2954" s="2"/>
      <c r="L2954" s="9"/>
      <c r="M2954" s="2"/>
      <c r="N2954" s="9"/>
      <c r="P2954" s="3">
        <v>0</v>
      </c>
      <c r="S2954" s="9"/>
      <c r="T2954" s="2"/>
      <c r="U2954" s="9"/>
    </row>
    <row r="2955" spans="2:21" x14ac:dyDescent="0.35">
      <c r="B2955" s="9"/>
      <c r="C2955" s="2"/>
      <c r="D2955" s="2"/>
      <c r="I2955" s="9"/>
      <c r="J2955" s="2"/>
      <c r="L2955" s="9"/>
      <c r="M2955" s="2"/>
      <c r="N2955" s="9"/>
      <c r="P2955" s="3">
        <v>0</v>
      </c>
      <c r="S2955" s="9"/>
      <c r="T2955" s="2"/>
      <c r="U2955" s="9"/>
    </row>
    <row r="2956" spans="2:21" x14ac:dyDescent="0.35">
      <c r="B2956" s="9"/>
      <c r="C2956" s="2"/>
      <c r="D2956" s="2"/>
      <c r="I2956" s="9"/>
      <c r="J2956" s="2"/>
      <c r="L2956" s="9"/>
      <c r="M2956" s="2"/>
      <c r="N2956" s="9"/>
      <c r="P2956" s="3">
        <v>0</v>
      </c>
      <c r="S2956" s="9"/>
      <c r="T2956" s="2"/>
      <c r="U2956" s="9"/>
    </row>
    <row r="2957" spans="2:21" x14ac:dyDescent="0.35">
      <c r="B2957" s="9"/>
      <c r="C2957" s="2"/>
      <c r="D2957" s="2"/>
      <c r="I2957" s="9"/>
      <c r="J2957" s="2"/>
      <c r="L2957" s="9"/>
      <c r="M2957" s="2"/>
      <c r="N2957" s="9"/>
      <c r="P2957" s="3">
        <v>0</v>
      </c>
      <c r="S2957" s="9"/>
      <c r="T2957" s="2"/>
      <c r="U2957" s="9"/>
    </row>
    <row r="2958" spans="2:21" x14ac:dyDescent="0.35">
      <c r="B2958" s="9"/>
      <c r="C2958" s="2"/>
      <c r="D2958" s="2"/>
      <c r="I2958" s="9"/>
      <c r="J2958" s="2"/>
      <c r="L2958" s="9"/>
      <c r="M2958" s="2"/>
      <c r="N2958" s="9"/>
      <c r="P2958" s="3">
        <v>0</v>
      </c>
      <c r="S2958" s="9"/>
      <c r="T2958" s="2"/>
      <c r="U2958" s="9"/>
    </row>
    <row r="2959" spans="2:21" x14ac:dyDescent="0.35">
      <c r="B2959" s="9"/>
      <c r="C2959" s="2"/>
      <c r="D2959" s="2"/>
      <c r="I2959" s="9"/>
      <c r="J2959" s="2"/>
      <c r="L2959" s="9"/>
      <c r="M2959" s="2"/>
      <c r="N2959" s="9"/>
      <c r="P2959" s="3">
        <v>0</v>
      </c>
      <c r="S2959" s="9"/>
      <c r="T2959" s="2"/>
      <c r="U2959" s="9"/>
    </row>
    <row r="2960" spans="2:21" x14ac:dyDescent="0.35">
      <c r="B2960" s="9"/>
      <c r="C2960" s="2"/>
      <c r="D2960" s="2"/>
      <c r="I2960" s="9"/>
      <c r="J2960" s="2"/>
      <c r="L2960" s="9"/>
      <c r="M2960" s="2"/>
      <c r="N2960" s="9"/>
      <c r="P2960" s="3">
        <v>0</v>
      </c>
      <c r="S2960" s="9"/>
      <c r="T2960" s="2"/>
      <c r="U2960" s="9"/>
    </row>
    <row r="2961" spans="2:21" x14ac:dyDescent="0.35">
      <c r="B2961" s="9"/>
      <c r="C2961" s="2"/>
      <c r="D2961" s="2"/>
      <c r="I2961" s="9"/>
      <c r="J2961" s="2"/>
      <c r="L2961" s="9"/>
      <c r="M2961" s="2"/>
      <c r="N2961" s="9"/>
      <c r="P2961" s="3">
        <v>0</v>
      </c>
      <c r="S2961" s="9"/>
      <c r="T2961" s="2"/>
      <c r="U2961" s="9"/>
    </row>
    <row r="2962" spans="2:21" x14ac:dyDescent="0.35">
      <c r="B2962" s="9"/>
      <c r="C2962" s="2"/>
      <c r="D2962" s="2"/>
      <c r="I2962" s="9"/>
      <c r="J2962" s="2"/>
      <c r="L2962" s="9"/>
      <c r="M2962" s="2"/>
      <c r="N2962" s="9"/>
      <c r="P2962" s="3">
        <v>0</v>
      </c>
      <c r="S2962" s="9"/>
      <c r="T2962" s="2"/>
      <c r="U2962" s="9"/>
    </row>
    <row r="2963" spans="2:21" x14ac:dyDescent="0.35">
      <c r="B2963" s="9"/>
      <c r="C2963" s="2"/>
      <c r="D2963" s="2"/>
      <c r="I2963" s="9"/>
      <c r="J2963" s="2"/>
      <c r="L2963" s="9"/>
      <c r="M2963" s="2"/>
      <c r="N2963" s="9"/>
      <c r="P2963" s="3">
        <v>0</v>
      </c>
      <c r="S2963" s="9"/>
      <c r="T2963" s="2"/>
      <c r="U2963" s="9"/>
    </row>
    <row r="2964" spans="2:21" x14ac:dyDescent="0.35">
      <c r="B2964" s="9"/>
      <c r="C2964" s="2"/>
      <c r="D2964" s="2"/>
      <c r="I2964" s="9"/>
      <c r="J2964" s="2"/>
      <c r="L2964" s="9"/>
      <c r="M2964" s="2"/>
      <c r="N2964" s="9"/>
      <c r="P2964" s="3">
        <v>0</v>
      </c>
      <c r="S2964" s="9"/>
      <c r="T2964" s="2"/>
      <c r="U2964" s="9"/>
    </row>
    <row r="2965" spans="2:21" x14ac:dyDescent="0.35">
      <c r="B2965" s="9"/>
      <c r="C2965" s="2"/>
      <c r="D2965" s="2"/>
      <c r="I2965" s="9"/>
      <c r="J2965" s="2"/>
      <c r="L2965" s="9"/>
      <c r="M2965" s="2"/>
      <c r="N2965" s="9"/>
      <c r="P2965" s="3">
        <v>0</v>
      </c>
      <c r="S2965" s="9"/>
      <c r="T2965" s="2"/>
      <c r="U2965" s="9"/>
    </row>
    <row r="2966" spans="2:21" x14ac:dyDescent="0.35">
      <c r="B2966" s="9"/>
      <c r="C2966" s="2"/>
      <c r="D2966" s="2"/>
      <c r="I2966" s="9"/>
      <c r="J2966" s="2"/>
      <c r="L2966" s="9"/>
      <c r="M2966" s="2"/>
      <c r="N2966" s="9"/>
      <c r="P2966" s="3">
        <v>0</v>
      </c>
      <c r="S2966" s="9"/>
      <c r="T2966" s="2"/>
      <c r="U2966" s="9"/>
    </row>
    <row r="2967" spans="2:21" x14ac:dyDescent="0.35">
      <c r="B2967" s="9"/>
      <c r="C2967" s="2"/>
      <c r="D2967" s="2"/>
      <c r="I2967" s="9"/>
      <c r="J2967" s="2"/>
      <c r="L2967" s="9"/>
      <c r="M2967" s="2"/>
      <c r="N2967" s="9"/>
      <c r="P2967" s="3">
        <v>0</v>
      </c>
      <c r="S2967" s="9"/>
      <c r="T2967" s="2"/>
      <c r="U2967" s="9"/>
    </row>
    <row r="2968" spans="2:21" x14ac:dyDescent="0.35">
      <c r="B2968" s="9"/>
      <c r="C2968" s="2"/>
      <c r="D2968" s="2"/>
      <c r="I2968" s="9"/>
      <c r="J2968" s="2"/>
      <c r="L2968" s="9"/>
      <c r="M2968" s="2"/>
      <c r="N2968" s="9"/>
      <c r="P2968" s="3">
        <v>0</v>
      </c>
      <c r="S2968" s="9"/>
      <c r="T2968" s="2"/>
      <c r="U2968" s="9"/>
    </row>
    <row r="2969" spans="2:21" x14ac:dyDescent="0.35">
      <c r="B2969" s="9"/>
      <c r="C2969" s="2"/>
      <c r="D2969" s="2"/>
      <c r="I2969" s="9"/>
      <c r="J2969" s="2"/>
      <c r="L2969" s="9"/>
      <c r="M2969" s="2"/>
      <c r="N2969" s="9"/>
      <c r="P2969" s="3">
        <v>0</v>
      </c>
      <c r="S2969" s="9"/>
      <c r="T2969" s="2"/>
      <c r="U2969" s="9"/>
    </row>
    <row r="2970" spans="2:21" x14ac:dyDescent="0.35">
      <c r="B2970" s="9"/>
      <c r="C2970" s="2"/>
      <c r="D2970" s="2"/>
      <c r="I2970" s="9"/>
      <c r="J2970" s="2"/>
      <c r="L2970" s="9"/>
      <c r="M2970" s="2"/>
      <c r="N2970" s="9"/>
      <c r="P2970" s="3">
        <v>0</v>
      </c>
      <c r="S2970" s="9"/>
      <c r="T2970" s="2"/>
      <c r="U2970" s="9"/>
    </row>
    <row r="2971" spans="2:21" x14ac:dyDescent="0.35">
      <c r="B2971" s="9"/>
      <c r="C2971" s="2"/>
      <c r="D2971" s="2"/>
      <c r="I2971" s="9"/>
      <c r="J2971" s="2"/>
      <c r="L2971" s="9"/>
      <c r="M2971" s="2"/>
      <c r="N2971" s="9"/>
      <c r="P2971" s="3">
        <v>0</v>
      </c>
      <c r="S2971" s="9"/>
      <c r="T2971" s="2"/>
      <c r="U2971" s="9"/>
    </row>
    <row r="2972" spans="2:21" x14ac:dyDescent="0.35">
      <c r="B2972" s="9"/>
      <c r="C2972" s="2"/>
      <c r="D2972" s="2"/>
      <c r="I2972" s="9"/>
      <c r="J2972" s="2"/>
      <c r="L2972" s="9"/>
      <c r="M2972" s="2"/>
      <c r="N2972" s="9"/>
      <c r="P2972" s="3">
        <v>0</v>
      </c>
      <c r="S2972" s="9"/>
      <c r="T2972" s="2"/>
      <c r="U2972" s="9"/>
    </row>
    <row r="2973" spans="2:21" x14ac:dyDescent="0.35">
      <c r="B2973" s="9"/>
      <c r="C2973" s="2"/>
      <c r="D2973" s="2"/>
      <c r="I2973" s="9"/>
      <c r="J2973" s="2"/>
      <c r="L2973" s="9"/>
      <c r="M2973" s="2"/>
      <c r="N2973" s="9"/>
      <c r="P2973" s="3">
        <v>0</v>
      </c>
      <c r="S2973" s="9"/>
      <c r="T2973" s="2"/>
      <c r="U2973" s="9"/>
    </row>
    <row r="2974" spans="2:21" x14ac:dyDescent="0.35">
      <c r="B2974" s="9"/>
      <c r="C2974" s="2"/>
      <c r="D2974" s="2"/>
      <c r="I2974" s="9"/>
      <c r="J2974" s="2"/>
      <c r="L2974" s="9"/>
      <c r="M2974" s="2"/>
      <c r="N2974" s="9"/>
      <c r="P2974" s="3">
        <v>0</v>
      </c>
      <c r="S2974" s="9"/>
      <c r="T2974" s="2"/>
      <c r="U2974" s="9"/>
    </row>
    <row r="2975" spans="2:21" x14ac:dyDescent="0.35">
      <c r="B2975" s="9"/>
      <c r="C2975" s="2"/>
      <c r="D2975" s="2"/>
      <c r="I2975" s="9"/>
      <c r="J2975" s="2"/>
      <c r="L2975" s="9"/>
      <c r="M2975" s="2"/>
      <c r="N2975" s="9"/>
      <c r="P2975" s="3">
        <v>0</v>
      </c>
      <c r="S2975" s="9"/>
      <c r="T2975" s="2"/>
      <c r="U2975" s="9"/>
    </row>
    <row r="2976" spans="2:21" x14ac:dyDescent="0.35">
      <c r="B2976" s="9"/>
      <c r="C2976" s="2"/>
      <c r="D2976" s="2"/>
      <c r="I2976" s="9"/>
      <c r="J2976" s="2"/>
      <c r="L2976" s="9"/>
      <c r="M2976" s="2"/>
      <c r="N2976" s="9"/>
      <c r="P2976" s="3">
        <v>0</v>
      </c>
      <c r="S2976" s="9"/>
      <c r="T2976" s="2"/>
      <c r="U2976" s="9"/>
    </row>
    <row r="2977" spans="2:21" x14ac:dyDescent="0.35">
      <c r="B2977" s="9"/>
      <c r="C2977" s="2"/>
      <c r="D2977" s="2"/>
      <c r="I2977" s="9"/>
      <c r="J2977" s="2"/>
      <c r="L2977" s="9"/>
      <c r="M2977" s="2"/>
      <c r="N2977" s="9"/>
      <c r="P2977" s="3">
        <v>0</v>
      </c>
      <c r="S2977" s="9"/>
      <c r="T2977" s="2"/>
      <c r="U2977" s="9"/>
    </row>
    <row r="2978" spans="2:21" x14ac:dyDescent="0.35">
      <c r="B2978" s="9"/>
      <c r="C2978" s="2"/>
      <c r="D2978" s="2"/>
      <c r="I2978" s="9"/>
      <c r="J2978" s="2"/>
      <c r="L2978" s="9"/>
      <c r="M2978" s="2"/>
      <c r="N2978" s="9"/>
      <c r="P2978" s="3">
        <v>-434.76</v>
      </c>
      <c r="S2978" s="9"/>
      <c r="T2978" s="2"/>
      <c r="U2978" s="9"/>
    </row>
    <row r="2979" spans="2:21" x14ac:dyDescent="0.35">
      <c r="B2979" s="9"/>
      <c r="C2979" s="2"/>
      <c r="D2979" s="2"/>
      <c r="I2979" s="9"/>
      <c r="J2979" s="2"/>
      <c r="L2979" s="9"/>
      <c r="M2979" s="2"/>
      <c r="N2979" s="9"/>
      <c r="P2979" s="3">
        <v>-869.52</v>
      </c>
      <c r="S2979" s="9"/>
      <c r="T2979" s="2"/>
      <c r="U2979" s="9"/>
    </row>
    <row r="2980" spans="2:21" x14ac:dyDescent="0.35">
      <c r="B2980" s="9"/>
      <c r="C2980" s="2"/>
      <c r="D2980" s="2"/>
      <c r="I2980" s="9"/>
      <c r="J2980" s="2"/>
      <c r="L2980" s="9"/>
      <c r="M2980" s="2"/>
      <c r="N2980" s="9"/>
      <c r="P2980" s="3">
        <v>-1304.28</v>
      </c>
      <c r="S2980" s="9"/>
      <c r="T2980" s="2"/>
      <c r="U2980" s="9"/>
    </row>
    <row r="2981" spans="2:21" x14ac:dyDescent="0.35">
      <c r="B2981" s="9"/>
      <c r="C2981" s="2"/>
      <c r="D2981" s="2"/>
      <c r="I2981" s="9"/>
      <c r="J2981" s="2"/>
      <c r="L2981" s="9"/>
      <c r="M2981" s="2"/>
      <c r="N2981" s="9"/>
      <c r="P2981" s="3">
        <v>-1302.2450964699999</v>
      </c>
      <c r="S2981" s="9"/>
      <c r="T2981" s="2"/>
      <c r="U2981" s="9"/>
    </row>
    <row r="2982" spans="2:21" x14ac:dyDescent="0.35">
      <c r="B2982" s="9"/>
      <c r="C2982" s="2"/>
      <c r="D2982" s="2"/>
      <c r="I2982" s="9"/>
      <c r="J2982" s="2"/>
      <c r="L2982" s="9"/>
      <c r="M2982" s="2"/>
      <c r="N2982" s="9"/>
      <c r="P2982" s="3">
        <v>-867.48509647000003</v>
      </c>
      <c r="S2982" s="9"/>
      <c r="T2982" s="2"/>
      <c r="U2982" s="9"/>
    </row>
    <row r="2983" spans="2:21" x14ac:dyDescent="0.35">
      <c r="B2983" s="9"/>
      <c r="C2983" s="2"/>
      <c r="D2983" s="2"/>
      <c r="I2983" s="9"/>
      <c r="J2983" s="2"/>
      <c r="L2983" s="9"/>
      <c r="M2983" s="2"/>
      <c r="N2983" s="9"/>
      <c r="P2983" s="3">
        <v>-432.72509646999998</v>
      </c>
      <c r="S2983" s="9"/>
      <c r="T2983" s="2"/>
      <c r="U2983" s="9"/>
    </row>
    <row r="2984" spans="2:21" x14ac:dyDescent="0.35">
      <c r="B2984" s="9"/>
      <c r="C2984" s="2"/>
      <c r="D2984" s="2"/>
      <c r="I2984" s="9"/>
      <c r="J2984" s="2"/>
      <c r="L2984" s="9"/>
      <c r="M2984" s="2"/>
      <c r="N2984" s="9"/>
      <c r="P2984" s="3">
        <v>2.0349035299999998</v>
      </c>
      <c r="S2984" s="9"/>
      <c r="T2984" s="2"/>
      <c r="U2984" s="9"/>
    </row>
    <row r="2985" spans="2:21" x14ac:dyDescent="0.35">
      <c r="B2985" s="9"/>
      <c r="C2985" s="2"/>
      <c r="D2985" s="2"/>
      <c r="I2985" s="9"/>
      <c r="J2985" s="2"/>
      <c r="L2985" s="9"/>
      <c r="M2985" s="2"/>
      <c r="N2985" s="9"/>
      <c r="P2985" s="3">
        <v>338.29729352999999</v>
      </c>
      <c r="S2985" s="9"/>
      <c r="T2985" s="2"/>
      <c r="U2985" s="9"/>
    </row>
    <row r="2986" spans="2:21" x14ac:dyDescent="0.35">
      <c r="B2986" s="9"/>
      <c r="C2986" s="2"/>
      <c r="D2986" s="2"/>
      <c r="I2986" s="9"/>
      <c r="J2986" s="2"/>
      <c r="L2986" s="9"/>
      <c r="M2986" s="2"/>
      <c r="N2986" s="9"/>
      <c r="P2986" s="3">
        <v>553.06661353000004</v>
      </c>
      <c r="S2986" s="9"/>
      <c r="T2986" s="2"/>
      <c r="U2986" s="9"/>
    </row>
    <row r="2987" spans="2:21" x14ac:dyDescent="0.35">
      <c r="B2987" s="9"/>
      <c r="C2987" s="2"/>
      <c r="D2987" s="2"/>
      <c r="I2987" s="9"/>
      <c r="J2987" s="2"/>
      <c r="L2987" s="9"/>
      <c r="M2987" s="2"/>
      <c r="N2987" s="9"/>
      <c r="P2987" s="3">
        <v>699.08095352999999</v>
      </c>
      <c r="S2987" s="9"/>
      <c r="T2987" s="2"/>
      <c r="U2987" s="9"/>
    </row>
    <row r="2988" spans="2:21" x14ac:dyDescent="0.35">
      <c r="B2988" s="9"/>
      <c r="C2988" s="2"/>
      <c r="D2988" s="2"/>
      <c r="I2988" s="9"/>
      <c r="J2988" s="2"/>
      <c r="L2988" s="9"/>
      <c r="M2988" s="2"/>
      <c r="N2988" s="9"/>
      <c r="P2988" s="3">
        <v>732.67034352999997</v>
      </c>
      <c r="S2988" s="9"/>
      <c r="T2988" s="2"/>
      <c r="U2988" s="9"/>
    </row>
    <row r="2989" spans="2:21" x14ac:dyDescent="0.35">
      <c r="B2989" s="9"/>
      <c r="C2989" s="2"/>
      <c r="D2989" s="2"/>
      <c r="I2989" s="9"/>
      <c r="J2989" s="2"/>
      <c r="L2989" s="9"/>
      <c r="M2989" s="2"/>
      <c r="N2989" s="9"/>
      <c r="P2989" s="3">
        <v>297.91034352999998</v>
      </c>
      <c r="S2989" s="9"/>
      <c r="T2989" s="2"/>
      <c r="U2989" s="9"/>
    </row>
    <row r="2990" spans="2:21" x14ac:dyDescent="0.35">
      <c r="B2990" s="9"/>
      <c r="C2990" s="2"/>
      <c r="D2990" s="2"/>
      <c r="I2990" s="9"/>
      <c r="J2990" s="2"/>
      <c r="L2990" s="9"/>
      <c r="M2990" s="2"/>
      <c r="N2990" s="9"/>
      <c r="P2990" s="3">
        <v>0</v>
      </c>
      <c r="S2990" s="9"/>
      <c r="T2990" s="2"/>
      <c r="U2990" s="9"/>
    </row>
    <row r="2991" spans="2:21" x14ac:dyDescent="0.35">
      <c r="B2991" s="9"/>
      <c r="C2991" s="2"/>
      <c r="D2991" s="2"/>
      <c r="I2991" s="9"/>
      <c r="J2991" s="2"/>
      <c r="L2991" s="9"/>
      <c r="M2991" s="2"/>
      <c r="N2991" s="9"/>
      <c r="P2991" s="3">
        <v>0</v>
      </c>
      <c r="S2991" s="9"/>
      <c r="T2991" s="2"/>
      <c r="U2991" s="9"/>
    </row>
    <row r="2992" spans="2:21" x14ac:dyDescent="0.35">
      <c r="B2992" s="9"/>
      <c r="C2992" s="2"/>
      <c r="D2992" s="2"/>
      <c r="I2992" s="9"/>
      <c r="J2992" s="2"/>
      <c r="L2992" s="9"/>
      <c r="M2992" s="2"/>
      <c r="N2992" s="9"/>
      <c r="P2992" s="3">
        <v>0</v>
      </c>
      <c r="S2992" s="9"/>
      <c r="T2992" s="2"/>
      <c r="U2992" s="9"/>
    </row>
    <row r="2993" spans="2:21" x14ac:dyDescent="0.35">
      <c r="B2993" s="9"/>
      <c r="C2993" s="2"/>
      <c r="D2993" s="2"/>
      <c r="I2993" s="9"/>
      <c r="J2993" s="2"/>
      <c r="L2993" s="9"/>
      <c r="M2993" s="2"/>
      <c r="N2993" s="9"/>
      <c r="P2993" s="3">
        <v>0</v>
      </c>
      <c r="S2993" s="9"/>
      <c r="T2993" s="2"/>
      <c r="U2993" s="9"/>
    </row>
    <row r="2994" spans="2:21" x14ac:dyDescent="0.35">
      <c r="B2994" s="9"/>
      <c r="C2994" s="2"/>
      <c r="D2994" s="2"/>
      <c r="I2994" s="9"/>
      <c r="J2994" s="2"/>
      <c r="L2994" s="9"/>
      <c r="M2994" s="2"/>
      <c r="N2994" s="9"/>
      <c r="P2994" s="3">
        <v>0</v>
      </c>
      <c r="S2994" s="9"/>
      <c r="T2994" s="2"/>
      <c r="U2994" s="9"/>
    </row>
    <row r="2995" spans="2:21" x14ac:dyDescent="0.35">
      <c r="B2995" s="9"/>
      <c r="C2995" s="2"/>
      <c r="D2995" s="2"/>
      <c r="I2995" s="9"/>
      <c r="J2995" s="2"/>
      <c r="L2995" s="9"/>
      <c r="M2995" s="2"/>
      <c r="N2995" s="9"/>
      <c r="P2995" s="3">
        <v>0</v>
      </c>
      <c r="S2995" s="9"/>
      <c r="T2995" s="2"/>
      <c r="U2995" s="9"/>
    </row>
    <row r="2996" spans="2:21" x14ac:dyDescent="0.35">
      <c r="B2996" s="9"/>
      <c r="C2996" s="2"/>
      <c r="D2996" s="2"/>
      <c r="I2996" s="9"/>
      <c r="J2996" s="2"/>
      <c r="L2996" s="9"/>
      <c r="M2996" s="2"/>
      <c r="N2996" s="9"/>
      <c r="P2996" s="3">
        <v>0</v>
      </c>
      <c r="S2996" s="9"/>
      <c r="T2996" s="2"/>
      <c r="U2996" s="9"/>
    </row>
    <row r="2997" spans="2:21" x14ac:dyDescent="0.35">
      <c r="B2997" s="9"/>
      <c r="C2997" s="2"/>
      <c r="D2997" s="2"/>
      <c r="I2997" s="9"/>
      <c r="J2997" s="2"/>
      <c r="L2997" s="9"/>
      <c r="M2997" s="2"/>
      <c r="N2997" s="9"/>
      <c r="P2997" s="3">
        <v>-362.74883647000001</v>
      </c>
      <c r="S2997" s="9"/>
      <c r="T2997" s="2"/>
      <c r="U2997" s="9"/>
    </row>
    <row r="2998" spans="2:21" x14ac:dyDescent="0.35">
      <c r="B2998" s="9"/>
      <c r="C2998" s="2"/>
      <c r="D2998" s="2"/>
      <c r="I2998" s="9"/>
      <c r="J2998" s="2"/>
      <c r="L2998" s="9"/>
      <c r="M2998" s="2"/>
      <c r="N2998" s="9"/>
      <c r="P2998" s="3">
        <v>-797.50883647000001</v>
      </c>
      <c r="S2998" s="9"/>
      <c r="T2998" s="2"/>
      <c r="U2998" s="9"/>
    </row>
    <row r="2999" spans="2:21" x14ac:dyDescent="0.35">
      <c r="B2999" s="9"/>
      <c r="C2999" s="2"/>
      <c r="D2999" s="2"/>
      <c r="I2999" s="9"/>
      <c r="J2999" s="2"/>
      <c r="L2999" s="9"/>
      <c r="M2999" s="2"/>
      <c r="N2999" s="9"/>
      <c r="P2999" s="3">
        <v>-1232.26883647</v>
      </c>
      <c r="S2999" s="9"/>
      <c r="T2999" s="2"/>
      <c r="U2999" s="9"/>
    </row>
    <row r="3000" spans="2:21" x14ac:dyDescent="0.35">
      <c r="B3000" s="9"/>
      <c r="C3000" s="2"/>
      <c r="D3000" s="2"/>
      <c r="I3000" s="9"/>
      <c r="J3000" s="2"/>
      <c r="L3000" s="9"/>
      <c r="M3000" s="2"/>
      <c r="N3000" s="9"/>
      <c r="P3000" s="3">
        <v>-1667.02883647</v>
      </c>
      <c r="S3000" s="9"/>
      <c r="T3000" s="2"/>
      <c r="U3000" s="9"/>
    </row>
    <row r="3001" spans="2:21" x14ac:dyDescent="0.35">
      <c r="B3001" s="9"/>
      <c r="C3001" s="2"/>
      <c r="D3001" s="2"/>
      <c r="I3001" s="9"/>
      <c r="J3001" s="2"/>
      <c r="L3001" s="9"/>
      <c r="M3001" s="2"/>
      <c r="N3001" s="9"/>
      <c r="P3001" s="3">
        <v>-1283.54505647</v>
      </c>
      <c r="S3001" s="9"/>
      <c r="T3001" s="2"/>
      <c r="U3001" s="9"/>
    </row>
    <row r="3002" spans="2:21" x14ac:dyDescent="0.35">
      <c r="B3002" s="9"/>
      <c r="C3002" s="2"/>
      <c r="D3002" s="2"/>
      <c r="I3002" s="9"/>
      <c r="J3002" s="2"/>
      <c r="L3002" s="9"/>
      <c r="M3002" s="2"/>
      <c r="N3002" s="9"/>
      <c r="P3002" s="3">
        <v>-1304.8940464699999</v>
      </c>
      <c r="S3002" s="9"/>
      <c r="T3002" s="2"/>
      <c r="U3002" s="9"/>
    </row>
    <row r="3003" spans="2:21" x14ac:dyDescent="0.35">
      <c r="B3003" s="9"/>
      <c r="C3003" s="2"/>
      <c r="D3003" s="2"/>
      <c r="I3003" s="9"/>
      <c r="J3003" s="2"/>
      <c r="L3003" s="9"/>
      <c r="M3003" s="2"/>
      <c r="N3003" s="9"/>
      <c r="P3003" s="3">
        <v>-1680.8532464699999</v>
      </c>
      <c r="S3003" s="9"/>
      <c r="T3003" s="2"/>
      <c r="U3003" s="9"/>
    </row>
    <row r="3004" spans="2:21" x14ac:dyDescent="0.35">
      <c r="B3004" s="9"/>
      <c r="C3004" s="2"/>
      <c r="D3004" s="2"/>
      <c r="I3004" s="9"/>
      <c r="J3004" s="2"/>
      <c r="L3004" s="9"/>
      <c r="M3004" s="2"/>
      <c r="N3004" s="9"/>
      <c r="P3004" s="3">
        <v>-1952.80241647</v>
      </c>
      <c r="S3004" s="9"/>
      <c r="T3004" s="2"/>
      <c r="U3004" s="9"/>
    </row>
    <row r="3005" spans="2:21" x14ac:dyDescent="0.35">
      <c r="B3005" s="9"/>
      <c r="C3005" s="2"/>
      <c r="D3005" s="2"/>
      <c r="I3005" s="9"/>
      <c r="J3005" s="2"/>
      <c r="L3005" s="9"/>
      <c r="M3005" s="2"/>
      <c r="N3005" s="9"/>
      <c r="P3005" s="3">
        <v>-2296.8165864699999</v>
      </c>
      <c r="S3005" s="9"/>
      <c r="T3005" s="2"/>
      <c r="U3005" s="9"/>
    </row>
    <row r="3006" spans="2:21" x14ac:dyDescent="0.35">
      <c r="B3006" s="9"/>
      <c r="C3006" s="2"/>
      <c r="D3006" s="2"/>
      <c r="I3006" s="9"/>
      <c r="J3006" s="2"/>
      <c r="L3006" s="9"/>
      <c r="M3006" s="2"/>
      <c r="N3006" s="9"/>
      <c r="P3006" s="3">
        <v>-2642.5905383899999</v>
      </c>
      <c r="S3006" s="9"/>
      <c r="T3006" s="2"/>
      <c r="U3006" s="9"/>
    </row>
    <row r="3007" spans="2:21" x14ac:dyDescent="0.35">
      <c r="B3007" s="9"/>
      <c r="C3007" s="2"/>
      <c r="D3007" s="2"/>
      <c r="I3007" s="9"/>
      <c r="J3007" s="2"/>
      <c r="L3007" s="9"/>
      <c r="M3007" s="2"/>
      <c r="N3007" s="9"/>
      <c r="P3007" s="3">
        <v>-2816.5632583900001</v>
      </c>
      <c r="S3007" s="9"/>
      <c r="T3007" s="2"/>
      <c r="U3007" s="9"/>
    </row>
    <row r="3008" spans="2:21" x14ac:dyDescent="0.35">
      <c r="B3008" s="9"/>
      <c r="C3008" s="2"/>
      <c r="D3008" s="2"/>
      <c r="I3008" s="9"/>
      <c r="J3008" s="2"/>
      <c r="L3008" s="9"/>
      <c r="M3008" s="2"/>
      <c r="N3008" s="9"/>
      <c r="P3008" s="3">
        <v>-2860.169492</v>
      </c>
      <c r="S3008" s="9"/>
      <c r="T3008" s="2"/>
      <c r="U3008" s="9"/>
    </row>
    <row r="3009" spans="2:21" x14ac:dyDescent="0.35">
      <c r="B3009" s="9"/>
      <c r="C3009" s="2"/>
      <c r="D3009" s="2"/>
      <c r="I3009" s="9"/>
      <c r="J3009" s="2"/>
      <c r="L3009" s="9"/>
      <c r="M3009" s="2"/>
      <c r="N3009" s="9"/>
      <c r="P3009" s="3">
        <v>-2860.169492</v>
      </c>
      <c r="S3009" s="9"/>
      <c r="T3009" s="2"/>
      <c r="U3009" s="9"/>
    </row>
    <row r="3010" spans="2:21" x14ac:dyDescent="0.35">
      <c r="B3010" s="9"/>
      <c r="C3010" s="2"/>
      <c r="D3010" s="2"/>
      <c r="I3010" s="9"/>
      <c r="J3010" s="2"/>
      <c r="L3010" s="9"/>
      <c r="M3010" s="2"/>
      <c r="N3010" s="9"/>
      <c r="P3010" s="3">
        <v>-2860.169492</v>
      </c>
      <c r="S3010" s="9"/>
      <c r="T3010" s="2"/>
      <c r="U3010" s="9"/>
    </row>
    <row r="3011" spans="2:21" x14ac:dyDescent="0.35">
      <c r="B3011" s="9"/>
      <c r="C3011" s="2"/>
      <c r="D3011" s="2"/>
      <c r="I3011" s="9"/>
      <c r="J3011" s="2"/>
      <c r="L3011" s="9"/>
      <c r="M3011" s="2"/>
      <c r="N3011" s="9"/>
      <c r="P3011" s="3">
        <v>-2860.169492</v>
      </c>
      <c r="S3011" s="9"/>
      <c r="T3011" s="2"/>
      <c r="U3011" s="9"/>
    </row>
    <row r="3012" spans="2:21" x14ac:dyDescent="0.35">
      <c r="B3012" s="9"/>
      <c r="C3012" s="2"/>
      <c r="D3012" s="2"/>
      <c r="I3012" s="9"/>
      <c r="J3012" s="2"/>
      <c r="L3012" s="9"/>
      <c r="M3012" s="2"/>
      <c r="N3012" s="9"/>
      <c r="P3012" s="3">
        <v>-2860.169492</v>
      </c>
      <c r="S3012" s="9"/>
      <c r="T3012" s="2"/>
      <c r="U3012" s="9"/>
    </row>
    <row r="3013" spans="2:21" x14ac:dyDescent="0.35">
      <c r="B3013" s="9"/>
      <c r="C3013" s="2"/>
      <c r="D3013" s="2"/>
      <c r="I3013" s="9"/>
      <c r="J3013" s="2"/>
      <c r="L3013" s="9"/>
      <c r="M3013" s="2"/>
      <c r="N3013" s="9"/>
      <c r="P3013" s="3">
        <v>-2860.169492</v>
      </c>
      <c r="S3013" s="9"/>
      <c r="T3013" s="2"/>
      <c r="U3013" s="9"/>
    </row>
    <row r="3014" spans="2:21" x14ac:dyDescent="0.35">
      <c r="B3014" s="9"/>
      <c r="C3014" s="2"/>
      <c r="D3014" s="2"/>
      <c r="I3014" s="9"/>
      <c r="J3014" s="2"/>
      <c r="L3014" s="9"/>
      <c r="M3014" s="2"/>
      <c r="N3014" s="9"/>
      <c r="P3014" s="3">
        <v>-2425.4094919999998</v>
      </c>
      <c r="S3014" s="9"/>
      <c r="T3014" s="2"/>
      <c r="U3014" s="9"/>
    </row>
    <row r="3015" spans="2:21" x14ac:dyDescent="0.35">
      <c r="B3015" s="9"/>
      <c r="C3015" s="2"/>
      <c r="D3015" s="2"/>
      <c r="I3015" s="9"/>
      <c r="J3015" s="2"/>
      <c r="L3015" s="9"/>
      <c r="M3015" s="2"/>
      <c r="N3015" s="9"/>
      <c r="P3015" s="3">
        <v>-1990.649492</v>
      </c>
      <c r="S3015" s="9"/>
      <c r="T3015" s="2"/>
      <c r="U3015" s="9"/>
    </row>
    <row r="3016" spans="2:21" x14ac:dyDescent="0.35">
      <c r="B3016" s="9"/>
      <c r="C3016" s="2"/>
      <c r="D3016" s="2"/>
      <c r="I3016" s="9"/>
      <c r="J3016" s="2"/>
      <c r="L3016" s="9"/>
      <c r="M3016" s="2"/>
      <c r="N3016" s="9"/>
      <c r="P3016" s="3">
        <v>-1555.889492</v>
      </c>
      <c r="S3016" s="9"/>
      <c r="T3016" s="2"/>
      <c r="U3016" s="9"/>
    </row>
    <row r="3017" spans="2:21" x14ac:dyDescent="0.35">
      <c r="B3017" s="9"/>
      <c r="C3017" s="2"/>
      <c r="D3017" s="2"/>
      <c r="I3017" s="9"/>
      <c r="J3017" s="2"/>
      <c r="L3017" s="9"/>
      <c r="M3017" s="2"/>
      <c r="N3017" s="9"/>
      <c r="P3017" s="3">
        <v>-1121.129492</v>
      </c>
      <c r="S3017" s="9"/>
      <c r="T3017" s="2"/>
      <c r="U3017" s="9"/>
    </row>
    <row r="3018" spans="2:21" x14ac:dyDescent="0.35">
      <c r="B3018" s="9"/>
      <c r="C3018" s="2"/>
      <c r="D3018" s="2"/>
      <c r="I3018" s="9"/>
      <c r="J3018" s="2"/>
      <c r="L3018" s="9"/>
      <c r="M3018" s="2"/>
      <c r="N3018" s="9"/>
      <c r="P3018" s="3">
        <v>-686.36949200000004</v>
      </c>
      <c r="S3018" s="9"/>
      <c r="T3018" s="2"/>
      <c r="U3018" s="9"/>
    </row>
    <row r="3019" spans="2:21" x14ac:dyDescent="0.35">
      <c r="B3019" s="9"/>
      <c r="C3019" s="2"/>
      <c r="D3019" s="2"/>
      <c r="I3019" s="9"/>
      <c r="J3019" s="2"/>
      <c r="L3019" s="9"/>
      <c r="M3019" s="2"/>
      <c r="N3019" s="9"/>
      <c r="P3019" s="3">
        <v>-251.60949199999999</v>
      </c>
      <c r="S3019" s="9"/>
      <c r="T3019" s="2"/>
      <c r="U3019" s="9"/>
    </row>
    <row r="3020" spans="2:21" x14ac:dyDescent="0.35">
      <c r="B3020" s="9"/>
      <c r="C3020" s="2"/>
      <c r="D3020" s="2"/>
      <c r="I3020" s="9"/>
      <c r="J3020" s="2"/>
      <c r="L3020" s="9"/>
      <c r="M3020" s="2"/>
      <c r="N3020" s="9"/>
      <c r="P3020" s="3">
        <v>0</v>
      </c>
      <c r="S3020" s="9"/>
      <c r="T3020" s="2"/>
      <c r="U3020" s="9"/>
    </row>
    <row r="3021" spans="2:21" x14ac:dyDescent="0.35">
      <c r="B3021" s="9"/>
      <c r="C3021" s="2"/>
      <c r="D3021" s="2"/>
      <c r="I3021" s="9"/>
      <c r="J3021" s="2"/>
      <c r="L3021" s="9"/>
      <c r="M3021" s="2"/>
      <c r="N3021" s="9"/>
      <c r="P3021" s="3">
        <v>0</v>
      </c>
      <c r="S3021" s="9"/>
      <c r="T3021" s="2"/>
      <c r="U3021" s="9"/>
    </row>
    <row r="3022" spans="2:21" x14ac:dyDescent="0.35">
      <c r="B3022" s="9"/>
      <c r="C3022" s="2"/>
      <c r="D3022" s="2"/>
      <c r="I3022" s="9"/>
      <c r="J3022" s="2"/>
      <c r="L3022" s="9"/>
      <c r="M3022" s="2"/>
      <c r="N3022" s="9"/>
      <c r="P3022" s="3">
        <v>0</v>
      </c>
      <c r="S3022" s="9"/>
      <c r="T3022" s="2"/>
      <c r="U3022" s="9"/>
    </row>
    <row r="3023" spans="2:21" x14ac:dyDescent="0.35">
      <c r="B3023" s="9"/>
      <c r="C3023" s="2"/>
      <c r="D3023" s="2"/>
      <c r="I3023" s="9"/>
      <c r="J3023" s="2"/>
      <c r="L3023" s="9"/>
      <c r="M3023" s="2"/>
      <c r="N3023" s="9"/>
      <c r="P3023" s="3">
        <v>-434.76</v>
      </c>
      <c r="S3023" s="9"/>
      <c r="T3023" s="2"/>
      <c r="U3023" s="9"/>
    </row>
    <row r="3024" spans="2:21" x14ac:dyDescent="0.35">
      <c r="B3024" s="9"/>
      <c r="C3024" s="2"/>
      <c r="D3024" s="2"/>
      <c r="I3024" s="9"/>
      <c r="J3024" s="2"/>
      <c r="L3024" s="9"/>
      <c r="M3024" s="2"/>
      <c r="N3024" s="9"/>
      <c r="P3024" s="3">
        <v>-869.52</v>
      </c>
      <c r="S3024" s="9"/>
      <c r="T3024" s="2"/>
      <c r="U3024" s="9"/>
    </row>
    <row r="3025" spans="2:21" x14ac:dyDescent="0.35">
      <c r="B3025" s="9"/>
      <c r="C3025" s="2"/>
      <c r="D3025" s="2"/>
      <c r="I3025" s="9"/>
      <c r="J3025" s="2"/>
      <c r="L3025" s="9"/>
      <c r="M3025" s="2"/>
      <c r="N3025" s="9"/>
      <c r="P3025" s="3">
        <v>-1282.7005783899999</v>
      </c>
      <c r="S3025" s="9"/>
      <c r="T3025" s="2"/>
      <c r="U3025" s="9"/>
    </row>
    <row r="3026" spans="2:21" x14ac:dyDescent="0.35">
      <c r="B3026" s="9"/>
      <c r="C3026" s="2"/>
      <c r="D3026" s="2"/>
      <c r="I3026" s="9"/>
      <c r="J3026" s="2"/>
      <c r="L3026" s="9"/>
      <c r="M3026" s="2"/>
      <c r="N3026" s="9"/>
      <c r="P3026" s="3">
        <v>-847.94057839000004</v>
      </c>
      <c r="S3026" s="9"/>
      <c r="T3026" s="2"/>
      <c r="U3026" s="9"/>
    </row>
    <row r="3027" spans="2:21" x14ac:dyDescent="0.35">
      <c r="B3027" s="9"/>
      <c r="C3027" s="2"/>
      <c r="D3027" s="2"/>
      <c r="I3027" s="9"/>
      <c r="J3027" s="2"/>
      <c r="L3027" s="9"/>
      <c r="M3027" s="2"/>
      <c r="N3027" s="9"/>
      <c r="P3027" s="3">
        <v>-667.81286838999995</v>
      </c>
      <c r="S3027" s="9"/>
      <c r="T3027" s="2"/>
      <c r="U3027" s="9"/>
    </row>
    <row r="3028" spans="2:21" x14ac:dyDescent="0.35">
      <c r="B3028" s="9"/>
      <c r="C3028" s="2"/>
      <c r="D3028" s="2"/>
      <c r="I3028" s="9"/>
      <c r="J3028" s="2"/>
      <c r="L3028" s="9"/>
      <c r="M3028" s="2"/>
      <c r="N3028" s="9"/>
      <c r="P3028" s="3">
        <v>-344.23817838999997</v>
      </c>
      <c r="S3028" s="9"/>
      <c r="T3028" s="2"/>
      <c r="U3028" s="9"/>
    </row>
    <row r="3029" spans="2:21" x14ac:dyDescent="0.35">
      <c r="B3029" s="9"/>
      <c r="C3029" s="2"/>
      <c r="D3029" s="2"/>
      <c r="I3029" s="9"/>
      <c r="J3029" s="2"/>
      <c r="L3029" s="9"/>
      <c r="M3029" s="2"/>
      <c r="N3029" s="9"/>
      <c r="P3029" s="3">
        <v>-193.46825838999999</v>
      </c>
      <c r="S3029" s="9"/>
      <c r="T3029" s="2"/>
      <c r="U3029" s="9"/>
    </row>
    <row r="3030" spans="2:21" x14ac:dyDescent="0.35">
      <c r="B3030" s="9"/>
      <c r="C3030" s="2"/>
      <c r="D3030" s="2"/>
      <c r="I3030" s="9"/>
      <c r="J3030" s="2"/>
      <c r="L3030" s="9"/>
      <c r="M3030" s="2"/>
      <c r="N3030" s="9"/>
      <c r="P3030" s="3">
        <v>-353.21858886000001</v>
      </c>
      <c r="S3030" s="9"/>
      <c r="T3030" s="2"/>
      <c r="U3030" s="9"/>
    </row>
    <row r="3031" spans="2:21" x14ac:dyDescent="0.35">
      <c r="B3031" s="9"/>
      <c r="C3031" s="2"/>
      <c r="D3031" s="2"/>
      <c r="I3031" s="9"/>
      <c r="J3031" s="2"/>
      <c r="L3031" s="9"/>
      <c r="M3031" s="2"/>
      <c r="N3031" s="9"/>
      <c r="P3031" s="3">
        <v>-192.09047885999999</v>
      </c>
      <c r="S3031" s="9"/>
      <c r="T3031" s="2"/>
      <c r="U3031" s="9"/>
    </row>
    <row r="3032" spans="2:21" x14ac:dyDescent="0.35">
      <c r="B3032" s="9"/>
      <c r="C3032" s="2"/>
      <c r="D3032" s="2"/>
      <c r="I3032" s="9"/>
      <c r="J3032" s="2"/>
      <c r="L3032" s="9"/>
      <c r="M3032" s="2"/>
      <c r="N3032" s="9"/>
      <c r="P3032" s="3">
        <v>-78.857548859999994</v>
      </c>
      <c r="S3032" s="9"/>
      <c r="T3032" s="2"/>
      <c r="U3032" s="9"/>
    </row>
    <row r="3033" spans="2:21" x14ac:dyDescent="0.35">
      <c r="B3033" s="9"/>
      <c r="C3033" s="2"/>
      <c r="D3033" s="2"/>
      <c r="I3033" s="9"/>
      <c r="J3033" s="2"/>
      <c r="L3033" s="9"/>
      <c r="M3033" s="2"/>
      <c r="N3033" s="9"/>
      <c r="P3033" s="3">
        <v>32.49601114</v>
      </c>
      <c r="S3033" s="9"/>
      <c r="T3033" s="2"/>
      <c r="U3033" s="9"/>
    </row>
    <row r="3034" spans="2:21" x14ac:dyDescent="0.35">
      <c r="B3034" s="9"/>
      <c r="C3034" s="2"/>
      <c r="D3034" s="2"/>
      <c r="I3034" s="9"/>
      <c r="J3034" s="2"/>
      <c r="L3034" s="9"/>
      <c r="M3034" s="2"/>
      <c r="N3034" s="9"/>
      <c r="P3034" s="3">
        <v>188.84440114</v>
      </c>
      <c r="S3034" s="9"/>
      <c r="T3034" s="2"/>
      <c r="U3034" s="9"/>
    </row>
    <row r="3035" spans="2:21" x14ac:dyDescent="0.35">
      <c r="B3035" s="9"/>
      <c r="C3035" s="2"/>
      <c r="D3035" s="2"/>
      <c r="I3035" s="9"/>
      <c r="J3035" s="2"/>
      <c r="L3035" s="9"/>
      <c r="M3035" s="2"/>
      <c r="N3035" s="9"/>
      <c r="P3035" s="3">
        <v>426.99747761999998</v>
      </c>
      <c r="S3035" s="9"/>
      <c r="T3035" s="2"/>
      <c r="U3035" s="9"/>
    </row>
    <row r="3036" spans="2:21" x14ac:dyDescent="0.35">
      <c r="B3036" s="9"/>
      <c r="C3036" s="2"/>
      <c r="D3036" s="2"/>
      <c r="I3036" s="9"/>
      <c r="J3036" s="2"/>
      <c r="L3036" s="9"/>
      <c r="M3036" s="2"/>
      <c r="N3036" s="9"/>
      <c r="P3036" s="3">
        <v>530.81997409999997</v>
      </c>
      <c r="S3036" s="9"/>
      <c r="T3036" s="2"/>
      <c r="U3036" s="9"/>
    </row>
    <row r="3037" spans="2:21" x14ac:dyDescent="0.35">
      <c r="B3037" s="9"/>
      <c r="C3037" s="2"/>
      <c r="D3037" s="2"/>
      <c r="I3037" s="9"/>
      <c r="J3037" s="2"/>
      <c r="L3037" s="9"/>
      <c r="M3037" s="2"/>
      <c r="N3037" s="9"/>
      <c r="P3037" s="3">
        <v>285.21496654999999</v>
      </c>
      <c r="S3037" s="9"/>
      <c r="T3037" s="2"/>
      <c r="U3037" s="9"/>
    </row>
    <row r="3038" spans="2:21" x14ac:dyDescent="0.35">
      <c r="B3038" s="9"/>
      <c r="C3038" s="2"/>
      <c r="D3038" s="2"/>
      <c r="I3038" s="9"/>
      <c r="J3038" s="2"/>
      <c r="L3038" s="9"/>
      <c r="M3038" s="2"/>
      <c r="N3038" s="9"/>
      <c r="P3038" s="3">
        <v>-149.54503345000001</v>
      </c>
      <c r="S3038" s="9"/>
      <c r="T3038" s="2"/>
      <c r="U3038" s="9"/>
    </row>
    <row r="3039" spans="2:21" x14ac:dyDescent="0.35">
      <c r="B3039" s="9"/>
      <c r="C3039" s="2"/>
      <c r="D3039" s="2"/>
      <c r="I3039" s="9"/>
      <c r="J3039" s="2"/>
      <c r="L3039" s="9"/>
      <c r="M3039" s="2"/>
      <c r="N3039" s="9"/>
      <c r="P3039" s="3">
        <v>0</v>
      </c>
      <c r="S3039" s="9"/>
      <c r="T3039" s="2"/>
      <c r="U3039" s="9"/>
    </row>
    <row r="3040" spans="2:21" x14ac:dyDescent="0.35">
      <c r="B3040" s="9"/>
      <c r="C3040" s="2"/>
      <c r="D3040" s="2"/>
      <c r="I3040" s="9"/>
      <c r="J3040" s="2"/>
      <c r="L3040" s="9"/>
      <c r="M3040" s="2"/>
      <c r="N3040" s="9"/>
      <c r="P3040" s="3">
        <v>0</v>
      </c>
      <c r="S3040" s="9"/>
      <c r="T3040" s="2"/>
      <c r="U3040" s="9"/>
    </row>
    <row r="3041" spans="2:21" x14ac:dyDescent="0.35">
      <c r="B3041" s="9"/>
      <c r="C3041" s="2"/>
      <c r="D3041" s="2"/>
      <c r="I3041" s="9"/>
      <c r="J3041" s="2"/>
      <c r="L3041" s="9"/>
      <c r="M3041" s="2"/>
      <c r="N3041" s="9"/>
      <c r="P3041" s="3">
        <v>0</v>
      </c>
      <c r="S3041" s="9"/>
      <c r="T3041" s="2"/>
      <c r="U3041" s="9"/>
    </row>
    <row r="3042" spans="2:21" x14ac:dyDescent="0.35">
      <c r="B3042" s="9"/>
      <c r="C3042" s="2"/>
      <c r="D3042" s="2"/>
      <c r="I3042" s="9"/>
      <c r="J3042" s="2"/>
      <c r="L3042" s="9"/>
      <c r="M3042" s="2"/>
      <c r="N3042" s="9"/>
      <c r="P3042" s="3">
        <v>0</v>
      </c>
      <c r="S3042" s="9"/>
      <c r="T3042" s="2"/>
      <c r="U3042" s="9"/>
    </row>
    <row r="3043" spans="2:21" x14ac:dyDescent="0.35">
      <c r="B3043" s="9"/>
      <c r="C3043" s="2"/>
      <c r="D3043" s="2"/>
      <c r="I3043" s="9"/>
      <c r="J3043" s="2"/>
      <c r="L3043" s="9"/>
      <c r="M3043" s="2"/>
      <c r="N3043" s="9"/>
      <c r="P3043" s="3">
        <v>0</v>
      </c>
      <c r="S3043" s="9"/>
      <c r="T3043" s="2"/>
      <c r="U3043" s="9"/>
    </row>
    <row r="3044" spans="2:21" x14ac:dyDescent="0.35">
      <c r="B3044" s="9"/>
      <c r="C3044" s="2"/>
      <c r="D3044" s="2"/>
      <c r="I3044" s="9"/>
      <c r="J3044" s="2"/>
      <c r="L3044" s="9"/>
      <c r="M3044" s="2"/>
      <c r="N3044" s="9"/>
      <c r="P3044" s="3">
        <v>0</v>
      </c>
      <c r="S3044" s="9"/>
      <c r="T3044" s="2"/>
      <c r="U3044" s="9"/>
    </row>
    <row r="3045" spans="2:21" x14ac:dyDescent="0.35">
      <c r="B3045" s="9"/>
      <c r="C3045" s="2"/>
      <c r="D3045" s="2"/>
      <c r="I3045" s="9"/>
      <c r="J3045" s="2"/>
      <c r="L3045" s="9"/>
      <c r="M3045" s="2"/>
      <c r="N3045" s="9"/>
      <c r="P3045" s="3">
        <v>0</v>
      </c>
      <c r="S3045" s="9"/>
      <c r="T3045" s="2"/>
      <c r="U3045" s="9"/>
    </row>
    <row r="3046" spans="2:21" x14ac:dyDescent="0.35">
      <c r="B3046" s="9"/>
      <c r="C3046" s="2"/>
      <c r="D3046" s="2"/>
      <c r="I3046" s="9"/>
      <c r="J3046" s="2"/>
      <c r="L3046" s="9"/>
      <c r="M3046" s="2"/>
      <c r="N3046" s="9"/>
      <c r="P3046" s="3">
        <v>0</v>
      </c>
      <c r="S3046" s="9"/>
      <c r="T3046" s="2"/>
      <c r="U3046" s="9"/>
    </row>
    <row r="3047" spans="2:21" x14ac:dyDescent="0.35">
      <c r="B3047" s="9"/>
      <c r="C3047" s="2"/>
      <c r="D3047" s="2"/>
      <c r="I3047" s="9"/>
      <c r="J3047" s="2"/>
      <c r="L3047" s="9"/>
      <c r="M3047" s="2"/>
      <c r="N3047" s="9"/>
      <c r="P3047" s="3">
        <v>0</v>
      </c>
      <c r="S3047" s="9"/>
      <c r="T3047" s="2"/>
      <c r="U3047" s="9"/>
    </row>
    <row r="3048" spans="2:21" x14ac:dyDescent="0.35">
      <c r="B3048" s="9"/>
      <c r="C3048" s="2"/>
      <c r="D3048" s="2"/>
      <c r="I3048" s="9"/>
      <c r="J3048" s="2"/>
      <c r="L3048" s="9"/>
      <c r="M3048" s="2"/>
      <c r="N3048" s="9"/>
      <c r="P3048" s="3">
        <v>0</v>
      </c>
      <c r="S3048" s="9"/>
      <c r="T3048" s="2"/>
      <c r="U3048" s="9"/>
    </row>
    <row r="3049" spans="2:21" x14ac:dyDescent="0.35">
      <c r="B3049" s="9"/>
      <c r="C3049" s="2"/>
      <c r="D3049" s="2"/>
      <c r="I3049" s="9"/>
      <c r="J3049" s="2"/>
      <c r="L3049" s="9"/>
      <c r="M3049" s="2"/>
      <c r="N3049" s="9"/>
      <c r="P3049" s="3">
        <v>0</v>
      </c>
      <c r="S3049" s="9"/>
      <c r="T3049" s="2"/>
      <c r="U3049" s="9"/>
    </row>
    <row r="3050" spans="2:21" x14ac:dyDescent="0.35">
      <c r="B3050" s="9"/>
      <c r="C3050" s="2"/>
      <c r="D3050" s="2"/>
      <c r="I3050" s="9"/>
      <c r="J3050" s="2"/>
      <c r="L3050" s="9"/>
      <c r="M3050" s="2"/>
      <c r="N3050" s="9"/>
      <c r="P3050" s="3">
        <v>0</v>
      </c>
      <c r="S3050" s="9"/>
      <c r="T3050" s="2"/>
      <c r="U3050" s="9"/>
    </row>
    <row r="3051" spans="2:21" x14ac:dyDescent="0.35">
      <c r="B3051" s="9"/>
      <c r="C3051" s="2"/>
      <c r="D3051" s="2"/>
      <c r="I3051" s="9"/>
      <c r="J3051" s="2"/>
      <c r="L3051" s="9"/>
      <c r="M3051" s="2"/>
      <c r="N3051" s="9"/>
      <c r="P3051" s="3">
        <v>0</v>
      </c>
      <c r="S3051" s="9"/>
      <c r="T3051" s="2"/>
      <c r="U3051" s="9"/>
    </row>
    <row r="3052" spans="2:21" x14ac:dyDescent="0.35">
      <c r="B3052" s="9"/>
      <c r="C3052" s="2"/>
      <c r="D3052" s="2"/>
      <c r="I3052" s="9"/>
      <c r="J3052" s="2"/>
      <c r="L3052" s="9"/>
      <c r="M3052" s="2"/>
      <c r="N3052" s="9"/>
      <c r="P3052" s="3">
        <v>0</v>
      </c>
      <c r="S3052" s="9"/>
      <c r="T3052" s="2"/>
      <c r="U3052" s="9"/>
    </row>
    <row r="3053" spans="2:21" x14ac:dyDescent="0.35">
      <c r="B3053" s="9"/>
      <c r="C3053" s="2"/>
      <c r="D3053" s="2"/>
      <c r="I3053" s="9"/>
      <c r="J3053" s="2"/>
      <c r="L3053" s="9"/>
      <c r="M3053" s="2"/>
      <c r="N3053" s="9"/>
      <c r="P3053" s="3">
        <v>0</v>
      </c>
      <c r="S3053" s="9"/>
      <c r="T3053" s="2"/>
      <c r="U3053" s="9"/>
    </row>
    <row r="3054" spans="2:21" x14ac:dyDescent="0.35">
      <c r="B3054" s="9"/>
      <c r="C3054" s="2"/>
      <c r="D3054" s="2"/>
      <c r="I3054" s="9"/>
      <c r="J3054" s="2"/>
      <c r="L3054" s="9"/>
      <c r="M3054" s="2"/>
      <c r="N3054" s="9"/>
      <c r="P3054" s="3">
        <v>0</v>
      </c>
      <c r="S3054" s="9"/>
      <c r="T3054" s="2"/>
      <c r="U3054" s="9"/>
    </row>
    <row r="3055" spans="2:21" x14ac:dyDescent="0.35">
      <c r="B3055" s="9"/>
      <c r="C3055" s="2"/>
      <c r="D3055" s="2"/>
      <c r="I3055" s="9"/>
      <c r="J3055" s="2"/>
      <c r="L3055" s="9"/>
      <c r="M3055" s="2"/>
      <c r="N3055" s="9"/>
      <c r="P3055" s="3">
        <v>0</v>
      </c>
      <c r="S3055" s="9"/>
      <c r="T3055" s="2"/>
      <c r="U3055" s="9"/>
    </row>
    <row r="3056" spans="2:21" x14ac:dyDescent="0.35">
      <c r="B3056" s="9"/>
      <c r="C3056" s="2"/>
      <c r="D3056" s="2"/>
      <c r="I3056" s="9"/>
      <c r="J3056" s="2"/>
      <c r="L3056" s="9"/>
      <c r="M3056" s="2"/>
      <c r="N3056" s="9"/>
      <c r="P3056" s="3">
        <v>0</v>
      </c>
      <c r="S3056" s="9"/>
      <c r="T3056" s="2"/>
      <c r="U3056" s="9"/>
    </row>
    <row r="3057" spans="2:21" x14ac:dyDescent="0.35">
      <c r="B3057" s="9"/>
      <c r="C3057" s="2"/>
      <c r="D3057" s="2"/>
      <c r="I3057" s="9"/>
      <c r="J3057" s="2"/>
      <c r="L3057" s="9"/>
      <c r="M3057" s="2"/>
      <c r="N3057" s="9"/>
      <c r="P3057" s="3">
        <v>0</v>
      </c>
      <c r="S3057" s="9"/>
      <c r="T3057" s="2"/>
      <c r="U3057" s="9"/>
    </row>
    <row r="3058" spans="2:21" x14ac:dyDescent="0.35">
      <c r="B3058" s="9"/>
      <c r="C3058" s="2"/>
      <c r="D3058" s="2"/>
      <c r="I3058" s="9"/>
      <c r="J3058" s="2"/>
      <c r="L3058" s="9"/>
      <c r="M3058" s="2"/>
      <c r="N3058" s="9"/>
      <c r="P3058" s="3">
        <v>0</v>
      </c>
      <c r="S3058" s="9"/>
      <c r="T3058" s="2"/>
      <c r="U3058" s="9"/>
    </row>
    <row r="3059" spans="2:21" x14ac:dyDescent="0.35">
      <c r="B3059" s="9"/>
      <c r="C3059" s="2"/>
      <c r="D3059" s="2"/>
      <c r="I3059" s="9"/>
      <c r="J3059" s="2"/>
      <c r="L3059" s="9"/>
      <c r="M3059" s="2"/>
      <c r="N3059" s="9"/>
      <c r="P3059" s="3">
        <v>0</v>
      </c>
      <c r="S3059" s="9"/>
      <c r="T3059" s="2"/>
      <c r="U3059" s="9"/>
    </row>
    <row r="3060" spans="2:21" x14ac:dyDescent="0.35">
      <c r="B3060" s="9"/>
      <c r="C3060" s="2"/>
      <c r="D3060" s="2"/>
      <c r="I3060" s="9"/>
      <c r="J3060" s="2"/>
      <c r="L3060" s="9"/>
      <c r="M3060" s="2"/>
      <c r="N3060" s="9"/>
      <c r="P3060" s="3">
        <v>0</v>
      </c>
      <c r="S3060" s="9"/>
      <c r="T3060" s="2"/>
      <c r="U3060" s="9"/>
    </row>
    <row r="3061" spans="2:21" x14ac:dyDescent="0.35">
      <c r="B3061" s="9"/>
      <c r="C3061" s="2"/>
      <c r="D3061" s="2"/>
      <c r="I3061" s="9"/>
      <c r="J3061" s="2"/>
      <c r="L3061" s="9"/>
      <c r="M3061" s="2"/>
      <c r="N3061" s="9"/>
      <c r="P3061" s="3">
        <v>0</v>
      </c>
      <c r="S3061" s="9"/>
      <c r="T3061" s="2"/>
      <c r="U3061" s="9"/>
    </row>
    <row r="3062" spans="2:21" x14ac:dyDescent="0.35">
      <c r="B3062" s="9"/>
      <c r="C3062" s="2"/>
      <c r="D3062" s="2"/>
      <c r="I3062" s="9"/>
      <c r="J3062" s="2"/>
      <c r="L3062" s="9"/>
      <c r="M3062" s="2"/>
      <c r="N3062" s="9"/>
      <c r="P3062" s="3">
        <v>0</v>
      </c>
      <c r="S3062" s="9"/>
      <c r="T3062" s="2"/>
      <c r="U3062" s="9"/>
    </row>
    <row r="3063" spans="2:21" x14ac:dyDescent="0.35">
      <c r="B3063" s="9"/>
      <c r="C3063" s="2"/>
      <c r="D3063" s="2"/>
      <c r="I3063" s="9"/>
      <c r="J3063" s="2"/>
      <c r="L3063" s="9"/>
      <c r="M3063" s="2"/>
      <c r="N3063" s="9"/>
      <c r="P3063" s="3">
        <v>0</v>
      </c>
      <c r="S3063" s="9"/>
      <c r="T3063" s="2"/>
      <c r="U3063" s="9"/>
    </row>
    <row r="3064" spans="2:21" x14ac:dyDescent="0.35">
      <c r="B3064" s="9"/>
      <c r="C3064" s="2"/>
      <c r="D3064" s="2"/>
      <c r="I3064" s="9"/>
      <c r="J3064" s="2"/>
      <c r="L3064" s="9"/>
      <c r="M3064" s="2"/>
      <c r="N3064" s="9"/>
      <c r="P3064" s="3">
        <v>0</v>
      </c>
      <c r="S3064" s="9"/>
      <c r="T3064" s="2"/>
      <c r="U3064" s="9"/>
    </row>
    <row r="3065" spans="2:21" x14ac:dyDescent="0.35">
      <c r="B3065" s="9"/>
      <c r="C3065" s="2"/>
      <c r="D3065" s="2"/>
      <c r="I3065" s="9"/>
      <c r="J3065" s="2"/>
      <c r="L3065" s="9"/>
      <c r="M3065" s="2"/>
      <c r="N3065" s="9"/>
      <c r="P3065" s="3">
        <v>0</v>
      </c>
      <c r="S3065" s="9"/>
      <c r="T3065" s="2"/>
      <c r="U3065" s="9"/>
    </row>
    <row r="3066" spans="2:21" x14ac:dyDescent="0.35">
      <c r="B3066" s="9"/>
      <c r="C3066" s="2"/>
      <c r="D3066" s="2"/>
      <c r="I3066" s="9"/>
      <c r="J3066" s="2"/>
      <c r="L3066" s="9"/>
      <c r="M3066" s="2"/>
      <c r="N3066" s="9"/>
      <c r="P3066" s="3">
        <v>0</v>
      </c>
      <c r="S3066" s="9"/>
      <c r="T3066" s="2"/>
      <c r="U3066" s="9"/>
    </row>
    <row r="3067" spans="2:21" x14ac:dyDescent="0.35">
      <c r="B3067" s="9"/>
      <c r="C3067" s="2"/>
      <c r="D3067" s="2"/>
      <c r="I3067" s="9"/>
      <c r="J3067" s="2"/>
      <c r="L3067" s="9"/>
      <c r="M3067" s="2"/>
      <c r="N3067" s="9"/>
      <c r="P3067" s="3">
        <v>0</v>
      </c>
      <c r="S3067" s="9"/>
      <c r="T3067" s="2"/>
      <c r="U3067" s="9"/>
    </row>
    <row r="3068" spans="2:21" x14ac:dyDescent="0.35">
      <c r="B3068" s="9"/>
      <c r="C3068" s="2"/>
      <c r="D3068" s="2"/>
      <c r="I3068" s="9"/>
      <c r="J3068" s="2"/>
      <c r="L3068" s="9"/>
      <c r="M3068" s="2"/>
      <c r="N3068" s="9"/>
      <c r="P3068" s="3">
        <v>0</v>
      </c>
      <c r="S3068" s="9"/>
      <c r="T3068" s="2"/>
      <c r="U3068" s="9"/>
    </row>
    <row r="3069" spans="2:21" x14ac:dyDescent="0.35">
      <c r="B3069" s="9"/>
      <c r="C3069" s="2"/>
      <c r="D3069" s="2"/>
      <c r="I3069" s="9"/>
      <c r="J3069" s="2"/>
      <c r="L3069" s="9"/>
      <c r="M3069" s="2"/>
      <c r="N3069" s="9"/>
      <c r="P3069" s="3">
        <v>0</v>
      </c>
      <c r="S3069" s="9"/>
      <c r="T3069" s="2"/>
      <c r="U3069" s="9"/>
    </row>
    <row r="3070" spans="2:21" x14ac:dyDescent="0.35">
      <c r="B3070" s="9"/>
      <c r="C3070" s="2"/>
      <c r="D3070" s="2"/>
      <c r="I3070" s="9"/>
      <c r="J3070" s="2"/>
      <c r="L3070" s="9"/>
      <c r="M3070" s="2"/>
      <c r="N3070" s="9"/>
      <c r="P3070" s="3">
        <v>0</v>
      </c>
      <c r="S3070" s="9"/>
      <c r="T3070" s="2"/>
      <c r="U3070" s="9"/>
    </row>
    <row r="3071" spans="2:21" x14ac:dyDescent="0.35">
      <c r="B3071" s="9"/>
      <c r="C3071" s="2"/>
      <c r="D3071" s="2"/>
      <c r="I3071" s="9"/>
      <c r="J3071" s="2"/>
      <c r="L3071" s="9"/>
      <c r="M3071" s="2"/>
      <c r="N3071" s="9"/>
      <c r="P3071" s="3">
        <v>0</v>
      </c>
      <c r="S3071" s="9"/>
      <c r="T3071" s="2"/>
      <c r="U3071" s="9"/>
    </row>
    <row r="3072" spans="2:21" x14ac:dyDescent="0.35">
      <c r="B3072" s="9"/>
      <c r="C3072" s="2"/>
      <c r="D3072" s="2"/>
      <c r="I3072" s="9"/>
      <c r="J3072" s="2"/>
      <c r="L3072" s="9"/>
      <c r="M3072" s="2"/>
      <c r="N3072" s="9"/>
      <c r="P3072" s="3">
        <v>-225.43870773</v>
      </c>
      <c r="S3072" s="9"/>
      <c r="T3072" s="2"/>
      <c r="U3072" s="9"/>
    </row>
    <row r="3073" spans="2:21" x14ac:dyDescent="0.35">
      <c r="B3073" s="9"/>
      <c r="C3073" s="2"/>
      <c r="D3073" s="2"/>
      <c r="I3073" s="9"/>
      <c r="J3073" s="2"/>
      <c r="L3073" s="9"/>
      <c r="M3073" s="2"/>
      <c r="N3073" s="9"/>
      <c r="P3073" s="3">
        <v>-660.19870773000002</v>
      </c>
      <c r="S3073" s="9"/>
      <c r="T3073" s="2"/>
      <c r="U3073" s="9"/>
    </row>
    <row r="3074" spans="2:21" x14ac:dyDescent="0.35">
      <c r="B3074" s="9"/>
      <c r="C3074" s="2"/>
      <c r="D3074" s="2"/>
      <c r="I3074" s="9"/>
      <c r="J3074" s="2"/>
      <c r="L3074" s="9"/>
      <c r="M3074" s="2"/>
      <c r="N3074" s="9"/>
      <c r="P3074" s="3">
        <v>-279.52388823000001</v>
      </c>
      <c r="S3074" s="9"/>
      <c r="T3074" s="2"/>
      <c r="U3074" s="9"/>
    </row>
    <row r="3075" spans="2:21" x14ac:dyDescent="0.35">
      <c r="B3075" s="9"/>
      <c r="C3075" s="2"/>
      <c r="D3075" s="2"/>
      <c r="I3075" s="9"/>
      <c r="J3075" s="2"/>
      <c r="L3075" s="9"/>
      <c r="M3075" s="2"/>
      <c r="N3075" s="9"/>
      <c r="P3075" s="3">
        <v>-156.34897860000001</v>
      </c>
      <c r="S3075" s="9"/>
      <c r="T3075" s="2"/>
      <c r="U3075" s="9"/>
    </row>
    <row r="3076" spans="2:21" x14ac:dyDescent="0.35">
      <c r="B3076" s="9"/>
      <c r="C3076" s="2"/>
      <c r="D3076" s="2"/>
      <c r="I3076" s="9"/>
      <c r="J3076" s="2"/>
      <c r="L3076" s="9"/>
      <c r="M3076" s="2"/>
      <c r="N3076" s="9"/>
      <c r="P3076" s="3">
        <v>-173.82501886</v>
      </c>
      <c r="S3076" s="9"/>
      <c r="T3076" s="2"/>
      <c r="U3076" s="9"/>
    </row>
    <row r="3077" spans="2:21" x14ac:dyDescent="0.35">
      <c r="B3077" s="9"/>
      <c r="C3077" s="2"/>
      <c r="D3077" s="2"/>
      <c r="I3077" s="9"/>
      <c r="J3077" s="2"/>
      <c r="L3077" s="9"/>
      <c r="M3077" s="2"/>
      <c r="N3077" s="9"/>
      <c r="P3077" s="3">
        <v>-341.38217886000001</v>
      </c>
      <c r="S3077" s="9"/>
      <c r="T3077" s="2"/>
      <c r="U3077" s="9"/>
    </row>
    <row r="3078" spans="2:21" x14ac:dyDescent="0.35">
      <c r="B3078" s="9"/>
      <c r="C3078" s="2"/>
      <c r="D3078" s="2"/>
      <c r="I3078" s="9"/>
      <c r="J3078" s="2"/>
      <c r="L3078" s="9"/>
      <c r="M3078" s="2"/>
      <c r="N3078" s="9"/>
      <c r="P3078" s="3">
        <v>-283.64272324000001</v>
      </c>
      <c r="S3078" s="9"/>
      <c r="T3078" s="2"/>
      <c r="U3078" s="9"/>
    </row>
    <row r="3079" spans="2:21" x14ac:dyDescent="0.35">
      <c r="B3079" s="9"/>
      <c r="C3079" s="2"/>
      <c r="D3079" s="2"/>
      <c r="I3079" s="9"/>
      <c r="J3079" s="2"/>
      <c r="L3079" s="9"/>
      <c r="M3079" s="2"/>
      <c r="N3079" s="9"/>
      <c r="P3079" s="3">
        <v>-322.67355323999999</v>
      </c>
      <c r="S3079" s="9"/>
      <c r="T3079" s="2"/>
      <c r="U3079" s="9"/>
    </row>
    <row r="3080" spans="2:21" x14ac:dyDescent="0.35">
      <c r="B3080" s="9"/>
      <c r="C3080" s="2"/>
      <c r="D3080" s="2"/>
      <c r="I3080" s="9"/>
      <c r="J3080" s="2"/>
      <c r="L3080" s="9"/>
      <c r="M3080" s="2"/>
      <c r="N3080" s="9"/>
      <c r="P3080" s="3">
        <v>-448.37337323999998</v>
      </c>
      <c r="S3080" s="9"/>
      <c r="T3080" s="2"/>
      <c r="U3080" s="9"/>
    </row>
    <row r="3081" spans="2:21" x14ac:dyDescent="0.35">
      <c r="B3081" s="9"/>
      <c r="C3081" s="2"/>
      <c r="D3081" s="2"/>
      <c r="I3081" s="9"/>
      <c r="J3081" s="2"/>
      <c r="L3081" s="9"/>
      <c r="M3081" s="2"/>
      <c r="N3081" s="9"/>
      <c r="P3081" s="3">
        <v>-712.16038323999999</v>
      </c>
      <c r="S3081" s="9"/>
      <c r="T3081" s="2"/>
      <c r="U3081" s="9"/>
    </row>
    <row r="3082" spans="2:21" x14ac:dyDescent="0.35">
      <c r="B3082" s="9"/>
      <c r="C3082" s="2"/>
      <c r="D3082" s="2"/>
      <c r="I3082" s="9"/>
      <c r="J3082" s="2"/>
      <c r="L3082" s="9"/>
      <c r="M3082" s="2"/>
      <c r="N3082" s="9"/>
      <c r="P3082" s="3">
        <v>-845.33437323999999</v>
      </c>
      <c r="S3082" s="9"/>
      <c r="T3082" s="2"/>
      <c r="U3082" s="9"/>
    </row>
    <row r="3083" spans="2:21" x14ac:dyDescent="0.35">
      <c r="B3083" s="9"/>
      <c r="C3083" s="2"/>
      <c r="D3083" s="2"/>
      <c r="I3083" s="9"/>
      <c r="J3083" s="2"/>
      <c r="L3083" s="9"/>
      <c r="M3083" s="2"/>
      <c r="N3083" s="9"/>
      <c r="P3083" s="3">
        <v>-771.18632676000004</v>
      </c>
      <c r="S3083" s="9"/>
      <c r="T3083" s="2"/>
      <c r="U3083" s="9"/>
    </row>
    <row r="3084" spans="2:21" x14ac:dyDescent="0.35">
      <c r="B3084" s="9"/>
      <c r="C3084" s="2"/>
      <c r="D3084" s="2"/>
      <c r="I3084" s="9"/>
      <c r="J3084" s="2"/>
      <c r="L3084" s="9"/>
      <c r="M3084" s="2"/>
      <c r="N3084" s="9"/>
      <c r="P3084" s="3">
        <v>-672.50494029000004</v>
      </c>
      <c r="S3084" s="9"/>
      <c r="T3084" s="2"/>
      <c r="U3084" s="9"/>
    </row>
    <row r="3085" spans="2:21" x14ac:dyDescent="0.35">
      <c r="B3085" s="9"/>
      <c r="C3085" s="2"/>
      <c r="D3085" s="2"/>
      <c r="I3085" s="9"/>
      <c r="J3085" s="2"/>
      <c r="L3085" s="9"/>
      <c r="M3085" s="2"/>
      <c r="N3085" s="9"/>
      <c r="P3085" s="3">
        <v>-876.73540782999999</v>
      </c>
      <c r="S3085" s="9"/>
      <c r="T3085" s="2"/>
      <c r="U3085" s="9"/>
    </row>
    <row r="3086" spans="2:21" x14ac:dyDescent="0.35">
      <c r="B3086" s="9"/>
      <c r="C3086" s="2"/>
      <c r="D3086" s="2"/>
      <c r="I3086" s="9"/>
      <c r="J3086" s="2"/>
      <c r="L3086" s="9"/>
      <c r="M3086" s="2"/>
      <c r="N3086" s="9"/>
      <c r="P3086" s="3">
        <v>-1311.49540783</v>
      </c>
      <c r="S3086" s="9"/>
      <c r="T3086" s="2"/>
      <c r="U3086" s="9"/>
    </row>
    <row r="3087" spans="2:21" x14ac:dyDescent="0.35">
      <c r="B3087" s="9"/>
      <c r="C3087" s="2"/>
      <c r="D3087" s="2"/>
      <c r="I3087" s="9"/>
      <c r="J3087" s="2"/>
      <c r="L3087" s="9"/>
      <c r="M3087" s="2"/>
      <c r="N3087" s="9"/>
      <c r="P3087" s="3">
        <v>-876.73540782999999</v>
      </c>
      <c r="S3087" s="9"/>
      <c r="T3087" s="2"/>
      <c r="U3087" s="9"/>
    </row>
    <row r="3088" spans="2:21" x14ac:dyDescent="0.35">
      <c r="B3088" s="9"/>
      <c r="C3088" s="2"/>
      <c r="D3088" s="2"/>
      <c r="I3088" s="9"/>
      <c r="J3088" s="2"/>
      <c r="L3088" s="9"/>
      <c r="M3088" s="2"/>
      <c r="N3088" s="9"/>
      <c r="P3088" s="3">
        <v>-441.97540782999999</v>
      </c>
      <c r="S3088" s="9"/>
      <c r="T3088" s="2"/>
      <c r="U3088" s="9"/>
    </row>
    <row r="3089" spans="2:21" x14ac:dyDescent="0.35">
      <c r="B3089" s="9"/>
      <c r="C3089" s="2"/>
      <c r="D3089" s="2"/>
      <c r="I3089" s="9"/>
      <c r="J3089" s="2"/>
      <c r="L3089" s="9"/>
      <c r="M3089" s="2"/>
      <c r="N3089" s="9"/>
      <c r="P3089" s="3">
        <v>-7.2154078300000002</v>
      </c>
      <c r="S3089" s="9"/>
      <c r="T3089" s="2"/>
      <c r="U3089" s="9"/>
    </row>
    <row r="3090" spans="2:21" x14ac:dyDescent="0.35">
      <c r="B3090" s="9"/>
      <c r="C3090" s="2"/>
      <c r="D3090" s="2"/>
      <c r="I3090" s="9"/>
      <c r="J3090" s="2"/>
      <c r="L3090" s="9"/>
      <c r="M3090" s="2"/>
      <c r="N3090" s="9"/>
      <c r="P3090" s="3">
        <v>0</v>
      </c>
      <c r="S3090" s="9"/>
      <c r="T3090" s="2"/>
      <c r="U3090" s="9"/>
    </row>
    <row r="3091" spans="2:21" x14ac:dyDescent="0.35">
      <c r="B3091" s="9"/>
      <c r="C3091" s="2"/>
      <c r="D3091" s="2"/>
      <c r="I3091" s="9"/>
      <c r="J3091" s="2"/>
      <c r="L3091" s="9"/>
      <c r="M3091" s="2"/>
      <c r="N3091" s="9"/>
      <c r="P3091" s="3">
        <v>0</v>
      </c>
      <c r="S3091" s="9"/>
      <c r="T3091" s="2"/>
      <c r="U3091" s="9"/>
    </row>
    <row r="3092" spans="2:21" x14ac:dyDescent="0.35">
      <c r="B3092" s="9"/>
      <c r="C3092" s="2"/>
      <c r="D3092" s="2"/>
      <c r="I3092" s="9"/>
      <c r="J3092" s="2"/>
      <c r="L3092" s="9"/>
      <c r="M3092" s="2"/>
      <c r="N3092" s="9"/>
      <c r="P3092" s="3">
        <v>0</v>
      </c>
      <c r="S3092" s="9"/>
      <c r="T3092" s="2"/>
      <c r="U3092" s="9"/>
    </row>
    <row r="3093" spans="2:21" x14ac:dyDescent="0.35">
      <c r="B3093" s="9"/>
      <c r="C3093" s="2"/>
      <c r="D3093" s="2"/>
      <c r="I3093" s="9"/>
      <c r="J3093" s="2"/>
      <c r="L3093" s="9"/>
      <c r="M3093" s="2"/>
      <c r="N3093" s="9"/>
      <c r="P3093" s="3">
        <v>-434.76</v>
      </c>
      <c r="S3093" s="9"/>
      <c r="T3093" s="2"/>
      <c r="U3093" s="9"/>
    </row>
    <row r="3094" spans="2:21" x14ac:dyDescent="0.35">
      <c r="B3094" s="9"/>
      <c r="C3094" s="2"/>
      <c r="D3094" s="2"/>
      <c r="I3094" s="9"/>
      <c r="J3094" s="2"/>
      <c r="L3094" s="9"/>
      <c r="M3094" s="2"/>
      <c r="N3094" s="9"/>
      <c r="P3094" s="3">
        <v>-869.52</v>
      </c>
      <c r="S3094" s="9"/>
      <c r="T3094" s="2"/>
      <c r="U3094" s="9"/>
    </row>
    <row r="3095" spans="2:21" x14ac:dyDescent="0.35">
      <c r="B3095" s="9"/>
      <c r="C3095" s="2"/>
      <c r="D3095" s="2"/>
      <c r="I3095" s="9"/>
      <c r="J3095" s="2"/>
      <c r="L3095" s="9"/>
      <c r="M3095" s="2"/>
      <c r="N3095" s="9"/>
      <c r="P3095" s="3">
        <v>-1304.28</v>
      </c>
      <c r="S3095" s="9"/>
      <c r="T3095" s="2"/>
      <c r="U3095" s="9"/>
    </row>
    <row r="3096" spans="2:21" x14ac:dyDescent="0.35">
      <c r="B3096" s="9"/>
      <c r="C3096" s="2"/>
      <c r="D3096" s="2"/>
      <c r="I3096" s="9"/>
      <c r="J3096" s="2"/>
      <c r="L3096" s="9"/>
      <c r="M3096" s="2"/>
      <c r="N3096" s="9"/>
      <c r="P3096" s="3">
        <v>-1739.04</v>
      </c>
      <c r="S3096" s="9"/>
      <c r="T3096" s="2"/>
      <c r="U3096" s="9"/>
    </row>
    <row r="3097" spans="2:21" x14ac:dyDescent="0.35">
      <c r="B3097" s="9"/>
      <c r="C3097" s="2"/>
      <c r="D3097" s="2"/>
      <c r="I3097" s="9"/>
      <c r="J3097" s="2"/>
      <c r="L3097" s="9"/>
      <c r="M3097" s="2"/>
      <c r="N3097" s="9"/>
      <c r="P3097" s="3">
        <v>-2173.8000000000002</v>
      </c>
      <c r="S3097" s="9"/>
      <c r="T3097" s="2"/>
      <c r="U3097" s="9"/>
    </row>
    <row r="3098" spans="2:21" x14ac:dyDescent="0.35">
      <c r="B3098" s="9"/>
      <c r="C3098" s="2"/>
      <c r="D3098" s="2"/>
      <c r="I3098" s="9"/>
      <c r="J3098" s="2"/>
      <c r="L3098" s="9"/>
      <c r="M3098" s="2"/>
      <c r="N3098" s="9"/>
      <c r="P3098" s="3">
        <v>-2608.56</v>
      </c>
      <c r="S3098" s="9"/>
      <c r="T3098" s="2"/>
      <c r="U3098" s="9"/>
    </row>
    <row r="3099" spans="2:21" x14ac:dyDescent="0.35">
      <c r="B3099" s="9"/>
      <c r="C3099" s="2"/>
      <c r="D3099" s="2"/>
      <c r="I3099" s="9"/>
      <c r="J3099" s="2"/>
      <c r="L3099" s="9"/>
      <c r="M3099" s="2"/>
      <c r="N3099" s="9"/>
      <c r="P3099" s="3">
        <v>-2860.169492</v>
      </c>
      <c r="S3099" s="9"/>
      <c r="T3099" s="2"/>
      <c r="U3099" s="9"/>
    </row>
    <row r="3100" spans="2:21" x14ac:dyDescent="0.35">
      <c r="B3100" s="9"/>
      <c r="C3100" s="2"/>
      <c r="D3100" s="2"/>
      <c r="I3100" s="9"/>
      <c r="J3100" s="2"/>
      <c r="L3100" s="9"/>
      <c r="M3100" s="2"/>
      <c r="N3100" s="9"/>
      <c r="P3100" s="3">
        <v>-2860.169492</v>
      </c>
      <c r="S3100" s="9"/>
      <c r="T3100" s="2"/>
      <c r="U3100" s="9"/>
    </row>
    <row r="3101" spans="2:21" x14ac:dyDescent="0.35">
      <c r="B3101" s="9"/>
      <c r="C3101" s="2"/>
      <c r="D3101" s="2"/>
      <c r="I3101" s="9"/>
      <c r="J3101" s="2"/>
      <c r="L3101" s="9"/>
      <c r="M3101" s="2"/>
      <c r="N3101" s="9"/>
      <c r="P3101" s="3">
        <v>-2572.8595132400001</v>
      </c>
      <c r="S3101" s="9"/>
      <c r="T3101" s="2"/>
      <c r="U3101" s="9"/>
    </row>
    <row r="3102" spans="2:21" x14ac:dyDescent="0.35">
      <c r="B3102" s="9"/>
      <c r="C3102" s="2"/>
      <c r="D3102" s="2"/>
      <c r="I3102" s="9"/>
      <c r="J3102" s="2"/>
      <c r="L3102" s="9"/>
      <c r="M3102" s="2"/>
      <c r="N3102" s="9"/>
      <c r="P3102" s="3">
        <v>-2199.84229946</v>
      </c>
      <c r="S3102" s="9"/>
      <c r="T3102" s="2"/>
      <c r="U3102" s="9"/>
    </row>
    <row r="3103" spans="2:21" x14ac:dyDescent="0.35">
      <c r="B3103" s="9"/>
      <c r="C3103" s="2"/>
      <c r="D3103" s="2"/>
      <c r="I3103" s="9"/>
      <c r="J3103" s="2"/>
      <c r="L3103" s="9"/>
      <c r="M3103" s="2"/>
      <c r="N3103" s="9"/>
      <c r="P3103" s="3">
        <v>-2051.6099194600001</v>
      </c>
      <c r="S3103" s="9"/>
      <c r="T3103" s="2"/>
      <c r="U3103" s="9"/>
    </row>
    <row r="3104" spans="2:21" x14ac:dyDescent="0.35">
      <c r="B3104" s="9"/>
      <c r="C3104" s="2"/>
      <c r="D3104" s="2"/>
      <c r="I3104" s="9"/>
      <c r="J3104" s="2"/>
      <c r="L3104" s="9"/>
      <c r="M3104" s="2"/>
      <c r="N3104" s="9"/>
      <c r="P3104" s="3">
        <v>-2092.1523394599999</v>
      </c>
      <c r="S3104" s="9"/>
      <c r="T3104" s="2"/>
      <c r="U3104" s="9"/>
    </row>
    <row r="3105" spans="2:21" x14ac:dyDescent="0.35">
      <c r="B3105" s="9"/>
      <c r="C3105" s="2"/>
      <c r="D3105" s="2"/>
      <c r="I3105" s="9"/>
      <c r="J3105" s="2"/>
      <c r="L3105" s="9"/>
      <c r="M3105" s="2"/>
      <c r="N3105" s="9"/>
      <c r="P3105" s="3">
        <v>-2210.2459294599998</v>
      </c>
      <c r="S3105" s="9"/>
      <c r="T3105" s="2"/>
      <c r="U3105" s="9"/>
    </row>
    <row r="3106" spans="2:21" x14ac:dyDescent="0.35">
      <c r="B3106" s="9"/>
      <c r="C3106" s="2"/>
      <c r="D3106" s="2"/>
      <c r="I3106" s="9"/>
      <c r="J3106" s="2"/>
      <c r="L3106" s="9"/>
      <c r="M3106" s="2"/>
      <c r="N3106" s="9"/>
      <c r="P3106" s="3">
        <v>-2329.4222694599998</v>
      </c>
      <c r="S3106" s="9"/>
      <c r="T3106" s="2"/>
      <c r="U3106" s="9"/>
    </row>
    <row r="3107" spans="2:21" x14ac:dyDescent="0.35">
      <c r="B3107" s="9"/>
      <c r="C3107" s="2"/>
      <c r="D3107" s="2"/>
      <c r="I3107" s="9"/>
      <c r="J3107" s="2"/>
      <c r="L3107" s="9"/>
      <c r="M3107" s="2"/>
      <c r="N3107" s="9"/>
      <c r="P3107" s="3">
        <v>-1894.6622694600001</v>
      </c>
      <c r="S3107" s="9"/>
      <c r="T3107" s="2"/>
      <c r="U3107" s="9"/>
    </row>
    <row r="3108" spans="2:21" x14ac:dyDescent="0.35">
      <c r="B3108" s="9"/>
      <c r="C3108" s="2"/>
      <c r="D3108" s="2"/>
      <c r="I3108" s="9"/>
      <c r="J3108" s="2"/>
      <c r="L3108" s="9"/>
      <c r="M3108" s="2"/>
      <c r="N3108" s="9"/>
      <c r="P3108" s="3">
        <v>-1459.9022694600001</v>
      </c>
      <c r="S3108" s="9"/>
      <c r="T3108" s="2"/>
      <c r="U3108" s="9"/>
    </row>
    <row r="3109" spans="2:21" x14ac:dyDescent="0.35">
      <c r="B3109" s="9"/>
      <c r="C3109" s="2"/>
      <c r="D3109" s="2"/>
      <c r="I3109" s="9"/>
      <c r="J3109" s="2"/>
      <c r="L3109" s="9"/>
      <c r="M3109" s="2"/>
      <c r="N3109" s="9"/>
      <c r="P3109" s="3">
        <v>-1025.1422694600001</v>
      </c>
      <c r="S3109" s="9"/>
      <c r="T3109" s="2"/>
      <c r="U3109" s="9"/>
    </row>
    <row r="3110" spans="2:21" x14ac:dyDescent="0.35">
      <c r="B3110" s="9"/>
      <c r="C3110" s="2"/>
      <c r="D3110" s="2"/>
      <c r="I3110" s="9"/>
      <c r="J3110" s="2"/>
      <c r="L3110" s="9"/>
      <c r="M3110" s="2"/>
      <c r="N3110" s="9"/>
      <c r="P3110" s="3">
        <v>-590.38226945999997</v>
      </c>
      <c r="S3110" s="9"/>
      <c r="T3110" s="2"/>
      <c r="U3110" s="9"/>
    </row>
    <row r="3111" spans="2:21" x14ac:dyDescent="0.35">
      <c r="B3111" s="9"/>
      <c r="C3111" s="2"/>
      <c r="D3111" s="2"/>
      <c r="I3111" s="9"/>
      <c r="J3111" s="2"/>
      <c r="L3111" s="9"/>
      <c r="M3111" s="2"/>
      <c r="N3111" s="9"/>
      <c r="P3111" s="3">
        <v>-155.62226946000001</v>
      </c>
      <c r="S3111" s="9"/>
      <c r="T3111" s="2"/>
      <c r="U3111" s="9"/>
    </row>
    <row r="3112" spans="2:21" x14ac:dyDescent="0.35">
      <c r="B3112" s="9"/>
      <c r="C3112" s="2"/>
      <c r="D3112" s="2"/>
      <c r="I3112" s="9"/>
      <c r="J3112" s="2"/>
      <c r="L3112" s="9"/>
      <c r="M3112" s="2"/>
      <c r="N3112" s="9"/>
      <c r="P3112" s="3">
        <v>0</v>
      </c>
      <c r="S3112" s="9"/>
      <c r="T3112" s="2"/>
      <c r="U3112" s="9"/>
    </row>
    <row r="3113" spans="2:21" x14ac:dyDescent="0.35">
      <c r="B3113" s="9"/>
      <c r="C3113" s="2"/>
      <c r="D3113" s="2"/>
      <c r="I3113" s="9"/>
      <c r="J3113" s="2"/>
      <c r="L3113" s="9"/>
      <c r="M3113" s="2"/>
      <c r="N3113" s="9"/>
      <c r="P3113" s="3">
        <v>0</v>
      </c>
      <c r="S3113" s="9"/>
      <c r="T3113" s="2"/>
      <c r="U3113" s="9"/>
    </row>
    <row r="3114" spans="2:21" x14ac:dyDescent="0.35">
      <c r="B3114" s="9"/>
      <c r="C3114" s="2"/>
      <c r="D3114" s="2"/>
      <c r="I3114" s="9"/>
      <c r="J3114" s="2"/>
      <c r="L3114" s="9"/>
      <c r="M3114" s="2"/>
      <c r="N3114" s="9"/>
      <c r="P3114" s="3">
        <v>0</v>
      </c>
      <c r="S3114" s="9"/>
      <c r="T3114" s="2"/>
      <c r="U3114" s="9"/>
    </row>
    <row r="3115" spans="2:21" x14ac:dyDescent="0.35">
      <c r="B3115" s="9"/>
      <c r="C3115" s="2"/>
      <c r="D3115" s="2"/>
      <c r="I3115" s="9"/>
      <c r="J3115" s="2"/>
      <c r="L3115" s="9"/>
      <c r="M3115" s="2"/>
      <c r="N3115" s="9"/>
      <c r="P3115" s="3">
        <v>0</v>
      </c>
      <c r="S3115" s="9"/>
      <c r="T3115" s="2"/>
      <c r="U3115" s="9"/>
    </row>
    <row r="3116" spans="2:21" x14ac:dyDescent="0.35">
      <c r="B3116" s="9"/>
      <c r="C3116" s="2"/>
      <c r="D3116" s="2"/>
      <c r="I3116" s="9"/>
      <c r="J3116" s="2"/>
      <c r="L3116" s="9"/>
      <c r="M3116" s="2"/>
      <c r="N3116" s="9"/>
      <c r="P3116" s="3">
        <v>0</v>
      </c>
      <c r="S3116" s="9"/>
      <c r="T3116" s="2"/>
      <c r="U3116" s="9"/>
    </row>
    <row r="3117" spans="2:21" x14ac:dyDescent="0.35">
      <c r="B3117" s="9"/>
      <c r="C3117" s="2"/>
      <c r="D3117" s="2"/>
      <c r="I3117" s="9"/>
      <c r="J3117" s="2"/>
      <c r="L3117" s="9"/>
      <c r="M3117" s="2"/>
      <c r="N3117" s="9"/>
      <c r="P3117" s="3">
        <v>-372.93547919999997</v>
      </c>
      <c r="S3117" s="9"/>
      <c r="T3117" s="2"/>
      <c r="U3117" s="9"/>
    </row>
    <row r="3118" spans="2:21" x14ac:dyDescent="0.35">
      <c r="B3118" s="9"/>
      <c r="C3118" s="2"/>
      <c r="D3118" s="2"/>
      <c r="I3118" s="9"/>
      <c r="J3118" s="2"/>
      <c r="L3118" s="9"/>
      <c r="M3118" s="2"/>
      <c r="N3118" s="9"/>
      <c r="P3118" s="3">
        <v>-807.69547920000002</v>
      </c>
      <c r="S3118" s="9"/>
      <c r="T3118" s="2"/>
      <c r="U3118" s="9"/>
    </row>
    <row r="3119" spans="2:21" x14ac:dyDescent="0.35">
      <c r="B3119" s="9"/>
      <c r="C3119" s="2"/>
      <c r="D3119" s="2"/>
      <c r="I3119" s="9"/>
      <c r="J3119" s="2"/>
      <c r="L3119" s="9"/>
      <c r="M3119" s="2"/>
      <c r="N3119" s="9"/>
      <c r="P3119" s="3">
        <v>-1242.4554791999999</v>
      </c>
      <c r="S3119" s="9"/>
      <c r="T3119" s="2"/>
      <c r="U3119" s="9"/>
    </row>
    <row r="3120" spans="2:21" x14ac:dyDescent="0.35">
      <c r="B3120" s="9"/>
      <c r="C3120" s="2"/>
      <c r="D3120" s="2"/>
      <c r="I3120" s="9"/>
      <c r="J3120" s="2"/>
      <c r="L3120" s="9"/>
      <c r="M3120" s="2"/>
      <c r="N3120" s="9"/>
      <c r="P3120" s="3">
        <v>-1677.2154791999999</v>
      </c>
      <c r="S3120" s="9"/>
      <c r="T3120" s="2"/>
      <c r="U3120" s="9"/>
    </row>
    <row r="3121" spans="2:21" x14ac:dyDescent="0.35">
      <c r="B3121" s="9"/>
      <c r="C3121" s="2"/>
      <c r="D3121" s="2"/>
      <c r="I3121" s="9"/>
      <c r="J3121" s="2"/>
      <c r="L3121" s="9"/>
      <c r="M3121" s="2"/>
      <c r="N3121" s="9"/>
      <c r="P3121" s="3">
        <v>-2111.9754791999999</v>
      </c>
      <c r="S3121" s="9"/>
      <c r="T3121" s="2"/>
      <c r="U3121" s="9"/>
    </row>
    <row r="3122" spans="2:21" x14ac:dyDescent="0.35">
      <c r="B3122" s="9"/>
      <c r="C3122" s="2"/>
      <c r="D3122" s="2"/>
      <c r="I3122" s="9"/>
      <c r="J3122" s="2"/>
      <c r="L3122" s="9"/>
      <c r="M3122" s="2"/>
      <c r="N3122" s="9"/>
      <c r="P3122" s="3">
        <v>-1677.2154791999999</v>
      </c>
      <c r="S3122" s="9"/>
      <c r="T3122" s="2"/>
      <c r="U3122" s="9"/>
    </row>
    <row r="3123" spans="2:21" x14ac:dyDescent="0.35">
      <c r="B3123" s="9"/>
      <c r="C3123" s="2"/>
      <c r="D3123" s="2"/>
      <c r="I3123" s="9"/>
      <c r="J3123" s="2"/>
      <c r="L3123" s="9"/>
      <c r="M3123" s="2"/>
      <c r="N3123" s="9"/>
      <c r="P3123" s="3">
        <v>-1242.4554791999999</v>
      </c>
      <c r="S3123" s="9"/>
      <c r="T3123" s="2"/>
      <c r="U3123" s="9"/>
    </row>
    <row r="3124" spans="2:21" x14ac:dyDescent="0.35">
      <c r="B3124" s="9"/>
      <c r="C3124" s="2"/>
      <c r="D3124" s="2"/>
      <c r="I3124" s="9"/>
      <c r="J3124" s="2"/>
      <c r="L3124" s="9"/>
      <c r="M3124" s="2"/>
      <c r="N3124" s="9"/>
      <c r="P3124" s="3">
        <v>-929.37894945999994</v>
      </c>
      <c r="S3124" s="9"/>
      <c r="T3124" s="2"/>
      <c r="U3124" s="9"/>
    </row>
    <row r="3125" spans="2:21" x14ac:dyDescent="0.35">
      <c r="B3125" s="9"/>
      <c r="C3125" s="2"/>
      <c r="D3125" s="2"/>
      <c r="I3125" s="9"/>
      <c r="J3125" s="2"/>
      <c r="L3125" s="9"/>
      <c r="M3125" s="2"/>
      <c r="N3125" s="9"/>
      <c r="P3125" s="3">
        <v>-805.81906946000004</v>
      </c>
      <c r="S3125" s="9"/>
      <c r="T3125" s="2"/>
      <c r="U3125" s="9"/>
    </row>
    <row r="3126" spans="2:21" x14ac:dyDescent="0.35">
      <c r="B3126" s="9"/>
      <c r="C3126" s="2"/>
      <c r="D3126" s="2"/>
      <c r="I3126" s="9"/>
      <c r="J3126" s="2"/>
      <c r="L3126" s="9"/>
      <c r="M3126" s="2"/>
      <c r="N3126" s="9"/>
      <c r="P3126" s="3">
        <v>-801.86144033999994</v>
      </c>
      <c r="S3126" s="9"/>
      <c r="T3126" s="2"/>
      <c r="U3126" s="9"/>
    </row>
    <row r="3127" spans="2:21" x14ac:dyDescent="0.35">
      <c r="B3127" s="9"/>
      <c r="C3127" s="2"/>
      <c r="D3127" s="2"/>
      <c r="I3127" s="9"/>
      <c r="J3127" s="2"/>
      <c r="L3127" s="9"/>
      <c r="M3127" s="2"/>
      <c r="N3127" s="9"/>
      <c r="P3127" s="3">
        <v>-800.27956033999999</v>
      </c>
      <c r="S3127" s="9"/>
      <c r="T3127" s="2"/>
      <c r="U3127" s="9"/>
    </row>
    <row r="3128" spans="2:21" x14ac:dyDescent="0.35">
      <c r="B3128" s="9"/>
      <c r="C3128" s="2"/>
      <c r="D3128" s="2"/>
      <c r="I3128" s="9"/>
      <c r="J3128" s="2"/>
      <c r="L3128" s="9"/>
      <c r="M3128" s="2"/>
      <c r="N3128" s="9"/>
      <c r="P3128" s="3">
        <v>-812.71876034000002</v>
      </c>
      <c r="S3128" s="9"/>
      <c r="T3128" s="2"/>
      <c r="U3128" s="9"/>
    </row>
    <row r="3129" spans="2:21" x14ac:dyDescent="0.35">
      <c r="B3129" s="9"/>
      <c r="C3129" s="2"/>
      <c r="D3129" s="2"/>
      <c r="I3129" s="9"/>
      <c r="J3129" s="2"/>
      <c r="L3129" s="9"/>
      <c r="M3129" s="2"/>
      <c r="N3129" s="9"/>
      <c r="P3129" s="3">
        <v>-808.56668033999995</v>
      </c>
      <c r="S3129" s="9"/>
      <c r="T3129" s="2"/>
      <c r="U3129" s="9"/>
    </row>
    <row r="3130" spans="2:21" x14ac:dyDescent="0.35">
      <c r="B3130" s="9"/>
      <c r="C3130" s="2"/>
      <c r="D3130" s="2"/>
      <c r="I3130" s="9"/>
      <c r="J3130" s="2"/>
      <c r="L3130" s="9"/>
      <c r="M3130" s="2"/>
      <c r="N3130" s="9"/>
      <c r="P3130" s="3">
        <v>-727.84678034000001</v>
      </c>
      <c r="S3130" s="9"/>
      <c r="T3130" s="2"/>
      <c r="U3130" s="9"/>
    </row>
    <row r="3131" spans="2:21" x14ac:dyDescent="0.35">
      <c r="B3131" s="9"/>
      <c r="C3131" s="2"/>
      <c r="D3131" s="2"/>
      <c r="I3131" s="9"/>
      <c r="J3131" s="2"/>
      <c r="L3131" s="9"/>
      <c r="M3131" s="2"/>
      <c r="N3131" s="9"/>
      <c r="P3131" s="3">
        <v>-541.89716385999998</v>
      </c>
      <c r="S3131" s="9"/>
      <c r="T3131" s="2"/>
      <c r="U3131" s="9"/>
    </row>
    <row r="3132" spans="2:21" x14ac:dyDescent="0.35">
      <c r="B3132" s="9"/>
      <c r="C3132" s="2"/>
      <c r="D3132" s="2"/>
      <c r="I3132" s="9"/>
      <c r="J3132" s="2"/>
      <c r="L3132" s="9"/>
      <c r="M3132" s="2"/>
      <c r="N3132" s="9"/>
      <c r="P3132" s="3">
        <v>-378.03919738000002</v>
      </c>
      <c r="S3132" s="9"/>
      <c r="T3132" s="2"/>
      <c r="U3132" s="9"/>
    </row>
    <row r="3133" spans="2:21" x14ac:dyDescent="0.35">
      <c r="B3133" s="9"/>
      <c r="C3133" s="2"/>
      <c r="D3133" s="2"/>
      <c r="I3133" s="9"/>
      <c r="J3133" s="2"/>
      <c r="L3133" s="9"/>
      <c r="M3133" s="2"/>
      <c r="N3133" s="9"/>
      <c r="P3133" s="3">
        <v>-812.79919738000001</v>
      </c>
      <c r="S3133" s="9"/>
      <c r="T3133" s="2"/>
      <c r="U3133" s="9"/>
    </row>
    <row r="3134" spans="2:21" x14ac:dyDescent="0.35">
      <c r="B3134" s="9"/>
      <c r="C3134" s="2"/>
      <c r="D3134" s="2"/>
      <c r="I3134" s="9"/>
      <c r="J3134" s="2"/>
      <c r="L3134" s="9"/>
      <c r="M3134" s="2"/>
      <c r="N3134" s="9"/>
      <c r="P3134" s="3">
        <v>-378.03919738000002</v>
      </c>
      <c r="S3134" s="9"/>
      <c r="T3134" s="2"/>
      <c r="U3134" s="9"/>
    </row>
    <row r="3135" spans="2:21" x14ac:dyDescent="0.35">
      <c r="B3135" s="9"/>
      <c r="C3135" s="2"/>
      <c r="D3135" s="2"/>
      <c r="I3135" s="9"/>
      <c r="J3135" s="2"/>
      <c r="L3135" s="9"/>
      <c r="M3135" s="2"/>
      <c r="N3135" s="9"/>
      <c r="P3135" s="3">
        <v>0</v>
      </c>
      <c r="S3135" s="9"/>
      <c r="T3135" s="2"/>
      <c r="U3135" s="9"/>
    </row>
    <row r="3136" spans="2:21" x14ac:dyDescent="0.35">
      <c r="B3136" s="9"/>
      <c r="C3136" s="2"/>
      <c r="D3136" s="2"/>
      <c r="I3136" s="9"/>
      <c r="J3136" s="2"/>
      <c r="L3136" s="9"/>
      <c r="M3136" s="2"/>
      <c r="N3136" s="9"/>
      <c r="P3136" s="3">
        <v>0</v>
      </c>
      <c r="S3136" s="9"/>
      <c r="T3136" s="2"/>
      <c r="U3136" s="9"/>
    </row>
    <row r="3137" spans="2:21" x14ac:dyDescent="0.35">
      <c r="B3137" s="9"/>
      <c r="C3137" s="2"/>
      <c r="D3137" s="2"/>
      <c r="I3137" s="9"/>
      <c r="J3137" s="2"/>
      <c r="L3137" s="9"/>
      <c r="M3137" s="2"/>
      <c r="N3137" s="9"/>
      <c r="P3137" s="3">
        <v>0</v>
      </c>
      <c r="S3137" s="9"/>
      <c r="T3137" s="2"/>
      <c r="U3137" s="9"/>
    </row>
    <row r="3138" spans="2:21" x14ac:dyDescent="0.35">
      <c r="B3138" s="9"/>
      <c r="C3138" s="2"/>
      <c r="D3138" s="2"/>
      <c r="I3138" s="9"/>
      <c r="J3138" s="2"/>
      <c r="L3138" s="9"/>
      <c r="M3138" s="2"/>
      <c r="N3138" s="9"/>
      <c r="P3138" s="3">
        <v>0</v>
      </c>
      <c r="S3138" s="9"/>
      <c r="T3138" s="2"/>
      <c r="U3138" s="9"/>
    </row>
    <row r="3139" spans="2:21" x14ac:dyDescent="0.35">
      <c r="B3139" s="9"/>
      <c r="C3139" s="2"/>
      <c r="D3139" s="2"/>
      <c r="I3139" s="9"/>
      <c r="J3139" s="2"/>
      <c r="L3139" s="9"/>
      <c r="M3139" s="2"/>
      <c r="N3139" s="9"/>
      <c r="P3139" s="3">
        <v>0</v>
      </c>
      <c r="S3139" s="9"/>
      <c r="T3139" s="2"/>
      <c r="U3139" s="9"/>
    </row>
    <row r="3140" spans="2:21" x14ac:dyDescent="0.35">
      <c r="B3140" s="9"/>
      <c r="C3140" s="2"/>
      <c r="D3140" s="2"/>
      <c r="I3140" s="9"/>
      <c r="J3140" s="2"/>
      <c r="L3140" s="9"/>
      <c r="M3140" s="2"/>
      <c r="N3140" s="9"/>
      <c r="P3140" s="3">
        <v>0</v>
      </c>
      <c r="S3140" s="9"/>
      <c r="T3140" s="2"/>
      <c r="U3140" s="9"/>
    </row>
    <row r="3141" spans="2:21" x14ac:dyDescent="0.35">
      <c r="B3141" s="9"/>
      <c r="C3141" s="2"/>
      <c r="D3141" s="2"/>
      <c r="I3141" s="9"/>
      <c r="J3141" s="2"/>
      <c r="L3141" s="9"/>
      <c r="M3141" s="2"/>
      <c r="N3141" s="9"/>
      <c r="P3141" s="3">
        <v>0</v>
      </c>
      <c r="S3141" s="9"/>
      <c r="T3141" s="2"/>
      <c r="U3141" s="9"/>
    </row>
    <row r="3142" spans="2:21" x14ac:dyDescent="0.35">
      <c r="B3142" s="9"/>
      <c r="C3142" s="2"/>
      <c r="D3142" s="2"/>
      <c r="I3142" s="9"/>
      <c r="J3142" s="2"/>
      <c r="L3142" s="9"/>
      <c r="M3142" s="2"/>
      <c r="N3142" s="9"/>
      <c r="P3142" s="3">
        <v>-434.76</v>
      </c>
      <c r="S3142" s="9"/>
      <c r="T3142" s="2"/>
      <c r="U3142" s="9"/>
    </row>
    <row r="3143" spans="2:21" x14ac:dyDescent="0.35">
      <c r="B3143" s="9"/>
      <c r="C3143" s="2"/>
      <c r="D3143" s="2"/>
      <c r="I3143" s="9"/>
      <c r="J3143" s="2"/>
      <c r="L3143" s="9"/>
      <c r="M3143" s="2"/>
      <c r="N3143" s="9"/>
      <c r="P3143" s="3">
        <v>-869.52</v>
      </c>
      <c r="S3143" s="9"/>
      <c r="T3143" s="2"/>
      <c r="U3143" s="9"/>
    </row>
    <row r="3144" spans="2:21" x14ac:dyDescent="0.35">
      <c r="B3144" s="9"/>
      <c r="C3144" s="2"/>
      <c r="D3144" s="2"/>
      <c r="I3144" s="9"/>
      <c r="J3144" s="2"/>
      <c r="L3144" s="9"/>
      <c r="M3144" s="2"/>
      <c r="N3144" s="9"/>
      <c r="P3144" s="3">
        <v>-1304.28</v>
      </c>
      <c r="S3144" s="9"/>
      <c r="T3144" s="2"/>
      <c r="U3144" s="9"/>
    </row>
    <row r="3145" spans="2:21" x14ac:dyDescent="0.35">
      <c r="B3145" s="9"/>
      <c r="C3145" s="2"/>
      <c r="D3145" s="2"/>
      <c r="I3145" s="9"/>
      <c r="J3145" s="2"/>
      <c r="L3145" s="9"/>
      <c r="M3145" s="2"/>
      <c r="N3145" s="9"/>
      <c r="P3145" s="3">
        <v>-1739.04</v>
      </c>
      <c r="S3145" s="9"/>
      <c r="T3145" s="2"/>
      <c r="U3145" s="9"/>
    </row>
    <row r="3146" spans="2:21" x14ac:dyDescent="0.35">
      <c r="B3146" s="9"/>
      <c r="C3146" s="2"/>
      <c r="D3146" s="2"/>
      <c r="I3146" s="9"/>
      <c r="J3146" s="2"/>
      <c r="L3146" s="9"/>
      <c r="M3146" s="2"/>
      <c r="N3146" s="9"/>
      <c r="P3146" s="3">
        <v>-2173.8000000000002</v>
      </c>
      <c r="S3146" s="9"/>
      <c r="T3146" s="2"/>
      <c r="U3146" s="9"/>
    </row>
    <row r="3147" spans="2:21" x14ac:dyDescent="0.35">
      <c r="B3147" s="9"/>
      <c r="C3147" s="2"/>
      <c r="D3147" s="2"/>
      <c r="I3147" s="9"/>
      <c r="J3147" s="2"/>
      <c r="L3147" s="9"/>
      <c r="M3147" s="2"/>
      <c r="N3147" s="9"/>
      <c r="P3147" s="3">
        <v>-2608.56</v>
      </c>
      <c r="S3147" s="9"/>
      <c r="T3147" s="2"/>
      <c r="U3147" s="9"/>
    </row>
    <row r="3148" spans="2:21" x14ac:dyDescent="0.35">
      <c r="B3148" s="9"/>
      <c r="C3148" s="2"/>
      <c r="D3148" s="2"/>
      <c r="I3148" s="9"/>
      <c r="J3148" s="2"/>
      <c r="L3148" s="9"/>
      <c r="M3148" s="2"/>
      <c r="N3148" s="9"/>
      <c r="P3148" s="3">
        <v>-2860.169492</v>
      </c>
      <c r="S3148" s="9"/>
      <c r="T3148" s="2"/>
      <c r="U3148" s="9"/>
    </row>
    <row r="3149" spans="2:21" x14ac:dyDescent="0.35">
      <c r="B3149" s="9"/>
      <c r="C3149" s="2"/>
      <c r="D3149" s="2"/>
      <c r="I3149" s="9"/>
      <c r="J3149" s="2"/>
      <c r="L3149" s="9"/>
      <c r="M3149" s="2"/>
      <c r="N3149" s="9"/>
      <c r="P3149" s="3">
        <v>-2860.169492</v>
      </c>
      <c r="S3149" s="9"/>
      <c r="T3149" s="2"/>
      <c r="U3149" s="9"/>
    </row>
    <row r="3150" spans="2:21" x14ac:dyDescent="0.35">
      <c r="B3150" s="9"/>
      <c r="C3150" s="2"/>
      <c r="D3150" s="2"/>
      <c r="I3150" s="9"/>
      <c r="J3150" s="2"/>
      <c r="L3150" s="9"/>
      <c r="M3150" s="2"/>
      <c r="N3150" s="9"/>
      <c r="P3150" s="3">
        <v>-2860.169492</v>
      </c>
      <c r="S3150" s="9"/>
      <c r="T3150" s="2"/>
      <c r="U3150" s="9"/>
    </row>
    <row r="3151" spans="2:21" x14ac:dyDescent="0.35">
      <c r="B3151" s="9"/>
      <c r="C3151" s="2"/>
      <c r="D3151" s="2"/>
      <c r="I3151" s="9"/>
      <c r="J3151" s="2"/>
      <c r="L3151" s="9"/>
      <c r="M3151" s="2"/>
      <c r="N3151" s="9"/>
      <c r="P3151" s="3">
        <v>-2860.169492</v>
      </c>
      <c r="S3151" s="9"/>
      <c r="T3151" s="2"/>
      <c r="U3151" s="9"/>
    </row>
    <row r="3152" spans="2:21" x14ac:dyDescent="0.35">
      <c r="B3152" s="9"/>
      <c r="C3152" s="2"/>
      <c r="D3152" s="2"/>
      <c r="I3152" s="9"/>
      <c r="J3152" s="2"/>
      <c r="L3152" s="9"/>
      <c r="M3152" s="2"/>
      <c r="N3152" s="9"/>
      <c r="P3152" s="3">
        <v>-2860.169492</v>
      </c>
      <c r="S3152" s="9"/>
      <c r="T3152" s="2"/>
      <c r="U3152" s="9"/>
    </row>
    <row r="3153" spans="2:21" x14ac:dyDescent="0.35">
      <c r="B3153" s="9"/>
      <c r="C3153" s="2"/>
      <c r="D3153" s="2"/>
      <c r="I3153" s="9"/>
      <c r="J3153" s="2"/>
      <c r="L3153" s="9"/>
      <c r="M3153" s="2"/>
      <c r="N3153" s="9"/>
      <c r="P3153" s="3">
        <v>-2860.169492</v>
      </c>
      <c r="S3153" s="9"/>
      <c r="T3153" s="2"/>
      <c r="U3153" s="9"/>
    </row>
    <row r="3154" spans="2:21" x14ac:dyDescent="0.35">
      <c r="B3154" s="9"/>
      <c r="C3154" s="2"/>
      <c r="D3154" s="2"/>
      <c r="I3154" s="9"/>
      <c r="J3154" s="2"/>
      <c r="L3154" s="9"/>
      <c r="M3154" s="2"/>
      <c r="N3154" s="9"/>
      <c r="P3154" s="3">
        <v>-2476.6372883899999</v>
      </c>
      <c r="S3154" s="9"/>
      <c r="T3154" s="2"/>
      <c r="U3154" s="9"/>
    </row>
    <row r="3155" spans="2:21" x14ac:dyDescent="0.35">
      <c r="B3155" s="9"/>
      <c r="C3155" s="2"/>
      <c r="D3155" s="2"/>
      <c r="I3155" s="9"/>
      <c r="J3155" s="2"/>
      <c r="L3155" s="9"/>
      <c r="M3155" s="2"/>
      <c r="N3155" s="9"/>
      <c r="P3155" s="3">
        <v>-2041.8772883900001</v>
      </c>
      <c r="S3155" s="9"/>
      <c r="T3155" s="2"/>
      <c r="U3155" s="9"/>
    </row>
    <row r="3156" spans="2:21" x14ac:dyDescent="0.35">
      <c r="B3156" s="9"/>
      <c r="C3156" s="2"/>
      <c r="D3156" s="2"/>
      <c r="I3156" s="9"/>
      <c r="J3156" s="2"/>
      <c r="L3156" s="9"/>
      <c r="M3156" s="2"/>
      <c r="N3156" s="9"/>
      <c r="P3156" s="3">
        <v>-1715.20347378</v>
      </c>
      <c r="S3156" s="9"/>
      <c r="T3156" s="2"/>
      <c r="U3156" s="9"/>
    </row>
    <row r="3157" spans="2:21" x14ac:dyDescent="0.35">
      <c r="B3157" s="9"/>
      <c r="C3157" s="2"/>
      <c r="D3157" s="2"/>
      <c r="I3157" s="9"/>
      <c r="J3157" s="2"/>
      <c r="L3157" s="9"/>
      <c r="M3157" s="2"/>
      <c r="N3157" s="9"/>
      <c r="P3157" s="3">
        <v>-1280.44347378</v>
      </c>
      <c r="S3157" s="9"/>
      <c r="T3157" s="2"/>
      <c r="U3157" s="9"/>
    </row>
    <row r="3158" spans="2:21" x14ac:dyDescent="0.35">
      <c r="B3158" s="9"/>
      <c r="C3158" s="2"/>
      <c r="D3158" s="2"/>
      <c r="I3158" s="9"/>
      <c r="J3158" s="2"/>
      <c r="L3158" s="9"/>
      <c r="M3158" s="2"/>
      <c r="N3158" s="9"/>
      <c r="P3158" s="3">
        <v>-845.68347377999999</v>
      </c>
      <c r="S3158" s="9"/>
      <c r="T3158" s="2"/>
      <c r="U3158" s="9"/>
    </row>
    <row r="3159" spans="2:21" x14ac:dyDescent="0.35">
      <c r="B3159" s="9"/>
      <c r="C3159" s="2"/>
      <c r="D3159" s="2"/>
      <c r="I3159" s="9"/>
      <c r="J3159" s="2"/>
      <c r="L3159" s="9"/>
      <c r="M3159" s="2"/>
      <c r="N3159" s="9"/>
      <c r="P3159" s="3">
        <v>-410.92347377999999</v>
      </c>
      <c r="S3159" s="9"/>
      <c r="T3159" s="2"/>
      <c r="U3159" s="9"/>
    </row>
    <row r="3160" spans="2:21" x14ac:dyDescent="0.35">
      <c r="B3160" s="9"/>
      <c r="C3160" s="2"/>
      <c r="D3160" s="2"/>
      <c r="I3160" s="9"/>
      <c r="J3160" s="2"/>
      <c r="L3160" s="9"/>
      <c r="M3160" s="2"/>
      <c r="N3160" s="9"/>
      <c r="P3160" s="3">
        <v>0</v>
      </c>
      <c r="S3160" s="9"/>
      <c r="T3160" s="2"/>
      <c r="U3160" s="9"/>
    </row>
    <row r="3161" spans="2:21" x14ac:dyDescent="0.35">
      <c r="B3161" s="9"/>
      <c r="C3161" s="2"/>
      <c r="D3161" s="2"/>
      <c r="I3161" s="9"/>
      <c r="J3161" s="2"/>
      <c r="L3161" s="9"/>
      <c r="M3161" s="2"/>
      <c r="N3161" s="9"/>
      <c r="P3161" s="3">
        <v>0</v>
      </c>
      <c r="S3161" s="9"/>
      <c r="T3161" s="2"/>
      <c r="U3161" s="9"/>
    </row>
    <row r="3162" spans="2:21" x14ac:dyDescent="0.35">
      <c r="B3162" s="9"/>
      <c r="C3162" s="2"/>
      <c r="D3162" s="2"/>
      <c r="I3162" s="9"/>
      <c r="J3162" s="2"/>
      <c r="L3162" s="9"/>
      <c r="M3162" s="2"/>
      <c r="N3162" s="9"/>
      <c r="P3162" s="3">
        <v>0</v>
      </c>
      <c r="S3162" s="9"/>
      <c r="T3162" s="2"/>
      <c r="U3162" s="9"/>
    </row>
    <row r="3163" spans="2:21" x14ac:dyDescent="0.35">
      <c r="B3163" s="9"/>
      <c r="C3163" s="2"/>
      <c r="D3163" s="2"/>
      <c r="I3163" s="9"/>
      <c r="J3163" s="2"/>
      <c r="L3163" s="9"/>
      <c r="M3163" s="2"/>
      <c r="N3163" s="9"/>
      <c r="P3163" s="3">
        <v>0</v>
      </c>
      <c r="S3163" s="9"/>
      <c r="T3163" s="2"/>
      <c r="U3163" s="9"/>
    </row>
    <row r="3164" spans="2:21" x14ac:dyDescent="0.35">
      <c r="B3164" s="9"/>
      <c r="C3164" s="2"/>
      <c r="D3164" s="2"/>
      <c r="I3164" s="9"/>
      <c r="J3164" s="2"/>
      <c r="L3164" s="9"/>
      <c r="M3164" s="2"/>
      <c r="N3164" s="9"/>
      <c r="P3164" s="3">
        <v>0</v>
      </c>
      <c r="S3164" s="9"/>
      <c r="T3164" s="2"/>
      <c r="U3164" s="9"/>
    </row>
    <row r="3165" spans="2:21" x14ac:dyDescent="0.35">
      <c r="B3165" s="9"/>
      <c r="C3165" s="2"/>
      <c r="D3165" s="2"/>
      <c r="I3165" s="9"/>
      <c r="J3165" s="2"/>
      <c r="L3165" s="9"/>
      <c r="M3165" s="2"/>
      <c r="N3165" s="9"/>
      <c r="P3165" s="3">
        <v>0</v>
      </c>
      <c r="S3165" s="9"/>
      <c r="T3165" s="2"/>
      <c r="U3165" s="9"/>
    </row>
    <row r="3166" spans="2:21" x14ac:dyDescent="0.35">
      <c r="B3166" s="9"/>
      <c r="C3166" s="2"/>
      <c r="D3166" s="2"/>
      <c r="I3166" s="9"/>
      <c r="J3166" s="2"/>
      <c r="L3166" s="9"/>
      <c r="M3166" s="2"/>
      <c r="N3166" s="9"/>
      <c r="P3166" s="3">
        <v>0</v>
      </c>
      <c r="S3166" s="9"/>
      <c r="T3166" s="2"/>
      <c r="U3166" s="9"/>
    </row>
    <row r="3167" spans="2:21" x14ac:dyDescent="0.35">
      <c r="B3167" s="9"/>
      <c r="C3167" s="2"/>
      <c r="D3167" s="2"/>
      <c r="I3167" s="9"/>
      <c r="J3167" s="2"/>
      <c r="L3167" s="9"/>
      <c r="M3167" s="2"/>
      <c r="N3167" s="9"/>
      <c r="P3167" s="3">
        <v>-434.76</v>
      </c>
      <c r="S3167" s="9"/>
      <c r="T3167" s="2"/>
      <c r="U3167" s="9"/>
    </row>
    <row r="3168" spans="2:21" x14ac:dyDescent="0.35">
      <c r="B3168" s="9"/>
      <c r="C3168" s="2"/>
      <c r="D3168" s="2"/>
      <c r="I3168" s="9"/>
      <c r="J3168" s="2"/>
      <c r="L3168" s="9"/>
      <c r="M3168" s="2"/>
      <c r="N3168" s="9"/>
      <c r="P3168" s="3">
        <v>-293.31486839000002</v>
      </c>
      <c r="S3168" s="9"/>
      <c r="T3168" s="2"/>
      <c r="U3168" s="9"/>
    </row>
    <row r="3169" spans="2:21" x14ac:dyDescent="0.35">
      <c r="B3169" s="9"/>
      <c r="C3169" s="2"/>
      <c r="D3169" s="2"/>
      <c r="I3169" s="9"/>
      <c r="J3169" s="2"/>
      <c r="L3169" s="9"/>
      <c r="M3169" s="2"/>
      <c r="N3169" s="9"/>
      <c r="P3169" s="3">
        <v>141.44513161</v>
      </c>
      <c r="S3169" s="9"/>
      <c r="T3169" s="2"/>
      <c r="U3169" s="9"/>
    </row>
    <row r="3170" spans="2:21" x14ac:dyDescent="0.35">
      <c r="B3170" s="9"/>
      <c r="C3170" s="2"/>
      <c r="D3170" s="2"/>
      <c r="I3170" s="9"/>
      <c r="J3170" s="2"/>
      <c r="L3170" s="9"/>
      <c r="M3170" s="2"/>
      <c r="N3170" s="9"/>
      <c r="P3170" s="3">
        <v>560.35010161000002</v>
      </c>
      <c r="S3170" s="9"/>
      <c r="T3170" s="2"/>
      <c r="U3170" s="9"/>
    </row>
    <row r="3171" spans="2:21" x14ac:dyDescent="0.35">
      <c r="B3171" s="9"/>
      <c r="C3171" s="2"/>
      <c r="D3171" s="2"/>
      <c r="I3171" s="9"/>
      <c r="J3171" s="2"/>
      <c r="L3171" s="9"/>
      <c r="M3171" s="2"/>
      <c r="N3171" s="9"/>
      <c r="P3171" s="3">
        <v>660.07954160999998</v>
      </c>
      <c r="S3171" s="9"/>
      <c r="T3171" s="2"/>
      <c r="U3171" s="9"/>
    </row>
    <row r="3172" spans="2:21" x14ac:dyDescent="0.35">
      <c r="B3172" s="9"/>
      <c r="C3172" s="2"/>
      <c r="D3172" s="2"/>
      <c r="I3172" s="9"/>
      <c r="J3172" s="2"/>
      <c r="L3172" s="9"/>
      <c r="M3172" s="2"/>
      <c r="N3172" s="9"/>
      <c r="P3172" s="3">
        <v>776.74319161000005</v>
      </c>
      <c r="S3172" s="9"/>
      <c r="T3172" s="2"/>
      <c r="U3172" s="9"/>
    </row>
    <row r="3173" spans="2:21" x14ac:dyDescent="0.35">
      <c r="B3173" s="9"/>
      <c r="C3173" s="2"/>
      <c r="D3173" s="2"/>
      <c r="I3173" s="9"/>
      <c r="J3173" s="2"/>
      <c r="L3173" s="9"/>
      <c r="M3173" s="2"/>
      <c r="N3173" s="9"/>
      <c r="P3173" s="3">
        <v>847.97039160999998</v>
      </c>
      <c r="S3173" s="9"/>
      <c r="T3173" s="2"/>
      <c r="U3173" s="9"/>
    </row>
    <row r="3174" spans="2:21" x14ac:dyDescent="0.35">
      <c r="B3174" s="9"/>
      <c r="C3174" s="2"/>
      <c r="D3174" s="2"/>
      <c r="I3174" s="9"/>
      <c r="J3174" s="2"/>
      <c r="L3174" s="9"/>
      <c r="M3174" s="2"/>
      <c r="N3174" s="9"/>
      <c r="P3174" s="3">
        <v>902.27829161</v>
      </c>
      <c r="S3174" s="9"/>
      <c r="T3174" s="2"/>
      <c r="U3174" s="9"/>
    </row>
    <row r="3175" spans="2:21" x14ac:dyDescent="0.35">
      <c r="B3175" s="9"/>
      <c r="C3175" s="2"/>
      <c r="D3175" s="2"/>
      <c r="I3175" s="9"/>
      <c r="J3175" s="2"/>
      <c r="L3175" s="9"/>
      <c r="M3175" s="2"/>
      <c r="N3175" s="9"/>
      <c r="P3175" s="3">
        <v>952.77562161000003</v>
      </c>
      <c r="S3175" s="9"/>
      <c r="T3175" s="2"/>
      <c r="U3175" s="9"/>
    </row>
    <row r="3176" spans="2:21" x14ac:dyDescent="0.35">
      <c r="B3176" s="9"/>
      <c r="C3176" s="2"/>
      <c r="D3176" s="2"/>
      <c r="I3176" s="9"/>
      <c r="J3176" s="2"/>
      <c r="L3176" s="9"/>
      <c r="M3176" s="2"/>
      <c r="N3176" s="9"/>
      <c r="P3176" s="3">
        <v>983.54702161</v>
      </c>
      <c r="S3176" s="9"/>
      <c r="T3176" s="2"/>
      <c r="U3176" s="9"/>
    </row>
    <row r="3177" spans="2:21" x14ac:dyDescent="0.35">
      <c r="B3177" s="9"/>
      <c r="C3177" s="2"/>
      <c r="D3177" s="2"/>
      <c r="I3177" s="9"/>
      <c r="J3177" s="2"/>
      <c r="L3177" s="9"/>
      <c r="M3177" s="2"/>
      <c r="N3177" s="9"/>
      <c r="P3177" s="3">
        <v>1008.26709161</v>
      </c>
      <c r="S3177" s="9"/>
      <c r="T3177" s="2"/>
      <c r="U3177" s="9"/>
    </row>
    <row r="3178" spans="2:21" x14ac:dyDescent="0.35">
      <c r="B3178" s="9"/>
      <c r="C3178" s="2"/>
      <c r="D3178" s="2"/>
      <c r="I3178" s="9"/>
      <c r="J3178" s="2"/>
      <c r="L3178" s="9"/>
      <c r="M3178" s="2"/>
      <c r="N3178" s="9"/>
      <c r="P3178" s="3">
        <v>1018.49890161</v>
      </c>
      <c r="S3178" s="9"/>
      <c r="T3178" s="2"/>
      <c r="U3178" s="9"/>
    </row>
    <row r="3179" spans="2:21" x14ac:dyDescent="0.35">
      <c r="B3179" s="9"/>
      <c r="C3179" s="2"/>
      <c r="D3179" s="2"/>
      <c r="I3179" s="9"/>
      <c r="J3179" s="2"/>
      <c r="L3179" s="9"/>
      <c r="M3179" s="2"/>
      <c r="N3179" s="9"/>
      <c r="P3179" s="3">
        <v>1025.68978161</v>
      </c>
      <c r="S3179" s="9"/>
      <c r="T3179" s="2"/>
      <c r="U3179" s="9"/>
    </row>
    <row r="3180" spans="2:21" x14ac:dyDescent="0.35">
      <c r="B3180" s="9"/>
      <c r="C3180" s="2"/>
      <c r="D3180" s="2"/>
      <c r="I3180" s="9"/>
      <c r="J3180" s="2"/>
      <c r="L3180" s="9"/>
      <c r="M3180" s="2"/>
      <c r="N3180" s="9"/>
      <c r="P3180" s="3">
        <v>971.90515160999996</v>
      </c>
      <c r="S3180" s="9"/>
      <c r="T3180" s="2"/>
      <c r="U3180" s="9"/>
    </row>
    <row r="3181" spans="2:21" x14ac:dyDescent="0.35">
      <c r="B3181" s="9"/>
      <c r="C3181" s="2"/>
      <c r="D3181" s="2"/>
      <c r="I3181" s="9"/>
      <c r="J3181" s="2"/>
      <c r="L3181" s="9"/>
      <c r="M3181" s="2"/>
      <c r="N3181" s="9"/>
      <c r="P3181" s="3">
        <v>537.14515160999997</v>
      </c>
      <c r="S3181" s="9"/>
      <c r="T3181" s="2"/>
      <c r="U3181" s="9"/>
    </row>
    <row r="3182" spans="2:21" x14ac:dyDescent="0.35">
      <c r="B3182" s="9"/>
      <c r="C3182" s="2"/>
      <c r="D3182" s="2"/>
      <c r="I3182" s="9"/>
      <c r="J3182" s="2"/>
      <c r="L3182" s="9"/>
      <c r="M3182" s="2"/>
      <c r="N3182" s="9"/>
      <c r="P3182" s="3">
        <v>102.38515160999999</v>
      </c>
      <c r="S3182" s="9"/>
      <c r="T3182" s="2"/>
      <c r="U3182" s="9"/>
    </row>
    <row r="3183" spans="2:21" x14ac:dyDescent="0.35">
      <c r="B3183" s="9"/>
      <c r="C3183" s="2"/>
      <c r="D3183" s="2"/>
      <c r="I3183" s="9"/>
      <c r="J3183" s="2"/>
      <c r="L3183" s="9"/>
      <c r="M3183" s="2"/>
      <c r="N3183" s="9"/>
      <c r="P3183" s="3">
        <v>-332.37484839000001</v>
      </c>
      <c r="S3183" s="9"/>
      <c r="T3183" s="2"/>
      <c r="U3183" s="9"/>
    </row>
    <row r="3184" spans="2:21" x14ac:dyDescent="0.35">
      <c r="B3184" s="9"/>
      <c r="C3184" s="2"/>
      <c r="D3184" s="2"/>
      <c r="I3184" s="9"/>
      <c r="J3184" s="2"/>
      <c r="L3184" s="9"/>
      <c r="M3184" s="2"/>
      <c r="N3184" s="9"/>
      <c r="P3184" s="3">
        <v>0</v>
      </c>
      <c r="S3184" s="9"/>
      <c r="T3184" s="2"/>
      <c r="U3184" s="9"/>
    </row>
    <row r="3185" spans="2:21" x14ac:dyDescent="0.35">
      <c r="B3185" s="9"/>
      <c r="C3185" s="2"/>
      <c r="D3185" s="2"/>
      <c r="I3185" s="9"/>
      <c r="J3185" s="2"/>
      <c r="L3185" s="9"/>
      <c r="M3185" s="2"/>
      <c r="N3185" s="9"/>
      <c r="P3185" s="3">
        <v>0</v>
      </c>
      <c r="S3185" s="9"/>
      <c r="T3185" s="2"/>
      <c r="U3185" s="9"/>
    </row>
    <row r="3186" spans="2:21" x14ac:dyDescent="0.35">
      <c r="B3186" s="9"/>
      <c r="C3186" s="2"/>
      <c r="D3186" s="2"/>
      <c r="I3186" s="9"/>
      <c r="J3186" s="2"/>
      <c r="L3186" s="9"/>
      <c r="M3186" s="2"/>
      <c r="N3186" s="9"/>
      <c r="P3186" s="3">
        <v>0</v>
      </c>
      <c r="S3186" s="9"/>
      <c r="T3186" s="2"/>
      <c r="U3186" s="9"/>
    </row>
    <row r="3187" spans="2:21" x14ac:dyDescent="0.35">
      <c r="B3187" s="9"/>
      <c r="C3187" s="2"/>
      <c r="D3187" s="2"/>
      <c r="I3187" s="9"/>
      <c r="J3187" s="2"/>
      <c r="L3187" s="9"/>
      <c r="M3187" s="2"/>
      <c r="N3187" s="9"/>
      <c r="P3187" s="3">
        <v>0</v>
      </c>
      <c r="S3187" s="9"/>
      <c r="T3187" s="2"/>
      <c r="U3187" s="9"/>
    </row>
    <row r="3188" spans="2:21" x14ac:dyDescent="0.35">
      <c r="B3188" s="9"/>
      <c r="C3188" s="2"/>
      <c r="D3188" s="2"/>
      <c r="I3188" s="9"/>
      <c r="J3188" s="2"/>
      <c r="L3188" s="9"/>
      <c r="M3188" s="2"/>
      <c r="N3188" s="9"/>
      <c r="P3188" s="3">
        <v>0</v>
      </c>
      <c r="S3188" s="9"/>
      <c r="T3188" s="2"/>
      <c r="U3188" s="9"/>
    </row>
    <row r="3189" spans="2:21" x14ac:dyDescent="0.35">
      <c r="B3189" s="9"/>
      <c r="C3189" s="2"/>
      <c r="D3189" s="2"/>
      <c r="I3189" s="9"/>
      <c r="J3189" s="2"/>
      <c r="L3189" s="9"/>
      <c r="M3189" s="2"/>
      <c r="N3189" s="9"/>
      <c r="P3189" s="3">
        <v>-362.09077896999997</v>
      </c>
      <c r="S3189" s="9"/>
      <c r="T3189" s="2"/>
      <c r="U3189" s="9"/>
    </row>
    <row r="3190" spans="2:21" x14ac:dyDescent="0.35">
      <c r="B3190" s="9"/>
      <c r="C3190" s="2"/>
      <c r="D3190" s="2"/>
      <c r="I3190" s="9"/>
      <c r="J3190" s="2"/>
      <c r="L3190" s="9"/>
      <c r="M3190" s="2"/>
      <c r="N3190" s="9"/>
      <c r="P3190" s="3">
        <v>-796.85077896999996</v>
      </c>
      <c r="S3190" s="9"/>
      <c r="T3190" s="2"/>
      <c r="U3190" s="9"/>
    </row>
    <row r="3191" spans="2:21" x14ac:dyDescent="0.35">
      <c r="B3191" s="9"/>
      <c r="C3191" s="2"/>
      <c r="D3191" s="2"/>
      <c r="I3191" s="9"/>
      <c r="J3191" s="2"/>
      <c r="L3191" s="9"/>
      <c r="M3191" s="2"/>
      <c r="N3191" s="9"/>
      <c r="P3191" s="3">
        <v>-803.86807839000005</v>
      </c>
      <c r="S3191" s="9"/>
      <c r="T3191" s="2"/>
      <c r="U3191" s="9"/>
    </row>
    <row r="3192" spans="2:21" x14ac:dyDescent="0.35">
      <c r="B3192" s="9"/>
      <c r="C3192" s="2"/>
      <c r="D3192" s="2"/>
      <c r="I3192" s="9"/>
      <c r="J3192" s="2"/>
      <c r="L3192" s="9"/>
      <c r="M3192" s="2"/>
      <c r="N3192" s="9"/>
      <c r="P3192" s="3">
        <v>-369.10807839</v>
      </c>
      <c r="S3192" s="9"/>
      <c r="T3192" s="2"/>
      <c r="U3192" s="9"/>
    </row>
    <row r="3193" spans="2:21" x14ac:dyDescent="0.35">
      <c r="B3193" s="9"/>
      <c r="C3193" s="2"/>
      <c r="D3193" s="2"/>
      <c r="I3193" s="9"/>
      <c r="J3193" s="2"/>
      <c r="L3193" s="9"/>
      <c r="M3193" s="2"/>
      <c r="N3193" s="9"/>
      <c r="P3193" s="3">
        <v>65.651921610000002</v>
      </c>
      <c r="S3193" s="9"/>
      <c r="T3193" s="2"/>
      <c r="U3193" s="9"/>
    </row>
    <row r="3194" spans="2:21" x14ac:dyDescent="0.35">
      <c r="B3194" s="9"/>
      <c r="C3194" s="2"/>
      <c r="D3194" s="2"/>
      <c r="I3194" s="9"/>
      <c r="J3194" s="2"/>
      <c r="L3194" s="9"/>
      <c r="M3194" s="2"/>
      <c r="N3194" s="9"/>
      <c r="P3194" s="3">
        <v>469.53897160999998</v>
      </c>
      <c r="S3194" s="9"/>
      <c r="T3194" s="2"/>
      <c r="U3194" s="9"/>
    </row>
    <row r="3195" spans="2:21" x14ac:dyDescent="0.35">
      <c r="B3195" s="9"/>
      <c r="C3195" s="2"/>
      <c r="D3195" s="2"/>
      <c r="I3195" s="9"/>
      <c r="J3195" s="2"/>
      <c r="L3195" s="9"/>
      <c r="M3195" s="2"/>
      <c r="N3195" s="9"/>
      <c r="P3195" s="3">
        <v>543.54298160999997</v>
      </c>
      <c r="S3195" s="9"/>
      <c r="T3195" s="2"/>
      <c r="U3195" s="9"/>
    </row>
    <row r="3196" spans="2:21" x14ac:dyDescent="0.35">
      <c r="B3196" s="9"/>
      <c r="C3196" s="2"/>
      <c r="D3196" s="2"/>
      <c r="I3196" s="9"/>
      <c r="J3196" s="2"/>
      <c r="L3196" s="9"/>
      <c r="M3196" s="2"/>
      <c r="N3196" s="9"/>
      <c r="P3196" s="3">
        <v>620.54532160999997</v>
      </c>
      <c r="S3196" s="9"/>
      <c r="T3196" s="2"/>
      <c r="U3196" s="9"/>
    </row>
    <row r="3197" spans="2:21" x14ac:dyDescent="0.35">
      <c r="B3197" s="9"/>
      <c r="C3197" s="2"/>
      <c r="D3197" s="2"/>
      <c r="I3197" s="9"/>
      <c r="J3197" s="2"/>
      <c r="L3197" s="9"/>
      <c r="M3197" s="2"/>
      <c r="N3197" s="9"/>
      <c r="P3197" s="3">
        <v>636.66090161</v>
      </c>
      <c r="S3197" s="9"/>
      <c r="T3197" s="2"/>
      <c r="U3197" s="9"/>
    </row>
    <row r="3198" spans="2:21" x14ac:dyDescent="0.35">
      <c r="B3198" s="9"/>
      <c r="C3198" s="2"/>
      <c r="D3198" s="2"/>
      <c r="I3198" s="9"/>
      <c r="J3198" s="2"/>
      <c r="L3198" s="9"/>
      <c r="M3198" s="2"/>
      <c r="N3198" s="9"/>
      <c r="P3198" s="3">
        <v>347.15665114000001</v>
      </c>
      <c r="S3198" s="9"/>
      <c r="T3198" s="2"/>
      <c r="U3198" s="9"/>
    </row>
    <row r="3199" spans="2:21" x14ac:dyDescent="0.35">
      <c r="B3199" s="9"/>
      <c r="C3199" s="2"/>
      <c r="D3199" s="2"/>
      <c r="I3199" s="9"/>
      <c r="J3199" s="2"/>
      <c r="L3199" s="9"/>
      <c r="M3199" s="2"/>
      <c r="N3199" s="9"/>
      <c r="P3199" s="3">
        <v>330.98214114000001</v>
      </c>
      <c r="S3199" s="9"/>
      <c r="T3199" s="2"/>
      <c r="U3199" s="9"/>
    </row>
    <row r="3200" spans="2:21" x14ac:dyDescent="0.35">
      <c r="B3200" s="9"/>
      <c r="C3200" s="2"/>
      <c r="D3200" s="2"/>
      <c r="I3200" s="9"/>
      <c r="J3200" s="2"/>
      <c r="L3200" s="9"/>
      <c r="M3200" s="2"/>
      <c r="N3200" s="9"/>
      <c r="P3200" s="3">
        <v>328.65405113999998</v>
      </c>
      <c r="S3200" s="9"/>
      <c r="T3200" s="2"/>
      <c r="U3200" s="9"/>
    </row>
    <row r="3201" spans="2:21" x14ac:dyDescent="0.35">
      <c r="B3201" s="9"/>
      <c r="C3201" s="2"/>
      <c r="D3201" s="2"/>
      <c r="I3201" s="9"/>
      <c r="J3201" s="2"/>
      <c r="L3201" s="9"/>
      <c r="M3201" s="2"/>
      <c r="N3201" s="9"/>
      <c r="P3201" s="3">
        <v>314.84455114000002</v>
      </c>
      <c r="S3201" s="9"/>
      <c r="T3201" s="2"/>
      <c r="U3201" s="9"/>
    </row>
    <row r="3202" spans="2:21" x14ac:dyDescent="0.35">
      <c r="B3202" s="9"/>
      <c r="C3202" s="2"/>
      <c r="D3202" s="2"/>
      <c r="I3202" s="9"/>
      <c r="J3202" s="2"/>
      <c r="L3202" s="9"/>
      <c r="M3202" s="2"/>
      <c r="N3202" s="9"/>
      <c r="P3202" s="3">
        <v>305.37315114</v>
      </c>
      <c r="S3202" s="9"/>
      <c r="T3202" s="2"/>
      <c r="U3202" s="9"/>
    </row>
    <row r="3203" spans="2:21" x14ac:dyDescent="0.35">
      <c r="B3203" s="9"/>
      <c r="C3203" s="2"/>
      <c r="D3203" s="2"/>
      <c r="I3203" s="9"/>
      <c r="J3203" s="2"/>
      <c r="L3203" s="9"/>
      <c r="M3203" s="2"/>
      <c r="N3203" s="9"/>
      <c r="P3203" s="3">
        <v>390.70653762000001</v>
      </c>
      <c r="S3203" s="9"/>
      <c r="T3203" s="2"/>
      <c r="U3203" s="9"/>
    </row>
    <row r="3204" spans="2:21" x14ac:dyDescent="0.35">
      <c r="B3204" s="9"/>
      <c r="C3204" s="2"/>
      <c r="D3204" s="2"/>
      <c r="I3204" s="9"/>
      <c r="J3204" s="2"/>
      <c r="L3204" s="9"/>
      <c r="M3204" s="2"/>
      <c r="N3204" s="9"/>
      <c r="P3204" s="3">
        <v>409.66912409999998</v>
      </c>
      <c r="S3204" s="9"/>
      <c r="T3204" s="2"/>
      <c r="U3204" s="9"/>
    </row>
    <row r="3205" spans="2:21" x14ac:dyDescent="0.35">
      <c r="B3205" s="9"/>
      <c r="C3205" s="2"/>
      <c r="D3205" s="2"/>
      <c r="I3205" s="9"/>
      <c r="J3205" s="2"/>
      <c r="L3205" s="9"/>
      <c r="M3205" s="2"/>
      <c r="N3205" s="9"/>
      <c r="P3205" s="3">
        <v>-25.0908759</v>
      </c>
      <c r="S3205" s="9"/>
      <c r="T3205" s="2"/>
      <c r="U3205" s="9"/>
    </row>
    <row r="3206" spans="2:21" x14ac:dyDescent="0.35">
      <c r="B3206" s="9"/>
      <c r="C3206" s="2"/>
      <c r="D3206" s="2"/>
      <c r="I3206" s="9"/>
      <c r="J3206" s="2"/>
      <c r="L3206" s="9"/>
      <c r="M3206" s="2"/>
      <c r="N3206" s="9"/>
      <c r="P3206" s="3">
        <v>-459.85087590000001</v>
      </c>
      <c r="S3206" s="9"/>
      <c r="T3206" s="2"/>
      <c r="U3206" s="9"/>
    </row>
    <row r="3207" spans="2:21" x14ac:dyDescent="0.35">
      <c r="B3207" s="9"/>
      <c r="C3207" s="2"/>
      <c r="D3207" s="2"/>
      <c r="I3207" s="9"/>
      <c r="J3207" s="2"/>
      <c r="L3207" s="9"/>
      <c r="M3207" s="2"/>
      <c r="N3207" s="9"/>
      <c r="P3207" s="3">
        <v>-434.76</v>
      </c>
      <c r="S3207" s="9"/>
      <c r="T3207" s="2"/>
      <c r="U3207" s="9"/>
    </row>
    <row r="3208" spans="2:21" x14ac:dyDescent="0.35">
      <c r="B3208" s="9"/>
      <c r="C3208" s="2"/>
      <c r="D3208" s="2"/>
      <c r="I3208" s="9"/>
      <c r="J3208" s="2"/>
      <c r="L3208" s="9"/>
      <c r="M3208" s="2"/>
      <c r="N3208" s="9"/>
      <c r="P3208" s="3">
        <v>0</v>
      </c>
      <c r="S3208" s="9"/>
      <c r="T3208" s="2"/>
      <c r="U3208" s="9"/>
    </row>
    <row r="3209" spans="2:21" x14ac:dyDescent="0.35">
      <c r="B3209" s="9"/>
      <c r="C3209" s="2"/>
      <c r="D3209" s="2"/>
      <c r="I3209" s="9"/>
      <c r="J3209" s="2"/>
      <c r="L3209" s="9"/>
      <c r="M3209" s="2"/>
      <c r="N3209" s="9"/>
      <c r="P3209" s="3">
        <v>0</v>
      </c>
      <c r="S3209" s="9"/>
      <c r="T3209" s="2"/>
      <c r="U3209" s="9"/>
    </row>
    <row r="3210" spans="2:21" x14ac:dyDescent="0.35">
      <c r="B3210" s="9"/>
      <c r="C3210" s="2"/>
      <c r="D3210" s="2"/>
      <c r="I3210" s="9"/>
      <c r="J3210" s="2"/>
      <c r="L3210" s="9"/>
      <c r="M3210" s="2"/>
      <c r="N3210" s="9"/>
      <c r="P3210" s="3">
        <v>0</v>
      </c>
      <c r="S3210" s="9"/>
      <c r="T3210" s="2"/>
      <c r="U3210" s="9"/>
    </row>
    <row r="3211" spans="2:21" x14ac:dyDescent="0.35">
      <c r="B3211" s="9"/>
      <c r="C3211" s="2"/>
      <c r="D3211" s="2"/>
      <c r="I3211" s="9"/>
      <c r="J3211" s="2"/>
      <c r="L3211" s="9"/>
      <c r="M3211" s="2"/>
      <c r="N3211" s="9"/>
      <c r="P3211" s="3">
        <v>-251.86492773000001</v>
      </c>
      <c r="S3211" s="9"/>
      <c r="T3211" s="2"/>
      <c r="U3211" s="9"/>
    </row>
    <row r="3212" spans="2:21" x14ac:dyDescent="0.35">
      <c r="B3212" s="9"/>
      <c r="C3212" s="2"/>
      <c r="D3212" s="2"/>
      <c r="I3212" s="9"/>
      <c r="J3212" s="2"/>
      <c r="L3212" s="9"/>
      <c r="M3212" s="2"/>
      <c r="N3212" s="9"/>
      <c r="P3212" s="3">
        <v>-686.62492772999997</v>
      </c>
      <c r="S3212" s="9"/>
      <c r="T3212" s="2"/>
      <c r="U3212" s="9"/>
    </row>
    <row r="3213" spans="2:21" x14ac:dyDescent="0.35">
      <c r="B3213" s="9"/>
      <c r="C3213" s="2"/>
      <c r="D3213" s="2"/>
      <c r="I3213" s="9"/>
      <c r="J3213" s="2"/>
      <c r="L3213" s="9"/>
      <c r="M3213" s="2"/>
      <c r="N3213" s="9"/>
      <c r="P3213" s="3">
        <v>-1121.3849277300001</v>
      </c>
      <c r="S3213" s="9"/>
      <c r="T3213" s="2"/>
      <c r="U3213" s="9"/>
    </row>
    <row r="3214" spans="2:21" x14ac:dyDescent="0.35">
      <c r="B3214" s="9"/>
      <c r="C3214" s="2"/>
      <c r="D3214" s="2"/>
      <c r="I3214" s="9"/>
      <c r="J3214" s="2"/>
      <c r="L3214" s="9"/>
      <c r="M3214" s="2"/>
      <c r="N3214" s="9"/>
      <c r="P3214" s="3">
        <v>-1556.1449277300001</v>
      </c>
      <c r="S3214" s="9"/>
      <c r="T3214" s="2"/>
      <c r="U3214" s="9"/>
    </row>
    <row r="3215" spans="2:21" x14ac:dyDescent="0.35">
      <c r="B3215" s="9"/>
      <c r="C3215" s="2"/>
      <c r="D3215" s="2"/>
      <c r="I3215" s="9"/>
      <c r="J3215" s="2"/>
      <c r="L3215" s="9"/>
      <c r="M3215" s="2"/>
      <c r="N3215" s="9"/>
      <c r="P3215" s="3">
        <v>-1121.3849277300001</v>
      </c>
      <c r="S3215" s="9"/>
      <c r="T3215" s="2"/>
      <c r="U3215" s="9"/>
    </row>
    <row r="3216" spans="2:21" x14ac:dyDescent="0.35">
      <c r="B3216" s="9"/>
      <c r="C3216" s="2"/>
      <c r="D3216" s="2"/>
      <c r="I3216" s="9"/>
      <c r="J3216" s="2"/>
      <c r="L3216" s="9"/>
      <c r="M3216" s="2"/>
      <c r="N3216" s="9"/>
      <c r="P3216" s="3">
        <v>-686.62492772999997</v>
      </c>
      <c r="S3216" s="9"/>
      <c r="T3216" s="2"/>
      <c r="U3216" s="9"/>
    </row>
    <row r="3217" spans="2:21" x14ac:dyDescent="0.35">
      <c r="B3217" s="9"/>
      <c r="C3217" s="2"/>
      <c r="D3217" s="2"/>
      <c r="I3217" s="9"/>
      <c r="J3217" s="2"/>
      <c r="L3217" s="9"/>
      <c r="M3217" s="2"/>
      <c r="N3217" s="9"/>
      <c r="P3217" s="3">
        <v>-251.86492773000001</v>
      </c>
      <c r="S3217" s="9"/>
      <c r="T3217" s="2"/>
      <c r="U3217" s="9"/>
    </row>
    <row r="3218" spans="2:21" x14ac:dyDescent="0.35">
      <c r="B3218" s="9"/>
      <c r="C3218" s="2"/>
      <c r="D3218" s="2"/>
      <c r="I3218" s="9"/>
      <c r="J3218" s="2"/>
      <c r="L3218" s="9"/>
      <c r="M3218" s="2"/>
      <c r="N3218" s="9"/>
      <c r="P3218" s="3">
        <v>98.225931770000003</v>
      </c>
      <c r="S3218" s="9"/>
      <c r="T3218" s="2"/>
      <c r="U3218" s="9"/>
    </row>
    <row r="3219" spans="2:21" x14ac:dyDescent="0.35">
      <c r="B3219" s="9"/>
      <c r="C3219" s="2"/>
      <c r="D3219" s="2"/>
      <c r="I3219" s="9"/>
      <c r="J3219" s="2"/>
      <c r="L3219" s="9"/>
      <c r="M3219" s="2"/>
      <c r="N3219" s="9"/>
      <c r="P3219" s="3">
        <v>157.02940140000001</v>
      </c>
      <c r="S3219" s="9"/>
      <c r="T3219" s="2"/>
      <c r="U3219" s="9"/>
    </row>
    <row r="3220" spans="2:21" x14ac:dyDescent="0.35">
      <c r="B3220" s="9"/>
      <c r="C3220" s="2"/>
      <c r="D3220" s="2"/>
      <c r="I3220" s="9"/>
      <c r="J3220" s="2"/>
      <c r="L3220" s="9"/>
      <c r="M3220" s="2"/>
      <c r="N3220" s="9"/>
      <c r="P3220" s="3">
        <v>218.15675114000001</v>
      </c>
      <c r="S3220" s="9"/>
      <c r="T3220" s="2"/>
      <c r="U3220" s="9"/>
    </row>
    <row r="3221" spans="2:21" x14ac:dyDescent="0.35">
      <c r="B3221" s="9"/>
      <c r="C3221" s="2"/>
      <c r="D3221" s="2"/>
      <c r="I3221" s="9"/>
      <c r="J3221" s="2"/>
      <c r="L3221" s="9"/>
      <c r="M3221" s="2"/>
      <c r="N3221" s="9"/>
      <c r="P3221" s="3">
        <v>315.53609114</v>
      </c>
      <c r="S3221" s="9"/>
      <c r="T3221" s="2"/>
      <c r="U3221" s="9"/>
    </row>
    <row r="3222" spans="2:21" x14ac:dyDescent="0.35">
      <c r="B3222" s="9"/>
      <c r="C3222" s="2"/>
      <c r="D3222" s="2"/>
      <c r="I3222" s="9"/>
      <c r="J3222" s="2"/>
      <c r="L3222" s="9"/>
      <c r="M3222" s="2"/>
      <c r="N3222" s="9"/>
      <c r="P3222" s="3">
        <v>396.22759114000002</v>
      </c>
      <c r="S3222" s="9"/>
      <c r="T3222" s="2"/>
      <c r="U3222" s="9"/>
    </row>
    <row r="3223" spans="2:21" x14ac:dyDescent="0.35">
      <c r="B3223" s="9"/>
      <c r="C3223" s="2"/>
      <c r="D3223" s="2"/>
      <c r="I3223" s="9"/>
      <c r="J3223" s="2"/>
      <c r="L3223" s="9"/>
      <c r="M3223" s="2"/>
      <c r="N3223" s="9"/>
      <c r="P3223" s="3">
        <v>434.96945113999999</v>
      </c>
      <c r="S3223" s="9"/>
      <c r="T3223" s="2"/>
      <c r="U3223" s="9"/>
    </row>
    <row r="3224" spans="2:21" x14ac:dyDescent="0.35">
      <c r="B3224" s="9"/>
      <c r="C3224" s="2"/>
      <c r="D3224" s="2"/>
      <c r="I3224" s="9"/>
      <c r="J3224" s="2"/>
      <c r="L3224" s="9"/>
      <c r="M3224" s="2"/>
      <c r="N3224" s="9"/>
      <c r="P3224" s="3">
        <v>436.58612113999999</v>
      </c>
      <c r="S3224" s="9"/>
      <c r="T3224" s="2"/>
      <c r="U3224" s="9"/>
    </row>
    <row r="3225" spans="2:21" x14ac:dyDescent="0.35">
      <c r="B3225" s="9"/>
      <c r="C3225" s="2"/>
      <c r="D3225" s="2"/>
      <c r="I3225" s="9"/>
      <c r="J3225" s="2"/>
      <c r="L3225" s="9"/>
      <c r="M3225" s="2"/>
      <c r="N3225" s="9"/>
      <c r="P3225" s="3">
        <v>394.59175113999999</v>
      </c>
      <c r="S3225" s="9"/>
      <c r="T3225" s="2"/>
      <c r="U3225" s="9"/>
    </row>
    <row r="3226" spans="2:21" x14ac:dyDescent="0.35">
      <c r="B3226" s="9"/>
      <c r="C3226" s="2"/>
      <c r="D3226" s="2"/>
      <c r="I3226" s="9"/>
      <c r="J3226" s="2"/>
      <c r="L3226" s="9"/>
      <c r="M3226" s="2"/>
      <c r="N3226" s="9"/>
      <c r="P3226" s="3">
        <v>279.78688113999999</v>
      </c>
      <c r="S3226" s="9"/>
      <c r="T3226" s="2"/>
      <c r="U3226" s="9"/>
    </row>
    <row r="3227" spans="2:21" x14ac:dyDescent="0.35">
      <c r="B3227" s="9"/>
      <c r="C3227" s="2"/>
      <c r="D3227" s="2"/>
      <c r="I3227" s="9"/>
      <c r="J3227" s="2"/>
      <c r="L3227" s="9"/>
      <c r="M3227" s="2"/>
      <c r="N3227" s="9"/>
      <c r="P3227" s="3">
        <v>193.33931762</v>
      </c>
      <c r="S3227" s="9"/>
      <c r="T3227" s="2"/>
      <c r="U3227" s="9"/>
    </row>
    <row r="3228" spans="2:21" x14ac:dyDescent="0.35">
      <c r="B3228" s="9"/>
      <c r="C3228" s="2"/>
      <c r="D3228" s="2"/>
      <c r="I3228" s="9"/>
      <c r="J3228" s="2"/>
      <c r="L3228" s="9"/>
      <c r="M3228" s="2"/>
      <c r="N3228" s="9"/>
      <c r="P3228" s="3">
        <v>18.2986641</v>
      </c>
      <c r="S3228" s="9"/>
      <c r="T3228" s="2"/>
      <c r="U3228" s="9"/>
    </row>
    <row r="3229" spans="2:21" x14ac:dyDescent="0.35">
      <c r="B3229" s="9"/>
      <c r="C3229" s="2"/>
      <c r="D3229" s="2"/>
      <c r="I3229" s="9"/>
      <c r="J3229" s="2"/>
      <c r="L3229" s="9"/>
      <c r="M3229" s="2"/>
      <c r="N3229" s="9"/>
      <c r="P3229" s="3">
        <v>-416.46133589999999</v>
      </c>
      <c r="S3229" s="9"/>
      <c r="T3229" s="2"/>
      <c r="U3229" s="9"/>
    </row>
    <row r="3230" spans="2:21" x14ac:dyDescent="0.35">
      <c r="B3230" s="9"/>
      <c r="C3230" s="2"/>
      <c r="D3230" s="2"/>
      <c r="I3230" s="9"/>
      <c r="J3230" s="2"/>
      <c r="L3230" s="9"/>
      <c r="M3230" s="2"/>
      <c r="N3230" s="9"/>
      <c r="P3230" s="3">
        <v>-851.22133589999999</v>
      </c>
      <c r="S3230" s="9"/>
      <c r="T3230" s="2"/>
      <c r="U3230" s="9"/>
    </row>
    <row r="3231" spans="2:21" x14ac:dyDescent="0.35">
      <c r="B3231" s="9"/>
      <c r="C3231" s="2"/>
      <c r="D3231" s="2"/>
      <c r="I3231" s="9"/>
      <c r="J3231" s="2"/>
      <c r="L3231" s="9"/>
      <c r="M3231" s="2"/>
      <c r="N3231" s="9"/>
      <c r="P3231" s="3">
        <v>-416.46133589999999</v>
      </c>
      <c r="S3231" s="9"/>
      <c r="T3231" s="2"/>
      <c r="U3231" s="9"/>
    </row>
    <row r="3232" spans="2:21" x14ac:dyDescent="0.35">
      <c r="B3232" s="9"/>
      <c r="C3232" s="2"/>
      <c r="D3232" s="2"/>
      <c r="I3232" s="9"/>
      <c r="J3232" s="2"/>
      <c r="L3232" s="9"/>
      <c r="M3232" s="2"/>
      <c r="N3232" s="9"/>
      <c r="P3232" s="3">
        <v>0</v>
      </c>
      <c r="S3232" s="9"/>
      <c r="T3232" s="2"/>
      <c r="U3232" s="9"/>
    </row>
    <row r="3233" spans="2:21" x14ac:dyDescent="0.35">
      <c r="B3233" s="9"/>
      <c r="C3233" s="2"/>
      <c r="D3233" s="2"/>
      <c r="I3233" s="9"/>
      <c r="J3233" s="2"/>
      <c r="L3233" s="9"/>
      <c r="M3233" s="2"/>
      <c r="N3233" s="9"/>
      <c r="P3233" s="3">
        <v>0</v>
      </c>
      <c r="S3233" s="9"/>
      <c r="T3233" s="2"/>
      <c r="U3233" s="9"/>
    </row>
    <row r="3234" spans="2:21" x14ac:dyDescent="0.35">
      <c r="B3234" s="9"/>
      <c r="C3234" s="2"/>
      <c r="D3234" s="2"/>
      <c r="I3234" s="9"/>
      <c r="J3234" s="2"/>
      <c r="L3234" s="9"/>
      <c r="M3234" s="2"/>
      <c r="N3234" s="9"/>
      <c r="P3234" s="3">
        <v>0</v>
      </c>
      <c r="S3234" s="9"/>
      <c r="T3234" s="2"/>
      <c r="U3234" s="9"/>
    </row>
    <row r="3235" spans="2:21" x14ac:dyDescent="0.35">
      <c r="B3235" s="9"/>
      <c r="C3235" s="2"/>
      <c r="D3235" s="2"/>
      <c r="I3235" s="9"/>
      <c r="J3235" s="2"/>
      <c r="L3235" s="9"/>
      <c r="M3235" s="2"/>
      <c r="N3235" s="9"/>
      <c r="P3235" s="3">
        <v>0</v>
      </c>
      <c r="S3235" s="9"/>
      <c r="T3235" s="2"/>
      <c r="U3235" s="9"/>
    </row>
    <row r="3236" spans="2:21" x14ac:dyDescent="0.35">
      <c r="B3236" s="9"/>
      <c r="C3236" s="2"/>
      <c r="D3236" s="2"/>
      <c r="I3236" s="9"/>
      <c r="J3236" s="2"/>
      <c r="L3236" s="9"/>
      <c r="M3236" s="2"/>
      <c r="N3236" s="9"/>
      <c r="P3236" s="3">
        <v>-163.65237773000001</v>
      </c>
      <c r="S3236" s="9"/>
      <c r="T3236" s="2"/>
      <c r="U3236" s="9"/>
    </row>
    <row r="3237" spans="2:21" x14ac:dyDescent="0.35">
      <c r="B3237" s="9"/>
      <c r="C3237" s="2"/>
      <c r="D3237" s="2"/>
      <c r="I3237" s="9"/>
      <c r="J3237" s="2"/>
      <c r="L3237" s="9"/>
      <c r="M3237" s="2"/>
      <c r="N3237" s="9"/>
      <c r="P3237" s="3">
        <v>-598.41237773</v>
      </c>
      <c r="S3237" s="9"/>
      <c r="T3237" s="2"/>
      <c r="U3237" s="9"/>
    </row>
    <row r="3238" spans="2:21" x14ac:dyDescent="0.35">
      <c r="B3238" s="9"/>
      <c r="C3238" s="2"/>
      <c r="D3238" s="2"/>
      <c r="I3238" s="9"/>
      <c r="J3238" s="2"/>
      <c r="L3238" s="9"/>
      <c r="M3238" s="2"/>
      <c r="N3238" s="9"/>
      <c r="P3238" s="3">
        <v>-1033.1723777300001</v>
      </c>
      <c r="S3238" s="9"/>
      <c r="T3238" s="2"/>
      <c r="U3238" s="9"/>
    </row>
    <row r="3239" spans="2:21" x14ac:dyDescent="0.35">
      <c r="B3239" s="9"/>
      <c r="C3239" s="2"/>
      <c r="D3239" s="2"/>
      <c r="I3239" s="9"/>
      <c r="J3239" s="2"/>
      <c r="L3239" s="9"/>
      <c r="M3239" s="2"/>
      <c r="N3239" s="9"/>
      <c r="P3239" s="3">
        <v>-1467.9323777300001</v>
      </c>
      <c r="S3239" s="9"/>
      <c r="T3239" s="2"/>
      <c r="U3239" s="9"/>
    </row>
    <row r="3240" spans="2:21" x14ac:dyDescent="0.35">
      <c r="B3240" s="9"/>
      <c r="C3240" s="2"/>
      <c r="D3240" s="2"/>
      <c r="I3240" s="9"/>
      <c r="J3240" s="2"/>
      <c r="L3240" s="9"/>
      <c r="M3240" s="2"/>
      <c r="N3240" s="9"/>
      <c r="P3240" s="3">
        <v>-1033.1723777300001</v>
      </c>
      <c r="S3240" s="9"/>
      <c r="T3240" s="2"/>
      <c r="U3240" s="9"/>
    </row>
    <row r="3241" spans="2:21" x14ac:dyDescent="0.35">
      <c r="B3241" s="9"/>
      <c r="C3241" s="2"/>
      <c r="D3241" s="2"/>
      <c r="I3241" s="9"/>
      <c r="J3241" s="2"/>
      <c r="L3241" s="9"/>
      <c r="M3241" s="2"/>
      <c r="N3241" s="9"/>
      <c r="P3241" s="3">
        <v>-598.41237773</v>
      </c>
      <c r="S3241" s="9"/>
      <c r="T3241" s="2"/>
      <c r="U3241" s="9"/>
    </row>
    <row r="3242" spans="2:21" x14ac:dyDescent="0.35">
      <c r="B3242" s="9"/>
      <c r="C3242" s="2"/>
      <c r="D3242" s="2"/>
      <c r="I3242" s="9"/>
      <c r="J3242" s="2"/>
      <c r="L3242" s="9"/>
      <c r="M3242" s="2"/>
      <c r="N3242" s="9"/>
      <c r="P3242" s="3">
        <v>-231.94252822999999</v>
      </c>
      <c r="S3242" s="9"/>
      <c r="T3242" s="2"/>
      <c r="U3242" s="9"/>
    </row>
    <row r="3243" spans="2:21" x14ac:dyDescent="0.35">
      <c r="B3243" s="9"/>
      <c r="C3243" s="2"/>
      <c r="D3243" s="2"/>
      <c r="I3243" s="9"/>
      <c r="J3243" s="2"/>
      <c r="L3243" s="9"/>
      <c r="M3243" s="2"/>
      <c r="N3243" s="9"/>
      <c r="P3243" s="3">
        <v>-334.77339860000001</v>
      </c>
      <c r="S3243" s="9"/>
      <c r="T3243" s="2"/>
      <c r="U3243" s="9"/>
    </row>
    <row r="3244" spans="2:21" x14ac:dyDescent="0.35">
      <c r="B3244" s="9"/>
      <c r="C3244" s="2"/>
      <c r="D3244" s="2"/>
      <c r="I3244" s="9"/>
      <c r="J3244" s="2"/>
      <c r="L3244" s="9"/>
      <c r="M3244" s="2"/>
      <c r="N3244" s="9"/>
      <c r="P3244" s="3">
        <v>-502.63737886000001</v>
      </c>
      <c r="S3244" s="9"/>
      <c r="T3244" s="2"/>
      <c r="U3244" s="9"/>
    </row>
    <row r="3245" spans="2:21" x14ac:dyDescent="0.35">
      <c r="B3245" s="9"/>
      <c r="C3245" s="2"/>
      <c r="D3245" s="2"/>
      <c r="I3245" s="9"/>
      <c r="J3245" s="2"/>
      <c r="L3245" s="9"/>
      <c r="M3245" s="2"/>
      <c r="N3245" s="9"/>
      <c r="P3245" s="3">
        <v>-851.13945885999999</v>
      </c>
      <c r="S3245" s="9"/>
      <c r="T3245" s="2"/>
      <c r="U3245" s="9"/>
    </row>
    <row r="3246" spans="2:21" x14ac:dyDescent="0.35">
      <c r="B3246" s="9"/>
      <c r="C3246" s="2"/>
      <c r="D3246" s="2"/>
      <c r="I3246" s="9"/>
      <c r="J3246" s="2"/>
      <c r="L3246" s="9"/>
      <c r="M3246" s="2"/>
      <c r="N3246" s="9"/>
      <c r="P3246" s="3">
        <v>-1241.2801988599999</v>
      </c>
      <c r="S3246" s="9"/>
      <c r="T3246" s="2"/>
      <c r="U3246" s="9"/>
    </row>
    <row r="3247" spans="2:21" x14ac:dyDescent="0.35">
      <c r="B3247" s="9"/>
      <c r="C3247" s="2"/>
      <c r="D3247" s="2"/>
      <c r="I3247" s="9"/>
      <c r="J3247" s="2"/>
      <c r="L3247" s="9"/>
      <c r="M3247" s="2"/>
      <c r="N3247" s="9"/>
      <c r="P3247" s="3">
        <v>-1486.4488788599999</v>
      </c>
      <c r="S3247" s="9"/>
      <c r="T3247" s="2"/>
      <c r="U3247" s="9"/>
    </row>
    <row r="3248" spans="2:21" x14ac:dyDescent="0.35">
      <c r="B3248" s="9"/>
      <c r="C3248" s="2"/>
      <c r="D3248" s="2"/>
      <c r="I3248" s="9"/>
      <c r="J3248" s="2"/>
      <c r="L3248" s="9"/>
      <c r="M3248" s="2"/>
      <c r="N3248" s="9"/>
      <c r="P3248" s="3">
        <v>-1621.2856888599999</v>
      </c>
      <c r="S3248" s="9"/>
      <c r="T3248" s="2"/>
      <c r="U3248" s="9"/>
    </row>
    <row r="3249" spans="2:21" x14ac:dyDescent="0.35">
      <c r="B3249" s="9"/>
      <c r="C3249" s="2"/>
      <c r="D3249" s="2"/>
      <c r="I3249" s="9"/>
      <c r="J3249" s="2"/>
      <c r="L3249" s="9"/>
      <c r="M3249" s="2"/>
      <c r="N3249" s="9"/>
      <c r="P3249" s="3">
        <v>-1728.8904488600001</v>
      </c>
      <c r="S3249" s="9"/>
      <c r="T3249" s="2"/>
      <c r="U3249" s="9"/>
    </row>
    <row r="3250" spans="2:21" x14ac:dyDescent="0.35">
      <c r="B3250" s="9"/>
      <c r="C3250" s="2"/>
      <c r="D3250" s="2"/>
      <c r="I3250" s="9"/>
      <c r="J3250" s="2"/>
      <c r="L3250" s="9"/>
      <c r="M3250" s="2"/>
      <c r="N3250" s="9"/>
      <c r="P3250" s="3">
        <v>-1866.3436088599999</v>
      </c>
      <c r="S3250" s="9"/>
      <c r="T3250" s="2"/>
      <c r="U3250" s="9"/>
    </row>
    <row r="3251" spans="2:21" x14ac:dyDescent="0.35">
      <c r="B3251" s="9"/>
      <c r="C3251" s="2"/>
      <c r="D3251" s="2"/>
      <c r="I3251" s="9"/>
      <c r="J3251" s="2"/>
      <c r="L3251" s="9"/>
      <c r="M3251" s="2"/>
      <c r="N3251" s="9"/>
      <c r="P3251" s="3">
        <v>-1990.47868238</v>
      </c>
      <c r="S3251" s="9"/>
      <c r="T3251" s="2"/>
      <c r="U3251" s="9"/>
    </row>
    <row r="3252" spans="2:21" x14ac:dyDescent="0.35">
      <c r="B3252" s="9"/>
      <c r="C3252" s="2"/>
      <c r="D3252" s="2"/>
      <c r="I3252" s="9"/>
      <c r="J3252" s="2"/>
      <c r="L3252" s="9"/>
      <c r="M3252" s="2"/>
      <c r="N3252" s="9"/>
      <c r="P3252" s="3">
        <v>-2377.2115159</v>
      </c>
      <c r="S3252" s="9"/>
      <c r="T3252" s="2"/>
      <c r="U3252" s="9"/>
    </row>
    <row r="3253" spans="2:21" x14ac:dyDescent="0.35">
      <c r="B3253" s="9"/>
      <c r="C3253" s="2"/>
      <c r="D3253" s="2"/>
      <c r="I3253" s="9"/>
      <c r="J3253" s="2"/>
      <c r="L3253" s="9"/>
      <c r="M3253" s="2"/>
      <c r="N3253" s="9"/>
      <c r="P3253" s="3">
        <v>-1942.4515159</v>
      </c>
      <c r="S3253" s="9"/>
      <c r="T3253" s="2"/>
      <c r="U3253" s="9"/>
    </row>
    <row r="3254" spans="2:21" x14ac:dyDescent="0.35">
      <c r="B3254" s="9"/>
      <c r="C3254" s="2"/>
      <c r="D3254" s="2"/>
      <c r="I3254" s="9"/>
      <c r="J3254" s="2"/>
      <c r="L3254" s="9"/>
      <c r="M3254" s="2"/>
      <c r="N3254" s="9"/>
      <c r="P3254" s="3">
        <v>-1507.6915159</v>
      </c>
      <c r="S3254" s="9"/>
      <c r="T3254" s="2"/>
      <c r="U3254" s="9"/>
    </row>
    <row r="3255" spans="2:21" x14ac:dyDescent="0.35">
      <c r="B3255" s="9"/>
      <c r="C3255" s="2"/>
      <c r="D3255" s="2"/>
      <c r="I3255" s="9"/>
      <c r="J3255" s="2"/>
      <c r="L3255" s="9"/>
      <c r="M3255" s="2"/>
      <c r="N3255" s="9"/>
      <c r="P3255" s="3">
        <v>-1072.9315159</v>
      </c>
      <c r="S3255" s="9"/>
      <c r="T3255" s="2"/>
      <c r="U3255" s="9"/>
    </row>
    <row r="3256" spans="2:21" x14ac:dyDescent="0.35">
      <c r="B3256" s="9"/>
      <c r="C3256" s="2"/>
      <c r="D3256" s="2"/>
      <c r="I3256" s="9"/>
      <c r="J3256" s="2"/>
      <c r="L3256" s="9"/>
      <c r="M3256" s="2"/>
      <c r="N3256" s="9"/>
      <c r="P3256" s="3">
        <v>-638.17151590000003</v>
      </c>
      <c r="S3256" s="9"/>
      <c r="T3256" s="2"/>
      <c r="U3256" s="9"/>
    </row>
    <row r="3257" spans="2:21" x14ac:dyDescent="0.35">
      <c r="B3257" s="9"/>
      <c r="C3257" s="2"/>
      <c r="D3257" s="2"/>
      <c r="I3257" s="9"/>
      <c r="J3257" s="2"/>
      <c r="L3257" s="9"/>
      <c r="M3257" s="2"/>
      <c r="N3257" s="9"/>
      <c r="P3257" s="3">
        <v>-203.41151590000001</v>
      </c>
      <c r="S3257" s="9"/>
      <c r="T3257" s="2"/>
      <c r="U3257" s="9"/>
    </row>
    <row r="3258" spans="2:21" x14ac:dyDescent="0.35">
      <c r="B3258" s="9"/>
      <c r="C3258" s="2"/>
      <c r="D3258" s="2"/>
      <c r="I3258" s="9"/>
      <c r="J3258" s="2"/>
      <c r="L3258" s="9"/>
      <c r="M3258" s="2"/>
      <c r="N3258" s="9"/>
      <c r="P3258" s="3">
        <v>0</v>
      </c>
      <c r="S3258" s="9"/>
      <c r="T3258" s="2"/>
      <c r="U3258" s="9"/>
    </row>
    <row r="3259" spans="2:21" x14ac:dyDescent="0.35">
      <c r="B3259" s="9"/>
      <c r="C3259" s="2"/>
      <c r="D3259" s="2"/>
      <c r="I3259" s="9"/>
      <c r="J3259" s="2"/>
      <c r="L3259" s="9"/>
      <c r="M3259" s="2"/>
      <c r="N3259" s="9"/>
      <c r="P3259" s="3">
        <v>0</v>
      </c>
      <c r="S3259" s="9"/>
      <c r="T3259" s="2"/>
      <c r="U3259" s="9"/>
    </row>
    <row r="3260" spans="2:21" x14ac:dyDescent="0.35">
      <c r="B3260" s="9"/>
      <c r="C3260" s="2"/>
      <c r="D3260" s="2"/>
      <c r="I3260" s="9"/>
      <c r="J3260" s="2"/>
      <c r="L3260" s="9"/>
      <c r="M3260" s="2"/>
      <c r="N3260" s="9"/>
      <c r="P3260" s="3">
        <v>-434.76</v>
      </c>
      <c r="S3260" s="9"/>
      <c r="T3260" s="2"/>
      <c r="U3260" s="9"/>
    </row>
    <row r="3261" spans="2:21" x14ac:dyDescent="0.35">
      <c r="B3261" s="9"/>
      <c r="C3261" s="2"/>
      <c r="D3261" s="2"/>
      <c r="I3261" s="9"/>
      <c r="J3261" s="2"/>
      <c r="L3261" s="9"/>
      <c r="M3261" s="2"/>
      <c r="N3261" s="9"/>
      <c r="P3261" s="3">
        <v>-869.52</v>
      </c>
      <c r="S3261" s="9"/>
      <c r="T3261" s="2"/>
      <c r="U3261" s="9"/>
    </row>
    <row r="3262" spans="2:21" x14ac:dyDescent="0.35">
      <c r="B3262" s="9"/>
      <c r="C3262" s="2"/>
      <c r="D3262" s="2"/>
      <c r="I3262" s="9"/>
      <c r="J3262" s="2"/>
      <c r="L3262" s="9"/>
      <c r="M3262" s="2"/>
      <c r="N3262" s="9"/>
      <c r="P3262" s="3">
        <v>-1304.28</v>
      </c>
      <c r="S3262" s="9"/>
      <c r="T3262" s="2"/>
      <c r="U3262" s="9"/>
    </row>
    <row r="3263" spans="2:21" x14ac:dyDescent="0.35">
      <c r="B3263" s="9"/>
      <c r="C3263" s="2"/>
      <c r="D3263" s="2"/>
      <c r="I3263" s="9"/>
      <c r="J3263" s="2"/>
      <c r="L3263" s="9"/>
      <c r="M3263" s="2"/>
      <c r="N3263" s="9"/>
      <c r="P3263" s="3">
        <v>-1739.04</v>
      </c>
      <c r="S3263" s="9"/>
      <c r="T3263" s="2"/>
      <c r="U3263" s="9"/>
    </row>
    <row r="3264" spans="2:21" x14ac:dyDescent="0.35">
      <c r="B3264" s="9"/>
      <c r="C3264" s="2"/>
      <c r="D3264" s="2"/>
      <c r="I3264" s="9"/>
      <c r="J3264" s="2"/>
      <c r="L3264" s="9"/>
      <c r="M3264" s="2"/>
      <c r="N3264" s="9"/>
      <c r="P3264" s="3">
        <v>-2173.8000000000002</v>
      </c>
      <c r="S3264" s="9"/>
      <c r="T3264" s="2"/>
      <c r="U3264" s="9"/>
    </row>
    <row r="3265" spans="2:21" x14ac:dyDescent="0.35">
      <c r="B3265" s="9"/>
      <c r="C3265" s="2"/>
      <c r="D3265" s="2"/>
      <c r="I3265" s="9"/>
      <c r="J3265" s="2"/>
      <c r="L3265" s="9"/>
      <c r="M3265" s="2"/>
      <c r="N3265" s="9"/>
      <c r="P3265" s="3">
        <v>-2608.56</v>
      </c>
      <c r="S3265" s="9"/>
      <c r="T3265" s="2"/>
      <c r="U3265" s="9"/>
    </row>
    <row r="3266" spans="2:21" x14ac:dyDescent="0.35">
      <c r="B3266" s="9"/>
      <c r="C3266" s="2"/>
      <c r="D3266" s="2"/>
      <c r="I3266" s="9"/>
      <c r="J3266" s="2"/>
      <c r="L3266" s="9"/>
      <c r="M3266" s="2"/>
      <c r="N3266" s="9"/>
      <c r="P3266" s="3">
        <v>-2178.2577182300001</v>
      </c>
      <c r="S3266" s="9"/>
      <c r="T3266" s="2"/>
      <c r="U3266" s="9"/>
    </row>
    <row r="3267" spans="2:21" x14ac:dyDescent="0.35">
      <c r="B3267" s="9"/>
      <c r="C3267" s="2"/>
      <c r="D3267" s="2"/>
      <c r="I3267" s="9"/>
      <c r="J3267" s="2"/>
      <c r="L3267" s="9"/>
      <c r="M3267" s="2"/>
      <c r="N3267" s="9"/>
      <c r="P3267" s="3">
        <v>-2007.3835885999999</v>
      </c>
      <c r="S3267" s="9"/>
      <c r="T3267" s="2"/>
      <c r="U3267" s="9"/>
    </row>
    <row r="3268" spans="2:21" x14ac:dyDescent="0.35">
      <c r="B3268" s="9"/>
      <c r="C3268" s="2"/>
      <c r="D3268" s="2"/>
      <c r="I3268" s="9"/>
      <c r="J3268" s="2"/>
      <c r="L3268" s="9"/>
      <c r="M3268" s="2"/>
      <c r="N3268" s="9"/>
      <c r="P3268" s="3">
        <v>-1896.2509388599999</v>
      </c>
      <c r="S3268" s="9"/>
      <c r="T3268" s="2"/>
      <c r="U3268" s="9"/>
    </row>
    <row r="3269" spans="2:21" x14ac:dyDescent="0.35">
      <c r="B3269" s="9"/>
      <c r="C3269" s="2"/>
      <c r="D3269" s="2"/>
      <c r="I3269" s="9"/>
      <c r="J3269" s="2"/>
      <c r="L3269" s="9"/>
      <c r="M3269" s="2"/>
      <c r="N3269" s="9"/>
      <c r="P3269" s="3">
        <v>-2097.45570886</v>
      </c>
      <c r="S3269" s="9"/>
      <c r="T3269" s="2"/>
      <c r="U3269" s="9"/>
    </row>
    <row r="3270" spans="2:21" x14ac:dyDescent="0.35">
      <c r="B3270" s="9"/>
      <c r="C3270" s="2"/>
      <c r="D3270" s="2"/>
      <c r="I3270" s="9"/>
      <c r="J3270" s="2"/>
      <c r="L3270" s="9"/>
      <c r="M3270" s="2"/>
      <c r="N3270" s="9"/>
      <c r="P3270" s="3">
        <v>-2420.0988788599998</v>
      </c>
      <c r="S3270" s="9"/>
      <c r="T3270" s="2"/>
      <c r="U3270" s="9"/>
    </row>
    <row r="3271" spans="2:21" x14ac:dyDescent="0.35">
      <c r="B3271" s="9"/>
      <c r="C3271" s="2"/>
      <c r="D3271" s="2"/>
      <c r="I3271" s="9"/>
      <c r="J3271" s="2"/>
      <c r="L3271" s="9"/>
      <c r="M3271" s="2"/>
      <c r="N3271" s="9"/>
      <c r="P3271" s="3">
        <v>-2854.85887886</v>
      </c>
      <c r="S3271" s="9"/>
      <c r="T3271" s="2"/>
      <c r="U3271" s="9"/>
    </row>
    <row r="3272" spans="2:21" x14ac:dyDescent="0.35">
      <c r="B3272" s="9"/>
      <c r="C3272" s="2"/>
      <c r="D3272" s="2"/>
      <c r="I3272" s="9"/>
      <c r="J3272" s="2"/>
      <c r="L3272" s="9"/>
      <c r="M3272" s="2"/>
      <c r="N3272" s="9"/>
      <c r="P3272" s="3">
        <v>-2860.169492</v>
      </c>
      <c r="S3272" s="9"/>
      <c r="T3272" s="2"/>
      <c r="U3272" s="9"/>
    </row>
    <row r="3273" spans="2:21" x14ac:dyDescent="0.35">
      <c r="B3273" s="9"/>
      <c r="C3273" s="2"/>
      <c r="D3273" s="2"/>
      <c r="I3273" s="9"/>
      <c r="J3273" s="2"/>
      <c r="L3273" s="9"/>
      <c r="M3273" s="2"/>
      <c r="N3273" s="9"/>
      <c r="P3273" s="3">
        <v>-2860.169492</v>
      </c>
      <c r="S3273" s="9"/>
      <c r="T3273" s="2"/>
      <c r="U3273" s="9"/>
    </row>
    <row r="3274" spans="2:21" x14ac:dyDescent="0.35">
      <c r="B3274" s="9"/>
      <c r="C3274" s="2"/>
      <c r="D3274" s="2"/>
      <c r="I3274" s="9"/>
      <c r="J3274" s="2"/>
      <c r="L3274" s="9"/>
      <c r="M3274" s="2"/>
      <c r="N3274" s="9"/>
      <c r="P3274" s="3">
        <v>-2860.169492</v>
      </c>
      <c r="S3274" s="9"/>
      <c r="T3274" s="2"/>
      <c r="U3274" s="9"/>
    </row>
    <row r="3275" spans="2:21" x14ac:dyDescent="0.35">
      <c r="B3275" s="9"/>
      <c r="C3275" s="2"/>
      <c r="D3275" s="2"/>
      <c r="I3275" s="9"/>
      <c r="J3275" s="2"/>
      <c r="L3275" s="9"/>
      <c r="M3275" s="2"/>
      <c r="N3275" s="9"/>
      <c r="P3275" s="3">
        <v>-2860.169492</v>
      </c>
      <c r="S3275" s="9"/>
      <c r="T3275" s="2"/>
      <c r="U3275" s="9"/>
    </row>
    <row r="3276" spans="2:21" x14ac:dyDescent="0.35">
      <c r="B3276" s="9"/>
      <c r="C3276" s="2"/>
      <c r="D3276" s="2"/>
      <c r="I3276" s="9"/>
      <c r="J3276" s="2"/>
      <c r="L3276" s="9"/>
      <c r="M3276" s="2"/>
      <c r="N3276" s="9"/>
      <c r="P3276" s="3">
        <v>-2860.169492</v>
      </c>
      <c r="S3276" s="9"/>
      <c r="T3276" s="2"/>
      <c r="U3276" s="9"/>
    </row>
    <row r="3277" spans="2:21" x14ac:dyDescent="0.35">
      <c r="B3277" s="9"/>
      <c r="C3277" s="2"/>
      <c r="D3277" s="2"/>
      <c r="I3277" s="9"/>
      <c r="J3277" s="2"/>
      <c r="L3277" s="9"/>
      <c r="M3277" s="2"/>
      <c r="N3277" s="9"/>
      <c r="P3277" s="3">
        <v>-2425.4094919999998</v>
      </c>
      <c r="S3277" s="9"/>
      <c r="T3277" s="2"/>
      <c r="U3277" s="9"/>
    </row>
    <row r="3278" spans="2:21" x14ac:dyDescent="0.35">
      <c r="B3278" s="9"/>
      <c r="C3278" s="2"/>
      <c r="D3278" s="2"/>
      <c r="I3278" s="9"/>
      <c r="J3278" s="2"/>
      <c r="L3278" s="9"/>
      <c r="M3278" s="2"/>
      <c r="N3278" s="9"/>
      <c r="P3278" s="3">
        <v>-1990.649492</v>
      </c>
      <c r="S3278" s="9"/>
      <c r="T3278" s="2"/>
      <c r="U3278" s="9"/>
    </row>
    <row r="3279" spans="2:21" x14ac:dyDescent="0.35">
      <c r="B3279" s="9"/>
      <c r="C3279" s="2"/>
      <c r="D3279" s="2"/>
      <c r="I3279" s="9"/>
      <c r="J3279" s="2"/>
      <c r="L3279" s="9"/>
      <c r="M3279" s="2"/>
      <c r="N3279" s="9"/>
      <c r="P3279" s="3">
        <v>-1555.889492</v>
      </c>
      <c r="S3279" s="9"/>
      <c r="T3279" s="2"/>
      <c r="U3279" s="9"/>
    </row>
    <row r="3280" spans="2:21" x14ac:dyDescent="0.35">
      <c r="B3280" s="9"/>
      <c r="C3280" s="2"/>
      <c r="D3280" s="2"/>
      <c r="I3280" s="9"/>
      <c r="J3280" s="2"/>
      <c r="L3280" s="9"/>
      <c r="M3280" s="2"/>
      <c r="N3280" s="9"/>
      <c r="P3280" s="3">
        <v>-1121.129492</v>
      </c>
      <c r="S3280" s="9"/>
      <c r="T3280" s="2"/>
      <c r="U3280" s="9"/>
    </row>
    <row r="3281" spans="2:21" x14ac:dyDescent="0.35">
      <c r="B3281" s="9"/>
      <c r="C3281" s="2"/>
      <c r="D3281" s="2"/>
      <c r="I3281" s="9"/>
      <c r="J3281" s="2"/>
      <c r="L3281" s="9"/>
      <c r="M3281" s="2"/>
      <c r="N3281" s="9"/>
      <c r="P3281" s="3">
        <v>-686.36949200000004</v>
      </c>
      <c r="S3281" s="9"/>
      <c r="T3281" s="2"/>
      <c r="U3281" s="9"/>
    </row>
    <row r="3282" spans="2:21" x14ac:dyDescent="0.35">
      <c r="B3282" s="9"/>
      <c r="C3282" s="2"/>
      <c r="D3282" s="2"/>
      <c r="I3282" s="9"/>
      <c r="J3282" s="2"/>
      <c r="L3282" s="9"/>
      <c r="M3282" s="2"/>
      <c r="N3282" s="9"/>
      <c r="P3282" s="3">
        <v>-251.60949199999999</v>
      </c>
      <c r="S3282" s="9"/>
      <c r="T3282" s="2"/>
      <c r="U3282" s="9"/>
    </row>
    <row r="3283" spans="2:21" x14ac:dyDescent="0.35">
      <c r="B3283" s="9"/>
      <c r="C3283" s="2"/>
      <c r="D3283" s="2"/>
      <c r="I3283" s="9"/>
      <c r="J3283" s="2"/>
      <c r="L3283" s="9"/>
      <c r="M3283" s="2"/>
      <c r="N3283" s="9"/>
      <c r="P3283" s="3">
        <v>0</v>
      </c>
      <c r="S3283" s="9"/>
      <c r="T3283" s="2"/>
      <c r="U3283" s="9"/>
    </row>
    <row r="3284" spans="2:21" x14ac:dyDescent="0.35">
      <c r="B3284" s="9"/>
      <c r="C3284" s="2"/>
      <c r="D3284" s="2"/>
      <c r="I3284" s="9"/>
      <c r="J3284" s="2"/>
      <c r="L3284" s="9"/>
      <c r="M3284" s="2"/>
      <c r="N3284" s="9"/>
      <c r="P3284" s="3">
        <v>0</v>
      </c>
      <c r="S3284" s="9"/>
      <c r="T3284" s="2"/>
      <c r="U3284" s="9"/>
    </row>
    <row r="3285" spans="2:21" x14ac:dyDescent="0.35">
      <c r="B3285" s="9"/>
      <c r="C3285" s="2"/>
      <c r="D3285" s="2"/>
      <c r="I3285" s="9"/>
      <c r="J3285" s="2"/>
      <c r="L3285" s="9"/>
      <c r="M3285" s="2"/>
      <c r="N3285" s="9"/>
      <c r="P3285" s="3">
        <v>-168.82275823000001</v>
      </c>
      <c r="S3285" s="9"/>
      <c r="T3285" s="2"/>
      <c r="U3285" s="9"/>
    </row>
    <row r="3286" spans="2:21" x14ac:dyDescent="0.35">
      <c r="B3286" s="9"/>
      <c r="C3286" s="2"/>
      <c r="D3286" s="2"/>
      <c r="I3286" s="9"/>
      <c r="J3286" s="2"/>
      <c r="L3286" s="9"/>
      <c r="M3286" s="2"/>
      <c r="N3286" s="9"/>
      <c r="P3286" s="3">
        <v>-603.58275822999997</v>
      </c>
      <c r="S3286" s="9"/>
      <c r="T3286" s="2"/>
      <c r="U3286" s="9"/>
    </row>
    <row r="3287" spans="2:21" x14ac:dyDescent="0.35">
      <c r="B3287" s="9"/>
      <c r="C3287" s="2"/>
      <c r="D3287" s="2"/>
      <c r="I3287" s="9"/>
      <c r="J3287" s="2"/>
      <c r="L3287" s="9"/>
      <c r="M3287" s="2"/>
      <c r="N3287" s="9"/>
      <c r="P3287" s="3">
        <v>-1038.3427582300001</v>
      </c>
      <c r="S3287" s="9"/>
      <c r="T3287" s="2"/>
      <c r="U3287" s="9"/>
    </row>
    <row r="3288" spans="2:21" x14ac:dyDescent="0.35">
      <c r="B3288" s="9"/>
      <c r="C3288" s="2"/>
      <c r="D3288" s="2"/>
      <c r="I3288" s="9"/>
      <c r="J3288" s="2"/>
      <c r="L3288" s="9"/>
      <c r="M3288" s="2"/>
      <c r="N3288" s="9"/>
      <c r="P3288" s="3">
        <v>-1473.1027582300001</v>
      </c>
      <c r="S3288" s="9"/>
      <c r="T3288" s="2"/>
      <c r="U3288" s="9"/>
    </row>
    <row r="3289" spans="2:21" x14ac:dyDescent="0.35">
      <c r="B3289" s="9"/>
      <c r="C3289" s="2"/>
      <c r="D3289" s="2"/>
      <c r="I3289" s="9"/>
      <c r="J3289" s="2"/>
      <c r="L3289" s="9"/>
      <c r="M3289" s="2"/>
      <c r="N3289" s="9"/>
      <c r="P3289" s="3">
        <v>-1907.8627582300001</v>
      </c>
      <c r="S3289" s="9"/>
      <c r="T3289" s="2"/>
      <c r="U3289" s="9"/>
    </row>
    <row r="3290" spans="2:21" x14ac:dyDescent="0.35">
      <c r="B3290" s="9"/>
      <c r="C3290" s="2"/>
      <c r="D3290" s="2"/>
      <c r="I3290" s="9"/>
      <c r="J3290" s="2"/>
      <c r="L3290" s="9"/>
      <c r="M3290" s="2"/>
      <c r="N3290" s="9"/>
      <c r="P3290" s="3">
        <v>-1473.1027582300001</v>
      </c>
      <c r="S3290" s="9"/>
      <c r="T3290" s="2"/>
      <c r="U3290" s="9"/>
    </row>
    <row r="3291" spans="2:21" x14ac:dyDescent="0.35">
      <c r="B3291" s="9"/>
      <c r="C3291" s="2"/>
      <c r="D3291" s="2"/>
      <c r="I3291" s="9"/>
      <c r="J3291" s="2"/>
      <c r="L3291" s="9"/>
      <c r="M3291" s="2"/>
      <c r="N3291" s="9"/>
      <c r="P3291" s="3">
        <v>-1143.1964386</v>
      </c>
      <c r="S3291" s="9"/>
      <c r="T3291" s="2"/>
      <c r="U3291" s="9"/>
    </row>
    <row r="3292" spans="2:21" x14ac:dyDescent="0.35">
      <c r="B3292" s="9"/>
      <c r="C3292" s="2"/>
      <c r="D3292" s="2"/>
      <c r="I3292" s="9"/>
      <c r="J3292" s="2"/>
      <c r="L3292" s="9"/>
      <c r="M3292" s="2"/>
      <c r="N3292" s="9"/>
      <c r="P3292" s="3">
        <v>-877.25254886000005</v>
      </c>
      <c r="S3292" s="9"/>
      <c r="T3292" s="2"/>
      <c r="U3292" s="9"/>
    </row>
    <row r="3293" spans="2:21" x14ac:dyDescent="0.35">
      <c r="B3293" s="9"/>
      <c r="C3293" s="2"/>
      <c r="D3293" s="2"/>
      <c r="I3293" s="9"/>
      <c r="J3293" s="2"/>
      <c r="L3293" s="9"/>
      <c r="M3293" s="2"/>
      <c r="N3293" s="9"/>
      <c r="P3293" s="3">
        <v>-798.29983886000002</v>
      </c>
      <c r="S3293" s="9"/>
      <c r="T3293" s="2"/>
      <c r="U3293" s="9"/>
    </row>
    <row r="3294" spans="2:21" x14ac:dyDescent="0.35">
      <c r="B3294" s="9"/>
      <c r="C3294" s="2"/>
      <c r="D3294" s="2"/>
      <c r="I3294" s="9"/>
      <c r="J3294" s="2"/>
      <c r="L3294" s="9"/>
      <c r="M3294" s="2"/>
      <c r="N3294" s="9"/>
      <c r="P3294" s="3">
        <v>-751.55982886000004</v>
      </c>
      <c r="S3294" s="9"/>
      <c r="T3294" s="2"/>
      <c r="U3294" s="9"/>
    </row>
    <row r="3295" spans="2:21" x14ac:dyDescent="0.35">
      <c r="B3295" s="9"/>
      <c r="C3295" s="2"/>
      <c r="D3295" s="2"/>
      <c r="I3295" s="9"/>
      <c r="J3295" s="2"/>
      <c r="L3295" s="9"/>
      <c r="M3295" s="2"/>
      <c r="N3295" s="9"/>
      <c r="P3295" s="3">
        <v>-745.90893886000003</v>
      </c>
      <c r="S3295" s="9"/>
      <c r="T3295" s="2"/>
      <c r="U3295" s="9"/>
    </row>
    <row r="3296" spans="2:21" x14ac:dyDescent="0.35">
      <c r="B3296" s="9"/>
      <c r="C3296" s="2"/>
      <c r="D3296" s="2"/>
      <c r="I3296" s="9"/>
      <c r="J3296" s="2"/>
      <c r="L3296" s="9"/>
      <c r="M3296" s="2"/>
      <c r="N3296" s="9"/>
      <c r="P3296" s="3">
        <v>-794.07178885999997</v>
      </c>
      <c r="S3296" s="9"/>
      <c r="T3296" s="2"/>
      <c r="U3296" s="9"/>
    </row>
    <row r="3297" spans="2:21" x14ac:dyDescent="0.35">
      <c r="B3297" s="9"/>
      <c r="C3297" s="2"/>
      <c r="D3297" s="2"/>
      <c r="I3297" s="9"/>
      <c r="J3297" s="2"/>
      <c r="L3297" s="9"/>
      <c r="M3297" s="2"/>
      <c r="N3297" s="9"/>
      <c r="P3297" s="3">
        <v>-833.70114885999999</v>
      </c>
      <c r="S3297" s="9"/>
      <c r="T3297" s="2"/>
      <c r="U3297" s="9"/>
    </row>
    <row r="3298" spans="2:21" x14ac:dyDescent="0.35">
      <c r="B3298" s="9"/>
      <c r="C3298" s="2"/>
      <c r="D3298" s="2"/>
      <c r="I3298" s="9"/>
      <c r="J3298" s="2"/>
      <c r="L3298" s="9"/>
      <c r="M3298" s="2"/>
      <c r="N3298" s="9"/>
      <c r="P3298" s="3">
        <v>-887.04557885999998</v>
      </c>
      <c r="S3298" s="9"/>
      <c r="T3298" s="2"/>
      <c r="U3298" s="9"/>
    </row>
    <row r="3299" spans="2:21" x14ac:dyDescent="0.35">
      <c r="B3299" s="9"/>
      <c r="C3299" s="2"/>
      <c r="D3299" s="2"/>
      <c r="I3299" s="9"/>
      <c r="J3299" s="2"/>
      <c r="L3299" s="9"/>
      <c r="M3299" s="2"/>
      <c r="N3299" s="9"/>
      <c r="P3299" s="3">
        <v>-808.64818237999998</v>
      </c>
      <c r="S3299" s="9"/>
      <c r="T3299" s="2"/>
      <c r="U3299" s="9"/>
    </row>
    <row r="3300" spans="2:21" x14ac:dyDescent="0.35">
      <c r="B3300" s="9"/>
      <c r="C3300" s="2"/>
      <c r="D3300" s="2"/>
      <c r="I3300" s="9"/>
      <c r="J3300" s="2"/>
      <c r="L3300" s="9"/>
      <c r="M3300" s="2"/>
      <c r="N3300" s="9"/>
      <c r="P3300" s="3">
        <v>-836.35460590000002</v>
      </c>
      <c r="S3300" s="9"/>
      <c r="T3300" s="2"/>
      <c r="U3300" s="9"/>
    </row>
    <row r="3301" spans="2:21" x14ac:dyDescent="0.35">
      <c r="B3301" s="9"/>
      <c r="C3301" s="2"/>
      <c r="D3301" s="2"/>
      <c r="I3301" s="9"/>
      <c r="J3301" s="2"/>
      <c r="L3301" s="9"/>
      <c r="M3301" s="2"/>
      <c r="N3301" s="9"/>
      <c r="P3301" s="3">
        <v>-1271.1146059</v>
      </c>
      <c r="S3301" s="9"/>
      <c r="T3301" s="2"/>
      <c r="U3301" s="9"/>
    </row>
    <row r="3302" spans="2:21" x14ac:dyDescent="0.35">
      <c r="B3302" s="9"/>
      <c r="C3302" s="2"/>
      <c r="D3302" s="2"/>
      <c r="I3302" s="9"/>
      <c r="J3302" s="2"/>
      <c r="L3302" s="9"/>
      <c r="M3302" s="2"/>
      <c r="N3302" s="9"/>
      <c r="P3302" s="3">
        <v>-869.52</v>
      </c>
      <c r="S3302" s="9"/>
      <c r="T3302" s="2"/>
      <c r="U3302" s="9"/>
    </row>
    <row r="3303" spans="2:21" x14ac:dyDescent="0.35">
      <c r="B3303" s="9"/>
      <c r="C3303" s="2"/>
      <c r="D3303" s="2"/>
      <c r="I3303" s="9"/>
      <c r="J3303" s="2"/>
      <c r="L3303" s="9"/>
      <c r="M3303" s="2"/>
      <c r="N3303" s="9"/>
      <c r="P3303" s="3">
        <v>-434.76</v>
      </c>
      <c r="S3303" s="9"/>
      <c r="T3303" s="2"/>
      <c r="U3303" s="9"/>
    </row>
    <row r="3304" spans="2:21" x14ac:dyDescent="0.35">
      <c r="B3304" s="9"/>
      <c r="C3304" s="2"/>
      <c r="D3304" s="2"/>
      <c r="I3304" s="9"/>
      <c r="J3304" s="2"/>
      <c r="L3304" s="9"/>
      <c r="M3304" s="2"/>
      <c r="N3304" s="9"/>
      <c r="P3304" s="3">
        <v>0</v>
      </c>
      <c r="S3304" s="9"/>
      <c r="T3304" s="2"/>
      <c r="U3304" s="9"/>
    </row>
    <row r="3305" spans="2:21" x14ac:dyDescent="0.35">
      <c r="B3305" s="9"/>
      <c r="C3305" s="2"/>
      <c r="D3305" s="2"/>
      <c r="I3305" s="9"/>
      <c r="J3305" s="2"/>
      <c r="L3305" s="9"/>
      <c r="M3305" s="2"/>
      <c r="N3305" s="9"/>
      <c r="P3305" s="3">
        <v>0</v>
      </c>
      <c r="S3305" s="9"/>
      <c r="T3305" s="2"/>
      <c r="U3305" s="9"/>
    </row>
    <row r="3306" spans="2:21" x14ac:dyDescent="0.35">
      <c r="B3306" s="9"/>
      <c r="C3306" s="2"/>
      <c r="D3306" s="2"/>
      <c r="I3306" s="9"/>
      <c r="J3306" s="2"/>
      <c r="L3306" s="9"/>
      <c r="M3306" s="2"/>
      <c r="N3306" s="9"/>
      <c r="P3306" s="3">
        <v>0</v>
      </c>
      <c r="S3306" s="9"/>
      <c r="T3306" s="2"/>
      <c r="U3306" s="9"/>
    </row>
    <row r="3307" spans="2:21" x14ac:dyDescent="0.35">
      <c r="B3307" s="9"/>
      <c r="C3307" s="2"/>
      <c r="D3307" s="2"/>
      <c r="I3307" s="9"/>
      <c r="J3307" s="2"/>
      <c r="L3307" s="9"/>
      <c r="M3307" s="2"/>
      <c r="N3307" s="9"/>
      <c r="P3307" s="3">
        <v>0</v>
      </c>
      <c r="S3307" s="9"/>
      <c r="T3307" s="2"/>
      <c r="U3307" s="9"/>
    </row>
    <row r="3308" spans="2:21" x14ac:dyDescent="0.35">
      <c r="B3308" s="9"/>
      <c r="C3308" s="2"/>
      <c r="D3308" s="2"/>
      <c r="I3308" s="9"/>
      <c r="J3308" s="2"/>
      <c r="L3308" s="9"/>
      <c r="M3308" s="2"/>
      <c r="N3308" s="9"/>
      <c r="P3308" s="3">
        <v>0</v>
      </c>
      <c r="S3308" s="9"/>
      <c r="T3308" s="2"/>
      <c r="U3308" s="9"/>
    </row>
    <row r="3309" spans="2:21" x14ac:dyDescent="0.35">
      <c r="B3309" s="9"/>
      <c r="C3309" s="2"/>
      <c r="D3309" s="2"/>
      <c r="I3309" s="9"/>
      <c r="J3309" s="2"/>
      <c r="L3309" s="9"/>
      <c r="M3309" s="2"/>
      <c r="N3309" s="9"/>
      <c r="P3309" s="3">
        <v>0</v>
      </c>
      <c r="S3309" s="9"/>
      <c r="T3309" s="2"/>
      <c r="U3309" s="9"/>
    </row>
    <row r="3310" spans="2:21" x14ac:dyDescent="0.35">
      <c r="B3310" s="9"/>
      <c r="C3310" s="2"/>
      <c r="D3310" s="2"/>
      <c r="I3310" s="9"/>
      <c r="J3310" s="2"/>
      <c r="L3310" s="9"/>
      <c r="M3310" s="2"/>
      <c r="N3310" s="9"/>
      <c r="P3310" s="3">
        <v>-170.84538773</v>
      </c>
      <c r="S3310" s="9"/>
      <c r="T3310" s="2"/>
      <c r="U3310" s="9"/>
    </row>
    <row r="3311" spans="2:21" x14ac:dyDescent="0.35">
      <c r="B3311" s="9"/>
      <c r="C3311" s="2"/>
      <c r="D3311" s="2"/>
      <c r="I3311" s="9"/>
      <c r="J3311" s="2"/>
      <c r="L3311" s="9"/>
      <c r="M3311" s="2"/>
      <c r="N3311" s="9"/>
      <c r="P3311" s="3">
        <v>-605.60538772999996</v>
      </c>
      <c r="S3311" s="9"/>
      <c r="T3311" s="2"/>
      <c r="U3311" s="9"/>
    </row>
    <row r="3312" spans="2:21" x14ac:dyDescent="0.35">
      <c r="B3312" s="9"/>
      <c r="C3312" s="2"/>
      <c r="D3312" s="2"/>
      <c r="I3312" s="9"/>
      <c r="J3312" s="2"/>
      <c r="L3312" s="9"/>
      <c r="M3312" s="2"/>
      <c r="N3312" s="9"/>
      <c r="P3312" s="3">
        <v>-1040.3653877300001</v>
      </c>
      <c r="S3312" s="9"/>
      <c r="T3312" s="2"/>
      <c r="U3312" s="9"/>
    </row>
    <row r="3313" spans="2:21" x14ac:dyDescent="0.35">
      <c r="B3313" s="9"/>
      <c r="C3313" s="2"/>
      <c r="D3313" s="2"/>
      <c r="I3313" s="9"/>
      <c r="J3313" s="2"/>
      <c r="L3313" s="9"/>
      <c r="M3313" s="2"/>
      <c r="N3313" s="9"/>
      <c r="P3313" s="3">
        <v>-605.60538772999996</v>
      </c>
      <c r="S3313" s="9"/>
      <c r="T3313" s="2"/>
      <c r="U3313" s="9"/>
    </row>
    <row r="3314" spans="2:21" x14ac:dyDescent="0.35">
      <c r="B3314" s="9"/>
      <c r="C3314" s="2"/>
      <c r="D3314" s="2"/>
      <c r="I3314" s="9"/>
      <c r="J3314" s="2"/>
      <c r="L3314" s="9"/>
      <c r="M3314" s="2"/>
      <c r="N3314" s="9"/>
      <c r="P3314" s="3">
        <v>-180.71957823</v>
      </c>
      <c r="S3314" s="9"/>
      <c r="T3314" s="2"/>
      <c r="U3314" s="9"/>
    </row>
    <row r="3315" spans="2:21" x14ac:dyDescent="0.35">
      <c r="B3315" s="9"/>
      <c r="C3315" s="2"/>
      <c r="D3315" s="2"/>
      <c r="I3315" s="9"/>
      <c r="J3315" s="2"/>
      <c r="L3315" s="9"/>
      <c r="M3315" s="2"/>
      <c r="N3315" s="9"/>
      <c r="P3315" s="3">
        <v>-155.20303860000001</v>
      </c>
      <c r="S3315" s="9"/>
      <c r="T3315" s="2"/>
      <c r="U3315" s="9"/>
    </row>
    <row r="3316" spans="2:21" x14ac:dyDescent="0.35">
      <c r="B3316" s="9"/>
      <c r="C3316" s="2"/>
      <c r="D3316" s="2"/>
      <c r="I3316" s="9"/>
      <c r="J3316" s="2"/>
      <c r="L3316" s="9"/>
      <c r="M3316" s="2"/>
      <c r="N3316" s="9"/>
      <c r="P3316" s="3">
        <v>-91.516848859999996</v>
      </c>
      <c r="S3316" s="9"/>
      <c r="T3316" s="2"/>
      <c r="U3316" s="9"/>
    </row>
    <row r="3317" spans="2:21" x14ac:dyDescent="0.35">
      <c r="B3317" s="9"/>
      <c r="C3317" s="2"/>
      <c r="D3317" s="2"/>
      <c r="I3317" s="9"/>
      <c r="J3317" s="2"/>
      <c r="L3317" s="9"/>
      <c r="M3317" s="2"/>
      <c r="N3317" s="9"/>
      <c r="P3317" s="3">
        <v>-95.344458860000003</v>
      </c>
      <c r="S3317" s="9"/>
      <c r="T3317" s="2"/>
      <c r="U3317" s="9"/>
    </row>
    <row r="3318" spans="2:21" x14ac:dyDescent="0.35">
      <c r="B3318" s="9"/>
      <c r="C3318" s="2"/>
      <c r="D3318" s="2"/>
      <c r="I3318" s="9"/>
      <c r="J3318" s="2"/>
      <c r="L3318" s="9"/>
      <c r="M3318" s="2"/>
      <c r="N3318" s="9"/>
      <c r="P3318" s="3">
        <v>187.07896160999999</v>
      </c>
      <c r="S3318" s="9"/>
      <c r="T3318" s="2"/>
      <c r="U3318" s="9"/>
    </row>
    <row r="3319" spans="2:21" x14ac:dyDescent="0.35">
      <c r="B3319" s="9"/>
      <c r="C3319" s="2"/>
      <c r="D3319" s="2"/>
      <c r="I3319" s="9"/>
      <c r="J3319" s="2"/>
      <c r="L3319" s="9"/>
      <c r="M3319" s="2"/>
      <c r="N3319" s="9"/>
      <c r="P3319" s="3">
        <v>177.02252161000001</v>
      </c>
      <c r="S3319" s="9"/>
      <c r="T3319" s="2"/>
      <c r="U3319" s="9"/>
    </row>
    <row r="3320" spans="2:21" x14ac:dyDescent="0.35">
      <c r="B3320" s="9"/>
      <c r="C3320" s="2"/>
      <c r="D3320" s="2"/>
      <c r="I3320" s="9"/>
      <c r="J3320" s="2"/>
      <c r="L3320" s="9"/>
      <c r="M3320" s="2"/>
      <c r="N3320" s="9"/>
      <c r="P3320" s="3">
        <v>176.92738161</v>
      </c>
      <c r="S3320" s="9"/>
      <c r="T3320" s="2"/>
      <c r="U3320" s="9"/>
    </row>
    <row r="3321" spans="2:21" x14ac:dyDescent="0.35">
      <c r="B3321" s="9"/>
      <c r="C3321" s="2"/>
      <c r="D3321" s="2"/>
      <c r="I3321" s="9"/>
      <c r="J3321" s="2"/>
      <c r="L3321" s="9"/>
      <c r="M3321" s="2"/>
      <c r="N3321" s="9"/>
      <c r="P3321" s="3">
        <v>178.09107161</v>
      </c>
      <c r="S3321" s="9"/>
      <c r="T3321" s="2"/>
      <c r="U3321" s="9"/>
    </row>
    <row r="3322" spans="2:21" x14ac:dyDescent="0.35">
      <c r="B3322" s="9"/>
      <c r="C3322" s="2"/>
      <c r="D3322" s="2"/>
      <c r="I3322" s="9"/>
      <c r="J3322" s="2"/>
      <c r="L3322" s="9"/>
      <c r="M3322" s="2"/>
      <c r="N3322" s="9"/>
      <c r="P3322" s="3">
        <v>185.49069161</v>
      </c>
      <c r="S3322" s="9"/>
      <c r="T3322" s="2"/>
      <c r="U3322" s="9"/>
    </row>
    <row r="3323" spans="2:21" x14ac:dyDescent="0.35">
      <c r="B3323" s="9"/>
      <c r="C3323" s="2"/>
      <c r="D3323" s="2"/>
      <c r="I3323" s="9"/>
      <c r="J3323" s="2"/>
      <c r="L3323" s="9"/>
      <c r="M3323" s="2"/>
      <c r="N3323" s="9"/>
      <c r="P3323" s="3">
        <v>215.47186160999999</v>
      </c>
      <c r="S3323" s="9"/>
      <c r="T3323" s="2"/>
      <c r="U3323" s="9"/>
    </row>
    <row r="3324" spans="2:21" x14ac:dyDescent="0.35">
      <c r="B3324" s="9"/>
      <c r="C3324" s="2"/>
      <c r="D3324" s="2"/>
      <c r="I3324" s="9"/>
      <c r="J3324" s="2"/>
      <c r="L3324" s="9"/>
      <c r="M3324" s="2"/>
      <c r="N3324" s="9"/>
      <c r="P3324" s="3">
        <v>174.44735161</v>
      </c>
      <c r="S3324" s="9"/>
      <c r="T3324" s="2"/>
      <c r="U3324" s="9"/>
    </row>
    <row r="3325" spans="2:21" x14ac:dyDescent="0.35">
      <c r="B3325" s="9"/>
      <c r="C3325" s="2"/>
      <c r="D3325" s="2"/>
      <c r="I3325" s="9"/>
      <c r="J3325" s="2"/>
      <c r="L3325" s="9"/>
      <c r="M3325" s="2"/>
      <c r="N3325" s="9"/>
      <c r="P3325" s="3">
        <v>-260.31264838999999</v>
      </c>
      <c r="S3325" s="9"/>
      <c r="T3325" s="2"/>
      <c r="U3325" s="9"/>
    </row>
    <row r="3326" spans="2:21" x14ac:dyDescent="0.35">
      <c r="B3326" s="9"/>
      <c r="C3326" s="2"/>
      <c r="D3326" s="2"/>
      <c r="I3326" s="9"/>
      <c r="J3326" s="2"/>
      <c r="L3326" s="9"/>
      <c r="M3326" s="2"/>
      <c r="N3326" s="9"/>
      <c r="P3326" s="3">
        <v>0</v>
      </c>
      <c r="S3326" s="9"/>
      <c r="T3326" s="2"/>
      <c r="U3326" s="9"/>
    </row>
    <row r="3327" spans="2:21" x14ac:dyDescent="0.35">
      <c r="B3327" s="9"/>
      <c r="C3327" s="2"/>
      <c r="D3327" s="2"/>
      <c r="I3327" s="9"/>
      <c r="J3327" s="2"/>
      <c r="L3327" s="9"/>
      <c r="M3327" s="2"/>
      <c r="N3327" s="9"/>
      <c r="P3327" s="3">
        <v>0</v>
      </c>
      <c r="S3327" s="9"/>
      <c r="T3327" s="2"/>
      <c r="U3327" s="9"/>
    </row>
    <row r="3328" spans="2:21" x14ac:dyDescent="0.35">
      <c r="B3328" s="9"/>
      <c r="C3328" s="2"/>
      <c r="D3328" s="2"/>
      <c r="I3328" s="9"/>
      <c r="J3328" s="2"/>
      <c r="L3328" s="9"/>
      <c r="M3328" s="2"/>
      <c r="N3328" s="9"/>
      <c r="P3328" s="3">
        <v>0</v>
      </c>
      <c r="S3328" s="9"/>
      <c r="T3328" s="2"/>
      <c r="U3328" s="9"/>
    </row>
    <row r="3329" spans="2:21" x14ac:dyDescent="0.35">
      <c r="B3329" s="9"/>
      <c r="C3329" s="2"/>
      <c r="D3329" s="2"/>
      <c r="I3329" s="9"/>
      <c r="J3329" s="2"/>
      <c r="L3329" s="9"/>
      <c r="M3329" s="2"/>
      <c r="N3329" s="9"/>
      <c r="P3329" s="3">
        <v>0</v>
      </c>
      <c r="S3329" s="9"/>
      <c r="T3329" s="2"/>
      <c r="U3329" s="9"/>
    </row>
    <row r="3330" spans="2:21" x14ac:dyDescent="0.35">
      <c r="B3330" s="9"/>
      <c r="C3330" s="2"/>
      <c r="D3330" s="2"/>
      <c r="I3330" s="9"/>
      <c r="J3330" s="2"/>
      <c r="L3330" s="9"/>
      <c r="M3330" s="2"/>
      <c r="N3330" s="9"/>
      <c r="P3330" s="3">
        <v>0</v>
      </c>
      <c r="S3330" s="9"/>
      <c r="T3330" s="2"/>
      <c r="U3330" s="9"/>
    </row>
    <row r="3331" spans="2:21" x14ac:dyDescent="0.35">
      <c r="B3331" s="9"/>
      <c r="C3331" s="2"/>
      <c r="D3331" s="2"/>
      <c r="I3331" s="9"/>
      <c r="J3331" s="2"/>
      <c r="L3331" s="9"/>
      <c r="M3331" s="2"/>
      <c r="N3331" s="9"/>
      <c r="P3331" s="3">
        <v>-103.67276017</v>
      </c>
      <c r="S3331" s="9"/>
      <c r="T3331" s="2"/>
      <c r="U3331" s="9"/>
    </row>
    <row r="3332" spans="2:21" x14ac:dyDescent="0.35">
      <c r="B3332" s="9"/>
      <c r="C3332" s="2"/>
      <c r="D3332" s="2"/>
      <c r="I3332" s="9"/>
      <c r="J3332" s="2"/>
      <c r="L3332" s="9"/>
      <c r="M3332" s="2"/>
      <c r="N3332" s="9"/>
      <c r="P3332" s="3">
        <v>-538.43276017000005</v>
      </c>
      <c r="S3332" s="9"/>
      <c r="T3332" s="2"/>
      <c r="U3332" s="9"/>
    </row>
    <row r="3333" spans="2:21" x14ac:dyDescent="0.35">
      <c r="B3333" s="9"/>
      <c r="C3333" s="2"/>
      <c r="D3333" s="2"/>
      <c r="I3333" s="9"/>
      <c r="J3333" s="2"/>
      <c r="L3333" s="9"/>
      <c r="M3333" s="2"/>
      <c r="N3333" s="9"/>
      <c r="P3333" s="3">
        <v>-973.19276017000004</v>
      </c>
      <c r="S3333" s="9"/>
      <c r="T3333" s="2"/>
      <c r="U3333" s="9"/>
    </row>
    <row r="3334" spans="2:21" x14ac:dyDescent="0.35">
      <c r="B3334" s="9"/>
      <c r="C3334" s="2"/>
      <c r="D3334" s="2"/>
      <c r="I3334" s="9"/>
      <c r="J3334" s="2"/>
      <c r="L3334" s="9"/>
      <c r="M3334" s="2"/>
      <c r="N3334" s="9"/>
      <c r="P3334" s="3">
        <v>-1407.9527601699999</v>
      </c>
      <c r="S3334" s="9"/>
      <c r="T3334" s="2"/>
      <c r="U3334" s="9"/>
    </row>
    <row r="3335" spans="2:21" x14ac:dyDescent="0.35">
      <c r="B3335" s="9"/>
      <c r="C3335" s="2"/>
      <c r="D3335" s="2"/>
      <c r="I3335" s="9"/>
      <c r="J3335" s="2"/>
      <c r="L3335" s="9"/>
      <c r="M3335" s="2"/>
      <c r="N3335" s="9"/>
      <c r="P3335" s="3">
        <v>-1842.7127601699999</v>
      </c>
      <c r="S3335" s="9"/>
      <c r="T3335" s="2"/>
      <c r="U3335" s="9"/>
    </row>
    <row r="3336" spans="2:21" x14ac:dyDescent="0.35">
      <c r="B3336" s="9"/>
      <c r="C3336" s="2"/>
      <c r="D3336" s="2"/>
      <c r="I3336" s="9"/>
      <c r="J3336" s="2"/>
      <c r="L3336" s="9"/>
      <c r="M3336" s="2"/>
      <c r="N3336" s="9"/>
      <c r="P3336" s="3">
        <v>-2277.4727601700001</v>
      </c>
      <c r="S3336" s="9"/>
      <c r="T3336" s="2"/>
      <c r="U3336" s="9"/>
    </row>
    <row r="3337" spans="2:21" x14ac:dyDescent="0.35">
      <c r="B3337" s="9"/>
      <c r="C3337" s="2"/>
      <c r="D3337" s="2"/>
      <c r="I3337" s="9"/>
      <c r="J3337" s="2"/>
      <c r="L3337" s="9"/>
      <c r="M3337" s="2"/>
      <c r="N3337" s="9"/>
      <c r="P3337" s="3">
        <v>-2039.2048483900001</v>
      </c>
      <c r="S3337" s="9"/>
      <c r="T3337" s="2"/>
      <c r="U3337" s="9"/>
    </row>
    <row r="3338" spans="2:21" x14ac:dyDescent="0.35">
      <c r="B3338" s="9"/>
      <c r="C3338" s="2"/>
      <c r="D3338" s="2"/>
      <c r="I3338" s="9"/>
      <c r="J3338" s="2"/>
      <c r="L3338" s="9"/>
      <c r="M3338" s="2"/>
      <c r="N3338" s="9"/>
      <c r="P3338" s="3">
        <v>-1726.6798883900001</v>
      </c>
      <c r="S3338" s="9"/>
      <c r="T3338" s="2"/>
      <c r="U3338" s="9"/>
    </row>
    <row r="3339" spans="2:21" x14ac:dyDescent="0.35">
      <c r="B3339" s="9"/>
      <c r="C3339" s="2"/>
      <c r="D3339" s="2"/>
      <c r="I3339" s="9"/>
      <c r="J3339" s="2"/>
      <c r="L3339" s="9"/>
      <c r="M3339" s="2"/>
      <c r="N3339" s="9"/>
      <c r="P3339" s="3">
        <v>-1703.0517983899999</v>
      </c>
      <c r="S3339" s="9"/>
      <c r="T3339" s="2"/>
      <c r="U3339" s="9"/>
    </row>
    <row r="3340" spans="2:21" x14ac:dyDescent="0.35">
      <c r="B3340" s="9"/>
      <c r="C3340" s="2"/>
      <c r="D3340" s="2"/>
      <c r="I3340" s="9"/>
      <c r="J3340" s="2"/>
      <c r="L3340" s="9"/>
      <c r="M3340" s="2"/>
      <c r="N3340" s="9"/>
      <c r="P3340" s="3">
        <v>-1379.47639839</v>
      </c>
      <c r="S3340" s="9"/>
      <c r="T3340" s="2"/>
      <c r="U3340" s="9"/>
    </row>
    <row r="3341" spans="2:21" x14ac:dyDescent="0.35">
      <c r="B3341" s="9"/>
      <c r="C3341" s="2"/>
      <c r="D3341" s="2"/>
      <c r="I3341" s="9"/>
      <c r="J3341" s="2"/>
      <c r="L3341" s="9"/>
      <c r="M3341" s="2"/>
      <c r="N3341" s="9"/>
      <c r="P3341" s="3">
        <v>-1227.0656683899999</v>
      </c>
      <c r="S3341" s="9"/>
      <c r="T3341" s="2"/>
      <c r="U3341" s="9"/>
    </row>
    <row r="3342" spans="2:21" x14ac:dyDescent="0.35">
      <c r="B3342" s="9"/>
      <c r="C3342" s="2"/>
      <c r="D3342" s="2"/>
      <c r="I3342" s="9"/>
      <c r="J3342" s="2"/>
      <c r="L3342" s="9"/>
      <c r="M3342" s="2"/>
      <c r="N3342" s="9"/>
      <c r="P3342" s="3">
        <v>-981.12237838999999</v>
      </c>
      <c r="S3342" s="9"/>
      <c r="T3342" s="2"/>
      <c r="U3342" s="9"/>
    </row>
    <row r="3343" spans="2:21" x14ac:dyDescent="0.35">
      <c r="B3343" s="9"/>
      <c r="C3343" s="2"/>
      <c r="D3343" s="2"/>
      <c r="I3343" s="9"/>
      <c r="J3343" s="2"/>
      <c r="L3343" s="9"/>
      <c r="M3343" s="2"/>
      <c r="N3343" s="9"/>
      <c r="P3343" s="3">
        <v>-775.19468839000001</v>
      </c>
      <c r="S3343" s="9"/>
      <c r="T3343" s="2"/>
      <c r="U3343" s="9"/>
    </row>
    <row r="3344" spans="2:21" x14ac:dyDescent="0.35">
      <c r="B3344" s="9"/>
      <c r="C3344" s="2"/>
      <c r="D3344" s="2"/>
      <c r="I3344" s="9"/>
      <c r="J3344" s="2"/>
      <c r="L3344" s="9"/>
      <c r="M3344" s="2"/>
      <c r="N3344" s="9"/>
      <c r="P3344" s="3">
        <v>-612.36257838999995</v>
      </c>
      <c r="S3344" s="9"/>
      <c r="T3344" s="2"/>
      <c r="U3344" s="9"/>
    </row>
    <row r="3345" spans="2:21" x14ac:dyDescent="0.35">
      <c r="B3345" s="9"/>
      <c r="C3345" s="2"/>
      <c r="D3345" s="2"/>
      <c r="I3345" s="9"/>
      <c r="J3345" s="2"/>
      <c r="L3345" s="9"/>
      <c r="M3345" s="2"/>
      <c r="N3345" s="9"/>
      <c r="P3345" s="3">
        <v>-504.24448839000001</v>
      </c>
      <c r="S3345" s="9"/>
      <c r="T3345" s="2"/>
      <c r="U3345" s="9"/>
    </row>
    <row r="3346" spans="2:21" x14ac:dyDescent="0.35">
      <c r="B3346" s="9"/>
      <c r="C3346" s="2"/>
      <c r="D3346" s="2"/>
      <c r="I3346" s="9"/>
      <c r="J3346" s="2"/>
      <c r="L3346" s="9"/>
      <c r="M3346" s="2"/>
      <c r="N3346" s="9"/>
      <c r="P3346" s="3">
        <v>-422.42692839</v>
      </c>
      <c r="S3346" s="9"/>
      <c r="T3346" s="2"/>
      <c r="U3346" s="9"/>
    </row>
    <row r="3347" spans="2:21" x14ac:dyDescent="0.35">
      <c r="B3347" s="9"/>
      <c r="C3347" s="2"/>
      <c r="D3347" s="2"/>
      <c r="I3347" s="9"/>
      <c r="J3347" s="2"/>
      <c r="L3347" s="9"/>
      <c r="M3347" s="2"/>
      <c r="N3347" s="9"/>
      <c r="P3347" s="3">
        <v>-364.17568839</v>
      </c>
      <c r="S3347" s="9"/>
      <c r="T3347" s="2"/>
      <c r="U3347" s="9"/>
    </row>
    <row r="3348" spans="2:21" x14ac:dyDescent="0.35">
      <c r="B3348" s="9"/>
      <c r="C3348" s="2"/>
      <c r="D3348" s="2"/>
      <c r="I3348" s="9"/>
      <c r="J3348" s="2"/>
      <c r="L3348" s="9"/>
      <c r="M3348" s="2"/>
      <c r="N3348" s="9"/>
      <c r="P3348" s="3">
        <v>-380.24511839000002</v>
      </c>
      <c r="S3348" s="9"/>
      <c r="T3348" s="2"/>
      <c r="U3348" s="9"/>
    </row>
    <row r="3349" spans="2:21" x14ac:dyDescent="0.35">
      <c r="B3349" s="9"/>
      <c r="C3349" s="2"/>
      <c r="D3349" s="2"/>
      <c r="I3349" s="9"/>
      <c r="J3349" s="2"/>
      <c r="L3349" s="9"/>
      <c r="M3349" s="2"/>
      <c r="N3349" s="9"/>
      <c r="P3349" s="3">
        <v>-815.00511839000001</v>
      </c>
      <c r="S3349" s="9"/>
      <c r="T3349" s="2"/>
      <c r="U3349" s="9"/>
    </row>
    <row r="3350" spans="2:21" x14ac:dyDescent="0.35">
      <c r="B3350" s="9"/>
      <c r="C3350" s="2"/>
      <c r="D3350" s="2"/>
      <c r="I3350" s="9"/>
      <c r="J3350" s="2"/>
      <c r="L3350" s="9"/>
      <c r="M3350" s="2"/>
      <c r="N3350" s="9"/>
      <c r="P3350" s="3">
        <v>-380.24511839000002</v>
      </c>
      <c r="S3350" s="9"/>
      <c r="T3350" s="2"/>
      <c r="U3350" s="9"/>
    </row>
    <row r="3351" spans="2:21" x14ac:dyDescent="0.35">
      <c r="B3351" s="9"/>
      <c r="C3351" s="2"/>
      <c r="D3351" s="2"/>
      <c r="I3351" s="9"/>
      <c r="J3351" s="2"/>
      <c r="L3351" s="9"/>
      <c r="M3351" s="2"/>
      <c r="N3351" s="9"/>
      <c r="P3351" s="3">
        <v>0</v>
      </c>
      <c r="S3351" s="9"/>
      <c r="T3351" s="2"/>
      <c r="U3351" s="9"/>
    </row>
    <row r="3352" spans="2:21" x14ac:dyDescent="0.35">
      <c r="B3352" s="9"/>
      <c r="C3352" s="2"/>
      <c r="D3352" s="2"/>
      <c r="I3352" s="9"/>
      <c r="J3352" s="2"/>
      <c r="L3352" s="9"/>
      <c r="M3352" s="2"/>
      <c r="N3352" s="9"/>
      <c r="P3352" s="3">
        <v>0</v>
      </c>
      <c r="S3352" s="9"/>
      <c r="T3352" s="2"/>
      <c r="U3352" s="9"/>
    </row>
    <row r="3353" spans="2:21" x14ac:dyDescent="0.35">
      <c r="B3353" s="9"/>
      <c r="C3353" s="2"/>
      <c r="D3353" s="2"/>
      <c r="I3353" s="9"/>
      <c r="J3353" s="2"/>
      <c r="L3353" s="9"/>
      <c r="M3353" s="2"/>
      <c r="N3353" s="9"/>
      <c r="P3353" s="3">
        <v>0</v>
      </c>
      <c r="S3353" s="9"/>
      <c r="T3353" s="2"/>
      <c r="U3353" s="9"/>
    </row>
    <row r="3354" spans="2:21" x14ac:dyDescent="0.35">
      <c r="B3354" s="9"/>
      <c r="C3354" s="2"/>
      <c r="D3354" s="2"/>
      <c r="I3354" s="9"/>
      <c r="J3354" s="2"/>
      <c r="L3354" s="9"/>
      <c r="M3354" s="2"/>
      <c r="N3354" s="9"/>
      <c r="P3354" s="3">
        <v>0</v>
      </c>
      <c r="S3354" s="9"/>
      <c r="T3354" s="2"/>
      <c r="U3354" s="9"/>
    </row>
    <row r="3355" spans="2:21" x14ac:dyDescent="0.35">
      <c r="B3355" s="9"/>
      <c r="C3355" s="2"/>
      <c r="D3355" s="2"/>
      <c r="I3355" s="9"/>
      <c r="J3355" s="2"/>
      <c r="L3355" s="9"/>
      <c r="M3355" s="2"/>
      <c r="N3355" s="9"/>
      <c r="P3355" s="3">
        <v>0</v>
      </c>
      <c r="S3355" s="9"/>
      <c r="T3355" s="2"/>
      <c r="U3355" s="9"/>
    </row>
    <row r="3356" spans="2:21" x14ac:dyDescent="0.35">
      <c r="B3356" s="9"/>
      <c r="C3356" s="2"/>
      <c r="D3356" s="2"/>
      <c r="I3356" s="9"/>
      <c r="J3356" s="2"/>
      <c r="L3356" s="9"/>
      <c r="M3356" s="2"/>
      <c r="N3356" s="9"/>
      <c r="P3356" s="3">
        <v>0</v>
      </c>
      <c r="S3356" s="9"/>
      <c r="T3356" s="2"/>
      <c r="U3356" s="9"/>
    </row>
    <row r="3357" spans="2:21" x14ac:dyDescent="0.35">
      <c r="B3357" s="9"/>
      <c r="C3357" s="2"/>
      <c r="D3357" s="2"/>
      <c r="I3357" s="9"/>
      <c r="J3357" s="2"/>
      <c r="L3357" s="9"/>
      <c r="M3357" s="2"/>
      <c r="N3357" s="9"/>
      <c r="P3357" s="3">
        <v>-183.65317838999999</v>
      </c>
      <c r="S3357" s="9"/>
      <c r="T3357" s="2"/>
      <c r="U3357" s="9"/>
    </row>
    <row r="3358" spans="2:21" x14ac:dyDescent="0.35">
      <c r="B3358" s="9"/>
      <c r="C3358" s="2"/>
      <c r="D3358" s="2"/>
      <c r="I3358" s="9"/>
      <c r="J3358" s="2"/>
      <c r="L3358" s="9"/>
      <c r="M3358" s="2"/>
      <c r="N3358" s="9"/>
      <c r="P3358" s="3">
        <v>-618.41317838999998</v>
      </c>
      <c r="S3358" s="9"/>
      <c r="T3358" s="2"/>
      <c r="U3358" s="9"/>
    </row>
    <row r="3359" spans="2:21" x14ac:dyDescent="0.35">
      <c r="B3359" s="9"/>
      <c r="C3359" s="2"/>
      <c r="D3359" s="2"/>
      <c r="I3359" s="9"/>
      <c r="J3359" s="2"/>
      <c r="L3359" s="9"/>
      <c r="M3359" s="2"/>
      <c r="N3359" s="9"/>
      <c r="P3359" s="3">
        <v>-1053.17317839</v>
      </c>
      <c r="S3359" s="9"/>
      <c r="T3359" s="2"/>
      <c r="U3359" s="9"/>
    </row>
    <row r="3360" spans="2:21" x14ac:dyDescent="0.35">
      <c r="B3360" s="9"/>
      <c r="C3360" s="2"/>
      <c r="D3360" s="2"/>
      <c r="I3360" s="9"/>
      <c r="J3360" s="2"/>
      <c r="L3360" s="9"/>
      <c r="M3360" s="2"/>
      <c r="N3360" s="9"/>
      <c r="P3360" s="3">
        <v>-1487.93317839</v>
      </c>
      <c r="S3360" s="9"/>
      <c r="T3360" s="2"/>
      <c r="U3360" s="9"/>
    </row>
    <row r="3361" spans="2:21" x14ac:dyDescent="0.35">
      <c r="B3361" s="9"/>
      <c r="C3361" s="2"/>
      <c r="D3361" s="2"/>
      <c r="I3361" s="9"/>
      <c r="J3361" s="2"/>
      <c r="L3361" s="9"/>
      <c r="M3361" s="2"/>
      <c r="N3361" s="9"/>
      <c r="P3361" s="3">
        <v>-1053.17317839</v>
      </c>
      <c r="S3361" s="9"/>
      <c r="T3361" s="2"/>
      <c r="U3361" s="9"/>
    </row>
    <row r="3362" spans="2:21" x14ac:dyDescent="0.35">
      <c r="B3362" s="9"/>
      <c r="C3362" s="2"/>
      <c r="D3362" s="2"/>
      <c r="I3362" s="9"/>
      <c r="J3362" s="2"/>
      <c r="L3362" s="9"/>
      <c r="M3362" s="2"/>
      <c r="N3362" s="9"/>
      <c r="P3362" s="3">
        <v>-662.12931838999998</v>
      </c>
      <c r="S3362" s="9"/>
      <c r="T3362" s="2"/>
      <c r="U3362" s="9"/>
    </row>
    <row r="3363" spans="2:21" x14ac:dyDescent="0.35">
      <c r="B3363" s="9"/>
      <c r="C3363" s="2"/>
      <c r="D3363" s="2"/>
      <c r="I3363" s="9"/>
      <c r="J3363" s="2"/>
      <c r="L3363" s="9"/>
      <c r="M3363" s="2"/>
      <c r="N3363" s="9"/>
      <c r="P3363" s="3">
        <v>-498.43171839000001</v>
      </c>
      <c r="S3363" s="9"/>
      <c r="T3363" s="2"/>
      <c r="U3363" s="9"/>
    </row>
    <row r="3364" spans="2:21" x14ac:dyDescent="0.35">
      <c r="B3364" s="9"/>
      <c r="C3364" s="2"/>
      <c r="D3364" s="2"/>
      <c r="I3364" s="9"/>
      <c r="J3364" s="2"/>
      <c r="L3364" s="9"/>
      <c r="M3364" s="2"/>
      <c r="N3364" s="9"/>
      <c r="P3364" s="3">
        <v>-186.09419839</v>
      </c>
      <c r="S3364" s="9"/>
      <c r="T3364" s="2"/>
      <c r="U3364" s="9"/>
    </row>
    <row r="3365" spans="2:21" x14ac:dyDescent="0.35">
      <c r="B3365" s="9"/>
      <c r="C3365" s="2"/>
      <c r="D3365" s="2"/>
      <c r="I3365" s="9"/>
      <c r="J3365" s="2"/>
      <c r="L3365" s="9"/>
      <c r="M3365" s="2"/>
      <c r="N3365" s="9"/>
      <c r="P3365" s="3">
        <v>73.473281610000001</v>
      </c>
      <c r="S3365" s="9"/>
      <c r="T3365" s="2"/>
      <c r="U3365" s="9"/>
    </row>
    <row r="3366" spans="2:21" x14ac:dyDescent="0.35">
      <c r="B3366" s="9"/>
      <c r="C3366" s="2"/>
      <c r="D3366" s="2"/>
      <c r="I3366" s="9"/>
      <c r="J3366" s="2"/>
      <c r="L3366" s="9"/>
      <c r="M3366" s="2"/>
      <c r="N3366" s="9"/>
      <c r="P3366" s="3">
        <v>35.257201139999999</v>
      </c>
      <c r="S3366" s="9"/>
      <c r="T3366" s="2"/>
      <c r="U3366" s="9"/>
    </row>
    <row r="3367" spans="2:21" x14ac:dyDescent="0.35">
      <c r="B3367" s="9"/>
      <c r="C3367" s="2"/>
      <c r="D3367" s="2"/>
      <c r="I3367" s="9"/>
      <c r="J3367" s="2"/>
      <c r="L3367" s="9"/>
      <c r="M3367" s="2"/>
      <c r="N3367" s="9"/>
      <c r="P3367" s="3">
        <v>238.88236114</v>
      </c>
      <c r="S3367" s="9"/>
      <c r="T3367" s="2"/>
      <c r="U3367" s="9"/>
    </row>
    <row r="3368" spans="2:21" x14ac:dyDescent="0.35">
      <c r="B3368" s="9"/>
      <c r="C3368" s="2"/>
      <c r="D3368" s="2"/>
      <c r="I3368" s="9"/>
      <c r="J3368" s="2"/>
      <c r="L3368" s="9"/>
      <c r="M3368" s="2"/>
      <c r="N3368" s="9"/>
      <c r="P3368" s="3">
        <v>377.18610114000001</v>
      </c>
      <c r="S3368" s="9"/>
      <c r="T3368" s="2"/>
      <c r="U3368" s="9"/>
    </row>
    <row r="3369" spans="2:21" x14ac:dyDescent="0.35">
      <c r="B3369" s="9"/>
      <c r="C3369" s="2"/>
      <c r="D3369" s="2"/>
      <c r="I3369" s="9"/>
      <c r="J3369" s="2"/>
      <c r="L3369" s="9"/>
      <c r="M3369" s="2"/>
      <c r="N3369" s="9"/>
      <c r="P3369" s="3">
        <v>482.94486114</v>
      </c>
      <c r="S3369" s="9"/>
      <c r="T3369" s="2"/>
      <c r="U3369" s="9"/>
    </row>
    <row r="3370" spans="2:21" x14ac:dyDescent="0.35">
      <c r="B3370" s="9"/>
      <c r="C3370" s="2"/>
      <c r="D3370" s="2"/>
      <c r="I3370" s="9"/>
      <c r="J3370" s="2"/>
      <c r="L3370" s="9"/>
      <c r="M3370" s="2"/>
      <c r="N3370" s="9"/>
      <c r="P3370" s="3">
        <v>544.31726114000003</v>
      </c>
      <c r="S3370" s="9"/>
      <c r="T3370" s="2"/>
      <c r="U3370" s="9"/>
    </row>
    <row r="3371" spans="2:21" x14ac:dyDescent="0.35">
      <c r="B3371" s="9"/>
      <c r="C3371" s="2"/>
      <c r="D3371" s="2"/>
      <c r="I3371" s="9"/>
      <c r="J3371" s="2"/>
      <c r="L3371" s="9"/>
      <c r="M3371" s="2"/>
      <c r="N3371" s="9"/>
      <c r="P3371" s="3">
        <v>662.96597761999999</v>
      </c>
      <c r="S3371" s="9"/>
      <c r="T3371" s="2"/>
      <c r="U3371" s="9"/>
    </row>
    <row r="3372" spans="2:21" x14ac:dyDescent="0.35">
      <c r="B3372" s="9"/>
      <c r="C3372" s="2"/>
      <c r="D3372" s="2"/>
      <c r="I3372" s="9"/>
      <c r="J3372" s="2"/>
      <c r="L3372" s="9"/>
      <c r="M3372" s="2"/>
      <c r="N3372" s="9"/>
      <c r="P3372" s="3">
        <v>682.87286410000002</v>
      </c>
      <c r="S3372" s="9"/>
      <c r="T3372" s="2"/>
      <c r="U3372" s="9"/>
    </row>
    <row r="3373" spans="2:21" x14ac:dyDescent="0.35">
      <c r="B3373" s="9"/>
      <c r="C3373" s="2"/>
      <c r="D3373" s="2"/>
      <c r="I3373" s="9"/>
      <c r="J3373" s="2"/>
      <c r="L3373" s="9"/>
      <c r="M3373" s="2"/>
      <c r="N3373" s="9"/>
      <c r="P3373" s="3">
        <v>248.1128641</v>
      </c>
      <c r="S3373" s="9"/>
      <c r="T3373" s="2"/>
      <c r="U3373" s="9"/>
    </row>
    <row r="3374" spans="2:21" x14ac:dyDescent="0.35">
      <c r="B3374" s="9"/>
      <c r="C3374" s="2"/>
      <c r="D3374" s="2"/>
      <c r="I3374" s="9"/>
      <c r="J3374" s="2"/>
      <c r="L3374" s="9"/>
      <c r="M3374" s="2"/>
      <c r="N3374" s="9"/>
      <c r="P3374" s="3">
        <v>-186.64713589999999</v>
      </c>
      <c r="S3374" s="9"/>
      <c r="T3374" s="2"/>
      <c r="U3374" s="9"/>
    </row>
    <row r="3375" spans="2:21" x14ac:dyDescent="0.35">
      <c r="B3375" s="9"/>
      <c r="C3375" s="2"/>
      <c r="D3375" s="2"/>
      <c r="I3375" s="9"/>
      <c r="J3375" s="2"/>
      <c r="L3375" s="9"/>
      <c r="M3375" s="2"/>
      <c r="N3375" s="9"/>
      <c r="P3375" s="3">
        <v>-621.40713589999996</v>
      </c>
      <c r="S3375" s="9"/>
      <c r="T3375" s="2"/>
      <c r="U3375" s="9"/>
    </row>
    <row r="3376" spans="2:21" x14ac:dyDescent="0.35">
      <c r="B3376" s="9"/>
      <c r="C3376" s="2"/>
      <c r="D3376" s="2"/>
      <c r="I3376" s="9"/>
      <c r="J3376" s="2"/>
      <c r="L3376" s="9"/>
      <c r="M3376" s="2"/>
      <c r="N3376" s="9"/>
      <c r="P3376" s="3">
        <v>-186.64713589999999</v>
      </c>
      <c r="S3376" s="9"/>
      <c r="T3376" s="2"/>
      <c r="U3376" s="9"/>
    </row>
    <row r="3377" spans="2:21" x14ac:dyDescent="0.35">
      <c r="B3377" s="9"/>
      <c r="C3377" s="2"/>
      <c r="D3377" s="2"/>
      <c r="I3377" s="9"/>
      <c r="J3377" s="2"/>
      <c r="L3377" s="9"/>
      <c r="M3377" s="2"/>
      <c r="N3377" s="9"/>
      <c r="P3377" s="3">
        <v>0</v>
      </c>
      <c r="S3377" s="9"/>
      <c r="T3377" s="2"/>
      <c r="U3377" s="9"/>
    </row>
    <row r="3378" spans="2:21" x14ac:dyDescent="0.35">
      <c r="B3378" s="9"/>
      <c r="C3378" s="2"/>
      <c r="D3378" s="2"/>
      <c r="I3378" s="9"/>
      <c r="J3378" s="2"/>
      <c r="L3378" s="9"/>
      <c r="M3378" s="2"/>
      <c r="N3378" s="9"/>
      <c r="P3378" s="3">
        <v>0</v>
      </c>
      <c r="S3378" s="9"/>
      <c r="T3378" s="2"/>
      <c r="U3378" s="9"/>
    </row>
    <row r="3379" spans="2:21" x14ac:dyDescent="0.35">
      <c r="B3379" s="9"/>
      <c r="C3379" s="2"/>
      <c r="D3379" s="2"/>
      <c r="I3379" s="9"/>
      <c r="J3379" s="2"/>
      <c r="L3379" s="9"/>
      <c r="M3379" s="2"/>
      <c r="N3379" s="9"/>
      <c r="P3379" s="3">
        <v>0</v>
      </c>
      <c r="S3379" s="9"/>
      <c r="T3379" s="2"/>
      <c r="U3379" s="9"/>
    </row>
    <row r="3380" spans="2:21" x14ac:dyDescent="0.35">
      <c r="B3380" s="9"/>
      <c r="C3380" s="2"/>
      <c r="D3380" s="2"/>
      <c r="I3380" s="9"/>
      <c r="J3380" s="2"/>
      <c r="L3380" s="9"/>
      <c r="M3380" s="2"/>
      <c r="N3380" s="9"/>
      <c r="P3380" s="3">
        <v>0</v>
      </c>
      <c r="S3380" s="9"/>
      <c r="T3380" s="2"/>
      <c r="U3380" s="9"/>
    </row>
    <row r="3381" spans="2:21" x14ac:dyDescent="0.35">
      <c r="B3381" s="9"/>
      <c r="C3381" s="2"/>
      <c r="D3381" s="2"/>
      <c r="I3381" s="9"/>
      <c r="J3381" s="2"/>
      <c r="L3381" s="9"/>
      <c r="M3381" s="2"/>
      <c r="N3381" s="9"/>
      <c r="P3381" s="3">
        <v>-4.4796406600000003</v>
      </c>
      <c r="S3381" s="9"/>
      <c r="T3381" s="2"/>
      <c r="U3381" s="9"/>
    </row>
    <row r="3382" spans="2:21" x14ac:dyDescent="0.35">
      <c r="B3382" s="9"/>
      <c r="C3382" s="2"/>
      <c r="D3382" s="2"/>
      <c r="I3382" s="9"/>
      <c r="J3382" s="2"/>
      <c r="L3382" s="9"/>
      <c r="M3382" s="2"/>
      <c r="N3382" s="9"/>
      <c r="P3382" s="3">
        <v>-439.23964066000002</v>
      </c>
      <c r="S3382" s="9"/>
      <c r="T3382" s="2"/>
      <c r="U3382" s="9"/>
    </row>
    <row r="3383" spans="2:21" x14ac:dyDescent="0.35">
      <c r="B3383" s="9"/>
      <c r="C3383" s="2"/>
      <c r="D3383" s="2"/>
      <c r="I3383" s="9"/>
      <c r="J3383" s="2"/>
      <c r="L3383" s="9"/>
      <c r="M3383" s="2"/>
      <c r="N3383" s="9"/>
      <c r="P3383" s="3">
        <v>-854.74229773000002</v>
      </c>
      <c r="S3383" s="9"/>
      <c r="T3383" s="2"/>
      <c r="U3383" s="9"/>
    </row>
    <row r="3384" spans="2:21" x14ac:dyDescent="0.35">
      <c r="B3384" s="9"/>
      <c r="C3384" s="2"/>
      <c r="D3384" s="2"/>
      <c r="I3384" s="9"/>
      <c r="J3384" s="2"/>
      <c r="L3384" s="9"/>
      <c r="M3384" s="2"/>
      <c r="N3384" s="9"/>
      <c r="P3384" s="3">
        <v>-419.98229773000003</v>
      </c>
      <c r="S3384" s="9"/>
      <c r="T3384" s="2"/>
      <c r="U3384" s="9"/>
    </row>
    <row r="3385" spans="2:21" x14ac:dyDescent="0.35">
      <c r="B3385" s="9"/>
      <c r="C3385" s="2"/>
      <c r="D3385" s="2"/>
      <c r="I3385" s="9"/>
      <c r="J3385" s="2"/>
      <c r="L3385" s="9"/>
      <c r="M3385" s="2"/>
      <c r="N3385" s="9"/>
      <c r="P3385" s="3">
        <v>14.777702270000001</v>
      </c>
      <c r="S3385" s="9"/>
      <c r="T3385" s="2"/>
      <c r="U3385" s="9"/>
    </row>
    <row r="3386" spans="2:21" x14ac:dyDescent="0.35">
      <c r="B3386" s="9"/>
      <c r="C3386" s="2"/>
      <c r="D3386" s="2"/>
      <c r="I3386" s="9"/>
      <c r="J3386" s="2"/>
      <c r="L3386" s="9"/>
      <c r="M3386" s="2"/>
      <c r="N3386" s="9"/>
      <c r="P3386" s="3">
        <v>386.28003176999999</v>
      </c>
      <c r="S3386" s="9"/>
      <c r="T3386" s="2"/>
      <c r="U3386" s="9"/>
    </row>
    <row r="3387" spans="2:21" x14ac:dyDescent="0.35">
      <c r="B3387" s="9"/>
      <c r="C3387" s="2"/>
      <c r="D3387" s="2"/>
      <c r="I3387" s="9"/>
      <c r="J3387" s="2"/>
      <c r="L3387" s="9"/>
      <c r="M3387" s="2"/>
      <c r="N3387" s="9"/>
      <c r="P3387" s="3">
        <v>343.8602214</v>
      </c>
      <c r="S3387" s="9"/>
      <c r="T3387" s="2"/>
      <c r="U3387" s="9"/>
    </row>
    <row r="3388" spans="2:21" x14ac:dyDescent="0.35">
      <c r="B3388" s="9"/>
      <c r="C3388" s="2"/>
      <c r="D3388" s="2"/>
      <c r="I3388" s="9"/>
      <c r="J3388" s="2"/>
      <c r="L3388" s="9"/>
      <c r="M3388" s="2"/>
      <c r="N3388" s="9"/>
      <c r="P3388" s="3">
        <v>257.71227113999998</v>
      </c>
      <c r="S3388" s="9"/>
      <c r="T3388" s="2"/>
      <c r="U3388" s="9"/>
    </row>
    <row r="3389" spans="2:21" x14ac:dyDescent="0.35">
      <c r="B3389" s="9"/>
      <c r="C3389" s="2"/>
      <c r="D3389" s="2"/>
      <c r="I3389" s="9"/>
      <c r="J3389" s="2"/>
      <c r="L3389" s="9"/>
      <c r="M3389" s="2"/>
      <c r="N3389" s="9"/>
      <c r="P3389" s="3">
        <v>111.49132114</v>
      </c>
      <c r="S3389" s="9"/>
      <c r="T3389" s="2"/>
      <c r="U3389" s="9"/>
    </row>
    <row r="3390" spans="2:21" x14ac:dyDescent="0.35">
      <c r="B3390" s="9"/>
      <c r="C3390" s="2"/>
      <c r="D3390" s="2"/>
      <c r="I3390" s="9"/>
      <c r="J3390" s="2"/>
      <c r="L3390" s="9"/>
      <c r="M3390" s="2"/>
      <c r="N3390" s="9"/>
      <c r="P3390" s="3">
        <v>-59.633588860000003</v>
      </c>
      <c r="S3390" s="9"/>
      <c r="T3390" s="2"/>
      <c r="U3390" s="9"/>
    </row>
    <row r="3391" spans="2:21" x14ac:dyDescent="0.35">
      <c r="B3391" s="9"/>
      <c r="C3391" s="2"/>
      <c r="D3391" s="2"/>
      <c r="I3391" s="9"/>
      <c r="J3391" s="2"/>
      <c r="L3391" s="9"/>
      <c r="M3391" s="2"/>
      <c r="N3391" s="9"/>
      <c r="P3391" s="3">
        <v>-160.33217886</v>
      </c>
      <c r="S3391" s="9"/>
      <c r="T3391" s="2"/>
      <c r="U3391" s="9"/>
    </row>
    <row r="3392" spans="2:21" x14ac:dyDescent="0.35">
      <c r="B3392" s="9"/>
      <c r="C3392" s="2"/>
      <c r="D3392" s="2"/>
      <c r="I3392" s="9"/>
      <c r="J3392" s="2"/>
      <c r="L3392" s="9"/>
      <c r="M3392" s="2"/>
      <c r="N3392" s="9"/>
      <c r="P3392" s="3">
        <v>-251.10496886000001</v>
      </c>
      <c r="S3392" s="9"/>
      <c r="T3392" s="2"/>
      <c r="U3392" s="9"/>
    </row>
    <row r="3393" spans="2:21" x14ac:dyDescent="0.35">
      <c r="B3393" s="9"/>
      <c r="C3393" s="2"/>
      <c r="D3393" s="2"/>
      <c r="I3393" s="9"/>
      <c r="J3393" s="2"/>
      <c r="L3393" s="9"/>
      <c r="M3393" s="2"/>
      <c r="N3393" s="9"/>
      <c r="P3393" s="3">
        <v>-297.86130886000001</v>
      </c>
      <c r="S3393" s="9"/>
      <c r="T3393" s="2"/>
      <c r="U3393" s="9"/>
    </row>
    <row r="3394" spans="2:21" x14ac:dyDescent="0.35">
      <c r="B3394" s="9"/>
      <c r="C3394" s="2"/>
      <c r="D3394" s="2"/>
      <c r="I3394" s="9"/>
      <c r="J3394" s="2"/>
      <c r="L3394" s="9"/>
      <c r="M3394" s="2"/>
      <c r="N3394" s="9"/>
      <c r="P3394" s="3">
        <v>-305.63864885999999</v>
      </c>
      <c r="S3394" s="9"/>
      <c r="T3394" s="2"/>
      <c r="U3394" s="9"/>
    </row>
    <row r="3395" spans="2:21" x14ac:dyDescent="0.35">
      <c r="B3395" s="9"/>
      <c r="C3395" s="2"/>
      <c r="D3395" s="2"/>
      <c r="I3395" s="9"/>
      <c r="J3395" s="2"/>
      <c r="L3395" s="9"/>
      <c r="M3395" s="2"/>
      <c r="N3395" s="9"/>
      <c r="P3395" s="3">
        <v>-217.90688238000001</v>
      </c>
      <c r="S3395" s="9"/>
      <c r="T3395" s="2"/>
      <c r="U3395" s="9"/>
    </row>
    <row r="3396" spans="2:21" x14ac:dyDescent="0.35">
      <c r="B3396" s="9"/>
      <c r="C3396" s="2"/>
      <c r="D3396" s="2"/>
      <c r="I3396" s="9"/>
      <c r="J3396" s="2"/>
      <c r="L3396" s="9"/>
      <c r="M3396" s="2"/>
      <c r="N3396" s="9"/>
      <c r="P3396" s="3">
        <v>-225.7333059</v>
      </c>
      <c r="S3396" s="9"/>
      <c r="T3396" s="2"/>
      <c r="U3396" s="9"/>
    </row>
    <row r="3397" spans="2:21" x14ac:dyDescent="0.35">
      <c r="B3397" s="9"/>
      <c r="C3397" s="2"/>
      <c r="D3397" s="2"/>
      <c r="I3397" s="9"/>
      <c r="J3397" s="2"/>
      <c r="L3397" s="9"/>
      <c r="M3397" s="2"/>
      <c r="N3397" s="9"/>
      <c r="P3397" s="3">
        <v>-660.4933059</v>
      </c>
      <c r="S3397" s="9"/>
      <c r="T3397" s="2"/>
      <c r="U3397" s="9"/>
    </row>
    <row r="3398" spans="2:21" x14ac:dyDescent="0.35">
      <c r="B3398" s="9"/>
      <c r="C3398" s="2"/>
      <c r="D3398" s="2"/>
      <c r="I3398" s="9"/>
      <c r="J3398" s="2"/>
      <c r="L3398" s="9"/>
      <c r="M3398" s="2"/>
      <c r="N3398" s="9"/>
      <c r="P3398" s="3">
        <v>-1095.2533059</v>
      </c>
      <c r="S3398" s="9"/>
      <c r="T3398" s="2"/>
      <c r="U3398" s="9"/>
    </row>
    <row r="3399" spans="2:21" x14ac:dyDescent="0.35">
      <c r="B3399" s="9"/>
      <c r="C3399" s="2"/>
      <c r="D3399" s="2"/>
      <c r="I3399" s="9"/>
      <c r="J3399" s="2"/>
      <c r="L3399" s="9"/>
      <c r="M3399" s="2"/>
      <c r="N3399" s="9"/>
      <c r="P3399" s="3">
        <v>-1530.0133059</v>
      </c>
      <c r="S3399" s="9"/>
      <c r="T3399" s="2"/>
      <c r="U3399" s="9"/>
    </row>
    <row r="3400" spans="2:21" x14ac:dyDescent="0.35">
      <c r="B3400" s="9"/>
      <c r="C3400" s="2"/>
      <c r="D3400" s="2"/>
      <c r="I3400" s="9"/>
      <c r="J3400" s="2"/>
      <c r="L3400" s="9"/>
      <c r="M3400" s="2"/>
      <c r="N3400" s="9"/>
      <c r="P3400" s="3">
        <v>-1095.2533059</v>
      </c>
      <c r="S3400" s="9"/>
      <c r="T3400" s="2"/>
      <c r="U3400" s="9"/>
    </row>
    <row r="3401" spans="2:21" x14ac:dyDescent="0.35">
      <c r="B3401" s="9"/>
      <c r="C3401" s="2"/>
      <c r="D3401" s="2"/>
      <c r="I3401" s="9"/>
      <c r="J3401" s="2"/>
      <c r="L3401" s="9"/>
      <c r="M3401" s="2"/>
      <c r="N3401" s="9"/>
      <c r="P3401" s="3">
        <v>-660.4933059</v>
      </c>
      <c r="S3401" s="9"/>
      <c r="T3401" s="2"/>
      <c r="U3401" s="9"/>
    </row>
    <row r="3402" spans="2:21" x14ac:dyDescent="0.35">
      <c r="B3402" s="9"/>
      <c r="C3402" s="2"/>
      <c r="D3402" s="2"/>
      <c r="I3402" s="9"/>
      <c r="J3402" s="2"/>
      <c r="L3402" s="9"/>
      <c r="M3402" s="2"/>
      <c r="N3402" s="9"/>
      <c r="P3402" s="3">
        <v>-225.7333059</v>
      </c>
      <c r="S3402" s="9"/>
      <c r="T3402" s="2"/>
      <c r="U3402" s="9"/>
    </row>
    <row r="3403" spans="2:21" x14ac:dyDescent="0.35">
      <c r="B3403" s="9"/>
      <c r="C3403" s="2"/>
      <c r="D3403" s="2"/>
      <c r="I3403" s="9"/>
      <c r="J3403" s="2"/>
      <c r="L3403" s="9"/>
      <c r="M3403" s="2"/>
      <c r="N3403" s="9"/>
      <c r="P3403" s="3">
        <v>-431.08383773000003</v>
      </c>
      <c r="S3403" s="9"/>
      <c r="T3403" s="2"/>
      <c r="U3403" s="9"/>
    </row>
    <row r="3404" spans="2:21" x14ac:dyDescent="0.35">
      <c r="B3404" s="9"/>
      <c r="C3404" s="2"/>
      <c r="D3404" s="2"/>
      <c r="I3404" s="9"/>
      <c r="J3404" s="2"/>
      <c r="L3404" s="9"/>
      <c r="M3404" s="2"/>
      <c r="N3404" s="9"/>
      <c r="P3404" s="3">
        <v>-865.84383773000002</v>
      </c>
      <c r="S3404" s="9"/>
      <c r="T3404" s="2"/>
      <c r="U3404" s="9"/>
    </row>
    <row r="3405" spans="2:21" x14ac:dyDescent="0.35">
      <c r="B3405" s="9"/>
      <c r="C3405" s="2"/>
      <c r="D3405" s="2"/>
      <c r="I3405" s="9"/>
      <c r="J3405" s="2"/>
      <c r="L3405" s="9"/>
      <c r="M3405" s="2"/>
      <c r="N3405" s="9"/>
      <c r="P3405" s="3">
        <v>-1300.6038377299999</v>
      </c>
      <c r="S3405" s="9"/>
      <c r="T3405" s="2"/>
      <c r="U3405" s="9"/>
    </row>
    <row r="3406" spans="2:21" x14ac:dyDescent="0.35">
      <c r="B3406" s="9"/>
      <c r="C3406" s="2"/>
      <c r="D3406" s="2"/>
      <c r="I3406" s="9"/>
      <c r="J3406" s="2"/>
      <c r="L3406" s="9"/>
      <c r="M3406" s="2"/>
      <c r="N3406" s="9"/>
      <c r="P3406" s="3">
        <v>-1735.3638377299999</v>
      </c>
      <c r="S3406" s="9"/>
      <c r="T3406" s="2"/>
      <c r="U3406" s="9"/>
    </row>
    <row r="3407" spans="2:21" x14ac:dyDescent="0.35">
      <c r="B3407" s="9"/>
      <c r="C3407" s="2"/>
      <c r="D3407" s="2"/>
      <c r="I3407" s="9"/>
      <c r="J3407" s="2"/>
      <c r="L3407" s="9"/>
      <c r="M3407" s="2"/>
      <c r="N3407" s="9"/>
      <c r="P3407" s="3">
        <v>-1300.6038377299999</v>
      </c>
      <c r="S3407" s="9"/>
      <c r="T3407" s="2"/>
      <c r="U3407" s="9"/>
    </row>
    <row r="3408" spans="2:21" x14ac:dyDescent="0.35">
      <c r="B3408" s="9"/>
      <c r="C3408" s="2"/>
      <c r="D3408" s="2"/>
      <c r="I3408" s="9"/>
      <c r="J3408" s="2"/>
      <c r="L3408" s="9"/>
      <c r="M3408" s="2"/>
      <c r="N3408" s="9"/>
      <c r="P3408" s="3">
        <v>-865.84383773000002</v>
      </c>
      <c r="S3408" s="9"/>
      <c r="T3408" s="2"/>
      <c r="U3408" s="9"/>
    </row>
    <row r="3409" spans="2:21" x14ac:dyDescent="0.35">
      <c r="B3409" s="9"/>
      <c r="C3409" s="2"/>
      <c r="D3409" s="2"/>
      <c r="I3409" s="9"/>
      <c r="J3409" s="2"/>
      <c r="L3409" s="9"/>
      <c r="M3409" s="2"/>
      <c r="N3409" s="9"/>
      <c r="P3409" s="3">
        <v>-431.08383773000003</v>
      </c>
      <c r="S3409" s="9"/>
      <c r="T3409" s="2"/>
      <c r="U3409" s="9"/>
    </row>
    <row r="3410" spans="2:21" x14ac:dyDescent="0.35">
      <c r="B3410" s="9"/>
      <c r="C3410" s="2"/>
      <c r="D3410" s="2"/>
      <c r="I3410" s="9"/>
      <c r="J3410" s="2"/>
      <c r="L3410" s="9"/>
      <c r="M3410" s="2"/>
      <c r="N3410" s="9"/>
      <c r="P3410" s="3">
        <v>-59.96703823</v>
      </c>
      <c r="S3410" s="9"/>
      <c r="T3410" s="2"/>
      <c r="U3410" s="9"/>
    </row>
    <row r="3411" spans="2:21" x14ac:dyDescent="0.35">
      <c r="B3411" s="9"/>
      <c r="C3411" s="2"/>
      <c r="D3411" s="2"/>
      <c r="I3411" s="9"/>
      <c r="J3411" s="2"/>
      <c r="L3411" s="9"/>
      <c r="M3411" s="2"/>
      <c r="N3411" s="9"/>
      <c r="P3411" s="3">
        <v>-139.9181586</v>
      </c>
      <c r="S3411" s="9"/>
      <c r="T3411" s="2"/>
      <c r="U3411" s="9"/>
    </row>
    <row r="3412" spans="2:21" x14ac:dyDescent="0.35">
      <c r="B3412" s="9"/>
      <c r="C3412" s="2"/>
      <c r="D3412" s="2"/>
      <c r="I3412" s="9"/>
      <c r="J3412" s="2"/>
      <c r="L3412" s="9"/>
      <c r="M3412" s="2"/>
      <c r="N3412" s="9"/>
      <c r="P3412" s="3">
        <v>-111.36844886</v>
      </c>
      <c r="S3412" s="9"/>
      <c r="T3412" s="2"/>
      <c r="U3412" s="9"/>
    </row>
    <row r="3413" spans="2:21" x14ac:dyDescent="0.35">
      <c r="B3413" s="9"/>
      <c r="C3413" s="2"/>
      <c r="D3413" s="2"/>
      <c r="I3413" s="9"/>
      <c r="J3413" s="2"/>
      <c r="L3413" s="9"/>
      <c r="M3413" s="2"/>
      <c r="N3413" s="9"/>
      <c r="P3413" s="3">
        <v>-140.11350886</v>
      </c>
      <c r="S3413" s="9"/>
      <c r="T3413" s="2"/>
      <c r="U3413" s="9"/>
    </row>
    <row r="3414" spans="2:21" x14ac:dyDescent="0.35">
      <c r="B3414" s="9"/>
      <c r="C3414" s="2"/>
      <c r="D3414" s="2"/>
      <c r="I3414" s="9"/>
      <c r="J3414" s="2"/>
      <c r="L3414" s="9"/>
      <c r="M3414" s="2"/>
      <c r="N3414" s="9"/>
      <c r="P3414" s="3">
        <v>-110.82032886</v>
      </c>
      <c r="S3414" s="9"/>
      <c r="T3414" s="2"/>
      <c r="U3414" s="9"/>
    </row>
    <row r="3415" spans="2:21" x14ac:dyDescent="0.35">
      <c r="B3415" s="9"/>
      <c r="C3415" s="2"/>
      <c r="D3415" s="2"/>
      <c r="I3415" s="9"/>
      <c r="J3415" s="2"/>
      <c r="L3415" s="9"/>
      <c r="M3415" s="2"/>
      <c r="N3415" s="9"/>
      <c r="P3415" s="3">
        <v>-21.397248860000001</v>
      </c>
      <c r="S3415" s="9"/>
      <c r="T3415" s="2"/>
      <c r="U3415" s="9"/>
    </row>
    <row r="3416" spans="2:21" x14ac:dyDescent="0.35">
      <c r="B3416" s="9"/>
      <c r="C3416" s="2"/>
      <c r="D3416" s="2"/>
      <c r="I3416" s="9"/>
      <c r="J3416" s="2"/>
      <c r="L3416" s="9"/>
      <c r="M3416" s="2"/>
      <c r="N3416" s="9"/>
      <c r="P3416" s="3">
        <v>38.636801140000003</v>
      </c>
      <c r="S3416" s="9"/>
      <c r="T3416" s="2"/>
      <c r="U3416" s="9"/>
    </row>
    <row r="3417" spans="2:21" x14ac:dyDescent="0.35">
      <c r="B3417" s="9"/>
      <c r="C3417" s="2"/>
      <c r="D3417" s="2"/>
      <c r="I3417" s="9"/>
      <c r="J3417" s="2"/>
      <c r="L3417" s="9"/>
      <c r="M3417" s="2"/>
      <c r="N3417" s="9"/>
      <c r="P3417" s="3">
        <v>103.24325114</v>
      </c>
      <c r="S3417" s="9"/>
      <c r="T3417" s="2"/>
      <c r="U3417" s="9"/>
    </row>
    <row r="3418" spans="2:21" x14ac:dyDescent="0.35">
      <c r="B3418" s="9"/>
      <c r="C3418" s="2"/>
      <c r="D3418" s="2"/>
      <c r="I3418" s="9"/>
      <c r="J3418" s="2"/>
      <c r="L3418" s="9"/>
      <c r="M3418" s="2"/>
      <c r="N3418" s="9"/>
      <c r="P3418" s="3">
        <v>120.34502114</v>
      </c>
      <c r="S3418" s="9"/>
      <c r="T3418" s="2"/>
      <c r="U3418" s="9"/>
    </row>
    <row r="3419" spans="2:21" x14ac:dyDescent="0.35">
      <c r="B3419" s="9"/>
      <c r="C3419" s="2"/>
      <c r="D3419" s="2"/>
      <c r="I3419" s="9"/>
      <c r="J3419" s="2"/>
      <c r="L3419" s="9"/>
      <c r="M3419" s="2"/>
      <c r="N3419" s="9"/>
      <c r="P3419" s="3">
        <v>212.21324762</v>
      </c>
      <c r="S3419" s="9"/>
      <c r="T3419" s="2"/>
      <c r="U3419" s="9"/>
    </row>
    <row r="3420" spans="2:21" x14ac:dyDescent="0.35">
      <c r="B3420" s="9"/>
      <c r="C3420" s="2"/>
      <c r="D3420" s="2"/>
      <c r="I3420" s="9"/>
      <c r="J3420" s="2"/>
      <c r="L3420" s="9"/>
      <c r="M3420" s="2"/>
      <c r="N3420" s="9"/>
      <c r="P3420" s="3">
        <v>175.52532410000001</v>
      </c>
      <c r="S3420" s="9"/>
      <c r="T3420" s="2"/>
      <c r="U3420" s="9"/>
    </row>
    <row r="3421" spans="2:21" x14ac:dyDescent="0.35">
      <c r="B3421" s="9"/>
      <c r="C3421" s="2"/>
      <c r="D3421" s="2"/>
      <c r="I3421" s="9"/>
      <c r="J3421" s="2"/>
      <c r="L3421" s="9"/>
      <c r="M3421" s="2"/>
      <c r="N3421" s="9"/>
      <c r="P3421" s="3">
        <v>-259.23467590000001</v>
      </c>
      <c r="S3421" s="9"/>
      <c r="T3421" s="2"/>
      <c r="U3421" s="9"/>
    </row>
    <row r="3422" spans="2:21" x14ac:dyDescent="0.35">
      <c r="B3422" s="9"/>
      <c r="C3422" s="2"/>
      <c r="D3422" s="2"/>
      <c r="I3422" s="9"/>
      <c r="J3422" s="2"/>
      <c r="L3422" s="9"/>
      <c r="M3422" s="2"/>
      <c r="N3422" s="9"/>
      <c r="P3422" s="3">
        <v>-693.99467589999995</v>
      </c>
      <c r="S3422" s="9"/>
      <c r="T3422" s="2"/>
      <c r="U3422" s="9"/>
    </row>
    <row r="3423" spans="2:21" x14ac:dyDescent="0.35">
      <c r="B3423" s="9"/>
      <c r="C3423" s="2"/>
      <c r="D3423" s="2"/>
      <c r="I3423" s="9"/>
      <c r="J3423" s="2"/>
      <c r="L3423" s="9"/>
      <c r="M3423" s="2"/>
      <c r="N3423" s="9"/>
      <c r="P3423" s="3">
        <v>-259.23467590000001</v>
      </c>
      <c r="S3423" s="9"/>
      <c r="T3423" s="2"/>
      <c r="U3423" s="9"/>
    </row>
    <row r="3424" spans="2:21" x14ac:dyDescent="0.35">
      <c r="B3424" s="9"/>
      <c r="C3424" s="2"/>
      <c r="D3424" s="2"/>
      <c r="I3424" s="9"/>
      <c r="J3424" s="2"/>
      <c r="L3424" s="9"/>
      <c r="M3424" s="2"/>
      <c r="N3424" s="9"/>
      <c r="P3424" s="3">
        <v>0</v>
      </c>
      <c r="S3424" s="9"/>
      <c r="T3424" s="2"/>
      <c r="U3424" s="9"/>
    </row>
    <row r="3425" spans="2:21" x14ac:dyDescent="0.35">
      <c r="B3425" s="9"/>
      <c r="C3425" s="2"/>
      <c r="D3425" s="2"/>
      <c r="I3425" s="9"/>
      <c r="J3425" s="2"/>
      <c r="L3425" s="9"/>
      <c r="M3425" s="2"/>
      <c r="N3425" s="9"/>
      <c r="P3425" s="3">
        <v>0</v>
      </c>
      <c r="S3425" s="9"/>
      <c r="T3425" s="2"/>
      <c r="U3425" s="9"/>
    </row>
    <row r="3426" spans="2:21" x14ac:dyDescent="0.35">
      <c r="B3426" s="9"/>
      <c r="C3426" s="2"/>
      <c r="D3426" s="2"/>
      <c r="I3426" s="9"/>
      <c r="J3426" s="2"/>
      <c r="L3426" s="9"/>
      <c r="M3426" s="2"/>
      <c r="N3426" s="9"/>
      <c r="P3426" s="3">
        <v>0</v>
      </c>
      <c r="S3426" s="9"/>
      <c r="T3426" s="2"/>
      <c r="U3426" s="9"/>
    </row>
    <row r="3427" spans="2:21" x14ac:dyDescent="0.35">
      <c r="B3427" s="9"/>
      <c r="C3427" s="2"/>
      <c r="D3427" s="2"/>
      <c r="I3427" s="9"/>
      <c r="J3427" s="2"/>
      <c r="L3427" s="9"/>
      <c r="M3427" s="2"/>
      <c r="N3427" s="9"/>
      <c r="P3427" s="3">
        <v>0</v>
      </c>
      <c r="S3427" s="9"/>
      <c r="T3427" s="2"/>
      <c r="U3427" s="9"/>
    </row>
    <row r="3428" spans="2:21" x14ac:dyDescent="0.35">
      <c r="B3428" s="9"/>
      <c r="C3428" s="2"/>
      <c r="D3428" s="2"/>
      <c r="I3428" s="9"/>
      <c r="J3428" s="2"/>
      <c r="L3428" s="9"/>
      <c r="M3428" s="2"/>
      <c r="N3428" s="9"/>
      <c r="P3428" s="3">
        <v>0</v>
      </c>
      <c r="S3428" s="9"/>
      <c r="T3428" s="2"/>
      <c r="U3428" s="9"/>
    </row>
    <row r="3429" spans="2:21" x14ac:dyDescent="0.35">
      <c r="B3429" s="9"/>
      <c r="C3429" s="2"/>
      <c r="D3429" s="2"/>
      <c r="I3429" s="9"/>
      <c r="J3429" s="2"/>
      <c r="L3429" s="9"/>
      <c r="M3429" s="2"/>
      <c r="N3429" s="9"/>
      <c r="P3429" s="3">
        <v>-338.01796823000001</v>
      </c>
      <c r="S3429" s="9"/>
      <c r="T3429" s="2"/>
      <c r="U3429" s="9"/>
    </row>
    <row r="3430" spans="2:21" x14ac:dyDescent="0.35">
      <c r="B3430" s="9"/>
      <c r="C3430" s="2"/>
      <c r="D3430" s="2"/>
      <c r="I3430" s="9"/>
      <c r="J3430" s="2"/>
      <c r="L3430" s="9"/>
      <c r="M3430" s="2"/>
      <c r="N3430" s="9"/>
      <c r="P3430" s="3">
        <v>-772.77796823000006</v>
      </c>
      <c r="S3430" s="9"/>
      <c r="T3430" s="2"/>
      <c r="U3430" s="9"/>
    </row>
    <row r="3431" spans="2:21" x14ac:dyDescent="0.35">
      <c r="B3431" s="9"/>
      <c r="C3431" s="2"/>
      <c r="D3431" s="2"/>
      <c r="I3431" s="9"/>
      <c r="J3431" s="2"/>
      <c r="L3431" s="9"/>
      <c r="M3431" s="2"/>
      <c r="N3431" s="9"/>
      <c r="P3431" s="3">
        <v>-1207.5379682299999</v>
      </c>
      <c r="S3431" s="9"/>
      <c r="T3431" s="2"/>
      <c r="U3431" s="9"/>
    </row>
    <row r="3432" spans="2:21" x14ac:dyDescent="0.35">
      <c r="B3432" s="9"/>
      <c r="C3432" s="2"/>
      <c r="D3432" s="2"/>
      <c r="I3432" s="9"/>
      <c r="J3432" s="2"/>
      <c r="L3432" s="9"/>
      <c r="M3432" s="2"/>
      <c r="N3432" s="9"/>
      <c r="P3432" s="3">
        <v>-772.77796823000006</v>
      </c>
      <c r="S3432" s="9"/>
      <c r="T3432" s="2"/>
      <c r="U3432" s="9"/>
    </row>
    <row r="3433" spans="2:21" x14ac:dyDescent="0.35">
      <c r="B3433" s="9"/>
      <c r="C3433" s="2"/>
      <c r="D3433" s="2"/>
      <c r="I3433" s="9"/>
      <c r="J3433" s="2"/>
      <c r="L3433" s="9"/>
      <c r="M3433" s="2"/>
      <c r="N3433" s="9"/>
      <c r="P3433" s="3">
        <v>-338.01796823000001</v>
      </c>
      <c r="S3433" s="9"/>
      <c r="T3433" s="2"/>
      <c r="U3433" s="9"/>
    </row>
    <row r="3434" spans="2:21" x14ac:dyDescent="0.35">
      <c r="B3434" s="9"/>
      <c r="C3434" s="2"/>
      <c r="D3434" s="2"/>
      <c r="I3434" s="9"/>
      <c r="J3434" s="2"/>
      <c r="L3434" s="9"/>
      <c r="M3434" s="2"/>
      <c r="N3434" s="9"/>
      <c r="P3434" s="3">
        <v>96.742031769999997</v>
      </c>
      <c r="S3434" s="9"/>
      <c r="T3434" s="2"/>
      <c r="U3434" s="9"/>
    </row>
    <row r="3435" spans="2:21" x14ac:dyDescent="0.35">
      <c r="B3435" s="9"/>
      <c r="C3435" s="2"/>
      <c r="D3435" s="2"/>
      <c r="I3435" s="9"/>
      <c r="J3435" s="2"/>
      <c r="L3435" s="9"/>
      <c r="M3435" s="2"/>
      <c r="N3435" s="9"/>
      <c r="P3435" s="3">
        <v>140.9116914</v>
      </c>
      <c r="S3435" s="9"/>
      <c r="T3435" s="2"/>
      <c r="U3435" s="9"/>
    </row>
    <row r="3436" spans="2:21" x14ac:dyDescent="0.35">
      <c r="B3436" s="9"/>
      <c r="C3436" s="2"/>
      <c r="D3436" s="2"/>
      <c r="I3436" s="9"/>
      <c r="J3436" s="2"/>
      <c r="L3436" s="9"/>
      <c r="M3436" s="2"/>
      <c r="N3436" s="9"/>
      <c r="P3436" s="3">
        <v>168.37865113999999</v>
      </c>
      <c r="S3436" s="9"/>
      <c r="T3436" s="2"/>
      <c r="U3436" s="9"/>
    </row>
    <row r="3437" spans="2:21" x14ac:dyDescent="0.35">
      <c r="B3437" s="9"/>
      <c r="C3437" s="2"/>
      <c r="D3437" s="2"/>
      <c r="I3437" s="9"/>
      <c r="J3437" s="2"/>
      <c r="L3437" s="9"/>
      <c r="M3437" s="2"/>
      <c r="N3437" s="9"/>
      <c r="P3437" s="3">
        <v>108.68966114</v>
      </c>
      <c r="S3437" s="9"/>
      <c r="T3437" s="2"/>
      <c r="U3437" s="9"/>
    </row>
    <row r="3438" spans="2:21" x14ac:dyDescent="0.35">
      <c r="B3438" s="9"/>
      <c r="C3438" s="2"/>
      <c r="D3438" s="2"/>
      <c r="I3438" s="9"/>
      <c r="J3438" s="2"/>
      <c r="L3438" s="9"/>
      <c r="M3438" s="2"/>
      <c r="N3438" s="9"/>
      <c r="P3438" s="3">
        <v>-35.007948859999999</v>
      </c>
      <c r="S3438" s="9"/>
      <c r="T3438" s="2"/>
      <c r="U3438" s="9"/>
    </row>
    <row r="3439" spans="2:21" x14ac:dyDescent="0.35">
      <c r="B3439" s="9"/>
      <c r="C3439" s="2"/>
      <c r="D3439" s="2"/>
      <c r="I3439" s="9"/>
      <c r="J3439" s="2"/>
      <c r="L3439" s="9"/>
      <c r="M3439" s="2"/>
      <c r="N3439" s="9"/>
      <c r="P3439" s="3">
        <v>-254.88074886000001</v>
      </c>
      <c r="S3439" s="9"/>
      <c r="T3439" s="2"/>
      <c r="U3439" s="9"/>
    </row>
    <row r="3440" spans="2:21" x14ac:dyDescent="0.35">
      <c r="B3440" s="9"/>
      <c r="C3440" s="2"/>
      <c r="D3440" s="2"/>
      <c r="I3440" s="9"/>
      <c r="J3440" s="2"/>
      <c r="L3440" s="9"/>
      <c r="M3440" s="2"/>
      <c r="N3440" s="9"/>
      <c r="P3440" s="3">
        <v>-392.05132886000001</v>
      </c>
      <c r="S3440" s="9"/>
      <c r="T3440" s="2"/>
      <c r="U3440" s="9"/>
    </row>
    <row r="3441" spans="2:21" x14ac:dyDescent="0.35">
      <c r="B3441" s="9"/>
      <c r="C3441" s="2"/>
      <c r="D3441" s="2"/>
      <c r="I3441" s="9"/>
      <c r="J3441" s="2"/>
      <c r="L3441" s="9"/>
      <c r="M3441" s="2"/>
      <c r="N3441" s="9"/>
      <c r="P3441" s="3">
        <v>-418.09341885999999</v>
      </c>
      <c r="S3441" s="9"/>
      <c r="T3441" s="2"/>
      <c r="U3441" s="9"/>
    </row>
    <row r="3442" spans="2:21" x14ac:dyDescent="0.35">
      <c r="B3442" s="9"/>
      <c r="C3442" s="2"/>
      <c r="D3442" s="2"/>
      <c r="I3442" s="9"/>
      <c r="J3442" s="2"/>
      <c r="L3442" s="9"/>
      <c r="M3442" s="2"/>
      <c r="N3442" s="9"/>
      <c r="P3442" s="3">
        <v>-338.85386885999998</v>
      </c>
      <c r="S3442" s="9"/>
      <c r="T3442" s="2"/>
      <c r="U3442" s="9"/>
    </row>
    <row r="3443" spans="2:21" x14ac:dyDescent="0.35">
      <c r="B3443" s="9"/>
      <c r="C3443" s="2"/>
      <c r="D3443" s="2"/>
      <c r="I3443" s="9"/>
      <c r="J3443" s="2"/>
      <c r="L3443" s="9"/>
      <c r="M3443" s="2"/>
      <c r="N3443" s="9"/>
      <c r="P3443" s="3">
        <v>-49.259872379999997</v>
      </c>
      <c r="S3443" s="9"/>
      <c r="T3443" s="2"/>
      <c r="U3443" s="9"/>
    </row>
    <row r="3444" spans="2:21" x14ac:dyDescent="0.35">
      <c r="B3444" s="9"/>
      <c r="C3444" s="2"/>
      <c r="D3444" s="2"/>
      <c r="I3444" s="9"/>
      <c r="J3444" s="2"/>
      <c r="L3444" s="9"/>
      <c r="M3444" s="2"/>
      <c r="N3444" s="9"/>
      <c r="P3444" s="3">
        <v>130.65474409999999</v>
      </c>
      <c r="S3444" s="9"/>
      <c r="T3444" s="2"/>
      <c r="U3444" s="9"/>
    </row>
    <row r="3445" spans="2:21" x14ac:dyDescent="0.35">
      <c r="B3445" s="9"/>
      <c r="C3445" s="2"/>
      <c r="D3445" s="2"/>
      <c r="I3445" s="9"/>
      <c r="J3445" s="2"/>
      <c r="L3445" s="9"/>
      <c r="M3445" s="2"/>
      <c r="N3445" s="9"/>
      <c r="P3445" s="3">
        <v>-159.72002345000001</v>
      </c>
      <c r="S3445" s="9"/>
      <c r="T3445" s="2"/>
      <c r="U3445" s="9"/>
    </row>
    <row r="3446" spans="2:21" x14ac:dyDescent="0.35">
      <c r="B3446" s="9"/>
      <c r="C3446" s="2"/>
      <c r="D3446" s="2"/>
      <c r="I3446" s="9"/>
      <c r="J3446" s="2"/>
      <c r="L3446" s="9"/>
      <c r="M3446" s="2"/>
      <c r="N3446" s="9"/>
      <c r="P3446" s="3">
        <v>-594.48002344999998</v>
      </c>
      <c r="S3446" s="9"/>
      <c r="T3446" s="2"/>
      <c r="U3446" s="9"/>
    </row>
    <row r="3447" spans="2:21" x14ac:dyDescent="0.35">
      <c r="B3447" s="9"/>
      <c r="C3447" s="2"/>
      <c r="D3447" s="2"/>
      <c r="I3447" s="9"/>
      <c r="J3447" s="2"/>
      <c r="L3447" s="9"/>
      <c r="M3447" s="2"/>
      <c r="N3447" s="9"/>
      <c r="P3447" s="3">
        <v>-1029.2400234500001</v>
      </c>
      <c r="S3447" s="9"/>
      <c r="T3447" s="2"/>
      <c r="U3447" s="9"/>
    </row>
    <row r="3448" spans="2:21" x14ac:dyDescent="0.35">
      <c r="B3448" s="9"/>
      <c r="C3448" s="2"/>
      <c r="D3448" s="2"/>
      <c r="I3448" s="9"/>
      <c r="J3448" s="2"/>
      <c r="L3448" s="9"/>
      <c r="M3448" s="2"/>
      <c r="N3448" s="9"/>
      <c r="P3448" s="3">
        <v>-594.48002344999998</v>
      </c>
      <c r="S3448" s="9"/>
      <c r="T3448" s="2"/>
      <c r="U3448" s="9"/>
    </row>
    <row r="3449" spans="2:21" x14ac:dyDescent="0.35">
      <c r="B3449" s="9"/>
      <c r="C3449" s="2"/>
      <c r="D3449" s="2"/>
      <c r="I3449" s="9"/>
      <c r="J3449" s="2"/>
      <c r="L3449" s="9"/>
      <c r="M3449" s="2"/>
      <c r="N3449" s="9"/>
      <c r="P3449" s="3">
        <v>-159.72002345000001</v>
      </c>
      <c r="S3449" s="9"/>
      <c r="T3449" s="2"/>
      <c r="U3449" s="9"/>
    </row>
    <row r="3450" spans="2:21" x14ac:dyDescent="0.35">
      <c r="B3450" s="9"/>
      <c r="C3450" s="2"/>
      <c r="D3450" s="2"/>
      <c r="I3450" s="9"/>
      <c r="J3450" s="2"/>
      <c r="L3450" s="9"/>
      <c r="M3450" s="2"/>
      <c r="N3450" s="9"/>
      <c r="P3450" s="3">
        <v>0</v>
      </c>
      <c r="S3450" s="9"/>
      <c r="T3450" s="2"/>
      <c r="U3450" s="9"/>
    </row>
    <row r="3451" spans="2:21" x14ac:dyDescent="0.35">
      <c r="B3451" s="9"/>
      <c r="C3451" s="2"/>
      <c r="D3451" s="2"/>
      <c r="I3451" s="9"/>
      <c r="J3451" s="2"/>
      <c r="L3451" s="9"/>
      <c r="M3451" s="2"/>
      <c r="N3451" s="9"/>
      <c r="P3451" s="3">
        <v>0</v>
      </c>
      <c r="S3451" s="9"/>
      <c r="T3451" s="2"/>
      <c r="U3451" s="9"/>
    </row>
    <row r="3452" spans="2:21" x14ac:dyDescent="0.35">
      <c r="B3452" s="9"/>
      <c r="C3452" s="2"/>
      <c r="D3452" s="2"/>
      <c r="I3452" s="9"/>
      <c r="J3452" s="2"/>
      <c r="L3452" s="9"/>
      <c r="M3452" s="2"/>
      <c r="N3452" s="9"/>
      <c r="P3452" s="3">
        <v>0</v>
      </c>
      <c r="S3452" s="9"/>
      <c r="T3452" s="2"/>
      <c r="U3452" s="9"/>
    </row>
    <row r="3453" spans="2:21" x14ac:dyDescent="0.35">
      <c r="B3453" s="9"/>
      <c r="C3453" s="2"/>
      <c r="D3453" s="2"/>
      <c r="I3453" s="9"/>
      <c r="J3453" s="2"/>
      <c r="L3453" s="9"/>
      <c r="M3453" s="2"/>
      <c r="N3453" s="9"/>
      <c r="P3453" s="3">
        <v>-166.38114823000001</v>
      </c>
      <c r="S3453" s="9"/>
      <c r="T3453" s="2"/>
      <c r="U3453" s="9"/>
    </row>
    <row r="3454" spans="2:21" x14ac:dyDescent="0.35">
      <c r="B3454" s="9"/>
      <c r="C3454" s="2"/>
      <c r="D3454" s="2"/>
      <c r="I3454" s="9"/>
      <c r="J3454" s="2"/>
      <c r="L3454" s="9"/>
      <c r="M3454" s="2"/>
      <c r="N3454" s="9"/>
      <c r="P3454" s="3">
        <v>-601.14114823</v>
      </c>
      <c r="S3454" s="9"/>
      <c r="T3454" s="2"/>
      <c r="U3454" s="9"/>
    </row>
    <row r="3455" spans="2:21" x14ac:dyDescent="0.35">
      <c r="B3455" s="9"/>
      <c r="C3455" s="2"/>
      <c r="D3455" s="2"/>
      <c r="I3455" s="9"/>
      <c r="J3455" s="2"/>
      <c r="L3455" s="9"/>
      <c r="M3455" s="2"/>
      <c r="N3455" s="9"/>
      <c r="P3455" s="3">
        <v>-1035.90114823</v>
      </c>
      <c r="S3455" s="9"/>
      <c r="T3455" s="2"/>
      <c r="U3455" s="9"/>
    </row>
    <row r="3456" spans="2:21" x14ac:dyDescent="0.35">
      <c r="B3456" s="9"/>
      <c r="C3456" s="2"/>
      <c r="D3456" s="2"/>
      <c r="I3456" s="9"/>
      <c r="J3456" s="2"/>
      <c r="L3456" s="9"/>
      <c r="M3456" s="2"/>
      <c r="N3456" s="9"/>
      <c r="P3456" s="3">
        <v>-601.14114823</v>
      </c>
      <c r="S3456" s="9"/>
      <c r="T3456" s="2"/>
      <c r="U3456" s="9"/>
    </row>
    <row r="3457" spans="2:21" x14ac:dyDescent="0.35">
      <c r="B3457" s="9"/>
      <c r="C3457" s="2"/>
      <c r="D3457" s="2"/>
      <c r="I3457" s="9"/>
      <c r="J3457" s="2"/>
      <c r="L3457" s="9"/>
      <c r="M3457" s="2"/>
      <c r="N3457" s="9"/>
      <c r="P3457" s="3">
        <v>-166.38114823000001</v>
      </c>
      <c r="S3457" s="9"/>
      <c r="T3457" s="2"/>
      <c r="U3457" s="9"/>
    </row>
    <row r="3458" spans="2:21" x14ac:dyDescent="0.35">
      <c r="B3458" s="9"/>
      <c r="C3458" s="2"/>
      <c r="D3458" s="2"/>
      <c r="I3458" s="9"/>
      <c r="J3458" s="2"/>
      <c r="L3458" s="9"/>
      <c r="M3458" s="2"/>
      <c r="N3458" s="9"/>
      <c r="P3458" s="3">
        <v>268.37885176999998</v>
      </c>
      <c r="S3458" s="9"/>
      <c r="T3458" s="2"/>
      <c r="U3458" s="9"/>
    </row>
    <row r="3459" spans="2:21" x14ac:dyDescent="0.35">
      <c r="B3459" s="9"/>
      <c r="C3459" s="2"/>
      <c r="D3459" s="2"/>
      <c r="I3459" s="9"/>
      <c r="J3459" s="2"/>
      <c r="L3459" s="9"/>
      <c r="M3459" s="2"/>
      <c r="N3459" s="9"/>
      <c r="P3459" s="3">
        <v>335.28981140000002</v>
      </c>
      <c r="S3459" s="9"/>
      <c r="T3459" s="2"/>
      <c r="U3459" s="9"/>
    </row>
    <row r="3460" spans="2:21" x14ac:dyDescent="0.35">
      <c r="B3460" s="9"/>
      <c r="C3460" s="2"/>
      <c r="D3460" s="2"/>
      <c r="I3460" s="9"/>
      <c r="J3460" s="2"/>
      <c r="L3460" s="9"/>
      <c r="M3460" s="2"/>
      <c r="N3460" s="9"/>
      <c r="P3460" s="3">
        <v>353.42950114000001</v>
      </c>
      <c r="S3460" s="9"/>
      <c r="T3460" s="2"/>
      <c r="U3460" s="9"/>
    </row>
    <row r="3461" spans="2:21" x14ac:dyDescent="0.35">
      <c r="B3461" s="9"/>
      <c r="C3461" s="2"/>
      <c r="D3461" s="2"/>
      <c r="I3461" s="9"/>
      <c r="J3461" s="2"/>
      <c r="L3461" s="9"/>
      <c r="M3461" s="2"/>
      <c r="N3461" s="9"/>
      <c r="P3461" s="3">
        <v>378.26743113999999</v>
      </c>
      <c r="S3461" s="9"/>
      <c r="T3461" s="2"/>
      <c r="U3461" s="9"/>
    </row>
    <row r="3462" spans="2:21" x14ac:dyDescent="0.35">
      <c r="B3462" s="9"/>
      <c r="C3462" s="2"/>
      <c r="D3462" s="2"/>
      <c r="I3462" s="9"/>
      <c r="J3462" s="2"/>
      <c r="L3462" s="9"/>
      <c r="M3462" s="2"/>
      <c r="N3462" s="9"/>
      <c r="P3462" s="3">
        <v>380.16455114000001</v>
      </c>
      <c r="S3462" s="9"/>
      <c r="T3462" s="2"/>
      <c r="U3462" s="9"/>
    </row>
    <row r="3463" spans="2:21" x14ac:dyDescent="0.35">
      <c r="B3463" s="9"/>
      <c r="C3463" s="2"/>
      <c r="D3463" s="2"/>
      <c r="I3463" s="9"/>
      <c r="J3463" s="2"/>
      <c r="L3463" s="9"/>
      <c r="M3463" s="2"/>
      <c r="N3463" s="9"/>
      <c r="P3463" s="3">
        <v>350.18977114</v>
      </c>
      <c r="S3463" s="9"/>
      <c r="T3463" s="2"/>
      <c r="U3463" s="9"/>
    </row>
    <row r="3464" spans="2:21" x14ac:dyDescent="0.35">
      <c r="B3464" s="9"/>
      <c r="C3464" s="2"/>
      <c r="D3464" s="2"/>
      <c r="I3464" s="9"/>
      <c r="J3464" s="2"/>
      <c r="L3464" s="9"/>
      <c r="M3464" s="2"/>
      <c r="N3464" s="9"/>
      <c r="P3464" s="3">
        <v>336.02669114000003</v>
      </c>
      <c r="S3464" s="9"/>
      <c r="T3464" s="2"/>
      <c r="U3464" s="9"/>
    </row>
    <row r="3465" spans="2:21" x14ac:dyDescent="0.35">
      <c r="B3465" s="9"/>
      <c r="C3465" s="2"/>
      <c r="D3465" s="2"/>
      <c r="I3465" s="9"/>
      <c r="J3465" s="2"/>
      <c r="L3465" s="9"/>
      <c r="M3465" s="2"/>
      <c r="N3465" s="9"/>
      <c r="P3465" s="3">
        <v>332.15293114000002</v>
      </c>
      <c r="S3465" s="9"/>
      <c r="T3465" s="2"/>
      <c r="U3465" s="9"/>
    </row>
    <row r="3466" spans="2:21" x14ac:dyDescent="0.35">
      <c r="B3466" s="9"/>
      <c r="C3466" s="2"/>
      <c r="D3466" s="2"/>
      <c r="I3466" s="9"/>
      <c r="J3466" s="2"/>
      <c r="L3466" s="9"/>
      <c r="M3466" s="2"/>
      <c r="N3466" s="9"/>
      <c r="P3466" s="3">
        <v>356.02668113999999</v>
      </c>
      <c r="S3466" s="9"/>
      <c r="T3466" s="2"/>
      <c r="U3466" s="9"/>
    </row>
    <row r="3467" spans="2:21" x14ac:dyDescent="0.35">
      <c r="B3467" s="9"/>
      <c r="C3467" s="2"/>
      <c r="D3467" s="2"/>
      <c r="I3467" s="9"/>
      <c r="J3467" s="2"/>
      <c r="L3467" s="9"/>
      <c r="M3467" s="2"/>
      <c r="N3467" s="9"/>
      <c r="P3467" s="3">
        <v>488.87397762000001</v>
      </c>
      <c r="S3467" s="9"/>
      <c r="T3467" s="2"/>
      <c r="U3467" s="9"/>
    </row>
    <row r="3468" spans="2:21" x14ac:dyDescent="0.35">
      <c r="B3468" s="9"/>
      <c r="C3468" s="2"/>
      <c r="D3468" s="2"/>
      <c r="I3468" s="9"/>
      <c r="J3468" s="2"/>
      <c r="L3468" s="9"/>
      <c r="M3468" s="2"/>
      <c r="N3468" s="9"/>
      <c r="P3468" s="3">
        <v>524.10834409999995</v>
      </c>
      <c r="S3468" s="9"/>
      <c r="T3468" s="2"/>
      <c r="U3468" s="9"/>
    </row>
    <row r="3469" spans="2:21" x14ac:dyDescent="0.35">
      <c r="B3469" s="9"/>
      <c r="C3469" s="2"/>
      <c r="D3469" s="2"/>
      <c r="I3469" s="9"/>
      <c r="J3469" s="2"/>
      <c r="L3469" s="9"/>
      <c r="M3469" s="2"/>
      <c r="N3469" s="9"/>
      <c r="P3469" s="3">
        <v>89.348344100000006</v>
      </c>
      <c r="S3469" s="9"/>
      <c r="T3469" s="2"/>
      <c r="U3469" s="9"/>
    </row>
    <row r="3470" spans="2:21" x14ac:dyDescent="0.35">
      <c r="B3470" s="9"/>
      <c r="C3470" s="2"/>
      <c r="D3470" s="2"/>
      <c r="I3470" s="9"/>
      <c r="J3470" s="2"/>
      <c r="L3470" s="9"/>
      <c r="M3470" s="2"/>
      <c r="N3470" s="9"/>
      <c r="P3470" s="3">
        <v>-345.41165590000003</v>
      </c>
      <c r="S3470" s="9"/>
      <c r="T3470" s="2"/>
      <c r="U3470" s="9"/>
    </row>
    <row r="3471" spans="2:21" x14ac:dyDescent="0.35">
      <c r="B3471" s="9"/>
      <c r="C3471" s="2"/>
      <c r="D3471" s="2"/>
      <c r="I3471" s="9"/>
      <c r="J3471" s="2"/>
      <c r="L3471" s="9"/>
      <c r="M3471" s="2"/>
      <c r="N3471" s="9"/>
      <c r="P3471" s="3">
        <v>-284.54945146</v>
      </c>
      <c r="S3471" s="9"/>
      <c r="T3471" s="2"/>
      <c r="U3471" s="9"/>
    </row>
    <row r="3472" spans="2:21" x14ac:dyDescent="0.35">
      <c r="B3472" s="9"/>
      <c r="C3472" s="2"/>
      <c r="D3472" s="2"/>
      <c r="I3472" s="9"/>
      <c r="J3472" s="2"/>
      <c r="L3472" s="9"/>
      <c r="M3472" s="2"/>
      <c r="N3472" s="9"/>
      <c r="P3472" s="3">
        <v>0</v>
      </c>
      <c r="S3472" s="9"/>
      <c r="T3472" s="2"/>
      <c r="U3472" s="9"/>
    </row>
    <row r="3473" spans="2:21" x14ac:dyDescent="0.35">
      <c r="B3473" s="9"/>
      <c r="C3473" s="2"/>
      <c r="D3473" s="2"/>
      <c r="I3473" s="9"/>
      <c r="J3473" s="2"/>
      <c r="L3473" s="9"/>
      <c r="M3473" s="2"/>
      <c r="N3473" s="9"/>
      <c r="P3473" s="3">
        <v>0</v>
      </c>
      <c r="S3473" s="9"/>
      <c r="T3473" s="2"/>
      <c r="U3473" s="9"/>
    </row>
    <row r="3474" spans="2:21" x14ac:dyDescent="0.35">
      <c r="B3474" s="9"/>
      <c r="C3474" s="2"/>
      <c r="D3474" s="2"/>
      <c r="I3474" s="9"/>
      <c r="J3474" s="2"/>
      <c r="L3474" s="9"/>
      <c r="M3474" s="2"/>
      <c r="N3474" s="9"/>
      <c r="P3474" s="3">
        <v>0</v>
      </c>
      <c r="S3474" s="9"/>
      <c r="T3474" s="2"/>
      <c r="U3474" s="9"/>
    </row>
    <row r="3475" spans="2:21" x14ac:dyDescent="0.35">
      <c r="B3475" s="9"/>
      <c r="C3475" s="2"/>
      <c r="D3475" s="2"/>
      <c r="I3475" s="9"/>
      <c r="J3475" s="2"/>
      <c r="L3475" s="9"/>
      <c r="M3475" s="2"/>
      <c r="N3475" s="9"/>
      <c r="P3475" s="3">
        <v>0</v>
      </c>
      <c r="S3475" s="9"/>
      <c r="T3475" s="2"/>
      <c r="U3475" s="9"/>
    </row>
    <row r="3476" spans="2:21" x14ac:dyDescent="0.35">
      <c r="B3476" s="9"/>
      <c r="C3476" s="2"/>
      <c r="D3476" s="2"/>
      <c r="I3476" s="9"/>
      <c r="J3476" s="2"/>
      <c r="L3476" s="9"/>
      <c r="M3476" s="2"/>
      <c r="N3476" s="9"/>
      <c r="P3476" s="3">
        <v>-300.14632773</v>
      </c>
      <c r="S3476" s="9"/>
      <c r="T3476" s="2"/>
      <c r="U3476" s="9"/>
    </row>
    <row r="3477" spans="2:21" x14ac:dyDescent="0.35">
      <c r="B3477" s="9"/>
      <c r="C3477" s="2"/>
      <c r="D3477" s="2"/>
      <c r="I3477" s="9"/>
      <c r="J3477" s="2"/>
      <c r="L3477" s="9"/>
      <c r="M3477" s="2"/>
      <c r="N3477" s="9"/>
      <c r="P3477" s="3">
        <v>-734.90632773000004</v>
      </c>
      <c r="S3477" s="9"/>
      <c r="T3477" s="2"/>
      <c r="U3477" s="9"/>
    </row>
    <row r="3478" spans="2:21" x14ac:dyDescent="0.35">
      <c r="B3478" s="9"/>
      <c r="C3478" s="2"/>
      <c r="D3478" s="2"/>
      <c r="I3478" s="9"/>
      <c r="J3478" s="2"/>
      <c r="L3478" s="9"/>
      <c r="M3478" s="2"/>
      <c r="N3478" s="9"/>
      <c r="P3478" s="3">
        <v>-1169.6663277299999</v>
      </c>
      <c r="S3478" s="9"/>
      <c r="T3478" s="2"/>
      <c r="U3478" s="9"/>
    </row>
    <row r="3479" spans="2:21" x14ac:dyDescent="0.35">
      <c r="B3479" s="9"/>
      <c r="C3479" s="2"/>
      <c r="D3479" s="2"/>
      <c r="I3479" s="9"/>
      <c r="J3479" s="2"/>
      <c r="L3479" s="9"/>
      <c r="M3479" s="2"/>
      <c r="N3479" s="9"/>
      <c r="P3479" s="3">
        <v>-1604.4263277299999</v>
      </c>
      <c r="S3479" s="9"/>
      <c r="T3479" s="2"/>
      <c r="U3479" s="9"/>
    </row>
    <row r="3480" spans="2:21" x14ac:dyDescent="0.35">
      <c r="B3480" s="9"/>
      <c r="C3480" s="2"/>
      <c r="D3480" s="2"/>
      <c r="I3480" s="9"/>
      <c r="J3480" s="2"/>
      <c r="L3480" s="9"/>
      <c r="M3480" s="2"/>
      <c r="N3480" s="9"/>
      <c r="P3480" s="3">
        <v>-1169.6663277299999</v>
      </c>
      <c r="S3480" s="9"/>
      <c r="T3480" s="2"/>
      <c r="U3480" s="9"/>
    </row>
    <row r="3481" spans="2:21" x14ac:dyDescent="0.35">
      <c r="B3481" s="9"/>
      <c r="C3481" s="2"/>
      <c r="D3481" s="2"/>
      <c r="I3481" s="9"/>
      <c r="J3481" s="2"/>
      <c r="L3481" s="9"/>
      <c r="M3481" s="2"/>
      <c r="N3481" s="9"/>
      <c r="P3481" s="3">
        <v>-734.90632773000004</v>
      </c>
      <c r="S3481" s="9"/>
      <c r="T3481" s="2"/>
      <c r="U3481" s="9"/>
    </row>
    <row r="3482" spans="2:21" x14ac:dyDescent="0.35">
      <c r="B3482" s="9"/>
      <c r="C3482" s="2"/>
      <c r="D3482" s="2"/>
      <c r="I3482" s="9"/>
      <c r="J3482" s="2"/>
      <c r="L3482" s="9"/>
      <c r="M3482" s="2"/>
      <c r="N3482" s="9"/>
      <c r="P3482" s="3">
        <v>-562.94239822999998</v>
      </c>
      <c r="S3482" s="9"/>
      <c r="T3482" s="2"/>
      <c r="U3482" s="9"/>
    </row>
    <row r="3483" spans="2:21" x14ac:dyDescent="0.35">
      <c r="B3483" s="9"/>
      <c r="C3483" s="2"/>
      <c r="D3483" s="2"/>
      <c r="I3483" s="9"/>
      <c r="J3483" s="2"/>
      <c r="L3483" s="9"/>
      <c r="M3483" s="2"/>
      <c r="N3483" s="9"/>
      <c r="P3483" s="3">
        <v>-621.39542859999995</v>
      </c>
      <c r="S3483" s="9"/>
      <c r="T3483" s="2"/>
      <c r="U3483" s="9"/>
    </row>
    <row r="3484" spans="2:21" x14ac:dyDescent="0.35">
      <c r="B3484" s="9"/>
      <c r="C3484" s="2"/>
      <c r="D3484" s="2"/>
      <c r="I3484" s="9"/>
      <c r="J3484" s="2"/>
      <c r="L3484" s="9"/>
      <c r="M3484" s="2"/>
      <c r="N3484" s="9"/>
      <c r="P3484" s="3">
        <v>-521.83861886</v>
      </c>
      <c r="S3484" s="9"/>
      <c r="T3484" s="2"/>
      <c r="U3484" s="9"/>
    </row>
    <row r="3485" spans="2:21" x14ac:dyDescent="0.35">
      <c r="B3485" s="9"/>
      <c r="C3485" s="2"/>
      <c r="D3485" s="2"/>
      <c r="I3485" s="9"/>
      <c r="J3485" s="2"/>
      <c r="L3485" s="9"/>
      <c r="M3485" s="2"/>
      <c r="N3485" s="9"/>
      <c r="P3485" s="3">
        <v>-484.10069886000002</v>
      </c>
      <c r="S3485" s="9"/>
      <c r="T3485" s="2"/>
      <c r="U3485" s="9"/>
    </row>
    <row r="3486" spans="2:21" x14ac:dyDescent="0.35">
      <c r="B3486" s="9"/>
      <c r="C3486" s="2"/>
      <c r="D3486" s="2"/>
      <c r="I3486" s="9"/>
      <c r="J3486" s="2"/>
      <c r="L3486" s="9"/>
      <c r="M3486" s="2"/>
      <c r="N3486" s="9"/>
      <c r="P3486" s="3">
        <v>-174.58154838999999</v>
      </c>
      <c r="S3486" s="9"/>
      <c r="T3486" s="2"/>
      <c r="U3486" s="9"/>
    </row>
    <row r="3487" spans="2:21" x14ac:dyDescent="0.35">
      <c r="B3487" s="9"/>
      <c r="C3487" s="2"/>
      <c r="D3487" s="2"/>
      <c r="I3487" s="9"/>
      <c r="J3487" s="2"/>
      <c r="L3487" s="9"/>
      <c r="M3487" s="2"/>
      <c r="N3487" s="9"/>
      <c r="P3487" s="3">
        <v>-150.40462839</v>
      </c>
      <c r="S3487" s="9"/>
      <c r="T3487" s="2"/>
      <c r="U3487" s="9"/>
    </row>
    <row r="3488" spans="2:21" x14ac:dyDescent="0.35">
      <c r="B3488" s="9"/>
      <c r="C3488" s="2"/>
      <c r="D3488" s="2"/>
      <c r="I3488" s="9"/>
      <c r="J3488" s="2"/>
      <c r="L3488" s="9"/>
      <c r="M3488" s="2"/>
      <c r="N3488" s="9"/>
      <c r="P3488" s="3">
        <v>-174.40191838999999</v>
      </c>
      <c r="S3488" s="9"/>
      <c r="T3488" s="2"/>
      <c r="U3488" s="9"/>
    </row>
    <row r="3489" spans="2:21" x14ac:dyDescent="0.35">
      <c r="B3489" s="9"/>
      <c r="C3489" s="2"/>
      <c r="D3489" s="2"/>
      <c r="I3489" s="9"/>
      <c r="J3489" s="2"/>
      <c r="L3489" s="9"/>
      <c r="M3489" s="2"/>
      <c r="N3489" s="9"/>
      <c r="P3489" s="3">
        <v>-281.73687839000002</v>
      </c>
      <c r="S3489" s="9"/>
      <c r="T3489" s="2"/>
      <c r="U3489" s="9"/>
    </row>
    <row r="3490" spans="2:21" x14ac:dyDescent="0.35">
      <c r="B3490" s="9"/>
      <c r="C3490" s="2"/>
      <c r="D3490" s="2"/>
      <c r="I3490" s="9"/>
      <c r="J3490" s="2"/>
      <c r="L3490" s="9"/>
      <c r="M3490" s="2"/>
      <c r="N3490" s="9"/>
      <c r="P3490" s="3">
        <v>-392.77093839000003</v>
      </c>
      <c r="S3490" s="9"/>
      <c r="T3490" s="2"/>
      <c r="U3490" s="9"/>
    </row>
    <row r="3491" spans="2:21" x14ac:dyDescent="0.35">
      <c r="B3491" s="9"/>
      <c r="C3491" s="2"/>
      <c r="D3491" s="2"/>
      <c r="I3491" s="9"/>
      <c r="J3491" s="2"/>
      <c r="L3491" s="9"/>
      <c r="M3491" s="2"/>
      <c r="N3491" s="9"/>
      <c r="P3491" s="3">
        <v>-492.92708838999999</v>
      </c>
      <c r="S3491" s="9"/>
      <c r="T3491" s="2"/>
      <c r="U3491" s="9"/>
    </row>
    <row r="3492" spans="2:21" x14ac:dyDescent="0.35">
      <c r="B3492" s="9"/>
      <c r="C3492" s="2"/>
      <c r="D3492" s="2"/>
      <c r="I3492" s="9"/>
      <c r="J3492" s="2"/>
      <c r="L3492" s="9"/>
      <c r="M3492" s="2"/>
      <c r="N3492" s="9"/>
      <c r="P3492" s="3">
        <v>-765.19433838999998</v>
      </c>
      <c r="S3492" s="9"/>
      <c r="T3492" s="2"/>
      <c r="U3492" s="9"/>
    </row>
    <row r="3493" spans="2:21" x14ac:dyDescent="0.35">
      <c r="B3493" s="9"/>
      <c r="C3493" s="2"/>
      <c r="D3493" s="2"/>
      <c r="I3493" s="9"/>
      <c r="J3493" s="2"/>
      <c r="L3493" s="9"/>
      <c r="M3493" s="2"/>
      <c r="N3493" s="9"/>
      <c r="P3493" s="3">
        <v>-1199.95433839</v>
      </c>
      <c r="S3493" s="9"/>
      <c r="T3493" s="2"/>
      <c r="U3493" s="9"/>
    </row>
    <row r="3494" spans="2:21" x14ac:dyDescent="0.35">
      <c r="B3494" s="9"/>
      <c r="C3494" s="2"/>
      <c r="D3494" s="2"/>
      <c r="I3494" s="9"/>
      <c r="J3494" s="2"/>
      <c r="L3494" s="9"/>
      <c r="M3494" s="2"/>
      <c r="N3494" s="9"/>
      <c r="P3494" s="3">
        <v>-1304.28</v>
      </c>
      <c r="S3494" s="9"/>
      <c r="T3494" s="2"/>
      <c r="U3494" s="9"/>
    </row>
    <row r="3495" spans="2:21" x14ac:dyDescent="0.35">
      <c r="B3495" s="9"/>
      <c r="C3495" s="2"/>
      <c r="D3495" s="2"/>
      <c r="I3495" s="9"/>
      <c r="J3495" s="2"/>
      <c r="L3495" s="9"/>
      <c r="M3495" s="2"/>
      <c r="N3495" s="9"/>
      <c r="P3495" s="3">
        <v>-869.52</v>
      </c>
      <c r="S3495" s="9"/>
      <c r="T3495" s="2"/>
      <c r="U3495" s="9"/>
    </row>
    <row r="3496" spans="2:21" x14ac:dyDescent="0.35">
      <c r="B3496" s="9"/>
      <c r="C3496" s="2"/>
      <c r="D3496" s="2"/>
      <c r="I3496" s="9"/>
      <c r="J3496" s="2"/>
      <c r="L3496" s="9"/>
      <c r="M3496" s="2"/>
      <c r="N3496" s="9"/>
      <c r="P3496" s="3">
        <v>-434.76</v>
      </c>
      <c r="S3496" s="9"/>
      <c r="T3496" s="2"/>
      <c r="U3496" s="9"/>
    </row>
    <row r="3497" spans="2:21" x14ac:dyDescent="0.35">
      <c r="B3497" s="9"/>
      <c r="C3497" s="2"/>
      <c r="D3497" s="2"/>
      <c r="I3497" s="9"/>
      <c r="J3497" s="2"/>
      <c r="L3497" s="9"/>
      <c r="M3497" s="2"/>
      <c r="N3497" s="9"/>
      <c r="P3497" s="3">
        <v>0</v>
      </c>
      <c r="S3497" s="9"/>
      <c r="T3497" s="2"/>
      <c r="U3497" s="9"/>
    </row>
    <row r="3498" spans="2:21" x14ac:dyDescent="0.35">
      <c r="B3498" s="9"/>
      <c r="C3498" s="2"/>
      <c r="D3498" s="2"/>
      <c r="I3498" s="9"/>
      <c r="J3498" s="2"/>
      <c r="L3498" s="9"/>
      <c r="M3498" s="2"/>
      <c r="N3498" s="9"/>
      <c r="P3498" s="3">
        <v>0</v>
      </c>
      <c r="S3498" s="9"/>
      <c r="T3498" s="2"/>
      <c r="U3498" s="9"/>
    </row>
    <row r="3499" spans="2:21" x14ac:dyDescent="0.35">
      <c r="B3499" s="9"/>
      <c r="C3499" s="2"/>
      <c r="D3499" s="2"/>
      <c r="I3499" s="9"/>
      <c r="J3499" s="2"/>
      <c r="L3499" s="9"/>
      <c r="M3499" s="2"/>
      <c r="N3499" s="9"/>
      <c r="P3499" s="3">
        <v>0</v>
      </c>
      <c r="S3499" s="9"/>
      <c r="T3499" s="2"/>
      <c r="U3499" s="9"/>
    </row>
    <row r="3500" spans="2:21" x14ac:dyDescent="0.35">
      <c r="B3500" s="9"/>
      <c r="C3500" s="2"/>
      <c r="D3500" s="2"/>
      <c r="I3500" s="9"/>
      <c r="J3500" s="2"/>
      <c r="L3500" s="9"/>
      <c r="M3500" s="2"/>
      <c r="N3500" s="9"/>
      <c r="P3500" s="3">
        <v>0</v>
      </c>
      <c r="S3500" s="9"/>
      <c r="T3500" s="2"/>
      <c r="U3500" s="9"/>
    </row>
    <row r="3501" spans="2:21" x14ac:dyDescent="0.35">
      <c r="B3501" s="9"/>
      <c r="C3501" s="2"/>
      <c r="D3501" s="2"/>
      <c r="I3501" s="9"/>
      <c r="J3501" s="2"/>
      <c r="L3501" s="9"/>
      <c r="M3501" s="2"/>
      <c r="N3501" s="9"/>
      <c r="P3501" s="3">
        <v>-203.15835838999999</v>
      </c>
      <c r="S3501" s="9"/>
      <c r="T3501" s="2"/>
      <c r="U3501" s="9"/>
    </row>
    <row r="3502" spans="2:21" x14ac:dyDescent="0.35">
      <c r="B3502" s="9"/>
      <c r="C3502" s="2"/>
      <c r="D3502" s="2"/>
      <c r="I3502" s="9"/>
      <c r="J3502" s="2"/>
      <c r="L3502" s="9"/>
      <c r="M3502" s="2"/>
      <c r="N3502" s="9"/>
      <c r="P3502" s="3">
        <v>-637.91835838999998</v>
      </c>
      <c r="S3502" s="9"/>
      <c r="T3502" s="2"/>
      <c r="U3502" s="9"/>
    </row>
    <row r="3503" spans="2:21" x14ac:dyDescent="0.35">
      <c r="B3503" s="9"/>
      <c r="C3503" s="2"/>
      <c r="D3503" s="2"/>
      <c r="I3503" s="9"/>
      <c r="J3503" s="2"/>
      <c r="L3503" s="9"/>
      <c r="M3503" s="2"/>
      <c r="N3503" s="9"/>
      <c r="P3503" s="3">
        <v>-1072.6783583900001</v>
      </c>
      <c r="S3503" s="9"/>
      <c r="T3503" s="2"/>
      <c r="U3503" s="9"/>
    </row>
    <row r="3504" spans="2:21" x14ac:dyDescent="0.35">
      <c r="B3504" s="9"/>
      <c r="C3504" s="2"/>
      <c r="D3504" s="2"/>
      <c r="I3504" s="9"/>
      <c r="J3504" s="2"/>
      <c r="L3504" s="9"/>
      <c r="M3504" s="2"/>
      <c r="N3504" s="9"/>
      <c r="P3504" s="3">
        <v>-637.91835838999998</v>
      </c>
      <c r="S3504" s="9"/>
      <c r="T3504" s="2"/>
      <c r="U3504" s="9"/>
    </row>
    <row r="3505" spans="2:21" x14ac:dyDescent="0.35">
      <c r="B3505" s="9"/>
      <c r="C3505" s="2"/>
      <c r="D3505" s="2"/>
      <c r="I3505" s="9"/>
      <c r="J3505" s="2"/>
      <c r="L3505" s="9"/>
      <c r="M3505" s="2"/>
      <c r="N3505" s="9"/>
      <c r="P3505" s="3">
        <v>-203.15835838999999</v>
      </c>
      <c r="S3505" s="9"/>
      <c r="T3505" s="2"/>
      <c r="U3505" s="9"/>
    </row>
    <row r="3506" spans="2:21" x14ac:dyDescent="0.35">
      <c r="B3506" s="9"/>
      <c r="C3506" s="2"/>
      <c r="D3506" s="2"/>
      <c r="I3506" s="9"/>
      <c r="J3506" s="2"/>
      <c r="L3506" s="9"/>
      <c r="M3506" s="2"/>
      <c r="N3506" s="9"/>
      <c r="P3506" s="3">
        <v>231.60164161</v>
      </c>
      <c r="S3506" s="9"/>
      <c r="T3506" s="2"/>
      <c r="U3506" s="9"/>
    </row>
    <row r="3507" spans="2:21" x14ac:dyDescent="0.35">
      <c r="B3507" s="9"/>
      <c r="C3507" s="2"/>
      <c r="D3507" s="2"/>
      <c r="I3507" s="9"/>
      <c r="J3507" s="2"/>
      <c r="L3507" s="9"/>
      <c r="M3507" s="2"/>
      <c r="N3507" s="9"/>
      <c r="P3507" s="3">
        <v>409.76123160999998</v>
      </c>
      <c r="S3507" s="9"/>
      <c r="T3507" s="2"/>
      <c r="U3507" s="9"/>
    </row>
    <row r="3508" spans="2:21" x14ac:dyDescent="0.35">
      <c r="B3508" s="9"/>
      <c r="C3508" s="2"/>
      <c r="D3508" s="2"/>
      <c r="I3508" s="9"/>
      <c r="J3508" s="2"/>
      <c r="L3508" s="9"/>
      <c r="M3508" s="2"/>
      <c r="N3508" s="9"/>
      <c r="P3508" s="3">
        <v>469.20243161000002</v>
      </c>
      <c r="S3508" s="9"/>
      <c r="T3508" s="2"/>
      <c r="U3508" s="9"/>
    </row>
    <row r="3509" spans="2:21" x14ac:dyDescent="0.35">
      <c r="B3509" s="9"/>
      <c r="C3509" s="2"/>
      <c r="D3509" s="2"/>
      <c r="I3509" s="9"/>
      <c r="J3509" s="2"/>
      <c r="L3509" s="9"/>
      <c r="M3509" s="2"/>
      <c r="N3509" s="9"/>
      <c r="P3509" s="3">
        <v>330.48121161</v>
      </c>
      <c r="S3509" s="9"/>
      <c r="T3509" s="2"/>
      <c r="U3509" s="9"/>
    </row>
    <row r="3510" spans="2:21" x14ac:dyDescent="0.35">
      <c r="B3510" s="9"/>
      <c r="C3510" s="2"/>
      <c r="D3510" s="2"/>
      <c r="I3510" s="9"/>
      <c r="J3510" s="2"/>
      <c r="L3510" s="9"/>
      <c r="M3510" s="2"/>
      <c r="N3510" s="9"/>
      <c r="P3510" s="3">
        <v>118.64277161</v>
      </c>
      <c r="S3510" s="9"/>
      <c r="T3510" s="2"/>
      <c r="U3510" s="9"/>
    </row>
    <row r="3511" spans="2:21" x14ac:dyDescent="0.35">
      <c r="B3511" s="9"/>
      <c r="C3511" s="2"/>
      <c r="D3511" s="2"/>
      <c r="I3511" s="9"/>
      <c r="J3511" s="2"/>
      <c r="L3511" s="9"/>
      <c r="M3511" s="2"/>
      <c r="N3511" s="9"/>
      <c r="P3511" s="3">
        <v>61.508361610000001</v>
      </c>
      <c r="S3511" s="9"/>
      <c r="T3511" s="2"/>
      <c r="U3511" s="9"/>
    </row>
    <row r="3512" spans="2:21" x14ac:dyDescent="0.35">
      <c r="B3512" s="9"/>
      <c r="C3512" s="2"/>
      <c r="D3512" s="2"/>
      <c r="I3512" s="9"/>
      <c r="J3512" s="2"/>
      <c r="L3512" s="9"/>
      <c r="M3512" s="2"/>
      <c r="N3512" s="9"/>
      <c r="P3512" s="3">
        <v>151.43057160999999</v>
      </c>
      <c r="S3512" s="9"/>
      <c r="T3512" s="2"/>
      <c r="U3512" s="9"/>
    </row>
    <row r="3513" spans="2:21" x14ac:dyDescent="0.35">
      <c r="B3513" s="9"/>
      <c r="C3513" s="2"/>
      <c r="D3513" s="2"/>
      <c r="I3513" s="9"/>
      <c r="J3513" s="2"/>
      <c r="L3513" s="9"/>
      <c r="M3513" s="2"/>
      <c r="N3513" s="9"/>
      <c r="P3513" s="3">
        <v>273.43910161000002</v>
      </c>
      <c r="S3513" s="9"/>
      <c r="T3513" s="2"/>
      <c r="U3513" s="9"/>
    </row>
    <row r="3514" spans="2:21" x14ac:dyDescent="0.35">
      <c r="B3514" s="9"/>
      <c r="C3514" s="2"/>
      <c r="D3514" s="2"/>
      <c r="I3514" s="9"/>
      <c r="J3514" s="2"/>
      <c r="L3514" s="9"/>
      <c r="M3514" s="2"/>
      <c r="N3514" s="9"/>
      <c r="P3514" s="3">
        <v>383.62258161</v>
      </c>
      <c r="S3514" s="9"/>
      <c r="T3514" s="2"/>
      <c r="U3514" s="9"/>
    </row>
    <row r="3515" spans="2:21" x14ac:dyDescent="0.35">
      <c r="B3515" s="9"/>
      <c r="C3515" s="2"/>
      <c r="D3515" s="2"/>
      <c r="I3515" s="9"/>
      <c r="J3515" s="2"/>
      <c r="L3515" s="9"/>
      <c r="M3515" s="2"/>
      <c r="N3515" s="9"/>
      <c r="P3515" s="3">
        <v>502.41694160999998</v>
      </c>
      <c r="S3515" s="9"/>
      <c r="T3515" s="2"/>
      <c r="U3515" s="9"/>
    </row>
    <row r="3516" spans="2:21" x14ac:dyDescent="0.35">
      <c r="B3516" s="9"/>
      <c r="C3516" s="2"/>
      <c r="D3516" s="2"/>
      <c r="I3516" s="9"/>
      <c r="J3516" s="2"/>
      <c r="L3516" s="9"/>
      <c r="M3516" s="2"/>
      <c r="N3516" s="9"/>
      <c r="P3516" s="3">
        <v>503.07085160999998</v>
      </c>
      <c r="S3516" s="9"/>
      <c r="T3516" s="2"/>
      <c r="U3516" s="9"/>
    </row>
    <row r="3517" spans="2:21" x14ac:dyDescent="0.35">
      <c r="B3517" s="9"/>
      <c r="C3517" s="2"/>
      <c r="D3517" s="2"/>
      <c r="I3517" s="9"/>
      <c r="J3517" s="2"/>
      <c r="L3517" s="9"/>
      <c r="M3517" s="2"/>
      <c r="N3517" s="9"/>
      <c r="P3517" s="3">
        <v>68.31085161</v>
      </c>
      <c r="S3517" s="9"/>
      <c r="T3517" s="2"/>
      <c r="U3517" s="9"/>
    </row>
    <row r="3518" spans="2:21" x14ac:dyDescent="0.35">
      <c r="B3518" s="9"/>
      <c r="C3518" s="2"/>
      <c r="D3518" s="2"/>
      <c r="I3518" s="9"/>
      <c r="J3518" s="2"/>
      <c r="L3518" s="9"/>
      <c r="M3518" s="2"/>
      <c r="N3518" s="9"/>
      <c r="P3518" s="3">
        <v>-366.44914839</v>
      </c>
      <c r="S3518" s="9"/>
      <c r="T3518" s="2"/>
      <c r="U3518" s="9"/>
    </row>
    <row r="3519" spans="2:21" x14ac:dyDescent="0.35">
      <c r="B3519" s="9"/>
      <c r="C3519" s="2"/>
      <c r="D3519" s="2"/>
      <c r="I3519" s="9"/>
      <c r="J3519" s="2"/>
      <c r="L3519" s="9"/>
      <c r="M3519" s="2"/>
      <c r="N3519" s="9"/>
      <c r="P3519" s="3">
        <v>0</v>
      </c>
      <c r="S3519" s="9"/>
      <c r="T3519" s="2"/>
      <c r="U3519" s="9"/>
    </row>
    <row r="3520" spans="2:21" x14ac:dyDescent="0.35">
      <c r="B3520" s="9"/>
      <c r="C3520" s="2"/>
      <c r="D3520" s="2"/>
      <c r="I3520" s="9"/>
      <c r="J3520" s="2"/>
      <c r="L3520" s="9"/>
      <c r="M3520" s="2"/>
      <c r="N3520" s="9"/>
      <c r="P3520" s="3">
        <v>0</v>
      </c>
      <c r="S3520" s="9"/>
      <c r="T3520" s="2"/>
      <c r="U3520" s="9"/>
    </row>
    <row r="3521" spans="2:21" x14ac:dyDescent="0.35">
      <c r="B3521" s="9"/>
      <c r="C3521" s="2"/>
      <c r="D3521" s="2"/>
      <c r="I3521" s="9"/>
      <c r="J3521" s="2"/>
      <c r="L3521" s="9"/>
      <c r="M3521" s="2"/>
      <c r="N3521" s="9"/>
      <c r="P3521" s="3">
        <v>0</v>
      </c>
      <c r="S3521" s="9"/>
      <c r="T3521" s="2"/>
      <c r="U3521" s="9"/>
    </row>
    <row r="3522" spans="2:21" x14ac:dyDescent="0.35">
      <c r="B3522" s="9"/>
      <c r="C3522" s="2"/>
      <c r="D3522" s="2"/>
      <c r="I3522" s="9"/>
      <c r="J3522" s="2"/>
      <c r="L3522" s="9"/>
      <c r="M3522" s="2"/>
      <c r="N3522" s="9"/>
      <c r="P3522" s="3">
        <v>0</v>
      </c>
      <c r="S3522" s="9"/>
      <c r="T3522" s="2"/>
      <c r="U3522" s="9"/>
    </row>
    <row r="3523" spans="2:21" x14ac:dyDescent="0.35">
      <c r="B3523" s="9"/>
      <c r="C3523" s="2"/>
      <c r="D3523" s="2"/>
      <c r="I3523" s="9"/>
      <c r="J3523" s="2"/>
      <c r="L3523" s="9"/>
      <c r="M3523" s="2"/>
      <c r="N3523" s="9"/>
      <c r="P3523" s="3">
        <v>0</v>
      </c>
      <c r="S3523" s="9"/>
      <c r="T3523" s="2"/>
      <c r="U3523" s="9"/>
    </row>
    <row r="3524" spans="2:21" x14ac:dyDescent="0.35">
      <c r="B3524" s="9"/>
      <c r="C3524" s="2"/>
      <c r="D3524" s="2"/>
      <c r="I3524" s="9"/>
      <c r="J3524" s="2"/>
      <c r="L3524" s="9"/>
      <c r="M3524" s="2"/>
      <c r="N3524" s="9"/>
      <c r="P3524" s="3">
        <v>0</v>
      </c>
      <c r="S3524" s="9"/>
      <c r="T3524" s="2"/>
      <c r="U3524" s="9"/>
    </row>
    <row r="3525" spans="2:21" x14ac:dyDescent="0.35">
      <c r="B3525" s="9"/>
      <c r="C3525" s="2"/>
      <c r="D3525" s="2"/>
      <c r="I3525" s="9"/>
      <c r="J3525" s="2"/>
      <c r="L3525" s="9"/>
      <c r="M3525" s="2"/>
      <c r="N3525" s="9"/>
      <c r="P3525" s="3">
        <v>0</v>
      </c>
      <c r="S3525" s="9"/>
      <c r="T3525" s="2"/>
      <c r="U3525" s="9"/>
    </row>
    <row r="3526" spans="2:21" x14ac:dyDescent="0.35">
      <c r="B3526" s="9"/>
      <c r="C3526" s="2"/>
      <c r="D3526" s="2"/>
      <c r="I3526" s="9"/>
      <c r="J3526" s="2"/>
      <c r="L3526" s="9"/>
      <c r="M3526" s="2"/>
      <c r="N3526" s="9"/>
      <c r="P3526" s="3">
        <v>0</v>
      </c>
      <c r="S3526" s="9"/>
      <c r="T3526" s="2"/>
      <c r="U3526" s="9"/>
    </row>
    <row r="3527" spans="2:21" x14ac:dyDescent="0.35">
      <c r="B3527" s="9"/>
      <c r="C3527" s="2"/>
      <c r="D3527" s="2"/>
      <c r="I3527" s="9"/>
      <c r="J3527" s="2"/>
      <c r="L3527" s="9"/>
      <c r="M3527" s="2"/>
      <c r="N3527" s="9"/>
      <c r="P3527" s="3">
        <v>0</v>
      </c>
      <c r="S3527" s="9"/>
      <c r="T3527" s="2"/>
      <c r="U3527" s="9"/>
    </row>
    <row r="3528" spans="2:21" x14ac:dyDescent="0.35">
      <c r="B3528" s="9"/>
      <c r="C3528" s="2"/>
      <c r="D3528" s="2"/>
      <c r="I3528" s="9"/>
      <c r="J3528" s="2"/>
      <c r="L3528" s="9"/>
      <c r="M3528" s="2"/>
      <c r="N3528" s="9"/>
      <c r="P3528" s="3">
        <v>-184.24681838999999</v>
      </c>
      <c r="S3528" s="9"/>
      <c r="T3528" s="2"/>
      <c r="U3528" s="9"/>
    </row>
    <row r="3529" spans="2:21" x14ac:dyDescent="0.35">
      <c r="B3529" s="9"/>
      <c r="C3529" s="2"/>
      <c r="D3529" s="2"/>
      <c r="I3529" s="9"/>
      <c r="J3529" s="2"/>
      <c r="L3529" s="9"/>
      <c r="M3529" s="2"/>
      <c r="N3529" s="9"/>
      <c r="P3529" s="3">
        <v>250.51318161</v>
      </c>
      <c r="S3529" s="9"/>
      <c r="T3529" s="2"/>
      <c r="U3529" s="9"/>
    </row>
    <row r="3530" spans="2:21" x14ac:dyDescent="0.35">
      <c r="B3530" s="9"/>
      <c r="C3530" s="2"/>
      <c r="D3530" s="2"/>
      <c r="I3530" s="9"/>
      <c r="J3530" s="2"/>
      <c r="L3530" s="9"/>
      <c r="M3530" s="2"/>
      <c r="N3530" s="9"/>
      <c r="P3530" s="3">
        <v>685.27318161000005</v>
      </c>
      <c r="S3530" s="9"/>
      <c r="T3530" s="2"/>
      <c r="U3530" s="9"/>
    </row>
    <row r="3531" spans="2:21" x14ac:dyDescent="0.35">
      <c r="B3531" s="9"/>
      <c r="C3531" s="2"/>
      <c r="D3531" s="2"/>
      <c r="I3531" s="9"/>
      <c r="J3531" s="2"/>
      <c r="L3531" s="9"/>
      <c r="M3531" s="2"/>
      <c r="N3531" s="9"/>
      <c r="P3531" s="3">
        <v>745.31433160999995</v>
      </c>
      <c r="S3531" s="9"/>
      <c r="T3531" s="2"/>
      <c r="U3531" s="9"/>
    </row>
    <row r="3532" spans="2:21" x14ac:dyDescent="0.35">
      <c r="B3532" s="9"/>
      <c r="C3532" s="2"/>
      <c r="D3532" s="2"/>
      <c r="I3532" s="9"/>
      <c r="J3532" s="2"/>
      <c r="L3532" s="9"/>
      <c r="M3532" s="2"/>
      <c r="N3532" s="9"/>
      <c r="P3532" s="3">
        <v>753.23367160999999</v>
      </c>
      <c r="S3532" s="9"/>
      <c r="T3532" s="2"/>
      <c r="U3532" s="9"/>
    </row>
    <row r="3533" spans="2:21" x14ac:dyDescent="0.35">
      <c r="B3533" s="9"/>
      <c r="C3533" s="2"/>
      <c r="D3533" s="2"/>
      <c r="I3533" s="9"/>
      <c r="J3533" s="2"/>
      <c r="L3533" s="9"/>
      <c r="M3533" s="2"/>
      <c r="N3533" s="9"/>
      <c r="P3533" s="3">
        <v>767.42160161000004</v>
      </c>
      <c r="S3533" s="9"/>
      <c r="T3533" s="2"/>
      <c r="U3533" s="9"/>
    </row>
    <row r="3534" spans="2:21" x14ac:dyDescent="0.35">
      <c r="B3534" s="9"/>
      <c r="C3534" s="2"/>
      <c r="D3534" s="2"/>
      <c r="I3534" s="9"/>
      <c r="J3534" s="2"/>
      <c r="L3534" s="9"/>
      <c r="M3534" s="2"/>
      <c r="N3534" s="9"/>
      <c r="P3534" s="3">
        <v>446.10012114</v>
      </c>
      <c r="S3534" s="9"/>
      <c r="T3534" s="2"/>
      <c r="U3534" s="9"/>
    </row>
    <row r="3535" spans="2:21" x14ac:dyDescent="0.35">
      <c r="B3535" s="9"/>
      <c r="C3535" s="2"/>
      <c r="D3535" s="2"/>
      <c r="I3535" s="9"/>
      <c r="J3535" s="2"/>
      <c r="L3535" s="9"/>
      <c r="M3535" s="2"/>
      <c r="N3535" s="9"/>
      <c r="P3535" s="3">
        <v>390.94732113999999</v>
      </c>
      <c r="S3535" s="9"/>
      <c r="T3535" s="2"/>
      <c r="U3535" s="9"/>
    </row>
    <row r="3536" spans="2:21" x14ac:dyDescent="0.35">
      <c r="B3536" s="9"/>
      <c r="C3536" s="2"/>
      <c r="D3536" s="2"/>
      <c r="I3536" s="9"/>
      <c r="J3536" s="2"/>
      <c r="L3536" s="9"/>
      <c r="M3536" s="2"/>
      <c r="N3536" s="9"/>
      <c r="P3536" s="3">
        <v>305.98588114</v>
      </c>
      <c r="S3536" s="9"/>
      <c r="T3536" s="2"/>
      <c r="U3536" s="9"/>
    </row>
    <row r="3537" spans="2:21" x14ac:dyDescent="0.35">
      <c r="B3537" s="9"/>
      <c r="C3537" s="2"/>
      <c r="D3537" s="2"/>
      <c r="I3537" s="9"/>
      <c r="J3537" s="2"/>
      <c r="L3537" s="9"/>
      <c r="M3537" s="2"/>
      <c r="N3537" s="9"/>
      <c r="P3537" s="3">
        <v>215.95007114000001</v>
      </c>
      <c r="S3537" s="9"/>
      <c r="T3537" s="2"/>
      <c r="U3537" s="9"/>
    </row>
    <row r="3538" spans="2:21" x14ac:dyDescent="0.35">
      <c r="B3538" s="9"/>
      <c r="C3538" s="2"/>
      <c r="D3538" s="2"/>
      <c r="I3538" s="9"/>
      <c r="J3538" s="2"/>
      <c r="L3538" s="9"/>
      <c r="M3538" s="2"/>
      <c r="N3538" s="9"/>
      <c r="P3538" s="3">
        <v>202.23287113999999</v>
      </c>
      <c r="S3538" s="9"/>
      <c r="T3538" s="2"/>
      <c r="U3538" s="9"/>
    </row>
    <row r="3539" spans="2:21" x14ac:dyDescent="0.35">
      <c r="B3539" s="9"/>
      <c r="C3539" s="2"/>
      <c r="D3539" s="2"/>
      <c r="I3539" s="9"/>
      <c r="J3539" s="2"/>
      <c r="L3539" s="9"/>
      <c r="M3539" s="2"/>
      <c r="N3539" s="9"/>
      <c r="P3539" s="3">
        <v>328.33232762</v>
      </c>
      <c r="S3539" s="9"/>
      <c r="T3539" s="2"/>
      <c r="U3539" s="9"/>
    </row>
    <row r="3540" spans="2:21" x14ac:dyDescent="0.35">
      <c r="B3540" s="9"/>
      <c r="C3540" s="2"/>
      <c r="D3540" s="2"/>
      <c r="I3540" s="9"/>
      <c r="J3540" s="2"/>
      <c r="L3540" s="9"/>
      <c r="M3540" s="2"/>
      <c r="N3540" s="9"/>
      <c r="P3540" s="3">
        <v>344.2227441</v>
      </c>
      <c r="S3540" s="9"/>
      <c r="T3540" s="2"/>
      <c r="U3540" s="9"/>
    </row>
    <row r="3541" spans="2:21" x14ac:dyDescent="0.35">
      <c r="B3541" s="9"/>
      <c r="C3541" s="2"/>
      <c r="D3541" s="2"/>
      <c r="I3541" s="9"/>
      <c r="J3541" s="2"/>
      <c r="L3541" s="9"/>
      <c r="M3541" s="2"/>
      <c r="N3541" s="9"/>
      <c r="P3541" s="3">
        <v>-90.537255900000005</v>
      </c>
      <c r="S3541" s="9"/>
      <c r="T3541" s="2"/>
      <c r="U3541" s="9"/>
    </row>
    <row r="3542" spans="2:21" x14ac:dyDescent="0.35">
      <c r="B3542" s="9"/>
      <c r="C3542" s="2"/>
      <c r="D3542" s="2"/>
      <c r="I3542" s="9"/>
      <c r="J3542" s="2"/>
      <c r="L3542" s="9"/>
      <c r="M3542" s="2"/>
      <c r="N3542" s="9"/>
      <c r="P3542" s="3">
        <v>-525.29725589999998</v>
      </c>
      <c r="S3542" s="9"/>
      <c r="T3542" s="2"/>
      <c r="U3542" s="9"/>
    </row>
    <row r="3543" spans="2:21" x14ac:dyDescent="0.35">
      <c r="B3543" s="9"/>
      <c r="C3543" s="2"/>
      <c r="D3543" s="2"/>
      <c r="I3543" s="9"/>
      <c r="J3543" s="2"/>
      <c r="L3543" s="9"/>
      <c r="M3543" s="2"/>
      <c r="N3543" s="9"/>
      <c r="P3543" s="3">
        <v>-960.05725589999997</v>
      </c>
      <c r="S3543" s="9"/>
      <c r="T3543" s="2"/>
      <c r="U3543" s="9"/>
    </row>
    <row r="3544" spans="2:21" x14ac:dyDescent="0.35">
      <c r="B3544" s="9"/>
      <c r="C3544" s="2"/>
      <c r="D3544" s="2"/>
      <c r="I3544" s="9"/>
      <c r="J3544" s="2"/>
      <c r="L3544" s="9"/>
      <c r="M3544" s="2"/>
      <c r="N3544" s="9"/>
      <c r="P3544" s="3">
        <v>-525.29725589999998</v>
      </c>
      <c r="S3544" s="9"/>
      <c r="T3544" s="2"/>
      <c r="U3544" s="9"/>
    </row>
    <row r="3545" spans="2:21" x14ac:dyDescent="0.35">
      <c r="B3545" s="9"/>
      <c r="C3545" s="2"/>
      <c r="D3545" s="2"/>
      <c r="I3545" s="9"/>
      <c r="J3545" s="2"/>
      <c r="L3545" s="9"/>
      <c r="M3545" s="2"/>
      <c r="N3545" s="9"/>
      <c r="P3545" s="3">
        <v>-90.537255900000005</v>
      </c>
      <c r="S3545" s="9"/>
      <c r="T3545" s="2"/>
      <c r="U3545" s="9"/>
    </row>
    <row r="3546" spans="2:21" x14ac:dyDescent="0.35">
      <c r="B3546" s="9"/>
      <c r="C3546" s="2"/>
      <c r="D3546" s="2"/>
      <c r="I3546" s="9"/>
      <c r="J3546" s="2"/>
      <c r="L3546" s="9"/>
      <c r="M3546" s="2"/>
      <c r="N3546" s="9"/>
      <c r="P3546" s="3">
        <v>0</v>
      </c>
      <c r="S3546" s="9"/>
      <c r="T3546" s="2"/>
      <c r="U3546" s="9"/>
    </row>
    <row r="3547" spans="2:21" x14ac:dyDescent="0.35">
      <c r="B3547" s="9"/>
      <c r="C3547" s="2"/>
      <c r="D3547" s="2"/>
      <c r="I3547" s="9"/>
      <c r="J3547" s="2"/>
      <c r="L3547" s="9"/>
      <c r="M3547" s="2"/>
      <c r="N3547" s="9"/>
      <c r="P3547" s="3">
        <v>-394.60115773000001</v>
      </c>
      <c r="S3547" s="9"/>
      <c r="T3547" s="2"/>
      <c r="U3547" s="9"/>
    </row>
    <row r="3548" spans="2:21" x14ac:dyDescent="0.35">
      <c r="B3548" s="9"/>
      <c r="C3548" s="2"/>
      <c r="D3548" s="2"/>
      <c r="I3548" s="9"/>
      <c r="J3548" s="2"/>
      <c r="L3548" s="9"/>
      <c r="M3548" s="2"/>
      <c r="N3548" s="9"/>
      <c r="P3548" s="3">
        <v>-829.36115772999995</v>
      </c>
      <c r="S3548" s="9"/>
      <c r="T3548" s="2"/>
      <c r="U3548" s="9"/>
    </row>
    <row r="3549" spans="2:21" x14ac:dyDescent="0.35">
      <c r="B3549" s="9"/>
      <c r="C3549" s="2"/>
      <c r="D3549" s="2"/>
      <c r="I3549" s="9"/>
      <c r="J3549" s="2"/>
      <c r="L3549" s="9"/>
      <c r="M3549" s="2"/>
      <c r="N3549" s="9"/>
      <c r="P3549" s="3">
        <v>-1264.12115773</v>
      </c>
      <c r="S3549" s="9"/>
      <c r="T3549" s="2"/>
      <c r="U3549" s="9"/>
    </row>
    <row r="3550" spans="2:21" x14ac:dyDescent="0.35">
      <c r="B3550" s="9"/>
      <c r="C3550" s="2"/>
      <c r="D3550" s="2"/>
      <c r="I3550" s="9"/>
      <c r="J3550" s="2"/>
      <c r="L3550" s="9"/>
      <c r="M3550" s="2"/>
      <c r="N3550" s="9"/>
      <c r="P3550" s="3">
        <v>-1698.88115773</v>
      </c>
      <c r="S3550" s="9"/>
      <c r="T3550" s="2"/>
      <c r="U3550" s="9"/>
    </row>
    <row r="3551" spans="2:21" x14ac:dyDescent="0.35">
      <c r="B3551" s="9"/>
      <c r="C3551" s="2"/>
      <c r="D3551" s="2"/>
      <c r="I3551" s="9"/>
      <c r="J3551" s="2"/>
      <c r="L3551" s="9"/>
      <c r="M3551" s="2"/>
      <c r="N3551" s="9"/>
      <c r="P3551" s="3">
        <v>-2133.64115773</v>
      </c>
      <c r="S3551" s="9"/>
      <c r="T3551" s="2"/>
      <c r="U3551" s="9"/>
    </row>
    <row r="3552" spans="2:21" x14ac:dyDescent="0.35">
      <c r="B3552" s="9"/>
      <c r="C3552" s="2"/>
      <c r="D3552" s="2"/>
      <c r="I3552" s="9"/>
      <c r="J3552" s="2"/>
      <c r="L3552" s="9"/>
      <c r="M3552" s="2"/>
      <c r="N3552" s="9"/>
      <c r="P3552" s="3">
        <v>-1698.88115773</v>
      </c>
      <c r="S3552" s="9"/>
      <c r="T3552" s="2"/>
      <c r="U3552" s="9"/>
    </row>
    <row r="3553" spans="2:21" x14ac:dyDescent="0.35">
      <c r="B3553" s="9"/>
      <c r="C3553" s="2"/>
      <c r="D3553" s="2"/>
      <c r="I3553" s="9"/>
      <c r="J3553" s="2"/>
      <c r="L3553" s="9"/>
      <c r="M3553" s="2"/>
      <c r="N3553" s="9"/>
      <c r="P3553" s="3">
        <v>-1264.12115773</v>
      </c>
      <c r="S3553" s="9"/>
      <c r="T3553" s="2"/>
      <c r="U3553" s="9"/>
    </row>
    <row r="3554" spans="2:21" x14ac:dyDescent="0.35">
      <c r="B3554" s="9"/>
      <c r="C3554" s="2"/>
      <c r="D3554" s="2"/>
      <c r="I3554" s="9"/>
      <c r="J3554" s="2"/>
      <c r="L3554" s="9"/>
      <c r="M3554" s="2"/>
      <c r="N3554" s="9"/>
      <c r="P3554" s="3">
        <v>-983.95890823000002</v>
      </c>
      <c r="S3554" s="9"/>
      <c r="T3554" s="2"/>
      <c r="U3554" s="9"/>
    </row>
    <row r="3555" spans="2:21" x14ac:dyDescent="0.35">
      <c r="B3555" s="9"/>
      <c r="C3555" s="2"/>
      <c r="D3555" s="2"/>
      <c r="I3555" s="9"/>
      <c r="J3555" s="2"/>
      <c r="L3555" s="9"/>
      <c r="M3555" s="2"/>
      <c r="N3555" s="9"/>
      <c r="P3555" s="3">
        <v>-1287.2469186000001</v>
      </c>
      <c r="S3555" s="9"/>
      <c r="T3555" s="2"/>
      <c r="U3555" s="9"/>
    </row>
    <row r="3556" spans="2:21" x14ac:dyDescent="0.35">
      <c r="B3556" s="9"/>
      <c r="C3556" s="2"/>
      <c r="D3556" s="2"/>
      <c r="I3556" s="9"/>
      <c r="J3556" s="2"/>
      <c r="L3556" s="9"/>
      <c r="M3556" s="2"/>
      <c r="N3556" s="9"/>
      <c r="P3556" s="3">
        <v>-1560.5231788599999</v>
      </c>
      <c r="S3556" s="9"/>
      <c r="T3556" s="2"/>
      <c r="U3556" s="9"/>
    </row>
    <row r="3557" spans="2:21" x14ac:dyDescent="0.35">
      <c r="B3557" s="9"/>
      <c r="C3557" s="2"/>
      <c r="D3557" s="2"/>
      <c r="I3557" s="9"/>
      <c r="J3557" s="2"/>
      <c r="L3557" s="9"/>
      <c r="M3557" s="2"/>
      <c r="N3557" s="9"/>
      <c r="P3557" s="3">
        <v>-1888.2563388599999</v>
      </c>
      <c r="S3557" s="9"/>
      <c r="T3557" s="2"/>
      <c r="U3557" s="9"/>
    </row>
    <row r="3558" spans="2:21" x14ac:dyDescent="0.35">
      <c r="B3558" s="9"/>
      <c r="C3558" s="2"/>
      <c r="D3558" s="2"/>
      <c r="I3558" s="9"/>
      <c r="J3558" s="2"/>
      <c r="L3558" s="9"/>
      <c r="M3558" s="2"/>
      <c r="N3558" s="9"/>
      <c r="P3558" s="3">
        <v>-2033.1346788599999</v>
      </c>
      <c r="S3558" s="9"/>
      <c r="T3558" s="2"/>
      <c r="U3558" s="9"/>
    </row>
    <row r="3559" spans="2:21" x14ac:dyDescent="0.35">
      <c r="B3559" s="9"/>
      <c r="C3559" s="2"/>
      <c r="D3559" s="2"/>
      <c r="I3559" s="9"/>
      <c r="J3559" s="2"/>
      <c r="L3559" s="9"/>
      <c r="M3559" s="2"/>
      <c r="N3559" s="9"/>
      <c r="P3559" s="3">
        <v>-2011.5691388600001</v>
      </c>
      <c r="S3559" s="9"/>
      <c r="T3559" s="2"/>
      <c r="U3559" s="9"/>
    </row>
    <row r="3560" spans="2:21" x14ac:dyDescent="0.35">
      <c r="B3560" s="9"/>
      <c r="C3560" s="2"/>
      <c r="D3560" s="2"/>
      <c r="I3560" s="9"/>
      <c r="J3560" s="2"/>
      <c r="L3560" s="9"/>
      <c r="M3560" s="2"/>
      <c r="N3560" s="9"/>
      <c r="P3560" s="3">
        <v>-1919.9670688599999</v>
      </c>
      <c r="S3560" s="9"/>
      <c r="T3560" s="2"/>
      <c r="U3560" s="9"/>
    </row>
    <row r="3561" spans="2:21" x14ac:dyDescent="0.35">
      <c r="B3561" s="9"/>
      <c r="C3561" s="2"/>
      <c r="D3561" s="2"/>
      <c r="I3561" s="9"/>
      <c r="J3561" s="2"/>
      <c r="L3561" s="9"/>
      <c r="M3561" s="2"/>
      <c r="N3561" s="9"/>
      <c r="P3561" s="3">
        <v>-1849.0153488599999</v>
      </c>
      <c r="S3561" s="9"/>
      <c r="T3561" s="2"/>
      <c r="U3561" s="9"/>
    </row>
    <row r="3562" spans="2:21" x14ac:dyDescent="0.35">
      <c r="B3562" s="9"/>
      <c r="C3562" s="2"/>
      <c r="D3562" s="2"/>
      <c r="I3562" s="9"/>
      <c r="J3562" s="2"/>
      <c r="L3562" s="9"/>
      <c r="M3562" s="2"/>
      <c r="N3562" s="9"/>
      <c r="P3562" s="3">
        <v>-1742.3484988600001</v>
      </c>
      <c r="S3562" s="9"/>
      <c r="T3562" s="2"/>
      <c r="U3562" s="9"/>
    </row>
    <row r="3563" spans="2:21" x14ac:dyDescent="0.35">
      <c r="B3563" s="9"/>
      <c r="C3563" s="2"/>
      <c r="D3563" s="2"/>
      <c r="I3563" s="9"/>
      <c r="J3563" s="2"/>
      <c r="L3563" s="9"/>
      <c r="M3563" s="2"/>
      <c r="N3563" s="9"/>
      <c r="P3563" s="3">
        <v>-1473.58235238</v>
      </c>
      <c r="S3563" s="9"/>
      <c r="T3563" s="2"/>
      <c r="U3563" s="9"/>
    </row>
    <row r="3564" spans="2:21" x14ac:dyDescent="0.35">
      <c r="B3564" s="9"/>
      <c r="C3564" s="2"/>
      <c r="D3564" s="2"/>
      <c r="I3564" s="9"/>
      <c r="J3564" s="2"/>
      <c r="L3564" s="9"/>
      <c r="M3564" s="2"/>
      <c r="N3564" s="9"/>
      <c r="P3564" s="3">
        <v>-1336.3181459</v>
      </c>
      <c r="S3564" s="9"/>
      <c r="T3564" s="2"/>
      <c r="U3564" s="9"/>
    </row>
    <row r="3565" spans="2:21" x14ac:dyDescent="0.35">
      <c r="B3565" s="9"/>
      <c r="C3565" s="2"/>
      <c r="D3565" s="2"/>
      <c r="I3565" s="9"/>
      <c r="J3565" s="2"/>
      <c r="L3565" s="9"/>
      <c r="M3565" s="2"/>
      <c r="N3565" s="9"/>
      <c r="P3565" s="3">
        <v>-1757.07092345</v>
      </c>
      <c r="S3565" s="9"/>
      <c r="T3565" s="2"/>
      <c r="U3565" s="9"/>
    </row>
    <row r="3566" spans="2:21" x14ac:dyDescent="0.35">
      <c r="B3566" s="9"/>
      <c r="C3566" s="2"/>
      <c r="D3566" s="2"/>
      <c r="I3566" s="9"/>
      <c r="J3566" s="2"/>
      <c r="L3566" s="9"/>
      <c r="M3566" s="2"/>
      <c r="N3566" s="9"/>
      <c r="P3566" s="3">
        <v>-2191.8309234499998</v>
      </c>
      <c r="S3566" s="9"/>
      <c r="T3566" s="2"/>
      <c r="U3566" s="9"/>
    </row>
    <row r="3567" spans="2:21" x14ac:dyDescent="0.35">
      <c r="B3567" s="9"/>
      <c r="C3567" s="2"/>
      <c r="D3567" s="2"/>
      <c r="I3567" s="9"/>
      <c r="J3567" s="2"/>
      <c r="L3567" s="9"/>
      <c r="M3567" s="2"/>
      <c r="N3567" s="9"/>
      <c r="P3567" s="3">
        <v>-1757.07092345</v>
      </c>
      <c r="S3567" s="9"/>
      <c r="T3567" s="2"/>
      <c r="U3567" s="9"/>
    </row>
    <row r="3568" spans="2:21" x14ac:dyDescent="0.35">
      <c r="B3568" s="9"/>
      <c r="C3568" s="2"/>
      <c r="D3568" s="2"/>
      <c r="I3568" s="9"/>
      <c r="J3568" s="2"/>
      <c r="L3568" s="9"/>
      <c r="M3568" s="2"/>
      <c r="N3568" s="9"/>
      <c r="P3568" s="3">
        <v>-1322.31092345</v>
      </c>
      <c r="S3568" s="9"/>
      <c r="T3568" s="2"/>
      <c r="U3568" s="9"/>
    </row>
    <row r="3569" spans="2:21" x14ac:dyDescent="0.35">
      <c r="B3569" s="9"/>
      <c r="C3569" s="2"/>
      <c r="D3569" s="2"/>
      <c r="I3569" s="9"/>
      <c r="J3569" s="2"/>
      <c r="L3569" s="9"/>
      <c r="M3569" s="2"/>
      <c r="N3569" s="9"/>
      <c r="P3569" s="3">
        <v>-887.55092345000003</v>
      </c>
      <c r="S3569" s="9"/>
      <c r="T3569" s="2"/>
      <c r="U3569" s="9"/>
    </row>
    <row r="3570" spans="2:21" x14ac:dyDescent="0.35">
      <c r="B3570" s="9"/>
      <c r="C3570" s="2"/>
      <c r="D3570" s="2"/>
      <c r="I3570" s="9"/>
      <c r="J3570" s="2"/>
      <c r="L3570" s="9"/>
      <c r="M3570" s="2"/>
      <c r="N3570" s="9"/>
      <c r="P3570" s="3">
        <v>-677.53564822999999</v>
      </c>
      <c r="S3570" s="9"/>
      <c r="T3570" s="2"/>
      <c r="U3570" s="9"/>
    </row>
    <row r="3571" spans="2:21" x14ac:dyDescent="0.35">
      <c r="B3571" s="9"/>
      <c r="C3571" s="2"/>
      <c r="D3571" s="2"/>
      <c r="I3571" s="9"/>
      <c r="J3571" s="2"/>
      <c r="L3571" s="9"/>
      <c r="M3571" s="2"/>
      <c r="N3571" s="9"/>
      <c r="P3571" s="3">
        <v>-1112.2956482300001</v>
      </c>
      <c r="S3571" s="9"/>
      <c r="T3571" s="2"/>
      <c r="U3571" s="9"/>
    </row>
    <row r="3572" spans="2:21" x14ac:dyDescent="0.35">
      <c r="B3572" s="9"/>
      <c r="C3572" s="2"/>
      <c r="D3572" s="2"/>
      <c r="I3572" s="9"/>
      <c r="J3572" s="2"/>
      <c r="L3572" s="9"/>
      <c r="M3572" s="2"/>
      <c r="N3572" s="9"/>
      <c r="P3572" s="3">
        <v>-1547.0556482300001</v>
      </c>
      <c r="S3572" s="9"/>
      <c r="T3572" s="2"/>
      <c r="U3572" s="9"/>
    </row>
    <row r="3573" spans="2:21" x14ac:dyDescent="0.35">
      <c r="B3573" s="9"/>
      <c r="C3573" s="2"/>
      <c r="D3573" s="2"/>
      <c r="I3573" s="9"/>
      <c r="J3573" s="2"/>
      <c r="L3573" s="9"/>
      <c r="M3573" s="2"/>
      <c r="N3573" s="9"/>
      <c r="P3573" s="3">
        <v>-1981.8156482300001</v>
      </c>
      <c r="S3573" s="9"/>
      <c r="T3573" s="2"/>
      <c r="U3573" s="9"/>
    </row>
    <row r="3574" spans="2:21" x14ac:dyDescent="0.35">
      <c r="B3574" s="9"/>
      <c r="C3574" s="2"/>
      <c r="D3574" s="2"/>
      <c r="I3574" s="9"/>
      <c r="J3574" s="2"/>
      <c r="L3574" s="9"/>
      <c r="M3574" s="2"/>
      <c r="N3574" s="9"/>
      <c r="P3574" s="3">
        <v>-2416.5756482299998</v>
      </c>
      <c r="S3574" s="9"/>
      <c r="T3574" s="2"/>
      <c r="U3574" s="9"/>
    </row>
    <row r="3575" spans="2:21" x14ac:dyDescent="0.35">
      <c r="B3575" s="9"/>
      <c r="C3575" s="2"/>
      <c r="D3575" s="2"/>
      <c r="I3575" s="9"/>
      <c r="J3575" s="2"/>
      <c r="L3575" s="9"/>
      <c r="M3575" s="2"/>
      <c r="N3575" s="9"/>
      <c r="P3575" s="3">
        <v>-2851.3356482300001</v>
      </c>
      <c r="S3575" s="9"/>
      <c r="T3575" s="2"/>
      <c r="U3575" s="9"/>
    </row>
    <row r="3576" spans="2:21" x14ac:dyDescent="0.35">
      <c r="B3576" s="9"/>
      <c r="C3576" s="2"/>
      <c r="D3576" s="2"/>
      <c r="I3576" s="9"/>
      <c r="J3576" s="2"/>
      <c r="L3576" s="9"/>
      <c r="M3576" s="2"/>
      <c r="N3576" s="9"/>
      <c r="P3576" s="3">
        <v>-2416.5756482299998</v>
      </c>
      <c r="S3576" s="9"/>
      <c r="T3576" s="2"/>
      <c r="U3576" s="9"/>
    </row>
    <row r="3577" spans="2:21" x14ac:dyDescent="0.35">
      <c r="B3577" s="9"/>
      <c r="C3577" s="2"/>
      <c r="D3577" s="2"/>
      <c r="I3577" s="9"/>
      <c r="J3577" s="2"/>
      <c r="L3577" s="9"/>
      <c r="M3577" s="2"/>
      <c r="N3577" s="9"/>
      <c r="P3577" s="3">
        <v>-1981.8156482300001</v>
      </c>
      <c r="S3577" s="9"/>
      <c r="T3577" s="2"/>
      <c r="U3577" s="9"/>
    </row>
    <row r="3578" spans="2:21" x14ac:dyDescent="0.35">
      <c r="B3578" s="9"/>
      <c r="C3578" s="2"/>
      <c r="D3578" s="2"/>
      <c r="I3578" s="9"/>
      <c r="J3578" s="2"/>
      <c r="L3578" s="9"/>
      <c r="M3578" s="2"/>
      <c r="N3578" s="9"/>
      <c r="P3578" s="3">
        <v>-1547.0556482300001</v>
      </c>
      <c r="S3578" s="9"/>
      <c r="T3578" s="2"/>
      <c r="U3578" s="9"/>
    </row>
    <row r="3579" spans="2:21" x14ac:dyDescent="0.35">
      <c r="B3579" s="9"/>
      <c r="C3579" s="2"/>
      <c r="D3579" s="2"/>
      <c r="I3579" s="9"/>
      <c r="J3579" s="2"/>
      <c r="L3579" s="9"/>
      <c r="M3579" s="2"/>
      <c r="N3579" s="9"/>
      <c r="P3579" s="3">
        <v>-1617.6148886000001</v>
      </c>
      <c r="S3579" s="9"/>
      <c r="T3579" s="2"/>
      <c r="U3579" s="9"/>
    </row>
    <row r="3580" spans="2:21" x14ac:dyDescent="0.35">
      <c r="B3580" s="9"/>
      <c r="C3580" s="2"/>
      <c r="D3580" s="2"/>
      <c r="I3580" s="9"/>
      <c r="J3580" s="2"/>
      <c r="L3580" s="9"/>
      <c r="M3580" s="2"/>
      <c r="N3580" s="9"/>
      <c r="P3580" s="3">
        <v>-1639.5412088600001</v>
      </c>
      <c r="S3580" s="9"/>
      <c r="T3580" s="2"/>
      <c r="U3580" s="9"/>
    </row>
    <row r="3581" spans="2:21" x14ac:dyDescent="0.35">
      <c r="B3581" s="9"/>
      <c r="C3581" s="2"/>
      <c r="D3581" s="2"/>
      <c r="I3581" s="9"/>
      <c r="J3581" s="2"/>
      <c r="L3581" s="9"/>
      <c r="M3581" s="2"/>
      <c r="N3581" s="9"/>
      <c r="P3581" s="3">
        <v>-1822.4315288600001</v>
      </c>
      <c r="S3581" s="9"/>
      <c r="T3581" s="2"/>
      <c r="U3581" s="9"/>
    </row>
    <row r="3582" spans="2:21" x14ac:dyDescent="0.35">
      <c r="B3582" s="9"/>
      <c r="C3582" s="2"/>
      <c r="D3582" s="2"/>
      <c r="I3582" s="9"/>
      <c r="J3582" s="2"/>
      <c r="L3582" s="9"/>
      <c r="M3582" s="2"/>
      <c r="N3582" s="9"/>
      <c r="P3582" s="3">
        <v>-1988.6666688600001</v>
      </c>
      <c r="S3582" s="9"/>
      <c r="T3582" s="2"/>
      <c r="U3582" s="9"/>
    </row>
    <row r="3583" spans="2:21" x14ac:dyDescent="0.35">
      <c r="B3583" s="9"/>
      <c r="C3583" s="2"/>
      <c r="D3583" s="2"/>
      <c r="I3583" s="9"/>
      <c r="J3583" s="2"/>
      <c r="L3583" s="9"/>
      <c r="M3583" s="2"/>
      <c r="N3583" s="9"/>
      <c r="P3583" s="3">
        <v>-2010.6361988599999</v>
      </c>
      <c r="S3583" s="9"/>
      <c r="T3583" s="2"/>
      <c r="U3583" s="9"/>
    </row>
    <row r="3584" spans="2:21" x14ac:dyDescent="0.35">
      <c r="B3584" s="9"/>
      <c r="C3584" s="2"/>
      <c r="D3584" s="2"/>
      <c r="I3584" s="9"/>
      <c r="J3584" s="2"/>
      <c r="L3584" s="9"/>
      <c r="M3584" s="2"/>
      <c r="N3584" s="9"/>
      <c r="P3584" s="3">
        <v>-1959.1441588600001</v>
      </c>
      <c r="S3584" s="9"/>
      <c r="T3584" s="2"/>
      <c r="U3584" s="9"/>
    </row>
    <row r="3585" spans="2:21" x14ac:dyDescent="0.35">
      <c r="B3585" s="9"/>
      <c r="C3585" s="2"/>
      <c r="D3585" s="2"/>
      <c r="I3585" s="9"/>
      <c r="J3585" s="2"/>
      <c r="L3585" s="9"/>
      <c r="M3585" s="2"/>
      <c r="N3585" s="9"/>
      <c r="P3585" s="3">
        <v>-1806.3990188600001</v>
      </c>
      <c r="S3585" s="9"/>
      <c r="T3585" s="2"/>
      <c r="U3585" s="9"/>
    </row>
    <row r="3586" spans="2:21" x14ac:dyDescent="0.35">
      <c r="B3586" s="9"/>
      <c r="C3586" s="2"/>
      <c r="D3586" s="2"/>
      <c r="I3586" s="9"/>
      <c r="J3586" s="2"/>
      <c r="L3586" s="9"/>
      <c r="M3586" s="2"/>
      <c r="N3586" s="9"/>
      <c r="P3586" s="3">
        <v>-1656.99584886</v>
      </c>
      <c r="S3586" s="9"/>
      <c r="T3586" s="2"/>
      <c r="U3586" s="9"/>
    </row>
    <row r="3587" spans="2:21" x14ac:dyDescent="0.35">
      <c r="B3587" s="9"/>
      <c r="C3587" s="2"/>
      <c r="D3587" s="2"/>
      <c r="I3587" s="9"/>
      <c r="J3587" s="2"/>
      <c r="L3587" s="9"/>
      <c r="M3587" s="2"/>
      <c r="N3587" s="9"/>
      <c r="P3587" s="3">
        <v>-1395.1429723799999</v>
      </c>
      <c r="S3587" s="9"/>
      <c r="T3587" s="2"/>
      <c r="U3587" s="9"/>
    </row>
    <row r="3588" spans="2:21" x14ac:dyDescent="0.35">
      <c r="B3588" s="9"/>
      <c r="C3588" s="2"/>
      <c r="D3588" s="2"/>
      <c r="I3588" s="9"/>
      <c r="J3588" s="2"/>
      <c r="L3588" s="9"/>
      <c r="M3588" s="2"/>
      <c r="N3588" s="9"/>
      <c r="P3588" s="3">
        <v>-1272.8086459000001</v>
      </c>
      <c r="S3588" s="9"/>
      <c r="T3588" s="2"/>
      <c r="U3588" s="9"/>
    </row>
    <row r="3589" spans="2:21" x14ac:dyDescent="0.35">
      <c r="B3589" s="9"/>
      <c r="C3589" s="2"/>
      <c r="D3589" s="2"/>
      <c r="I3589" s="9"/>
      <c r="J3589" s="2"/>
      <c r="L3589" s="9"/>
      <c r="M3589" s="2"/>
      <c r="N3589" s="9"/>
      <c r="P3589" s="3">
        <v>-1707.5686459000001</v>
      </c>
      <c r="S3589" s="9"/>
      <c r="T3589" s="2"/>
      <c r="U3589" s="9"/>
    </row>
    <row r="3590" spans="2:21" x14ac:dyDescent="0.35">
      <c r="B3590" s="9"/>
      <c r="C3590" s="2"/>
      <c r="D3590" s="2"/>
      <c r="I3590" s="9"/>
      <c r="J3590" s="2"/>
      <c r="L3590" s="9"/>
      <c r="M3590" s="2"/>
      <c r="N3590" s="9"/>
      <c r="P3590" s="3">
        <v>-2142.3286459000001</v>
      </c>
      <c r="S3590" s="9"/>
      <c r="T3590" s="2"/>
      <c r="U3590" s="9"/>
    </row>
    <row r="3591" spans="2:21" x14ac:dyDescent="0.35">
      <c r="B3591" s="9"/>
      <c r="C3591" s="2"/>
      <c r="D3591" s="2"/>
      <c r="I3591" s="9"/>
      <c r="J3591" s="2"/>
      <c r="L3591" s="9"/>
      <c r="M3591" s="2"/>
      <c r="N3591" s="9"/>
      <c r="P3591" s="3">
        <v>-1707.5686459000001</v>
      </c>
      <c r="S3591" s="9"/>
      <c r="T3591" s="2"/>
      <c r="U3591" s="9"/>
    </row>
    <row r="3592" spans="2:21" x14ac:dyDescent="0.35">
      <c r="B3592" s="9"/>
      <c r="C3592" s="2"/>
      <c r="D3592" s="2"/>
      <c r="I3592" s="9"/>
      <c r="J3592" s="2"/>
      <c r="L3592" s="9"/>
      <c r="M3592" s="2"/>
      <c r="N3592" s="9"/>
      <c r="P3592" s="3">
        <v>-1272.8086459000001</v>
      </c>
      <c r="S3592" s="9"/>
      <c r="T3592" s="2"/>
      <c r="U3592" s="9"/>
    </row>
    <row r="3593" spans="2:21" x14ac:dyDescent="0.35">
      <c r="B3593" s="9"/>
      <c r="C3593" s="2"/>
      <c r="D3593" s="2"/>
      <c r="I3593" s="9"/>
      <c r="J3593" s="2"/>
      <c r="L3593" s="9"/>
      <c r="M3593" s="2"/>
      <c r="N3593" s="9"/>
      <c r="P3593" s="3">
        <v>-838.0486459</v>
      </c>
      <c r="S3593" s="9"/>
      <c r="T3593" s="2"/>
      <c r="U3593" s="9"/>
    </row>
    <row r="3594" spans="2:21" x14ac:dyDescent="0.35">
      <c r="B3594" s="9"/>
      <c r="C3594" s="2"/>
      <c r="D3594" s="2"/>
      <c r="I3594" s="9"/>
      <c r="J3594" s="2"/>
      <c r="L3594" s="9"/>
      <c r="M3594" s="2"/>
      <c r="N3594" s="9"/>
      <c r="P3594" s="3">
        <v>-403.28864590000001</v>
      </c>
      <c r="S3594" s="9"/>
      <c r="T3594" s="2"/>
      <c r="U3594" s="9"/>
    </row>
    <row r="3595" spans="2:21" x14ac:dyDescent="0.35">
      <c r="B3595" s="9"/>
      <c r="C3595" s="2"/>
      <c r="D3595" s="2"/>
      <c r="I3595" s="9"/>
      <c r="J3595" s="2"/>
      <c r="L3595" s="9"/>
      <c r="M3595" s="2"/>
      <c r="N3595" s="9"/>
      <c r="P3595" s="3">
        <v>-27.000787729999999</v>
      </c>
      <c r="S3595" s="9"/>
      <c r="T3595" s="2"/>
      <c r="U3595" s="9"/>
    </row>
    <row r="3596" spans="2:21" x14ac:dyDescent="0.35">
      <c r="B3596" s="9"/>
      <c r="C3596" s="2"/>
      <c r="D3596" s="2"/>
      <c r="I3596" s="9"/>
      <c r="J3596" s="2"/>
      <c r="L3596" s="9"/>
      <c r="M3596" s="2"/>
      <c r="N3596" s="9"/>
      <c r="P3596" s="3">
        <v>-461.76078773</v>
      </c>
      <c r="S3596" s="9"/>
      <c r="T3596" s="2"/>
      <c r="U3596" s="9"/>
    </row>
    <row r="3597" spans="2:21" x14ac:dyDescent="0.35">
      <c r="B3597" s="9"/>
      <c r="C3597" s="2"/>
      <c r="D3597" s="2"/>
      <c r="I3597" s="9"/>
      <c r="J3597" s="2"/>
      <c r="L3597" s="9"/>
      <c r="M3597" s="2"/>
      <c r="N3597" s="9"/>
      <c r="P3597" s="3">
        <v>-896.52078773000005</v>
      </c>
      <c r="S3597" s="9"/>
      <c r="T3597" s="2"/>
      <c r="U3597" s="9"/>
    </row>
    <row r="3598" spans="2:21" x14ac:dyDescent="0.35">
      <c r="B3598" s="9"/>
      <c r="C3598" s="2"/>
      <c r="D3598" s="2"/>
      <c r="I3598" s="9"/>
      <c r="J3598" s="2"/>
      <c r="L3598" s="9"/>
      <c r="M3598" s="2"/>
      <c r="N3598" s="9"/>
      <c r="P3598" s="3">
        <v>-1331.2807877299999</v>
      </c>
      <c r="S3598" s="9"/>
      <c r="T3598" s="2"/>
      <c r="U3598" s="9"/>
    </row>
    <row r="3599" spans="2:21" x14ac:dyDescent="0.35">
      <c r="B3599" s="9"/>
      <c r="C3599" s="2"/>
      <c r="D3599" s="2"/>
      <c r="I3599" s="9"/>
      <c r="J3599" s="2"/>
      <c r="L3599" s="9"/>
      <c r="M3599" s="2"/>
      <c r="N3599" s="9"/>
      <c r="P3599" s="3">
        <v>-1766.0407877299999</v>
      </c>
      <c r="S3599" s="9"/>
      <c r="T3599" s="2"/>
      <c r="U3599" s="9"/>
    </row>
    <row r="3600" spans="2:21" x14ac:dyDescent="0.35">
      <c r="B3600" s="9"/>
      <c r="C3600" s="2"/>
      <c r="D3600" s="2"/>
      <c r="I3600" s="9"/>
      <c r="J3600" s="2"/>
      <c r="L3600" s="9"/>
      <c r="M3600" s="2"/>
      <c r="N3600" s="9"/>
      <c r="P3600" s="3">
        <v>-1331.2807877299999</v>
      </c>
      <c r="S3600" s="9"/>
      <c r="T3600" s="2"/>
      <c r="U3600" s="9"/>
    </row>
    <row r="3601" spans="2:21" x14ac:dyDescent="0.35">
      <c r="B3601" s="9"/>
      <c r="C3601" s="2"/>
      <c r="D3601" s="2"/>
      <c r="I3601" s="9"/>
      <c r="J3601" s="2"/>
      <c r="L3601" s="9"/>
      <c r="M3601" s="2"/>
      <c r="N3601" s="9"/>
      <c r="P3601" s="3">
        <v>-896.52078773000005</v>
      </c>
      <c r="S3601" s="9"/>
      <c r="T3601" s="2"/>
      <c r="U3601" s="9"/>
    </row>
    <row r="3602" spans="2:21" x14ac:dyDescent="0.35">
      <c r="B3602" s="9"/>
      <c r="C3602" s="2"/>
      <c r="D3602" s="2"/>
      <c r="I3602" s="9"/>
      <c r="J3602" s="2"/>
      <c r="L3602" s="9"/>
      <c r="M3602" s="2"/>
      <c r="N3602" s="9"/>
      <c r="P3602" s="3">
        <v>-750.40724823000005</v>
      </c>
      <c r="S3602" s="9"/>
      <c r="T3602" s="2"/>
      <c r="U3602" s="9"/>
    </row>
    <row r="3603" spans="2:21" x14ac:dyDescent="0.35">
      <c r="B3603" s="9"/>
      <c r="C3603" s="2"/>
      <c r="D3603" s="2"/>
      <c r="I3603" s="9"/>
      <c r="J3603" s="2"/>
      <c r="L3603" s="9"/>
      <c r="M3603" s="2"/>
      <c r="N3603" s="9"/>
      <c r="P3603" s="3">
        <v>-855.97942860000001</v>
      </c>
      <c r="S3603" s="9"/>
      <c r="T3603" s="2"/>
      <c r="U3603" s="9"/>
    </row>
    <row r="3604" spans="2:21" x14ac:dyDescent="0.35">
      <c r="B3604" s="9"/>
      <c r="C3604" s="2"/>
      <c r="D3604" s="2"/>
      <c r="I3604" s="9"/>
      <c r="J3604" s="2"/>
      <c r="L3604" s="9"/>
      <c r="M3604" s="2"/>
      <c r="N3604" s="9"/>
      <c r="P3604" s="3">
        <v>-459.77254885999997</v>
      </c>
      <c r="S3604" s="9"/>
      <c r="T3604" s="2"/>
      <c r="U3604" s="9"/>
    </row>
    <row r="3605" spans="2:21" x14ac:dyDescent="0.35">
      <c r="B3605" s="9"/>
      <c r="C3605" s="2"/>
      <c r="D3605" s="2"/>
      <c r="I3605" s="9"/>
      <c r="J3605" s="2"/>
      <c r="L3605" s="9"/>
      <c r="M3605" s="2"/>
      <c r="N3605" s="9"/>
      <c r="P3605" s="3">
        <v>-101.39365886</v>
      </c>
      <c r="S3605" s="9"/>
      <c r="T3605" s="2"/>
      <c r="U3605" s="9"/>
    </row>
    <row r="3606" spans="2:21" x14ac:dyDescent="0.35">
      <c r="B3606" s="9"/>
      <c r="C3606" s="2"/>
      <c r="D3606" s="2"/>
      <c r="I3606" s="9"/>
      <c r="J3606" s="2"/>
      <c r="L3606" s="9"/>
      <c r="M3606" s="2"/>
      <c r="N3606" s="9"/>
      <c r="P3606" s="3">
        <v>159.87498113999999</v>
      </c>
      <c r="S3606" s="9"/>
      <c r="T3606" s="2"/>
      <c r="U3606" s="9"/>
    </row>
    <row r="3607" spans="2:21" x14ac:dyDescent="0.35">
      <c r="B3607" s="9"/>
      <c r="C3607" s="2"/>
      <c r="D3607" s="2"/>
      <c r="I3607" s="9"/>
      <c r="J3607" s="2"/>
      <c r="L3607" s="9"/>
      <c r="M3607" s="2"/>
      <c r="N3607" s="9"/>
      <c r="P3607" s="3">
        <v>234.32558114</v>
      </c>
      <c r="S3607" s="9"/>
      <c r="T3607" s="2"/>
      <c r="U3607" s="9"/>
    </row>
    <row r="3608" spans="2:21" x14ac:dyDescent="0.35">
      <c r="B3608" s="9"/>
      <c r="C3608" s="2"/>
      <c r="D3608" s="2"/>
      <c r="I3608" s="9"/>
      <c r="J3608" s="2"/>
      <c r="L3608" s="9"/>
      <c r="M3608" s="2"/>
      <c r="N3608" s="9"/>
      <c r="P3608" s="3">
        <v>247.02606114</v>
      </c>
      <c r="S3608" s="9"/>
      <c r="T3608" s="2"/>
      <c r="U3608" s="9"/>
    </row>
    <row r="3609" spans="2:21" x14ac:dyDescent="0.35">
      <c r="B3609" s="9"/>
      <c r="C3609" s="2"/>
      <c r="D3609" s="2"/>
      <c r="I3609" s="9"/>
      <c r="J3609" s="2"/>
      <c r="L3609" s="9"/>
      <c r="M3609" s="2"/>
      <c r="N3609" s="9"/>
      <c r="P3609" s="3">
        <v>252.23320114000001</v>
      </c>
      <c r="S3609" s="9"/>
      <c r="T3609" s="2"/>
      <c r="U3609" s="9"/>
    </row>
    <row r="3610" spans="2:21" x14ac:dyDescent="0.35">
      <c r="B3610" s="9"/>
      <c r="C3610" s="2"/>
      <c r="D3610" s="2"/>
      <c r="I3610" s="9"/>
      <c r="J3610" s="2"/>
      <c r="L3610" s="9"/>
      <c r="M3610" s="2"/>
      <c r="N3610" s="9"/>
      <c r="P3610" s="3">
        <v>290.98784114</v>
      </c>
      <c r="S3610" s="9"/>
      <c r="T3610" s="2"/>
      <c r="U3610" s="9"/>
    </row>
    <row r="3611" spans="2:21" x14ac:dyDescent="0.35">
      <c r="B3611" s="9"/>
      <c r="C3611" s="2"/>
      <c r="D3611" s="2"/>
      <c r="I3611" s="9"/>
      <c r="J3611" s="2"/>
      <c r="L3611" s="9"/>
      <c r="M3611" s="2"/>
      <c r="N3611" s="9"/>
      <c r="P3611" s="3">
        <v>429.16226762000002</v>
      </c>
      <c r="S3611" s="9"/>
      <c r="T3611" s="2"/>
      <c r="U3611" s="9"/>
    </row>
    <row r="3612" spans="2:21" x14ac:dyDescent="0.35">
      <c r="B3612" s="9"/>
      <c r="C3612" s="2"/>
      <c r="D3612" s="2"/>
      <c r="I3612" s="9"/>
      <c r="J3612" s="2"/>
      <c r="L3612" s="9"/>
      <c r="M3612" s="2"/>
      <c r="N3612" s="9"/>
      <c r="P3612" s="3">
        <v>474.96924410000003</v>
      </c>
      <c r="S3612" s="9"/>
      <c r="T3612" s="2"/>
      <c r="U3612" s="9"/>
    </row>
    <row r="3613" spans="2:21" x14ac:dyDescent="0.35">
      <c r="B3613" s="9"/>
      <c r="C3613" s="2"/>
      <c r="D3613" s="2"/>
      <c r="I3613" s="9"/>
      <c r="J3613" s="2"/>
      <c r="L3613" s="9"/>
      <c r="M3613" s="2"/>
      <c r="N3613" s="9"/>
      <c r="P3613" s="3">
        <v>53.33535655</v>
      </c>
      <c r="S3613" s="9"/>
      <c r="T3613" s="2"/>
      <c r="U3613" s="9"/>
    </row>
    <row r="3614" spans="2:21" x14ac:dyDescent="0.35">
      <c r="B3614" s="9"/>
      <c r="C3614" s="2"/>
      <c r="D3614" s="2"/>
      <c r="I3614" s="9"/>
      <c r="J3614" s="2"/>
      <c r="L3614" s="9"/>
      <c r="M3614" s="2"/>
      <c r="N3614" s="9"/>
      <c r="P3614" s="3">
        <v>-381.42464345000002</v>
      </c>
      <c r="S3614" s="9"/>
      <c r="T3614" s="2"/>
      <c r="U3614" s="9"/>
    </row>
    <row r="3615" spans="2:21" x14ac:dyDescent="0.35">
      <c r="B3615" s="9"/>
      <c r="C3615" s="2"/>
      <c r="D3615" s="2"/>
      <c r="I3615" s="9"/>
      <c r="J3615" s="2"/>
      <c r="L3615" s="9"/>
      <c r="M3615" s="2"/>
      <c r="N3615" s="9"/>
      <c r="P3615" s="3">
        <v>-816.18464344999995</v>
      </c>
      <c r="S3615" s="9"/>
      <c r="T3615" s="2"/>
      <c r="U3615" s="9"/>
    </row>
    <row r="3616" spans="2:21" x14ac:dyDescent="0.35">
      <c r="B3616" s="9"/>
      <c r="C3616" s="2"/>
      <c r="D3616" s="2"/>
      <c r="I3616" s="9"/>
      <c r="J3616" s="2"/>
      <c r="L3616" s="9"/>
      <c r="M3616" s="2"/>
      <c r="N3616" s="9"/>
      <c r="P3616" s="3">
        <v>-381.42464345000002</v>
      </c>
      <c r="S3616" s="9"/>
      <c r="T3616" s="2"/>
      <c r="U3616" s="9"/>
    </row>
    <row r="3617" spans="2:21" x14ac:dyDescent="0.35">
      <c r="B3617" s="9"/>
      <c r="C3617" s="2"/>
      <c r="D3617" s="2"/>
      <c r="I3617" s="9"/>
      <c r="J3617" s="2"/>
      <c r="L3617" s="9"/>
      <c r="M3617" s="2"/>
      <c r="N3617" s="9"/>
      <c r="P3617" s="3">
        <v>0</v>
      </c>
      <c r="S3617" s="9"/>
      <c r="T3617" s="2"/>
      <c r="U3617" s="9"/>
    </row>
    <row r="3618" spans="2:21" x14ac:dyDescent="0.35">
      <c r="B3618" s="9"/>
      <c r="C3618" s="2"/>
      <c r="D3618" s="2"/>
      <c r="I3618" s="9"/>
      <c r="J3618" s="2"/>
      <c r="L3618" s="9"/>
      <c r="M3618" s="2"/>
      <c r="N3618" s="9"/>
      <c r="P3618" s="3">
        <v>-251.60949199999999</v>
      </c>
      <c r="S3618" s="9"/>
      <c r="T3618" s="2"/>
      <c r="U3618" s="9"/>
    </row>
    <row r="3619" spans="2:21" x14ac:dyDescent="0.35">
      <c r="B3619" s="9"/>
      <c r="C3619" s="2"/>
      <c r="D3619" s="2"/>
      <c r="I3619" s="9"/>
      <c r="J3619" s="2"/>
      <c r="L3619" s="9"/>
      <c r="M3619" s="2"/>
      <c r="N3619" s="9"/>
      <c r="P3619" s="3">
        <v>-686.36949200000004</v>
      </c>
      <c r="S3619" s="9"/>
      <c r="T3619" s="2"/>
      <c r="U3619" s="9"/>
    </row>
    <row r="3620" spans="2:21" x14ac:dyDescent="0.35">
      <c r="B3620" s="9"/>
      <c r="C3620" s="2"/>
      <c r="D3620" s="2"/>
      <c r="I3620" s="9"/>
      <c r="J3620" s="2"/>
      <c r="L3620" s="9"/>
      <c r="M3620" s="2"/>
      <c r="N3620" s="9"/>
      <c r="P3620" s="3">
        <v>-1121.129492</v>
      </c>
      <c r="S3620" s="9"/>
      <c r="T3620" s="2"/>
      <c r="U3620" s="9"/>
    </row>
    <row r="3621" spans="2:21" x14ac:dyDescent="0.35">
      <c r="B3621" s="9"/>
      <c r="C3621" s="2"/>
      <c r="D3621" s="2"/>
      <c r="I3621" s="9"/>
      <c r="J3621" s="2"/>
      <c r="L3621" s="9"/>
      <c r="M3621" s="2"/>
      <c r="N3621" s="9"/>
      <c r="P3621" s="3">
        <v>-1555.889492</v>
      </c>
      <c r="S3621" s="9"/>
      <c r="T3621" s="2"/>
      <c r="U3621" s="9"/>
    </row>
    <row r="3622" spans="2:21" x14ac:dyDescent="0.35">
      <c r="B3622" s="9"/>
      <c r="C3622" s="2"/>
      <c r="D3622" s="2"/>
      <c r="I3622" s="9"/>
      <c r="J3622" s="2"/>
      <c r="L3622" s="9"/>
      <c r="M3622" s="2"/>
      <c r="N3622" s="9"/>
      <c r="P3622" s="3">
        <v>-1990.649492</v>
      </c>
      <c r="S3622" s="9"/>
      <c r="T3622" s="2"/>
      <c r="U3622" s="9"/>
    </row>
    <row r="3623" spans="2:21" x14ac:dyDescent="0.35">
      <c r="B3623" s="9"/>
      <c r="C3623" s="2"/>
      <c r="D3623" s="2"/>
      <c r="I3623" s="9"/>
      <c r="J3623" s="2"/>
      <c r="L3623" s="9"/>
      <c r="M3623" s="2"/>
      <c r="N3623" s="9"/>
      <c r="P3623" s="3">
        <v>-2425.4094919999998</v>
      </c>
      <c r="S3623" s="9"/>
      <c r="T3623" s="2"/>
      <c r="U3623" s="9"/>
    </row>
    <row r="3624" spans="2:21" x14ac:dyDescent="0.35">
      <c r="B3624" s="9"/>
      <c r="C3624" s="2"/>
      <c r="D3624" s="2"/>
      <c r="I3624" s="9"/>
      <c r="J3624" s="2"/>
      <c r="L3624" s="9"/>
      <c r="M3624" s="2"/>
      <c r="N3624" s="9"/>
      <c r="P3624" s="3">
        <v>-2860.169492</v>
      </c>
      <c r="S3624" s="9"/>
      <c r="T3624" s="2"/>
      <c r="U3624" s="9"/>
    </row>
    <row r="3625" spans="2:21" x14ac:dyDescent="0.35">
      <c r="B3625" s="9"/>
      <c r="C3625" s="2"/>
      <c r="D3625" s="2"/>
      <c r="I3625" s="9"/>
      <c r="J3625" s="2"/>
      <c r="L3625" s="9"/>
      <c r="M3625" s="2"/>
      <c r="N3625" s="9"/>
      <c r="P3625" s="3">
        <v>-2860.169492</v>
      </c>
      <c r="S3625" s="9"/>
      <c r="T3625" s="2"/>
      <c r="U3625" s="9"/>
    </row>
    <row r="3626" spans="2:21" x14ac:dyDescent="0.35">
      <c r="B3626" s="9"/>
      <c r="C3626" s="2"/>
      <c r="D3626" s="2"/>
      <c r="I3626" s="9"/>
      <c r="J3626" s="2"/>
      <c r="L3626" s="9"/>
      <c r="M3626" s="2"/>
      <c r="N3626" s="9"/>
      <c r="P3626" s="3">
        <v>-2860.169492</v>
      </c>
      <c r="S3626" s="9"/>
      <c r="T3626" s="2"/>
      <c r="U3626" s="9"/>
    </row>
    <row r="3627" spans="2:21" x14ac:dyDescent="0.35">
      <c r="B3627" s="9"/>
      <c r="C3627" s="2"/>
      <c r="D3627" s="2"/>
      <c r="I3627" s="9"/>
      <c r="J3627" s="2"/>
      <c r="L3627" s="9"/>
      <c r="M3627" s="2"/>
      <c r="N3627" s="9"/>
      <c r="P3627" s="3">
        <v>-2860.169492</v>
      </c>
      <c r="S3627" s="9"/>
      <c r="T3627" s="2"/>
      <c r="U3627" s="9"/>
    </row>
    <row r="3628" spans="2:21" x14ac:dyDescent="0.35">
      <c r="B3628" s="9"/>
      <c r="C3628" s="2"/>
      <c r="D3628" s="2"/>
      <c r="I3628" s="9"/>
      <c r="J3628" s="2"/>
      <c r="L3628" s="9"/>
      <c r="M3628" s="2"/>
      <c r="N3628" s="9"/>
      <c r="P3628" s="3">
        <v>-2860.169492</v>
      </c>
      <c r="S3628" s="9"/>
      <c r="T3628" s="2"/>
      <c r="U3628" s="9"/>
    </row>
    <row r="3629" spans="2:21" x14ac:dyDescent="0.35">
      <c r="B3629" s="9"/>
      <c r="C3629" s="2"/>
      <c r="D3629" s="2"/>
      <c r="I3629" s="9"/>
      <c r="J3629" s="2"/>
      <c r="L3629" s="9"/>
      <c r="M3629" s="2"/>
      <c r="N3629" s="9"/>
      <c r="P3629" s="3">
        <v>-2860.169492</v>
      </c>
      <c r="S3629" s="9"/>
      <c r="T3629" s="2"/>
      <c r="U3629" s="9"/>
    </row>
    <row r="3630" spans="2:21" x14ac:dyDescent="0.35">
      <c r="B3630" s="9"/>
      <c r="C3630" s="2"/>
      <c r="D3630" s="2"/>
      <c r="I3630" s="9"/>
      <c r="J3630" s="2"/>
      <c r="L3630" s="9"/>
      <c r="M3630" s="2"/>
      <c r="N3630" s="9"/>
      <c r="P3630" s="3">
        <v>-2860.169492</v>
      </c>
      <c r="S3630" s="9"/>
      <c r="T3630" s="2"/>
      <c r="U3630" s="9"/>
    </row>
    <row r="3631" spans="2:21" x14ac:dyDescent="0.35">
      <c r="B3631" s="9"/>
      <c r="C3631" s="2"/>
      <c r="D3631" s="2"/>
      <c r="I3631" s="9"/>
      <c r="J3631" s="2"/>
      <c r="L3631" s="9"/>
      <c r="M3631" s="2"/>
      <c r="N3631" s="9"/>
      <c r="P3631" s="3">
        <v>-2860.169492</v>
      </c>
      <c r="S3631" s="9"/>
      <c r="T3631" s="2"/>
      <c r="U3631" s="9"/>
    </row>
    <row r="3632" spans="2:21" x14ac:dyDescent="0.35">
      <c r="B3632" s="9"/>
      <c r="C3632" s="2"/>
      <c r="D3632" s="2"/>
      <c r="I3632" s="9"/>
      <c r="J3632" s="2"/>
      <c r="L3632" s="9"/>
      <c r="M3632" s="2"/>
      <c r="N3632" s="9"/>
      <c r="P3632" s="3">
        <v>-2860.169492</v>
      </c>
      <c r="S3632" s="9"/>
      <c r="T3632" s="2"/>
      <c r="U3632" s="9"/>
    </row>
    <row r="3633" spans="2:21" x14ac:dyDescent="0.35">
      <c r="B3633" s="9"/>
      <c r="C3633" s="2"/>
      <c r="D3633" s="2"/>
      <c r="I3633" s="9"/>
      <c r="J3633" s="2"/>
      <c r="L3633" s="9"/>
      <c r="M3633" s="2"/>
      <c r="N3633" s="9"/>
      <c r="P3633" s="3">
        <v>-2860.169492</v>
      </c>
      <c r="S3633" s="9"/>
      <c r="T3633" s="2"/>
      <c r="U3633" s="9"/>
    </row>
    <row r="3634" spans="2:21" x14ac:dyDescent="0.35">
      <c r="B3634" s="9"/>
      <c r="C3634" s="2"/>
      <c r="D3634" s="2"/>
      <c r="I3634" s="9"/>
      <c r="J3634" s="2"/>
      <c r="L3634" s="9"/>
      <c r="M3634" s="2"/>
      <c r="N3634" s="9"/>
      <c r="P3634" s="3">
        <v>-2860.169492</v>
      </c>
      <c r="S3634" s="9"/>
      <c r="T3634" s="2"/>
      <c r="U3634" s="9"/>
    </row>
    <row r="3635" spans="2:21" x14ac:dyDescent="0.35">
      <c r="B3635" s="9"/>
      <c r="C3635" s="2"/>
      <c r="D3635" s="2"/>
      <c r="I3635" s="9"/>
      <c r="J3635" s="2"/>
      <c r="L3635" s="9"/>
      <c r="M3635" s="2"/>
      <c r="N3635" s="9"/>
      <c r="P3635" s="3">
        <v>-2860.169492</v>
      </c>
      <c r="S3635" s="9"/>
      <c r="T3635" s="2"/>
      <c r="U3635" s="9"/>
    </row>
    <row r="3636" spans="2:21" x14ac:dyDescent="0.35">
      <c r="B3636" s="9"/>
      <c r="C3636" s="2"/>
      <c r="D3636" s="2"/>
      <c r="I3636" s="9"/>
      <c r="J3636" s="2"/>
      <c r="L3636" s="9"/>
      <c r="M3636" s="2"/>
      <c r="N3636" s="9"/>
      <c r="P3636" s="3">
        <v>-2860.169492</v>
      </c>
      <c r="S3636" s="9"/>
      <c r="T3636" s="2"/>
      <c r="U3636" s="9"/>
    </row>
    <row r="3637" spans="2:21" x14ac:dyDescent="0.35">
      <c r="B3637" s="9"/>
      <c r="C3637" s="2"/>
      <c r="D3637" s="2"/>
      <c r="I3637" s="9"/>
      <c r="J3637" s="2"/>
      <c r="L3637" s="9"/>
      <c r="M3637" s="2"/>
      <c r="N3637" s="9"/>
      <c r="P3637" s="3">
        <v>-2860.169492</v>
      </c>
      <c r="S3637" s="9"/>
      <c r="T3637" s="2"/>
      <c r="U3637" s="9"/>
    </row>
    <row r="3638" spans="2:21" x14ac:dyDescent="0.35">
      <c r="B3638" s="9"/>
      <c r="C3638" s="2"/>
      <c r="D3638" s="2"/>
      <c r="I3638" s="9"/>
      <c r="J3638" s="2"/>
      <c r="L3638" s="9"/>
      <c r="M3638" s="2"/>
      <c r="N3638" s="9"/>
      <c r="P3638" s="3">
        <v>-2425.4094919999998</v>
      </c>
      <c r="S3638" s="9"/>
      <c r="T3638" s="2"/>
      <c r="U3638" s="9"/>
    </row>
    <row r="3639" spans="2:21" x14ac:dyDescent="0.35">
      <c r="B3639" s="9"/>
      <c r="C3639" s="2"/>
      <c r="D3639" s="2"/>
      <c r="I3639" s="9"/>
      <c r="J3639" s="2"/>
      <c r="L3639" s="9"/>
      <c r="M3639" s="2"/>
      <c r="N3639" s="9"/>
      <c r="P3639" s="3">
        <v>-1990.649492</v>
      </c>
      <c r="S3639" s="9"/>
      <c r="T3639" s="2"/>
      <c r="U3639" s="9"/>
    </row>
    <row r="3640" spans="2:21" x14ac:dyDescent="0.35">
      <c r="B3640" s="9"/>
      <c r="C3640" s="2"/>
      <c r="D3640" s="2"/>
      <c r="I3640" s="9"/>
      <c r="J3640" s="2"/>
      <c r="L3640" s="9"/>
      <c r="M3640" s="2"/>
      <c r="N3640" s="9"/>
      <c r="P3640" s="3">
        <v>-1555.889492</v>
      </c>
      <c r="S3640" s="9"/>
      <c r="T3640" s="2"/>
      <c r="U3640" s="9"/>
    </row>
    <row r="3641" spans="2:21" x14ac:dyDescent="0.35">
      <c r="B3641" s="9"/>
      <c r="C3641" s="2"/>
      <c r="D3641" s="2"/>
      <c r="I3641" s="9"/>
      <c r="J3641" s="2"/>
      <c r="L3641" s="9"/>
      <c r="M3641" s="2"/>
      <c r="N3641" s="9"/>
      <c r="P3641" s="3">
        <v>-1121.129492</v>
      </c>
      <c r="S3641" s="9"/>
      <c r="T3641" s="2"/>
      <c r="U3641" s="9"/>
    </row>
    <row r="3642" spans="2:21" x14ac:dyDescent="0.35">
      <c r="B3642" s="9"/>
      <c r="C3642" s="2"/>
      <c r="D3642" s="2"/>
      <c r="I3642" s="9"/>
      <c r="J3642" s="2"/>
      <c r="L3642" s="9"/>
      <c r="M3642" s="2"/>
      <c r="N3642" s="9"/>
      <c r="P3642" s="3">
        <v>-686.36949200000004</v>
      </c>
      <c r="S3642" s="9"/>
      <c r="T3642" s="2"/>
      <c r="U3642" s="9"/>
    </row>
    <row r="3643" spans="2:21" x14ac:dyDescent="0.35">
      <c r="B3643" s="9"/>
      <c r="C3643" s="2"/>
      <c r="D3643" s="2"/>
      <c r="I3643" s="9"/>
      <c r="J3643" s="2"/>
      <c r="L3643" s="9"/>
      <c r="M3643" s="2"/>
      <c r="N3643" s="9"/>
      <c r="P3643" s="3">
        <v>-251.60949199999999</v>
      </c>
      <c r="S3643" s="9"/>
      <c r="T3643" s="2"/>
      <c r="U3643" s="9"/>
    </row>
    <row r="3644" spans="2:21" x14ac:dyDescent="0.35">
      <c r="B3644" s="9"/>
      <c r="C3644" s="2"/>
      <c r="D3644" s="2"/>
      <c r="I3644" s="9"/>
      <c r="J3644" s="2"/>
      <c r="L3644" s="9"/>
      <c r="M3644" s="2"/>
      <c r="N3644" s="9"/>
      <c r="P3644" s="3">
        <v>0</v>
      </c>
      <c r="S3644" s="9"/>
      <c r="T3644" s="2"/>
      <c r="U3644" s="9"/>
    </row>
    <row r="3645" spans="2:21" x14ac:dyDescent="0.35">
      <c r="B3645" s="9"/>
      <c r="C3645" s="2"/>
      <c r="D3645" s="2"/>
      <c r="I3645" s="9"/>
      <c r="J3645" s="2"/>
      <c r="L3645" s="9"/>
      <c r="M3645" s="2"/>
      <c r="N3645" s="9"/>
      <c r="P3645" s="3">
        <v>-251.60949199999999</v>
      </c>
      <c r="S3645" s="9"/>
      <c r="T3645" s="2"/>
      <c r="U3645" s="9"/>
    </row>
    <row r="3646" spans="2:21" x14ac:dyDescent="0.35">
      <c r="B3646" s="9"/>
      <c r="C3646" s="2"/>
      <c r="D3646" s="2"/>
      <c r="I3646" s="9"/>
      <c r="J3646" s="2"/>
      <c r="L3646" s="9"/>
      <c r="M3646" s="2"/>
      <c r="N3646" s="9"/>
      <c r="P3646" s="3">
        <v>-686.36949200000004</v>
      </c>
      <c r="S3646" s="9"/>
      <c r="T3646" s="2"/>
      <c r="U3646" s="9"/>
    </row>
    <row r="3647" spans="2:21" x14ac:dyDescent="0.35">
      <c r="B3647" s="9"/>
      <c r="C3647" s="2"/>
      <c r="D3647" s="2"/>
      <c r="I3647" s="9"/>
      <c r="J3647" s="2"/>
      <c r="L3647" s="9"/>
      <c r="M3647" s="2"/>
      <c r="N3647" s="9"/>
      <c r="P3647" s="3">
        <v>-1121.129492</v>
      </c>
      <c r="S3647" s="9"/>
      <c r="T3647" s="2"/>
      <c r="U3647" s="9"/>
    </row>
    <row r="3648" spans="2:21" x14ac:dyDescent="0.35">
      <c r="B3648" s="9"/>
      <c r="C3648" s="2"/>
      <c r="D3648" s="2"/>
      <c r="I3648" s="9"/>
      <c r="J3648" s="2"/>
      <c r="L3648" s="9"/>
      <c r="M3648" s="2"/>
      <c r="N3648" s="9"/>
      <c r="P3648" s="3">
        <v>-1555.889492</v>
      </c>
      <c r="S3648" s="9"/>
      <c r="T3648" s="2"/>
      <c r="U3648" s="9"/>
    </row>
    <row r="3649" spans="2:21" x14ac:dyDescent="0.35">
      <c r="B3649" s="9"/>
      <c r="C3649" s="2"/>
      <c r="D3649" s="2"/>
      <c r="I3649" s="9"/>
      <c r="J3649" s="2"/>
      <c r="L3649" s="9"/>
      <c r="M3649" s="2"/>
      <c r="N3649" s="9"/>
      <c r="P3649" s="3">
        <v>-1990.649492</v>
      </c>
      <c r="S3649" s="9"/>
      <c r="T3649" s="2"/>
      <c r="U3649" s="9"/>
    </row>
    <row r="3650" spans="2:21" x14ac:dyDescent="0.35">
      <c r="B3650" s="9"/>
      <c r="C3650" s="2"/>
      <c r="D3650" s="2"/>
      <c r="I3650" s="9"/>
      <c r="J3650" s="2"/>
      <c r="L3650" s="9"/>
      <c r="M3650" s="2"/>
      <c r="N3650" s="9"/>
      <c r="P3650" s="3">
        <v>-2425.4094919999998</v>
      </c>
      <c r="S3650" s="9"/>
      <c r="T3650" s="2"/>
      <c r="U3650" s="9"/>
    </row>
    <row r="3651" spans="2:21" x14ac:dyDescent="0.35">
      <c r="B3651" s="9"/>
      <c r="C3651" s="2"/>
      <c r="D3651" s="2"/>
      <c r="I3651" s="9"/>
      <c r="J3651" s="2"/>
      <c r="L3651" s="9"/>
      <c r="M3651" s="2"/>
      <c r="N3651" s="9"/>
      <c r="P3651" s="3">
        <v>-2860.169492</v>
      </c>
      <c r="S3651" s="9"/>
      <c r="T3651" s="2"/>
      <c r="U3651" s="9"/>
    </row>
    <row r="3652" spans="2:21" x14ac:dyDescent="0.35">
      <c r="B3652" s="9"/>
      <c r="C3652" s="2"/>
      <c r="D3652" s="2"/>
      <c r="I3652" s="9"/>
      <c r="J3652" s="2"/>
      <c r="L3652" s="9"/>
      <c r="M3652" s="2"/>
      <c r="N3652" s="9"/>
      <c r="P3652" s="3">
        <v>-2860.169492</v>
      </c>
      <c r="S3652" s="9"/>
      <c r="T3652" s="2"/>
      <c r="U3652" s="9"/>
    </row>
    <row r="3653" spans="2:21" x14ac:dyDescent="0.35">
      <c r="B3653" s="9"/>
      <c r="C3653" s="2"/>
      <c r="D3653" s="2"/>
      <c r="I3653" s="9"/>
      <c r="J3653" s="2"/>
      <c r="L3653" s="9"/>
      <c r="M3653" s="2"/>
      <c r="N3653" s="9"/>
      <c r="P3653" s="3">
        <v>-2860.169492</v>
      </c>
      <c r="S3653" s="9"/>
      <c r="T3653" s="2"/>
      <c r="U3653" s="9"/>
    </row>
    <row r="3654" spans="2:21" x14ac:dyDescent="0.35">
      <c r="B3654" s="9"/>
      <c r="C3654" s="2"/>
      <c r="D3654" s="2"/>
      <c r="I3654" s="9"/>
      <c r="J3654" s="2"/>
      <c r="L3654" s="9"/>
      <c r="M3654" s="2"/>
      <c r="N3654" s="9"/>
      <c r="P3654" s="3">
        <v>-2860.169492</v>
      </c>
      <c r="S3654" s="9"/>
      <c r="T3654" s="2"/>
      <c r="U3654" s="9"/>
    </row>
    <row r="3655" spans="2:21" x14ac:dyDescent="0.35">
      <c r="B3655" s="9"/>
      <c r="C3655" s="2"/>
      <c r="D3655" s="2"/>
      <c r="I3655" s="9"/>
      <c r="J3655" s="2"/>
      <c r="L3655" s="9"/>
      <c r="M3655" s="2"/>
      <c r="N3655" s="9"/>
      <c r="P3655" s="3">
        <v>-2860.169492</v>
      </c>
      <c r="S3655" s="9"/>
      <c r="T3655" s="2"/>
      <c r="U3655" s="9"/>
    </row>
    <row r="3656" spans="2:21" x14ac:dyDescent="0.35">
      <c r="B3656" s="9"/>
      <c r="C3656" s="2"/>
      <c r="D3656" s="2"/>
      <c r="I3656" s="9"/>
      <c r="J3656" s="2"/>
      <c r="L3656" s="9"/>
      <c r="M3656" s="2"/>
      <c r="N3656" s="9"/>
      <c r="P3656" s="3">
        <v>-2860.169492</v>
      </c>
      <c r="S3656" s="9"/>
      <c r="T3656" s="2"/>
      <c r="U3656" s="9"/>
    </row>
    <row r="3657" spans="2:21" x14ac:dyDescent="0.35">
      <c r="B3657" s="9"/>
      <c r="C3657" s="2"/>
      <c r="D3657" s="2"/>
      <c r="I3657" s="9"/>
      <c r="J3657" s="2"/>
      <c r="L3657" s="9"/>
      <c r="M3657" s="2"/>
      <c r="N3657" s="9"/>
      <c r="P3657" s="3">
        <v>-2860.169492</v>
      </c>
      <c r="S3657" s="9"/>
      <c r="T3657" s="2"/>
      <c r="U3657" s="9"/>
    </row>
    <row r="3658" spans="2:21" x14ac:dyDescent="0.35">
      <c r="B3658" s="9"/>
      <c r="C3658" s="2"/>
      <c r="D3658" s="2"/>
      <c r="I3658" s="9"/>
      <c r="J3658" s="2"/>
      <c r="L3658" s="9"/>
      <c r="M3658" s="2"/>
      <c r="N3658" s="9"/>
      <c r="P3658" s="3">
        <v>-2860.169492</v>
      </c>
      <c r="S3658" s="9"/>
      <c r="T3658" s="2"/>
      <c r="U3658" s="9"/>
    </row>
    <row r="3659" spans="2:21" x14ac:dyDescent="0.35">
      <c r="B3659" s="9"/>
      <c r="C3659" s="2"/>
      <c r="D3659" s="2"/>
      <c r="I3659" s="9"/>
      <c r="J3659" s="2"/>
      <c r="L3659" s="9"/>
      <c r="M3659" s="2"/>
      <c r="N3659" s="9"/>
      <c r="P3659" s="3">
        <v>-2608.56</v>
      </c>
      <c r="S3659" s="9"/>
      <c r="T3659" s="2"/>
      <c r="U3659" s="9"/>
    </row>
    <row r="3660" spans="2:21" x14ac:dyDescent="0.35">
      <c r="B3660" s="9"/>
      <c r="C3660" s="2"/>
      <c r="D3660" s="2"/>
      <c r="I3660" s="9"/>
      <c r="J3660" s="2"/>
      <c r="L3660" s="9"/>
      <c r="M3660" s="2"/>
      <c r="N3660" s="9"/>
      <c r="P3660" s="3">
        <v>-2173.8000000000002</v>
      </c>
      <c r="S3660" s="9"/>
      <c r="T3660" s="2"/>
      <c r="U3660" s="9"/>
    </row>
    <row r="3661" spans="2:21" x14ac:dyDescent="0.35">
      <c r="B3661" s="9"/>
      <c r="C3661" s="2"/>
      <c r="D3661" s="2"/>
      <c r="I3661" s="9"/>
      <c r="J3661" s="2"/>
      <c r="L3661" s="9"/>
      <c r="M3661" s="2"/>
      <c r="N3661" s="9"/>
      <c r="P3661" s="3">
        <v>-1739.04</v>
      </c>
      <c r="S3661" s="9"/>
      <c r="T3661" s="2"/>
      <c r="U3661" s="9"/>
    </row>
    <row r="3662" spans="2:21" x14ac:dyDescent="0.35">
      <c r="B3662" s="9"/>
      <c r="C3662" s="2"/>
      <c r="D3662" s="2"/>
      <c r="I3662" s="9"/>
      <c r="J3662" s="2"/>
      <c r="L3662" s="9"/>
      <c r="M3662" s="2"/>
      <c r="N3662" s="9"/>
      <c r="P3662" s="3">
        <v>-1304.28</v>
      </c>
      <c r="S3662" s="9"/>
      <c r="T3662" s="2"/>
      <c r="U3662" s="9"/>
    </row>
    <row r="3663" spans="2:21" x14ac:dyDescent="0.35">
      <c r="B3663" s="9"/>
      <c r="C3663" s="2"/>
      <c r="D3663" s="2"/>
      <c r="I3663" s="9"/>
      <c r="J3663" s="2"/>
      <c r="L3663" s="9"/>
      <c r="M3663" s="2"/>
      <c r="N3663" s="9"/>
      <c r="P3663" s="3">
        <v>-869.52</v>
      </c>
      <c r="S3663" s="9"/>
      <c r="T3663" s="2"/>
      <c r="U3663" s="9"/>
    </row>
    <row r="3664" spans="2:21" x14ac:dyDescent="0.35">
      <c r="B3664" s="9"/>
      <c r="C3664" s="2"/>
      <c r="D3664" s="2"/>
      <c r="I3664" s="9"/>
      <c r="J3664" s="2"/>
      <c r="L3664" s="9"/>
      <c r="M3664" s="2"/>
      <c r="N3664" s="9"/>
      <c r="P3664" s="3">
        <v>-434.76</v>
      </c>
      <c r="S3664" s="9"/>
      <c r="T3664" s="2"/>
      <c r="U3664" s="9"/>
    </row>
    <row r="3665" spans="2:21" x14ac:dyDescent="0.35">
      <c r="B3665" s="9"/>
      <c r="C3665" s="2"/>
      <c r="D3665" s="2"/>
      <c r="I3665" s="9"/>
      <c r="J3665" s="2"/>
      <c r="L3665" s="9"/>
      <c r="M3665" s="2"/>
      <c r="N3665" s="9"/>
      <c r="P3665" s="3">
        <v>0</v>
      </c>
      <c r="S3665" s="9"/>
      <c r="T3665" s="2"/>
      <c r="U3665" s="9"/>
    </row>
    <row r="3666" spans="2:21" x14ac:dyDescent="0.35">
      <c r="B3666" s="9"/>
      <c r="C3666" s="2"/>
      <c r="D3666" s="2"/>
      <c r="I3666" s="9"/>
      <c r="J3666" s="2"/>
      <c r="L3666" s="9"/>
      <c r="M3666" s="2"/>
      <c r="N3666" s="9"/>
      <c r="P3666" s="3">
        <v>0</v>
      </c>
      <c r="S3666" s="9"/>
      <c r="T3666" s="2"/>
      <c r="U3666" s="9"/>
    </row>
    <row r="3667" spans="2:21" x14ac:dyDescent="0.35">
      <c r="B3667" s="9"/>
      <c r="C3667" s="2"/>
      <c r="D3667" s="2"/>
      <c r="I3667" s="9"/>
      <c r="J3667" s="2"/>
      <c r="L3667" s="9"/>
      <c r="M3667" s="2"/>
      <c r="N3667" s="9"/>
      <c r="P3667" s="3">
        <v>0</v>
      </c>
      <c r="S3667" s="9"/>
      <c r="T3667" s="2"/>
      <c r="U3667" s="9"/>
    </row>
    <row r="3668" spans="2:21" x14ac:dyDescent="0.35">
      <c r="B3668" s="9"/>
      <c r="C3668" s="2"/>
      <c r="D3668" s="2"/>
      <c r="I3668" s="9"/>
      <c r="J3668" s="2"/>
      <c r="L3668" s="9"/>
      <c r="M3668" s="2"/>
      <c r="N3668" s="9"/>
      <c r="P3668" s="3">
        <v>-268.80223603000002</v>
      </c>
      <c r="S3668" s="9"/>
      <c r="T3668" s="2"/>
      <c r="U3668" s="9"/>
    </row>
    <row r="3669" spans="2:21" x14ac:dyDescent="0.35">
      <c r="B3669" s="9"/>
      <c r="C3669" s="2"/>
      <c r="D3669" s="2"/>
      <c r="I3669" s="9"/>
      <c r="J3669" s="2"/>
      <c r="L3669" s="9"/>
      <c r="M3669" s="2"/>
      <c r="N3669" s="9"/>
      <c r="P3669" s="3">
        <v>-703.56223603000001</v>
      </c>
      <c r="S3669" s="9"/>
      <c r="T3669" s="2"/>
      <c r="U3669" s="9"/>
    </row>
    <row r="3670" spans="2:21" x14ac:dyDescent="0.35">
      <c r="B3670" s="9"/>
      <c r="C3670" s="2"/>
      <c r="D3670" s="2"/>
      <c r="I3670" s="9"/>
      <c r="J3670" s="2"/>
      <c r="L3670" s="9"/>
      <c r="M3670" s="2"/>
      <c r="N3670" s="9"/>
      <c r="P3670" s="3">
        <v>-1138.3222360300001</v>
      </c>
      <c r="S3670" s="9"/>
      <c r="T3670" s="2"/>
      <c r="U3670" s="9"/>
    </row>
    <row r="3671" spans="2:21" x14ac:dyDescent="0.35">
      <c r="B3671" s="9"/>
      <c r="C3671" s="2"/>
      <c r="D3671" s="2"/>
      <c r="I3671" s="9"/>
      <c r="J3671" s="2"/>
      <c r="L3671" s="9"/>
      <c r="M3671" s="2"/>
      <c r="N3671" s="9"/>
      <c r="P3671" s="3">
        <v>-1573.0822360300001</v>
      </c>
      <c r="S3671" s="9"/>
      <c r="T3671" s="2"/>
      <c r="U3671" s="9"/>
    </row>
    <row r="3672" spans="2:21" x14ac:dyDescent="0.35">
      <c r="B3672" s="9"/>
      <c r="C3672" s="2"/>
      <c r="D3672" s="2"/>
      <c r="I3672" s="9"/>
      <c r="J3672" s="2"/>
      <c r="L3672" s="9"/>
      <c r="M3672" s="2"/>
      <c r="N3672" s="9"/>
      <c r="P3672" s="3">
        <v>-2007.8422360300001</v>
      </c>
      <c r="S3672" s="9"/>
      <c r="T3672" s="2"/>
      <c r="U3672" s="9"/>
    </row>
    <row r="3673" spans="2:21" x14ac:dyDescent="0.35">
      <c r="B3673" s="9"/>
      <c r="C3673" s="2"/>
      <c r="D3673" s="2"/>
      <c r="I3673" s="9"/>
      <c r="J3673" s="2"/>
      <c r="L3673" s="9"/>
      <c r="M3673" s="2"/>
      <c r="N3673" s="9"/>
      <c r="P3673" s="3">
        <v>-2442.6022360299999</v>
      </c>
      <c r="S3673" s="9"/>
      <c r="T3673" s="2"/>
      <c r="U3673" s="9"/>
    </row>
    <row r="3674" spans="2:21" x14ac:dyDescent="0.35">
      <c r="B3674" s="9"/>
      <c r="C3674" s="2"/>
      <c r="D3674" s="2"/>
      <c r="I3674" s="9"/>
      <c r="J3674" s="2"/>
      <c r="L3674" s="9"/>
      <c r="M3674" s="2"/>
      <c r="N3674" s="9"/>
      <c r="P3674" s="3">
        <v>-2860.169492</v>
      </c>
      <c r="S3674" s="9"/>
      <c r="T3674" s="2"/>
      <c r="U3674" s="9"/>
    </row>
    <row r="3675" spans="2:21" x14ac:dyDescent="0.35">
      <c r="B3675" s="9"/>
      <c r="C3675" s="2"/>
      <c r="D3675" s="2"/>
      <c r="I3675" s="9"/>
      <c r="J3675" s="2"/>
      <c r="L3675" s="9"/>
      <c r="M3675" s="2"/>
      <c r="N3675" s="9"/>
      <c r="P3675" s="3">
        <v>-2860.169492</v>
      </c>
      <c r="S3675" s="9"/>
      <c r="T3675" s="2"/>
      <c r="U3675" s="9"/>
    </row>
    <row r="3676" spans="2:21" x14ac:dyDescent="0.35">
      <c r="B3676" s="9"/>
      <c r="C3676" s="2"/>
      <c r="D3676" s="2"/>
      <c r="I3676" s="9"/>
      <c r="J3676" s="2"/>
      <c r="L3676" s="9"/>
      <c r="M3676" s="2"/>
      <c r="N3676" s="9"/>
      <c r="P3676" s="3">
        <v>-2860.169492</v>
      </c>
      <c r="S3676" s="9"/>
      <c r="T3676" s="2"/>
      <c r="U3676" s="9"/>
    </row>
    <row r="3677" spans="2:21" x14ac:dyDescent="0.35">
      <c r="B3677" s="9"/>
      <c r="C3677" s="2"/>
      <c r="D3677" s="2"/>
      <c r="I3677" s="9"/>
      <c r="J3677" s="2"/>
      <c r="L3677" s="9"/>
      <c r="M3677" s="2"/>
      <c r="N3677" s="9"/>
      <c r="P3677" s="3">
        <v>-2860.169492</v>
      </c>
      <c r="S3677" s="9"/>
      <c r="T3677" s="2"/>
      <c r="U3677" s="9"/>
    </row>
    <row r="3678" spans="2:21" x14ac:dyDescent="0.35">
      <c r="B3678" s="9"/>
      <c r="C3678" s="2"/>
      <c r="D3678" s="2"/>
      <c r="I3678" s="9"/>
      <c r="J3678" s="2"/>
      <c r="L3678" s="9"/>
      <c r="M3678" s="2"/>
      <c r="N3678" s="9"/>
      <c r="P3678" s="3">
        <v>-2860.169492</v>
      </c>
      <c r="S3678" s="9"/>
      <c r="T3678" s="2"/>
      <c r="U3678" s="9"/>
    </row>
    <row r="3679" spans="2:21" x14ac:dyDescent="0.35">
      <c r="B3679" s="9"/>
      <c r="C3679" s="2"/>
      <c r="D3679" s="2"/>
      <c r="I3679" s="9"/>
      <c r="J3679" s="2"/>
      <c r="L3679" s="9"/>
      <c r="M3679" s="2"/>
      <c r="N3679" s="9"/>
      <c r="P3679" s="3">
        <v>-2860.169492</v>
      </c>
      <c r="S3679" s="9"/>
      <c r="T3679" s="2"/>
      <c r="U3679" s="9"/>
    </row>
    <row r="3680" spans="2:21" x14ac:dyDescent="0.35">
      <c r="B3680" s="9"/>
      <c r="C3680" s="2"/>
      <c r="D3680" s="2"/>
      <c r="I3680" s="9"/>
      <c r="J3680" s="2"/>
      <c r="L3680" s="9"/>
      <c r="M3680" s="2"/>
      <c r="N3680" s="9"/>
      <c r="P3680" s="3">
        <v>-2860.169492</v>
      </c>
      <c r="S3680" s="9"/>
      <c r="T3680" s="2"/>
      <c r="U3680" s="9"/>
    </row>
    <row r="3681" spans="2:21" x14ac:dyDescent="0.35">
      <c r="B3681" s="9"/>
      <c r="C3681" s="2"/>
      <c r="D3681" s="2"/>
      <c r="I3681" s="9"/>
      <c r="J3681" s="2"/>
      <c r="L3681" s="9"/>
      <c r="M3681" s="2"/>
      <c r="N3681" s="9"/>
      <c r="P3681" s="3">
        <v>-2860.169492</v>
      </c>
      <c r="S3681" s="9"/>
      <c r="T3681" s="2"/>
      <c r="U3681" s="9"/>
    </row>
    <row r="3682" spans="2:21" x14ac:dyDescent="0.35">
      <c r="B3682" s="9"/>
      <c r="C3682" s="2"/>
      <c r="D3682" s="2"/>
      <c r="I3682" s="9"/>
      <c r="J3682" s="2"/>
      <c r="L3682" s="9"/>
      <c r="M3682" s="2"/>
      <c r="N3682" s="9"/>
      <c r="P3682" s="3">
        <v>-2860.169492</v>
      </c>
      <c r="S3682" s="9"/>
      <c r="T3682" s="2"/>
      <c r="U3682" s="9"/>
    </row>
    <row r="3683" spans="2:21" x14ac:dyDescent="0.35">
      <c r="B3683" s="9"/>
      <c r="C3683" s="2"/>
      <c r="D3683" s="2"/>
      <c r="I3683" s="9"/>
      <c r="J3683" s="2"/>
      <c r="L3683" s="9"/>
      <c r="M3683" s="2"/>
      <c r="N3683" s="9"/>
      <c r="P3683" s="3">
        <v>-2860.169492</v>
      </c>
      <c r="S3683" s="9"/>
      <c r="T3683" s="2"/>
      <c r="U3683" s="9"/>
    </row>
    <row r="3684" spans="2:21" x14ac:dyDescent="0.35">
      <c r="B3684" s="9"/>
      <c r="C3684" s="2"/>
      <c r="D3684" s="2"/>
      <c r="I3684" s="9"/>
      <c r="J3684" s="2"/>
      <c r="L3684" s="9"/>
      <c r="M3684" s="2"/>
      <c r="N3684" s="9"/>
      <c r="P3684" s="3">
        <v>-2860.169492</v>
      </c>
      <c r="S3684" s="9"/>
      <c r="T3684" s="2"/>
      <c r="U3684" s="9"/>
    </row>
    <row r="3685" spans="2:21" x14ac:dyDescent="0.35">
      <c r="B3685" s="9"/>
      <c r="C3685" s="2"/>
      <c r="D3685" s="2"/>
      <c r="I3685" s="9"/>
      <c r="J3685" s="2"/>
      <c r="L3685" s="9"/>
      <c r="M3685" s="2"/>
      <c r="N3685" s="9"/>
      <c r="P3685" s="3">
        <v>-2860.169492</v>
      </c>
      <c r="S3685" s="9"/>
      <c r="T3685" s="2"/>
      <c r="U3685" s="9"/>
    </row>
    <row r="3686" spans="2:21" x14ac:dyDescent="0.35">
      <c r="B3686" s="9"/>
      <c r="C3686" s="2"/>
      <c r="D3686" s="2"/>
      <c r="I3686" s="9"/>
      <c r="J3686" s="2"/>
      <c r="L3686" s="9"/>
      <c r="M3686" s="2"/>
      <c r="N3686" s="9"/>
      <c r="P3686" s="3">
        <v>-2425.4094919999998</v>
      </c>
      <c r="S3686" s="9"/>
      <c r="T3686" s="2"/>
      <c r="U3686" s="9"/>
    </row>
    <row r="3687" spans="2:21" x14ac:dyDescent="0.35">
      <c r="B3687" s="9"/>
      <c r="C3687" s="2"/>
      <c r="D3687" s="2"/>
      <c r="I3687" s="9"/>
      <c r="J3687" s="2"/>
      <c r="L3687" s="9"/>
      <c r="M3687" s="2"/>
      <c r="N3687" s="9"/>
      <c r="P3687" s="3">
        <v>-1990.649492</v>
      </c>
      <c r="S3687" s="9"/>
      <c r="T3687" s="2"/>
      <c r="U3687" s="9"/>
    </row>
    <row r="3688" spans="2:21" x14ac:dyDescent="0.35">
      <c r="B3688" s="9"/>
      <c r="C3688" s="2"/>
      <c r="D3688" s="2"/>
      <c r="I3688" s="9"/>
      <c r="J3688" s="2"/>
      <c r="L3688" s="9"/>
      <c r="M3688" s="2"/>
      <c r="N3688" s="9"/>
      <c r="P3688" s="3">
        <v>-1555.889492</v>
      </c>
      <c r="S3688" s="9"/>
      <c r="T3688" s="2"/>
      <c r="U3688" s="9"/>
    </row>
    <row r="3689" spans="2:21" x14ac:dyDescent="0.35">
      <c r="B3689" s="9"/>
      <c r="C3689" s="2"/>
      <c r="D3689" s="2"/>
      <c r="I3689" s="9"/>
      <c r="J3689" s="2"/>
      <c r="L3689" s="9"/>
      <c r="M3689" s="2"/>
      <c r="N3689" s="9"/>
      <c r="P3689" s="3">
        <v>-1121.129492</v>
      </c>
      <c r="S3689" s="9"/>
      <c r="T3689" s="2"/>
      <c r="U3689" s="9"/>
    </row>
    <row r="3690" spans="2:21" x14ac:dyDescent="0.35">
      <c r="B3690" s="9"/>
      <c r="C3690" s="2"/>
      <c r="D3690" s="2"/>
      <c r="I3690" s="9"/>
      <c r="J3690" s="2"/>
      <c r="L3690" s="9"/>
      <c r="M3690" s="2"/>
      <c r="N3690" s="9"/>
      <c r="P3690" s="3">
        <v>-686.36949200000004</v>
      </c>
      <c r="S3690" s="9"/>
      <c r="T3690" s="2"/>
      <c r="U3690" s="9"/>
    </row>
    <row r="3691" spans="2:21" x14ac:dyDescent="0.35">
      <c r="B3691" s="9"/>
      <c r="C3691" s="2"/>
      <c r="D3691" s="2"/>
      <c r="I3691" s="9"/>
      <c r="J3691" s="2"/>
      <c r="L3691" s="9"/>
      <c r="M3691" s="2"/>
      <c r="N3691" s="9"/>
      <c r="P3691" s="3">
        <v>-251.60949199999999</v>
      </c>
      <c r="S3691" s="9"/>
      <c r="T3691" s="2"/>
      <c r="U3691" s="9"/>
    </row>
    <row r="3692" spans="2:21" x14ac:dyDescent="0.35">
      <c r="B3692" s="9"/>
      <c r="C3692" s="2"/>
      <c r="D3692" s="2"/>
      <c r="I3692" s="9"/>
      <c r="J3692" s="2"/>
      <c r="L3692" s="9"/>
      <c r="M3692" s="2"/>
      <c r="N3692" s="9"/>
      <c r="P3692" s="3">
        <v>-686.36949200000004</v>
      </c>
      <c r="S3692" s="9"/>
      <c r="T3692" s="2"/>
      <c r="U3692" s="9"/>
    </row>
    <row r="3693" spans="2:21" x14ac:dyDescent="0.35">
      <c r="B3693" s="9"/>
      <c r="C3693" s="2"/>
      <c r="D3693" s="2"/>
      <c r="I3693" s="9"/>
      <c r="J3693" s="2"/>
      <c r="L3693" s="9"/>
      <c r="M3693" s="2"/>
      <c r="N3693" s="9"/>
      <c r="P3693" s="3">
        <v>-1121.129492</v>
      </c>
      <c r="S3693" s="9"/>
      <c r="T3693" s="2"/>
      <c r="U3693" s="9"/>
    </row>
    <row r="3694" spans="2:21" x14ac:dyDescent="0.35">
      <c r="B3694" s="9"/>
      <c r="C3694" s="2"/>
      <c r="D3694" s="2"/>
      <c r="I3694" s="9"/>
      <c r="J3694" s="2"/>
      <c r="L3694" s="9"/>
      <c r="M3694" s="2"/>
      <c r="N3694" s="9"/>
      <c r="P3694" s="3">
        <v>-1555.889492</v>
      </c>
      <c r="S3694" s="9"/>
      <c r="T3694" s="2"/>
      <c r="U3694" s="9"/>
    </row>
    <row r="3695" spans="2:21" x14ac:dyDescent="0.35">
      <c r="B3695" s="9"/>
      <c r="C3695" s="2"/>
      <c r="D3695" s="2"/>
      <c r="I3695" s="9"/>
      <c r="J3695" s="2"/>
      <c r="L3695" s="9"/>
      <c r="M3695" s="2"/>
      <c r="N3695" s="9"/>
      <c r="P3695" s="3">
        <v>-1990.649492</v>
      </c>
      <c r="S3695" s="9"/>
      <c r="T3695" s="2"/>
      <c r="U3695" s="9"/>
    </row>
    <row r="3696" spans="2:21" x14ac:dyDescent="0.35">
      <c r="B3696" s="9"/>
      <c r="C3696" s="2"/>
      <c r="D3696" s="2"/>
      <c r="I3696" s="9"/>
      <c r="J3696" s="2"/>
      <c r="L3696" s="9"/>
      <c r="M3696" s="2"/>
      <c r="N3696" s="9"/>
      <c r="P3696" s="3">
        <v>-2425.4094919999998</v>
      </c>
      <c r="S3696" s="9"/>
      <c r="T3696" s="2"/>
      <c r="U3696" s="9"/>
    </row>
    <row r="3697" spans="2:21" x14ac:dyDescent="0.35">
      <c r="B3697" s="9"/>
      <c r="C3697" s="2"/>
      <c r="D3697" s="2"/>
      <c r="I3697" s="9"/>
      <c r="J3697" s="2"/>
      <c r="L3697" s="9"/>
      <c r="M3697" s="2"/>
      <c r="N3697" s="9"/>
      <c r="P3697" s="3">
        <v>-2860.169492</v>
      </c>
      <c r="S3697" s="9"/>
      <c r="T3697" s="2"/>
      <c r="U3697" s="9"/>
    </row>
    <row r="3698" spans="2:21" x14ac:dyDescent="0.35">
      <c r="B3698" s="9"/>
      <c r="C3698" s="2"/>
      <c r="D3698" s="2"/>
      <c r="I3698" s="9"/>
      <c r="J3698" s="2"/>
      <c r="L3698" s="9"/>
      <c r="M3698" s="2"/>
      <c r="N3698" s="9"/>
      <c r="P3698" s="3">
        <v>-2860.169492</v>
      </c>
      <c r="S3698" s="9"/>
      <c r="T3698" s="2"/>
      <c r="U3698" s="9"/>
    </row>
    <row r="3699" spans="2:21" x14ac:dyDescent="0.35">
      <c r="B3699" s="9"/>
      <c r="C3699" s="2"/>
      <c r="D3699" s="2"/>
      <c r="I3699" s="9"/>
      <c r="J3699" s="2"/>
      <c r="L3699" s="9"/>
      <c r="M3699" s="2"/>
      <c r="N3699" s="9"/>
      <c r="P3699" s="3">
        <v>-2860.169492</v>
      </c>
      <c r="S3699" s="9"/>
      <c r="T3699" s="2"/>
      <c r="U3699" s="9"/>
    </row>
    <row r="3700" spans="2:21" x14ac:dyDescent="0.35">
      <c r="B3700" s="9"/>
      <c r="C3700" s="2"/>
      <c r="D3700" s="2"/>
      <c r="I3700" s="9"/>
      <c r="J3700" s="2"/>
      <c r="L3700" s="9"/>
      <c r="M3700" s="2"/>
      <c r="N3700" s="9"/>
      <c r="P3700" s="3">
        <v>-2860.169492</v>
      </c>
      <c r="S3700" s="9"/>
      <c r="T3700" s="2"/>
      <c r="U3700" s="9"/>
    </row>
    <row r="3701" spans="2:21" x14ac:dyDescent="0.35">
      <c r="B3701" s="9"/>
      <c r="C3701" s="2"/>
      <c r="D3701" s="2"/>
      <c r="I3701" s="9"/>
      <c r="J3701" s="2"/>
      <c r="L3701" s="9"/>
      <c r="M3701" s="2"/>
      <c r="N3701" s="9"/>
      <c r="P3701" s="3">
        <v>-2860.169492</v>
      </c>
      <c r="S3701" s="9"/>
      <c r="T3701" s="2"/>
      <c r="U3701" s="9"/>
    </row>
    <row r="3702" spans="2:21" x14ac:dyDescent="0.35">
      <c r="B3702" s="9"/>
      <c r="C3702" s="2"/>
      <c r="D3702" s="2"/>
      <c r="I3702" s="9"/>
      <c r="J3702" s="2"/>
      <c r="L3702" s="9"/>
      <c r="M3702" s="2"/>
      <c r="N3702" s="9"/>
      <c r="P3702" s="3">
        <v>-2860.169492</v>
      </c>
      <c r="S3702" s="9"/>
      <c r="T3702" s="2"/>
      <c r="U3702" s="9"/>
    </row>
    <row r="3703" spans="2:21" x14ac:dyDescent="0.35">
      <c r="B3703" s="9"/>
      <c r="C3703" s="2"/>
      <c r="D3703" s="2"/>
      <c r="I3703" s="9"/>
      <c r="J3703" s="2"/>
      <c r="L3703" s="9"/>
      <c r="M3703" s="2"/>
      <c r="N3703" s="9"/>
      <c r="P3703" s="3">
        <v>-2860.169492</v>
      </c>
      <c r="S3703" s="9"/>
      <c r="T3703" s="2"/>
      <c r="U3703" s="9"/>
    </row>
    <row r="3704" spans="2:21" x14ac:dyDescent="0.35">
      <c r="B3704" s="9"/>
      <c r="C3704" s="2"/>
      <c r="D3704" s="2"/>
      <c r="I3704" s="9"/>
      <c r="J3704" s="2"/>
      <c r="L3704" s="9"/>
      <c r="M3704" s="2"/>
      <c r="N3704" s="9"/>
      <c r="P3704" s="3">
        <v>-2860.169492</v>
      </c>
      <c r="S3704" s="9"/>
      <c r="T3704" s="2"/>
      <c r="U3704" s="9"/>
    </row>
    <row r="3705" spans="2:21" x14ac:dyDescent="0.35">
      <c r="B3705" s="9"/>
      <c r="C3705" s="2"/>
      <c r="D3705" s="2"/>
      <c r="I3705" s="9"/>
      <c r="J3705" s="2"/>
      <c r="L3705" s="9"/>
      <c r="M3705" s="2"/>
      <c r="N3705" s="9"/>
      <c r="P3705" s="3">
        <v>-2860.169492</v>
      </c>
      <c r="S3705" s="9"/>
      <c r="T3705" s="2"/>
      <c r="U3705" s="9"/>
    </row>
    <row r="3706" spans="2:21" x14ac:dyDescent="0.35">
      <c r="B3706" s="9"/>
      <c r="C3706" s="2"/>
      <c r="D3706" s="2"/>
      <c r="I3706" s="9"/>
      <c r="J3706" s="2"/>
      <c r="L3706" s="9"/>
      <c r="M3706" s="2"/>
      <c r="N3706" s="9"/>
      <c r="P3706" s="3">
        <v>-2860.169492</v>
      </c>
      <c r="S3706" s="9"/>
      <c r="T3706" s="2"/>
      <c r="U3706" s="9"/>
    </row>
    <row r="3707" spans="2:21" x14ac:dyDescent="0.35">
      <c r="B3707" s="9"/>
      <c r="C3707" s="2"/>
      <c r="D3707" s="2"/>
      <c r="I3707" s="9"/>
      <c r="J3707" s="2"/>
      <c r="L3707" s="9"/>
      <c r="M3707" s="2"/>
      <c r="N3707" s="9"/>
      <c r="P3707" s="3">
        <v>-2457.2042823800002</v>
      </c>
      <c r="S3707" s="9"/>
      <c r="T3707" s="2"/>
      <c r="U3707" s="9"/>
    </row>
    <row r="3708" spans="2:21" x14ac:dyDescent="0.35">
      <c r="B3708" s="9"/>
      <c r="C3708" s="2"/>
      <c r="D3708" s="2"/>
      <c r="I3708" s="9"/>
      <c r="J3708" s="2"/>
      <c r="L3708" s="9"/>
      <c r="M3708" s="2"/>
      <c r="N3708" s="9"/>
      <c r="P3708" s="3">
        <v>-2150.0413358999999</v>
      </c>
      <c r="S3708" s="9"/>
      <c r="T3708" s="2"/>
      <c r="U3708" s="9"/>
    </row>
    <row r="3709" spans="2:21" x14ac:dyDescent="0.35">
      <c r="B3709" s="9"/>
      <c r="C3709" s="2"/>
      <c r="D3709" s="2"/>
      <c r="I3709" s="9"/>
      <c r="J3709" s="2"/>
      <c r="L3709" s="9"/>
      <c r="M3709" s="2"/>
      <c r="N3709" s="9"/>
      <c r="P3709" s="3">
        <v>-2373.9033034499998</v>
      </c>
      <c r="S3709" s="9"/>
      <c r="T3709" s="2"/>
      <c r="U3709" s="9"/>
    </row>
    <row r="3710" spans="2:21" x14ac:dyDescent="0.35">
      <c r="B3710" s="9"/>
      <c r="C3710" s="2"/>
      <c r="D3710" s="2"/>
      <c r="I3710" s="9"/>
      <c r="J3710" s="2"/>
      <c r="L3710" s="9"/>
      <c r="M3710" s="2"/>
      <c r="N3710" s="9"/>
      <c r="P3710" s="3">
        <v>-2425.4094919999998</v>
      </c>
      <c r="S3710" s="9"/>
      <c r="T3710" s="2"/>
      <c r="U3710" s="9"/>
    </row>
    <row r="3711" spans="2:21" x14ac:dyDescent="0.35">
      <c r="B3711" s="9"/>
      <c r="C3711" s="2"/>
      <c r="D3711" s="2"/>
      <c r="I3711" s="9"/>
      <c r="J3711" s="2"/>
      <c r="L3711" s="9"/>
      <c r="M3711" s="2"/>
      <c r="N3711" s="9"/>
      <c r="P3711" s="3">
        <v>-1990.649492</v>
      </c>
      <c r="S3711" s="9"/>
      <c r="T3711" s="2"/>
      <c r="U3711" s="9"/>
    </row>
    <row r="3712" spans="2:21" x14ac:dyDescent="0.35">
      <c r="B3712" s="9"/>
      <c r="C3712" s="2"/>
      <c r="D3712" s="2"/>
      <c r="I3712" s="9"/>
      <c r="J3712" s="2"/>
      <c r="L3712" s="9"/>
      <c r="M3712" s="2"/>
      <c r="N3712" s="9"/>
      <c r="P3712" s="3">
        <v>-1555.889492</v>
      </c>
      <c r="S3712" s="9"/>
      <c r="T3712" s="2"/>
      <c r="U3712" s="9"/>
    </row>
    <row r="3713" spans="2:21" x14ac:dyDescent="0.35">
      <c r="B3713" s="9"/>
      <c r="C3713" s="2"/>
      <c r="D3713" s="2"/>
      <c r="I3713" s="9"/>
      <c r="J3713" s="2"/>
      <c r="L3713" s="9"/>
      <c r="M3713" s="2"/>
      <c r="N3713" s="9"/>
      <c r="P3713" s="3">
        <v>-1121.129492</v>
      </c>
      <c r="S3713" s="9"/>
      <c r="T3713" s="2"/>
      <c r="U3713" s="9"/>
    </row>
    <row r="3714" spans="2:21" x14ac:dyDescent="0.35">
      <c r="B3714" s="9"/>
      <c r="C3714" s="2"/>
      <c r="D3714" s="2"/>
      <c r="I3714" s="9"/>
      <c r="J3714" s="2"/>
      <c r="L3714" s="9"/>
      <c r="M3714" s="2"/>
      <c r="N3714" s="9"/>
      <c r="P3714" s="3">
        <v>-686.36949200000004</v>
      </c>
      <c r="S3714" s="9"/>
      <c r="T3714" s="2"/>
      <c r="U3714" s="9"/>
    </row>
    <row r="3715" spans="2:21" x14ac:dyDescent="0.35">
      <c r="B3715" s="9"/>
      <c r="C3715" s="2"/>
      <c r="D3715" s="2"/>
      <c r="I3715" s="9"/>
      <c r="J3715" s="2"/>
      <c r="L3715" s="9"/>
      <c r="M3715" s="2"/>
      <c r="N3715" s="9"/>
      <c r="P3715" s="3">
        <v>-1121.129492</v>
      </c>
      <c r="S3715" s="9"/>
      <c r="T3715" s="2"/>
      <c r="U3715" s="9"/>
    </row>
    <row r="3716" spans="2:21" x14ac:dyDescent="0.35">
      <c r="B3716" s="9"/>
      <c r="C3716" s="2"/>
      <c r="D3716" s="2"/>
      <c r="I3716" s="9"/>
      <c r="J3716" s="2"/>
      <c r="L3716" s="9"/>
      <c r="M3716" s="2"/>
      <c r="N3716" s="9"/>
      <c r="P3716" s="3">
        <v>-1555.889492</v>
      </c>
      <c r="S3716" s="9"/>
      <c r="T3716" s="2"/>
      <c r="U3716" s="9"/>
    </row>
    <row r="3717" spans="2:21" x14ac:dyDescent="0.35">
      <c r="B3717" s="9"/>
      <c r="C3717" s="2"/>
      <c r="D3717" s="2"/>
      <c r="I3717" s="9"/>
      <c r="J3717" s="2"/>
      <c r="L3717" s="9"/>
      <c r="M3717" s="2"/>
      <c r="N3717" s="9"/>
      <c r="P3717" s="3">
        <v>-1990.649492</v>
      </c>
      <c r="S3717" s="9"/>
      <c r="T3717" s="2"/>
      <c r="U3717" s="9"/>
    </row>
    <row r="3718" spans="2:21" x14ac:dyDescent="0.35">
      <c r="B3718" s="9"/>
      <c r="C3718" s="2"/>
      <c r="D3718" s="2"/>
      <c r="I3718" s="9"/>
      <c r="J3718" s="2"/>
      <c r="L3718" s="9"/>
      <c r="M3718" s="2"/>
      <c r="N3718" s="9"/>
      <c r="P3718" s="3">
        <v>-2425.4094919999998</v>
      </c>
      <c r="S3718" s="9"/>
      <c r="T3718" s="2"/>
      <c r="U3718" s="9"/>
    </row>
    <row r="3719" spans="2:21" x14ac:dyDescent="0.35">
      <c r="B3719" s="9"/>
      <c r="C3719" s="2"/>
      <c r="D3719" s="2"/>
      <c r="I3719" s="9"/>
      <c r="J3719" s="2"/>
      <c r="L3719" s="9"/>
      <c r="M3719" s="2"/>
      <c r="N3719" s="9"/>
      <c r="P3719" s="3">
        <v>-2860.169492</v>
      </c>
      <c r="S3719" s="9"/>
      <c r="T3719" s="2"/>
      <c r="U3719" s="9"/>
    </row>
    <row r="3720" spans="2:21" x14ac:dyDescent="0.35">
      <c r="B3720" s="9"/>
      <c r="C3720" s="2"/>
      <c r="D3720" s="2"/>
      <c r="I3720" s="9"/>
      <c r="J3720" s="2"/>
      <c r="L3720" s="9"/>
      <c r="M3720" s="2"/>
      <c r="N3720" s="9"/>
      <c r="P3720" s="3">
        <v>-2860.169492</v>
      </c>
      <c r="S3720" s="9"/>
      <c r="T3720" s="2"/>
      <c r="U3720" s="9"/>
    </row>
    <row r="3721" spans="2:21" x14ac:dyDescent="0.35">
      <c r="B3721" s="9"/>
      <c r="C3721" s="2"/>
      <c r="D3721" s="2"/>
      <c r="I3721" s="9"/>
      <c r="J3721" s="2"/>
      <c r="L3721" s="9"/>
      <c r="M3721" s="2"/>
      <c r="N3721" s="9"/>
      <c r="P3721" s="3">
        <v>-2860.169492</v>
      </c>
      <c r="S3721" s="9"/>
      <c r="T3721" s="2"/>
      <c r="U3721" s="9"/>
    </row>
    <row r="3722" spans="2:21" x14ac:dyDescent="0.35">
      <c r="B3722" s="9"/>
      <c r="C3722" s="2"/>
      <c r="D3722" s="2"/>
      <c r="I3722" s="9"/>
      <c r="J3722" s="2"/>
      <c r="L3722" s="9"/>
      <c r="M3722" s="2"/>
      <c r="N3722" s="9"/>
      <c r="P3722" s="3">
        <v>-2860.169492</v>
      </c>
      <c r="S3722" s="9"/>
      <c r="T3722" s="2"/>
      <c r="U3722" s="9"/>
    </row>
    <row r="3723" spans="2:21" x14ac:dyDescent="0.35">
      <c r="B3723" s="9"/>
      <c r="C3723" s="2"/>
      <c r="D3723" s="2"/>
      <c r="I3723" s="9"/>
      <c r="J3723" s="2"/>
      <c r="L3723" s="9"/>
      <c r="M3723" s="2"/>
      <c r="N3723" s="9"/>
      <c r="P3723" s="3">
        <v>-2860.169492</v>
      </c>
      <c r="S3723" s="9"/>
      <c r="T3723" s="2"/>
      <c r="U3723" s="9"/>
    </row>
    <row r="3724" spans="2:21" x14ac:dyDescent="0.35">
      <c r="B3724" s="9"/>
      <c r="C3724" s="2"/>
      <c r="D3724" s="2"/>
      <c r="I3724" s="9"/>
      <c r="J3724" s="2"/>
      <c r="L3724" s="9"/>
      <c r="M3724" s="2"/>
      <c r="N3724" s="9"/>
      <c r="P3724" s="3">
        <v>-2860.169492</v>
      </c>
      <c r="S3724" s="9"/>
      <c r="T3724" s="2"/>
      <c r="U3724" s="9"/>
    </row>
    <row r="3725" spans="2:21" x14ac:dyDescent="0.35">
      <c r="B3725" s="9"/>
      <c r="C3725" s="2"/>
      <c r="D3725" s="2"/>
      <c r="I3725" s="9"/>
      <c r="J3725" s="2"/>
      <c r="L3725" s="9"/>
      <c r="M3725" s="2"/>
      <c r="N3725" s="9"/>
      <c r="P3725" s="3">
        <v>-2860.169492</v>
      </c>
      <c r="S3725" s="9"/>
      <c r="T3725" s="2"/>
      <c r="U3725" s="9"/>
    </row>
    <row r="3726" spans="2:21" x14ac:dyDescent="0.35">
      <c r="B3726" s="9"/>
      <c r="C3726" s="2"/>
      <c r="D3726" s="2"/>
      <c r="I3726" s="9"/>
      <c r="J3726" s="2"/>
      <c r="L3726" s="9"/>
      <c r="M3726" s="2"/>
      <c r="N3726" s="9"/>
      <c r="P3726" s="3">
        <v>-2860.169492</v>
      </c>
      <c r="S3726" s="9"/>
      <c r="T3726" s="2"/>
      <c r="U3726" s="9"/>
    </row>
    <row r="3727" spans="2:21" x14ac:dyDescent="0.35">
      <c r="B3727" s="9"/>
      <c r="C3727" s="2"/>
      <c r="D3727" s="2"/>
      <c r="I3727" s="9"/>
      <c r="J3727" s="2"/>
      <c r="L3727" s="9"/>
      <c r="M3727" s="2"/>
      <c r="N3727" s="9"/>
      <c r="P3727" s="3">
        <v>-2860.169492</v>
      </c>
      <c r="S3727" s="9"/>
      <c r="T3727" s="2"/>
      <c r="U3727" s="9"/>
    </row>
    <row r="3728" spans="2:21" x14ac:dyDescent="0.35">
      <c r="B3728" s="9"/>
      <c r="C3728" s="2"/>
      <c r="D3728" s="2"/>
      <c r="I3728" s="9"/>
      <c r="J3728" s="2"/>
      <c r="L3728" s="9"/>
      <c r="M3728" s="2"/>
      <c r="N3728" s="9"/>
      <c r="P3728" s="3">
        <v>-2793.6817088600001</v>
      </c>
      <c r="S3728" s="9"/>
      <c r="T3728" s="2"/>
      <c r="U3728" s="9"/>
    </row>
    <row r="3729" spans="2:21" x14ac:dyDescent="0.35">
      <c r="B3729" s="9"/>
      <c r="C3729" s="2"/>
      <c r="D3729" s="2"/>
      <c r="I3729" s="9"/>
      <c r="J3729" s="2"/>
      <c r="L3729" s="9"/>
      <c r="M3729" s="2"/>
      <c r="N3729" s="9"/>
      <c r="P3729" s="3">
        <v>-2756.18660886</v>
      </c>
      <c r="S3729" s="9"/>
      <c r="T3729" s="2"/>
      <c r="U3729" s="9"/>
    </row>
    <row r="3730" spans="2:21" x14ac:dyDescent="0.35">
      <c r="B3730" s="9"/>
      <c r="C3730" s="2"/>
      <c r="D3730" s="2"/>
      <c r="I3730" s="9"/>
      <c r="J3730" s="2"/>
      <c r="L3730" s="9"/>
      <c r="M3730" s="2"/>
      <c r="N3730" s="9"/>
      <c r="P3730" s="3">
        <v>-2680.9621088600002</v>
      </c>
      <c r="S3730" s="9"/>
      <c r="T3730" s="2"/>
      <c r="U3730" s="9"/>
    </row>
    <row r="3731" spans="2:21" x14ac:dyDescent="0.35">
      <c r="B3731" s="9"/>
      <c r="C3731" s="2"/>
      <c r="D3731" s="2"/>
      <c r="I3731" s="9"/>
      <c r="J3731" s="2"/>
      <c r="L3731" s="9"/>
      <c r="M3731" s="2"/>
      <c r="N3731" s="9"/>
      <c r="P3731" s="3">
        <v>-2493.64503238</v>
      </c>
      <c r="S3731" s="9"/>
      <c r="T3731" s="2"/>
      <c r="U3731" s="9"/>
    </row>
    <row r="3732" spans="2:21" x14ac:dyDescent="0.35">
      <c r="B3732" s="9"/>
      <c r="C3732" s="2"/>
      <c r="D3732" s="2"/>
      <c r="I3732" s="9"/>
      <c r="J3732" s="2"/>
      <c r="L3732" s="9"/>
      <c r="M3732" s="2"/>
      <c r="N3732" s="9"/>
      <c r="P3732" s="3">
        <v>-2499.4678359</v>
      </c>
      <c r="S3732" s="9"/>
      <c r="T3732" s="2"/>
      <c r="U3732" s="9"/>
    </row>
    <row r="3733" spans="2:21" x14ac:dyDescent="0.35">
      <c r="B3733" s="9"/>
      <c r="C3733" s="2"/>
      <c r="D3733" s="2"/>
      <c r="I3733" s="9"/>
      <c r="J3733" s="2"/>
      <c r="L3733" s="9"/>
      <c r="M3733" s="2"/>
      <c r="N3733" s="9"/>
      <c r="P3733" s="3">
        <v>-2860.169492</v>
      </c>
      <c r="S3733" s="9"/>
      <c r="T3733" s="2"/>
      <c r="U3733" s="9"/>
    </row>
    <row r="3734" spans="2:21" x14ac:dyDescent="0.35">
      <c r="B3734" s="9"/>
      <c r="C3734" s="2"/>
      <c r="D3734" s="2"/>
      <c r="I3734" s="9"/>
      <c r="J3734" s="2"/>
      <c r="L3734" s="9"/>
      <c r="M3734" s="2"/>
      <c r="N3734" s="9"/>
      <c r="P3734" s="3">
        <v>-2860.169492</v>
      </c>
      <c r="S3734" s="9"/>
      <c r="T3734" s="2"/>
      <c r="U3734" s="9"/>
    </row>
    <row r="3735" spans="2:21" x14ac:dyDescent="0.35">
      <c r="B3735" s="9"/>
      <c r="C3735" s="2"/>
      <c r="D3735" s="2"/>
      <c r="I3735" s="9"/>
      <c r="J3735" s="2"/>
      <c r="L3735" s="9"/>
      <c r="M3735" s="2"/>
      <c r="N3735" s="9"/>
      <c r="P3735" s="3">
        <v>-2425.4094919999998</v>
      </c>
      <c r="S3735" s="9"/>
      <c r="T3735" s="2"/>
      <c r="U3735" s="9"/>
    </row>
    <row r="3736" spans="2:21" x14ac:dyDescent="0.35">
      <c r="B3736" s="9"/>
      <c r="C3736" s="2"/>
      <c r="D3736" s="2"/>
      <c r="I3736" s="9"/>
      <c r="J3736" s="2"/>
      <c r="L3736" s="9"/>
      <c r="M3736" s="2"/>
      <c r="N3736" s="9"/>
      <c r="P3736" s="3">
        <v>-1990.649492</v>
      </c>
      <c r="S3736" s="9"/>
      <c r="T3736" s="2"/>
      <c r="U3736" s="9"/>
    </row>
    <row r="3737" spans="2:21" x14ac:dyDescent="0.35">
      <c r="B3737" s="9"/>
      <c r="C3737" s="2"/>
      <c r="D3737" s="2"/>
      <c r="I3737" s="9"/>
      <c r="J3737" s="2"/>
      <c r="L3737" s="9"/>
      <c r="M3737" s="2"/>
      <c r="N3737" s="9"/>
      <c r="P3737" s="3">
        <v>-1555.889492</v>
      </c>
      <c r="S3737" s="9"/>
      <c r="T3737" s="2"/>
      <c r="U3737" s="9"/>
    </row>
    <row r="3738" spans="2:21" x14ac:dyDescent="0.35">
      <c r="B3738" s="9"/>
      <c r="C3738" s="2"/>
      <c r="D3738" s="2"/>
      <c r="I3738" s="9"/>
      <c r="J3738" s="2"/>
      <c r="L3738" s="9"/>
      <c r="M3738" s="2"/>
      <c r="N3738" s="9"/>
      <c r="P3738" s="3">
        <v>-1121.129492</v>
      </c>
      <c r="S3738" s="9"/>
      <c r="T3738" s="2"/>
      <c r="U3738" s="9"/>
    </row>
    <row r="3739" spans="2:21" x14ac:dyDescent="0.35">
      <c r="B3739" s="9"/>
      <c r="C3739" s="2"/>
      <c r="D3739" s="2"/>
      <c r="I3739" s="9"/>
      <c r="J3739" s="2"/>
      <c r="L3739" s="9"/>
      <c r="M3739" s="2"/>
      <c r="N3739" s="9"/>
      <c r="P3739" s="3">
        <v>-1555.889492</v>
      </c>
      <c r="S3739" s="9"/>
      <c r="T3739" s="2"/>
      <c r="U3739" s="9"/>
    </row>
    <row r="3740" spans="2:21" x14ac:dyDescent="0.35">
      <c r="B3740" s="9"/>
      <c r="C3740" s="2"/>
      <c r="D3740" s="2"/>
      <c r="I3740" s="9"/>
      <c r="J3740" s="2"/>
      <c r="L3740" s="9"/>
      <c r="M3740" s="2"/>
      <c r="N3740" s="9"/>
      <c r="P3740" s="3">
        <v>-1990.649492</v>
      </c>
      <c r="S3740" s="9"/>
      <c r="T3740" s="2"/>
      <c r="U3740" s="9"/>
    </row>
    <row r="3741" spans="2:21" x14ac:dyDescent="0.35">
      <c r="B3741" s="9"/>
      <c r="C3741" s="2"/>
      <c r="D3741" s="2"/>
      <c r="I3741" s="9"/>
      <c r="J3741" s="2"/>
      <c r="L3741" s="9"/>
      <c r="M3741" s="2"/>
      <c r="N3741" s="9"/>
      <c r="P3741" s="3">
        <v>-2425.4094919999998</v>
      </c>
      <c r="S3741" s="9"/>
      <c r="T3741" s="2"/>
      <c r="U3741" s="9"/>
    </row>
    <row r="3742" spans="2:21" x14ac:dyDescent="0.35">
      <c r="B3742" s="9"/>
      <c r="C3742" s="2"/>
      <c r="D3742" s="2"/>
      <c r="I3742" s="9"/>
      <c r="J3742" s="2"/>
      <c r="L3742" s="9"/>
      <c r="M3742" s="2"/>
      <c r="N3742" s="9"/>
      <c r="P3742" s="3">
        <v>-2860.169492</v>
      </c>
      <c r="S3742" s="9"/>
      <c r="T3742" s="2"/>
      <c r="U3742" s="9"/>
    </row>
    <row r="3743" spans="2:21" x14ac:dyDescent="0.35">
      <c r="B3743" s="9"/>
      <c r="C3743" s="2"/>
      <c r="D3743" s="2"/>
      <c r="I3743" s="9"/>
      <c r="J3743" s="2"/>
      <c r="L3743" s="9"/>
      <c r="M3743" s="2"/>
      <c r="N3743" s="9"/>
      <c r="P3743" s="3">
        <v>-2860.169492</v>
      </c>
      <c r="S3743" s="9"/>
      <c r="T3743" s="2"/>
      <c r="U3743" s="9"/>
    </row>
    <row r="3744" spans="2:21" x14ac:dyDescent="0.35">
      <c r="B3744" s="9"/>
      <c r="C3744" s="2"/>
      <c r="D3744" s="2"/>
      <c r="I3744" s="9"/>
      <c r="J3744" s="2"/>
      <c r="L3744" s="9"/>
      <c r="M3744" s="2"/>
      <c r="N3744" s="9"/>
      <c r="P3744" s="3">
        <v>-2860.169492</v>
      </c>
      <c r="S3744" s="9"/>
      <c r="T3744" s="2"/>
      <c r="U3744" s="9"/>
    </row>
    <row r="3745" spans="2:21" x14ac:dyDescent="0.35">
      <c r="B3745" s="9"/>
      <c r="C3745" s="2"/>
      <c r="D3745" s="2"/>
      <c r="I3745" s="9"/>
      <c r="J3745" s="2"/>
      <c r="L3745" s="9"/>
      <c r="M3745" s="2"/>
      <c r="N3745" s="9"/>
      <c r="P3745" s="3">
        <v>-2860.169492</v>
      </c>
      <c r="S3745" s="9"/>
      <c r="T3745" s="2"/>
      <c r="U3745" s="9"/>
    </row>
    <row r="3746" spans="2:21" x14ac:dyDescent="0.35">
      <c r="B3746" s="9"/>
      <c r="C3746" s="2"/>
      <c r="D3746" s="2"/>
      <c r="I3746" s="9"/>
      <c r="J3746" s="2"/>
      <c r="L3746" s="9"/>
      <c r="M3746" s="2"/>
      <c r="N3746" s="9"/>
      <c r="P3746" s="3">
        <v>-2860.169492</v>
      </c>
      <c r="S3746" s="9"/>
      <c r="T3746" s="2"/>
      <c r="U3746" s="9"/>
    </row>
    <row r="3747" spans="2:21" x14ac:dyDescent="0.35">
      <c r="B3747" s="9"/>
      <c r="C3747" s="2"/>
      <c r="D3747" s="2"/>
      <c r="I3747" s="9"/>
      <c r="J3747" s="2"/>
      <c r="L3747" s="9"/>
      <c r="M3747" s="2"/>
      <c r="N3747" s="9"/>
      <c r="P3747" s="3">
        <v>-2860.169492</v>
      </c>
      <c r="S3747" s="9"/>
      <c r="T3747" s="2"/>
      <c r="U3747" s="9"/>
    </row>
    <row r="3748" spans="2:21" x14ac:dyDescent="0.35">
      <c r="B3748" s="9"/>
      <c r="C3748" s="2"/>
      <c r="D3748" s="2"/>
      <c r="I3748" s="9"/>
      <c r="J3748" s="2"/>
      <c r="L3748" s="9"/>
      <c r="M3748" s="2"/>
      <c r="N3748" s="9"/>
      <c r="P3748" s="3">
        <v>-2860.169492</v>
      </c>
      <c r="S3748" s="9"/>
      <c r="T3748" s="2"/>
      <c r="U3748" s="9"/>
    </row>
    <row r="3749" spans="2:21" x14ac:dyDescent="0.35">
      <c r="B3749" s="9"/>
      <c r="C3749" s="2"/>
      <c r="D3749" s="2"/>
      <c r="I3749" s="9"/>
      <c r="J3749" s="2"/>
      <c r="L3749" s="9"/>
      <c r="M3749" s="2"/>
      <c r="N3749" s="9"/>
      <c r="P3749" s="3">
        <v>-2860.169492</v>
      </c>
      <c r="S3749" s="9"/>
      <c r="T3749" s="2"/>
      <c r="U3749" s="9"/>
    </row>
    <row r="3750" spans="2:21" x14ac:dyDescent="0.35">
      <c r="B3750" s="9"/>
      <c r="C3750" s="2"/>
      <c r="D3750" s="2"/>
      <c r="I3750" s="9"/>
      <c r="J3750" s="2"/>
      <c r="L3750" s="9"/>
      <c r="M3750" s="2"/>
      <c r="N3750" s="9"/>
      <c r="P3750" s="3">
        <v>-2860.169492</v>
      </c>
      <c r="S3750" s="9"/>
      <c r="T3750" s="2"/>
      <c r="U3750" s="9"/>
    </row>
    <row r="3751" spans="2:21" x14ac:dyDescent="0.35">
      <c r="B3751" s="9"/>
      <c r="C3751" s="2"/>
      <c r="D3751" s="2"/>
      <c r="I3751" s="9"/>
      <c r="J3751" s="2"/>
      <c r="L3751" s="9"/>
      <c r="M3751" s="2"/>
      <c r="N3751" s="9"/>
      <c r="P3751" s="3">
        <v>-2860.169492</v>
      </c>
      <c r="S3751" s="9"/>
      <c r="T3751" s="2"/>
      <c r="U3751" s="9"/>
    </row>
    <row r="3752" spans="2:21" x14ac:dyDescent="0.35">
      <c r="B3752" s="9"/>
      <c r="C3752" s="2"/>
      <c r="D3752" s="2"/>
      <c r="I3752" s="9"/>
      <c r="J3752" s="2"/>
      <c r="L3752" s="9"/>
      <c r="M3752" s="2"/>
      <c r="N3752" s="9"/>
      <c r="P3752" s="3">
        <v>-2860.169492</v>
      </c>
      <c r="S3752" s="9"/>
      <c r="T3752" s="2"/>
      <c r="U3752" s="9"/>
    </row>
    <row r="3753" spans="2:21" x14ac:dyDescent="0.35">
      <c r="B3753" s="9"/>
      <c r="C3753" s="2"/>
      <c r="D3753" s="2"/>
      <c r="I3753" s="9"/>
      <c r="J3753" s="2"/>
      <c r="L3753" s="9"/>
      <c r="M3753" s="2"/>
      <c r="N3753" s="9"/>
      <c r="P3753" s="3">
        <v>-2860.169492</v>
      </c>
      <c r="S3753" s="9"/>
      <c r="T3753" s="2"/>
      <c r="U3753" s="9"/>
    </row>
    <row r="3754" spans="2:21" x14ac:dyDescent="0.35">
      <c r="B3754" s="9"/>
      <c r="C3754" s="2"/>
      <c r="D3754" s="2"/>
      <c r="I3754" s="9"/>
      <c r="J3754" s="2"/>
      <c r="L3754" s="9"/>
      <c r="M3754" s="2"/>
      <c r="N3754" s="9"/>
      <c r="P3754" s="3">
        <v>-2860.169492</v>
      </c>
      <c r="S3754" s="9"/>
      <c r="T3754" s="2"/>
      <c r="U3754" s="9"/>
    </row>
    <row r="3755" spans="2:21" x14ac:dyDescent="0.35">
      <c r="B3755" s="9"/>
      <c r="C3755" s="2"/>
      <c r="D3755" s="2"/>
      <c r="I3755" s="9"/>
      <c r="J3755" s="2"/>
      <c r="L3755" s="9"/>
      <c r="M3755" s="2"/>
      <c r="N3755" s="9"/>
      <c r="P3755" s="3">
        <v>-2860.169492</v>
      </c>
      <c r="S3755" s="9"/>
      <c r="T3755" s="2"/>
      <c r="U3755" s="9"/>
    </row>
    <row r="3756" spans="2:21" x14ac:dyDescent="0.35">
      <c r="B3756" s="9"/>
      <c r="C3756" s="2"/>
      <c r="D3756" s="2"/>
      <c r="I3756" s="9"/>
      <c r="J3756" s="2"/>
      <c r="L3756" s="9"/>
      <c r="M3756" s="2"/>
      <c r="N3756" s="9"/>
      <c r="P3756" s="3">
        <v>-2860.169492</v>
      </c>
      <c r="S3756" s="9"/>
      <c r="T3756" s="2"/>
      <c r="U3756" s="9"/>
    </row>
    <row r="3757" spans="2:21" x14ac:dyDescent="0.35">
      <c r="B3757" s="9"/>
      <c r="C3757" s="2"/>
      <c r="D3757" s="2"/>
      <c r="I3757" s="9"/>
      <c r="J3757" s="2"/>
      <c r="L3757" s="9"/>
      <c r="M3757" s="2"/>
      <c r="N3757" s="9"/>
      <c r="P3757" s="3">
        <v>-2860.169492</v>
      </c>
      <c r="S3757" s="9"/>
      <c r="T3757" s="2"/>
      <c r="U3757" s="9"/>
    </row>
    <row r="3758" spans="2:21" x14ac:dyDescent="0.35">
      <c r="B3758" s="9"/>
      <c r="C3758" s="2"/>
      <c r="D3758" s="2"/>
      <c r="I3758" s="9"/>
      <c r="J3758" s="2"/>
      <c r="L3758" s="9"/>
      <c r="M3758" s="2"/>
      <c r="N3758" s="9"/>
      <c r="P3758" s="3">
        <v>-2860.169492</v>
      </c>
      <c r="S3758" s="9"/>
      <c r="T3758" s="2"/>
      <c r="U3758" s="9"/>
    </row>
    <row r="3759" spans="2:21" x14ac:dyDescent="0.35">
      <c r="B3759" s="9"/>
      <c r="C3759" s="2"/>
      <c r="D3759" s="2"/>
      <c r="I3759" s="9"/>
      <c r="J3759" s="2"/>
      <c r="L3759" s="9"/>
      <c r="M3759" s="2"/>
      <c r="N3759" s="9"/>
      <c r="P3759" s="3">
        <v>-2425.4094919999998</v>
      </c>
      <c r="S3759" s="9"/>
      <c r="T3759" s="2"/>
      <c r="U3759" s="9"/>
    </row>
    <row r="3760" spans="2:21" x14ac:dyDescent="0.35">
      <c r="B3760" s="9"/>
      <c r="C3760" s="2"/>
      <c r="D3760" s="2"/>
      <c r="I3760" s="9"/>
      <c r="J3760" s="2"/>
      <c r="L3760" s="9"/>
      <c r="M3760" s="2"/>
      <c r="N3760" s="9"/>
      <c r="P3760" s="3">
        <v>-1990.649492</v>
      </c>
      <c r="S3760" s="9"/>
      <c r="T3760" s="2"/>
      <c r="U3760" s="9"/>
    </row>
    <row r="3761" spans="2:21" x14ac:dyDescent="0.35">
      <c r="B3761" s="9"/>
      <c r="C3761" s="2"/>
      <c r="D3761" s="2"/>
      <c r="I3761" s="9"/>
      <c r="J3761" s="2"/>
      <c r="L3761" s="9"/>
      <c r="M3761" s="2"/>
      <c r="N3761" s="9"/>
      <c r="P3761" s="3">
        <v>-1555.889492</v>
      </c>
      <c r="S3761" s="9"/>
      <c r="T3761" s="2"/>
      <c r="U3761" s="9"/>
    </row>
    <row r="3762" spans="2:21" x14ac:dyDescent="0.35">
      <c r="B3762" s="9"/>
      <c r="C3762" s="2"/>
      <c r="D3762" s="2"/>
      <c r="I3762" s="9"/>
      <c r="J3762" s="2"/>
      <c r="L3762" s="9"/>
      <c r="M3762" s="2"/>
      <c r="N3762" s="9"/>
      <c r="P3762" s="3">
        <v>-1121.129492</v>
      </c>
      <c r="S3762" s="9"/>
      <c r="T3762" s="2"/>
      <c r="U3762" s="9"/>
    </row>
    <row r="3763" spans="2:21" x14ac:dyDescent="0.35">
      <c r="B3763" s="9"/>
      <c r="C3763" s="2"/>
      <c r="D3763" s="2"/>
      <c r="I3763" s="9"/>
      <c r="J3763" s="2"/>
      <c r="L3763" s="9"/>
      <c r="M3763" s="2"/>
      <c r="N3763" s="9"/>
      <c r="P3763" s="3">
        <v>-1023.67909888</v>
      </c>
      <c r="S3763" s="9"/>
      <c r="T3763" s="2"/>
      <c r="U3763" s="9"/>
    </row>
    <row r="3764" spans="2:21" x14ac:dyDescent="0.35">
      <c r="B3764" s="9"/>
      <c r="C3764" s="2"/>
      <c r="D3764" s="2"/>
      <c r="I3764" s="9"/>
      <c r="J3764" s="2"/>
      <c r="L3764" s="9"/>
      <c r="M3764" s="2"/>
      <c r="N3764" s="9"/>
      <c r="P3764" s="3">
        <v>-1458.4390988800001</v>
      </c>
      <c r="S3764" s="9"/>
      <c r="T3764" s="2"/>
      <c r="U3764" s="9"/>
    </row>
    <row r="3765" spans="2:21" x14ac:dyDescent="0.35">
      <c r="B3765" s="9"/>
      <c r="C3765" s="2"/>
      <c r="D3765" s="2"/>
      <c r="I3765" s="9"/>
      <c r="J3765" s="2"/>
      <c r="L3765" s="9"/>
      <c r="M3765" s="2"/>
      <c r="N3765" s="9"/>
      <c r="P3765" s="3">
        <v>-1893.1990988800001</v>
      </c>
      <c r="S3765" s="9"/>
      <c r="T3765" s="2"/>
      <c r="U3765" s="9"/>
    </row>
    <row r="3766" spans="2:21" x14ac:dyDescent="0.35">
      <c r="B3766" s="9"/>
      <c r="C3766" s="2"/>
      <c r="D3766" s="2"/>
      <c r="I3766" s="9"/>
      <c r="J3766" s="2"/>
      <c r="L3766" s="9"/>
      <c r="M3766" s="2"/>
      <c r="N3766" s="9"/>
      <c r="P3766" s="3">
        <v>-2327.9590988800001</v>
      </c>
      <c r="S3766" s="9"/>
      <c r="T3766" s="2"/>
      <c r="U3766" s="9"/>
    </row>
    <row r="3767" spans="2:21" x14ac:dyDescent="0.35">
      <c r="B3767" s="9"/>
      <c r="C3767" s="2"/>
      <c r="D3767" s="2"/>
      <c r="I3767" s="9"/>
      <c r="J3767" s="2"/>
      <c r="L3767" s="9"/>
      <c r="M3767" s="2"/>
      <c r="N3767" s="9"/>
      <c r="P3767" s="3">
        <v>-2762.7190988799998</v>
      </c>
      <c r="S3767" s="9"/>
      <c r="T3767" s="2"/>
      <c r="U3767" s="9"/>
    </row>
    <row r="3768" spans="2:21" x14ac:dyDescent="0.35">
      <c r="B3768" s="9"/>
      <c r="C3768" s="2"/>
      <c r="D3768" s="2"/>
      <c r="I3768" s="9"/>
      <c r="J3768" s="2"/>
      <c r="L3768" s="9"/>
      <c r="M3768" s="2"/>
      <c r="N3768" s="9"/>
      <c r="P3768" s="3">
        <v>-2860.169492</v>
      </c>
      <c r="S3768" s="9"/>
      <c r="T3768" s="2"/>
      <c r="U3768" s="9"/>
    </row>
    <row r="3769" spans="2:21" x14ac:dyDescent="0.35">
      <c r="B3769" s="9"/>
      <c r="C3769" s="2"/>
      <c r="D3769" s="2"/>
      <c r="I3769" s="9"/>
      <c r="J3769" s="2"/>
      <c r="L3769" s="9"/>
      <c r="M3769" s="2"/>
      <c r="N3769" s="9"/>
      <c r="P3769" s="3">
        <v>-2860.169492</v>
      </c>
      <c r="S3769" s="9"/>
      <c r="T3769" s="2"/>
      <c r="U3769" s="9"/>
    </row>
    <row r="3770" spans="2:21" x14ac:dyDescent="0.35">
      <c r="B3770" s="9"/>
      <c r="C3770" s="2"/>
      <c r="D3770" s="2"/>
      <c r="I3770" s="9"/>
      <c r="J3770" s="2"/>
      <c r="L3770" s="9"/>
      <c r="M3770" s="2"/>
      <c r="N3770" s="9"/>
      <c r="P3770" s="3">
        <v>-2860.169492</v>
      </c>
      <c r="S3770" s="9"/>
      <c r="T3770" s="2"/>
      <c r="U3770" s="9"/>
    </row>
    <row r="3771" spans="2:21" x14ac:dyDescent="0.35">
      <c r="B3771" s="9"/>
      <c r="C3771" s="2"/>
      <c r="D3771" s="2"/>
      <c r="I3771" s="9"/>
      <c r="J3771" s="2"/>
      <c r="L3771" s="9"/>
      <c r="M3771" s="2"/>
      <c r="N3771" s="9"/>
      <c r="P3771" s="3">
        <v>-2860.169492</v>
      </c>
      <c r="S3771" s="9"/>
      <c r="T3771" s="2"/>
      <c r="U3771" s="9"/>
    </row>
    <row r="3772" spans="2:21" x14ac:dyDescent="0.35">
      <c r="B3772" s="9"/>
      <c r="C3772" s="2"/>
      <c r="D3772" s="2"/>
      <c r="I3772" s="9"/>
      <c r="J3772" s="2"/>
      <c r="L3772" s="9"/>
      <c r="M3772" s="2"/>
      <c r="N3772" s="9"/>
      <c r="P3772" s="3">
        <v>-2860.169492</v>
      </c>
      <c r="S3772" s="9"/>
      <c r="T3772" s="2"/>
      <c r="U3772" s="9"/>
    </row>
    <row r="3773" spans="2:21" x14ac:dyDescent="0.35">
      <c r="B3773" s="9"/>
      <c r="C3773" s="2"/>
      <c r="D3773" s="2"/>
      <c r="I3773" s="9"/>
      <c r="J3773" s="2"/>
      <c r="L3773" s="9"/>
      <c r="M3773" s="2"/>
      <c r="N3773" s="9"/>
      <c r="P3773" s="3">
        <v>-2860.169492</v>
      </c>
      <c r="S3773" s="9"/>
      <c r="T3773" s="2"/>
      <c r="U3773" s="9"/>
    </row>
    <row r="3774" spans="2:21" x14ac:dyDescent="0.35">
      <c r="B3774" s="9"/>
      <c r="C3774" s="2"/>
      <c r="D3774" s="2"/>
      <c r="I3774" s="9"/>
      <c r="J3774" s="2"/>
      <c r="L3774" s="9"/>
      <c r="M3774" s="2"/>
      <c r="N3774" s="9"/>
      <c r="P3774" s="3">
        <v>-2860.169492</v>
      </c>
      <c r="S3774" s="9"/>
      <c r="T3774" s="2"/>
      <c r="U3774" s="9"/>
    </row>
    <row r="3775" spans="2:21" x14ac:dyDescent="0.35">
      <c r="B3775" s="9"/>
      <c r="C3775" s="2"/>
      <c r="D3775" s="2"/>
      <c r="I3775" s="9"/>
      <c r="J3775" s="2"/>
      <c r="L3775" s="9"/>
      <c r="M3775" s="2"/>
      <c r="N3775" s="9"/>
      <c r="P3775" s="3">
        <v>-2860.169492</v>
      </c>
      <c r="S3775" s="9"/>
      <c r="T3775" s="2"/>
      <c r="U3775" s="9"/>
    </row>
    <row r="3776" spans="2:21" x14ac:dyDescent="0.35">
      <c r="B3776" s="9"/>
      <c r="C3776" s="2"/>
      <c r="D3776" s="2"/>
      <c r="I3776" s="9"/>
      <c r="J3776" s="2"/>
      <c r="L3776" s="9"/>
      <c r="M3776" s="2"/>
      <c r="N3776" s="9"/>
      <c r="P3776" s="3">
        <v>-2860.169492</v>
      </c>
      <c r="S3776" s="9"/>
      <c r="T3776" s="2"/>
      <c r="U3776" s="9"/>
    </row>
    <row r="3777" spans="2:21" x14ac:dyDescent="0.35">
      <c r="B3777" s="9"/>
      <c r="C3777" s="2"/>
      <c r="D3777" s="2"/>
      <c r="I3777" s="9"/>
      <c r="J3777" s="2"/>
      <c r="L3777" s="9"/>
      <c r="M3777" s="2"/>
      <c r="N3777" s="9"/>
      <c r="P3777" s="3">
        <v>-2860.169492</v>
      </c>
      <c r="S3777" s="9"/>
      <c r="T3777" s="2"/>
      <c r="U3777" s="9"/>
    </row>
    <row r="3778" spans="2:21" x14ac:dyDescent="0.35">
      <c r="B3778" s="9"/>
      <c r="C3778" s="2"/>
      <c r="D3778" s="2"/>
      <c r="I3778" s="9"/>
      <c r="J3778" s="2"/>
      <c r="L3778" s="9"/>
      <c r="M3778" s="2"/>
      <c r="N3778" s="9"/>
      <c r="P3778" s="3">
        <v>-2860.169492</v>
      </c>
      <c r="S3778" s="9"/>
      <c r="T3778" s="2"/>
      <c r="U3778" s="9"/>
    </row>
    <row r="3779" spans="2:21" x14ac:dyDescent="0.35">
      <c r="B3779" s="9"/>
      <c r="C3779" s="2"/>
      <c r="D3779" s="2"/>
      <c r="I3779" s="9"/>
      <c r="J3779" s="2"/>
      <c r="L3779" s="9"/>
      <c r="M3779" s="2"/>
      <c r="N3779" s="9"/>
      <c r="P3779" s="3">
        <v>-2860.169492</v>
      </c>
      <c r="S3779" s="9"/>
      <c r="T3779" s="2"/>
      <c r="U3779" s="9"/>
    </row>
    <row r="3780" spans="2:21" x14ac:dyDescent="0.35">
      <c r="B3780" s="9"/>
      <c r="C3780" s="2"/>
      <c r="D3780" s="2"/>
      <c r="I3780" s="9"/>
      <c r="J3780" s="2"/>
      <c r="L3780" s="9"/>
      <c r="M3780" s="2"/>
      <c r="N3780" s="9"/>
      <c r="P3780" s="3">
        <v>-2860.169492</v>
      </c>
      <c r="S3780" s="9"/>
      <c r="T3780" s="2"/>
      <c r="U3780" s="9"/>
    </row>
    <row r="3781" spans="2:21" x14ac:dyDescent="0.35">
      <c r="B3781" s="9"/>
      <c r="C3781" s="2"/>
      <c r="D3781" s="2"/>
      <c r="I3781" s="9"/>
      <c r="J3781" s="2"/>
      <c r="L3781" s="9"/>
      <c r="M3781" s="2"/>
      <c r="N3781" s="9"/>
      <c r="P3781" s="3">
        <v>-2860.169492</v>
      </c>
      <c r="S3781" s="9"/>
      <c r="T3781" s="2"/>
      <c r="U3781" s="9"/>
    </row>
    <row r="3782" spans="2:21" x14ac:dyDescent="0.35">
      <c r="B3782" s="9"/>
      <c r="C3782" s="2"/>
      <c r="D3782" s="2"/>
      <c r="I3782" s="9"/>
      <c r="J3782" s="2"/>
      <c r="L3782" s="9"/>
      <c r="M3782" s="2"/>
      <c r="N3782" s="9"/>
      <c r="P3782" s="3">
        <v>-2860.169492</v>
      </c>
      <c r="S3782" s="9"/>
      <c r="T3782" s="2"/>
      <c r="U3782" s="9"/>
    </row>
    <row r="3783" spans="2:21" x14ac:dyDescent="0.35">
      <c r="B3783" s="9"/>
      <c r="C3783" s="2"/>
      <c r="D3783" s="2"/>
      <c r="I3783" s="9"/>
      <c r="J3783" s="2"/>
      <c r="L3783" s="9"/>
      <c r="M3783" s="2"/>
      <c r="N3783" s="9"/>
      <c r="P3783" s="3">
        <v>-2860.169492</v>
      </c>
      <c r="S3783" s="9"/>
      <c r="T3783" s="2"/>
      <c r="U3783" s="9"/>
    </row>
    <row r="3784" spans="2:21" x14ac:dyDescent="0.35">
      <c r="B3784" s="9"/>
      <c r="C3784" s="2"/>
      <c r="D3784" s="2"/>
      <c r="I3784" s="9"/>
      <c r="J3784" s="2"/>
      <c r="L3784" s="9"/>
      <c r="M3784" s="2"/>
      <c r="N3784" s="9"/>
      <c r="P3784" s="3">
        <v>-2860.169492</v>
      </c>
      <c r="S3784" s="9"/>
      <c r="T3784" s="2"/>
      <c r="U3784" s="9"/>
    </row>
    <row r="3785" spans="2:21" x14ac:dyDescent="0.35">
      <c r="B3785" s="9"/>
      <c r="C3785" s="2"/>
      <c r="D3785" s="2"/>
      <c r="I3785" s="9"/>
      <c r="J3785" s="2"/>
      <c r="L3785" s="9"/>
      <c r="M3785" s="2"/>
      <c r="N3785" s="9"/>
      <c r="P3785" s="3">
        <v>-2425.4094919999998</v>
      </c>
      <c r="S3785" s="9"/>
      <c r="T3785" s="2"/>
      <c r="U3785" s="9"/>
    </row>
    <row r="3786" spans="2:21" x14ac:dyDescent="0.35">
      <c r="B3786" s="9"/>
      <c r="C3786" s="2"/>
      <c r="D3786" s="2"/>
      <c r="I3786" s="9"/>
      <c r="J3786" s="2"/>
      <c r="L3786" s="9"/>
      <c r="M3786" s="2"/>
      <c r="N3786" s="9"/>
      <c r="P3786" s="3">
        <v>-1990.649492</v>
      </c>
      <c r="S3786" s="9"/>
      <c r="T3786" s="2"/>
      <c r="U3786" s="9"/>
    </row>
    <row r="3787" spans="2:21" x14ac:dyDescent="0.35">
      <c r="B3787" s="9"/>
      <c r="C3787" s="2"/>
      <c r="D3787" s="2"/>
      <c r="I3787" s="9"/>
      <c r="J3787" s="2"/>
      <c r="L3787" s="9"/>
      <c r="M3787" s="2"/>
      <c r="N3787" s="9"/>
      <c r="P3787" s="3">
        <v>-1555.889492</v>
      </c>
      <c r="S3787" s="9"/>
      <c r="T3787" s="2"/>
      <c r="U3787" s="9"/>
    </row>
    <row r="3788" spans="2:21" x14ac:dyDescent="0.35">
      <c r="B3788" s="9"/>
      <c r="C3788" s="2"/>
      <c r="D3788" s="2"/>
      <c r="I3788" s="9"/>
      <c r="J3788" s="2"/>
      <c r="L3788" s="9"/>
      <c r="M3788" s="2"/>
      <c r="N3788" s="9"/>
      <c r="P3788" s="3">
        <v>-1555.889492</v>
      </c>
      <c r="S3788" s="9"/>
      <c r="T3788" s="2"/>
      <c r="U3788" s="9"/>
    </row>
    <row r="3789" spans="2:21" x14ac:dyDescent="0.35">
      <c r="B3789" s="9"/>
      <c r="C3789" s="2"/>
      <c r="D3789" s="2"/>
      <c r="I3789" s="9"/>
      <c r="J3789" s="2"/>
      <c r="L3789" s="9"/>
      <c r="M3789" s="2"/>
      <c r="N3789" s="9"/>
      <c r="P3789" s="3">
        <v>-1990.649492</v>
      </c>
      <c r="S3789" s="9"/>
      <c r="T3789" s="2"/>
      <c r="U3789" s="9"/>
    </row>
    <row r="3790" spans="2:21" x14ac:dyDescent="0.35">
      <c r="B3790" s="9"/>
      <c r="C3790" s="2"/>
      <c r="D3790" s="2"/>
      <c r="I3790" s="9"/>
      <c r="J3790" s="2"/>
      <c r="L3790" s="9"/>
      <c r="M3790" s="2"/>
      <c r="N3790" s="9"/>
      <c r="P3790" s="3">
        <v>-2425.4094919999998</v>
      </c>
      <c r="S3790" s="9"/>
      <c r="T3790" s="2"/>
      <c r="U3790" s="9"/>
    </row>
    <row r="3791" spans="2:21" x14ac:dyDescent="0.35">
      <c r="B3791" s="9"/>
      <c r="C3791" s="2"/>
      <c r="D3791" s="2"/>
      <c r="I3791" s="9"/>
      <c r="J3791" s="2"/>
      <c r="L3791" s="9"/>
      <c r="M3791" s="2"/>
      <c r="N3791" s="9"/>
      <c r="P3791" s="3">
        <v>-2860.169492</v>
      </c>
      <c r="S3791" s="9"/>
      <c r="T3791" s="2"/>
      <c r="U3791" s="9"/>
    </row>
    <row r="3792" spans="2:21" x14ac:dyDescent="0.35">
      <c r="B3792" s="9"/>
      <c r="C3792" s="2"/>
      <c r="D3792" s="2"/>
      <c r="I3792" s="9"/>
      <c r="J3792" s="2"/>
      <c r="L3792" s="9"/>
      <c r="M3792" s="2"/>
      <c r="N3792" s="9"/>
      <c r="P3792" s="3">
        <v>-2828.0241982299999</v>
      </c>
      <c r="S3792" s="9"/>
      <c r="T3792" s="2"/>
      <c r="U3792" s="9"/>
    </row>
    <row r="3793" spans="2:21" x14ac:dyDescent="0.35">
      <c r="B3793" s="9"/>
      <c r="C3793" s="2"/>
      <c r="D3793" s="2"/>
      <c r="I3793" s="9"/>
      <c r="J3793" s="2"/>
      <c r="L3793" s="9"/>
      <c r="M3793" s="2"/>
      <c r="N3793" s="9"/>
      <c r="P3793" s="3">
        <v>-2393.2641982300001</v>
      </c>
      <c r="S3793" s="9"/>
      <c r="T3793" s="2"/>
      <c r="U3793" s="9"/>
    </row>
    <row r="3794" spans="2:21" x14ac:dyDescent="0.35">
      <c r="B3794" s="9"/>
      <c r="C3794" s="2"/>
      <c r="D3794" s="2"/>
      <c r="I3794" s="9"/>
      <c r="J3794" s="2"/>
      <c r="L3794" s="9"/>
      <c r="M3794" s="2"/>
      <c r="N3794" s="9"/>
      <c r="P3794" s="3">
        <v>-1958.5041982299999</v>
      </c>
      <c r="S3794" s="9"/>
      <c r="T3794" s="2"/>
      <c r="U3794" s="9"/>
    </row>
    <row r="3795" spans="2:21" x14ac:dyDescent="0.35">
      <c r="B3795" s="9"/>
      <c r="C3795" s="2"/>
      <c r="D3795" s="2"/>
      <c r="I3795" s="9"/>
      <c r="J3795" s="2"/>
      <c r="L3795" s="9"/>
      <c r="M3795" s="2"/>
      <c r="N3795" s="9"/>
      <c r="P3795" s="3">
        <v>-1752.5482586000001</v>
      </c>
      <c r="S3795" s="9"/>
      <c r="T3795" s="2"/>
      <c r="U3795" s="9"/>
    </row>
    <row r="3796" spans="2:21" x14ac:dyDescent="0.35">
      <c r="B3796" s="9"/>
      <c r="C3796" s="2"/>
      <c r="D3796" s="2"/>
      <c r="I3796" s="9"/>
      <c r="J3796" s="2"/>
      <c r="L3796" s="9"/>
      <c r="M3796" s="2"/>
      <c r="N3796" s="9"/>
      <c r="P3796" s="3">
        <v>-1490.28926886</v>
      </c>
      <c r="S3796" s="9"/>
      <c r="T3796" s="2"/>
      <c r="U3796" s="9"/>
    </row>
    <row r="3797" spans="2:21" x14ac:dyDescent="0.35">
      <c r="B3797" s="9"/>
      <c r="C3797" s="2"/>
      <c r="D3797" s="2"/>
      <c r="I3797" s="9"/>
      <c r="J3797" s="2"/>
      <c r="L3797" s="9"/>
      <c r="M3797" s="2"/>
      <c r="N3797" s="9"/>
      <c r="P3797" s="3">
        <v>-1422.8257788599999</v>
      </c>
      <c r="S3797" s="9"/>
      <c r="T3797" s="2"/>
      <c r="U3797" s="9"/>
    </row>
    <row r="3798" spans="2:21" x14ac:dyDescent="0.35">
      <c r="B3798" s="9"/>
      <c r="C3798" s="2"/>
      <c r="D3798" s="2"/>
      <c r="I3798" s="9"/>
      <c r="J3798" s="2"/>
      <c r="L3798" s="9"/>
      <c r="M3798" s="2"/>
      <c r="N3798" s="9"/>
      <c r="P3798" s="3">
        <v>-1279.5541688599999</v>
      </c>
      <c r="S3798" s="9"/>
      <c r="T3798" s="2"/>
      <c r="U3798" s="9"/>
    </row>
    <row r="3799" spans="2:21" x14ac:dyDescent="0.35">
      <c r="B3799" s="9"/>
      <c r="C3799" s="2"/>
      <c r="D3799" s="2"/>
      <c r="I3799" s="9"/>
      <c r="J3799" s="2"/>
      <c r="L3799" s="9"/>
      <c r="M3799" s="2"/>
      <c r="N3799" s="9"/>
      <c r="P3799" s="3">
        <v>-1182.98209886</v>
      </c>
      <c r="S3799" s="9"/>
      <c r="T3799" s="2"/>
      <c r="U3799" s="9"/>
    </row>
    <row r="3800" spans="2:21" x14ac:dyDescent="0.35">
      <c r="B3800" s="9"/>
      <c r="C3800" s="2"/>
      <c r="D3800" s="2"/>
      <c r="I3800" s="9"/>
      <c r="J3800" s="2"/>
      <c r="L3800" s="9"/>
      <c r="M3800" s="2"/>
      <c r="N3800" s="9"/>
      <c r="P3800" s="3">
        <v>-1017.1594688599999</v>
      </c>
      <c r="S3800" s="9"/>
      <c r="T3800" s="2"/>
      <c r="U3800" s="9"/>
    </row>
    <row r="3801" spans="2:21" x14ac:dyDescent="0.35">
      <c r="B3801" s="9"/>
      <c r="C3801" s="2"/>
      <c r="D3801" s="2"/>
      <c r="I3801" s="9"/>
      <c r="J3801" s="2"/>
      <c r="L3801" s="9"/>
      <c r="M3801" s="2"/>
      <c r="N3801" s="9"/>
      <c r="P3801" s="3">
        <v>-840.81392886000003</v>
      </c>
      <c r="S3801" s="9"/>
      <c r="T3801" s="2"/>
      <c r="U3801" s="9"/>
    </row>
    <row r="3802" spans="2:21" x14ac:dyDescent="0.35">
      <c r="B3802" s="9"/>
      <c r="C3802" s="2"/>
      <c r="D3802" s="2"/>
      <c r="I3802" s="9"/>
      <c r="J3802" s="2"/>
      <c r="L3802" s="9"/>
      <c r="M3802" s="2"/>
      <c r="N3802" s="9"/>
      <c r="P3802" s="3">
        <v>-605.11735885999997</v>
      </c>
      <c r="S3802" s="9"/>
      <c r="T3802" s="2"/>
      <c r="U3802" s="9"/>
    </row>
    <row r="3803" spans="2:21" x14ac:dyDescent="0.35">
      <c r="B3803" s="9"/>
      <c r="C3803" s="2"/>
      <c r="D3803" s="2"/>
      <c r="I3803" s="9"/>
      <c r="J3803" s="2"/>
      <c r="L3803" s="9"/>
      <c r="M3803" s="2"/>
      <c r="N3803" s="9"/>
      <c r="P3803" s="3">
        <v>-248.18341237999999</v>
      </c>
      <c r="S3803" s="9"/>
      <c r="T3803" s="2"/>
      <c r="U3803" s="9"/>
    </row>
    <row r="3804" spans="2:21" x14ac:dyDescent="0.35">
      <c r="B3804" s="9"/>
      <c r="C3804" s="2"/>
      <c r="D3804" s="2"/>
      <c r="I3804" s="9"/>
      <c r="J3804" s="2"/>
      <c r="L3804" s="9"/>
      <c r="M3804" s="2"/>
      <c r="N3804" s="9"/>
      <c r="P3804" s="3">
        <v>-71.416225900000001</v>
      </c>
      <c r="S3804" s="9"/>
      <c r="T3804" s="2"/>
      <c r="U3804" s="9"/>
    </row>
    <row r="3805" spans="2:21" x14ac:dyDescent="0.35">
      <c r="B3805" s="9"/>
      <c r="C3805" s="2"/>
      <c r="D3805" s="2"/>
      <c r="I3805" s="9"/>
      <c r="J3805" s="2"/>
      <c r="L3805" s="9"/>
      <c r="M3805" s="2"/>
      <c r="N3805" s="9"/>
      <c r="P3805" s="3">
        <v>-456.42831345000002</v>
      </c>
      <c r="S3805" s="9"/>
      <c r="T3805" s="2"/>
      <c r="U3805" s="9"/>
    </row>
    <row r="3806" spans="2:21" x14ac:dyDescent="0.35">
      <c r="B3806" s="9"/>
      <c r="C3806" s="2"/>
      <c r="D3806" s="2"/>
      <c r="I3806" s="9"/>
      <c r="J3806" s="2"/>
      <c r="L3806" s="9"/>
      <c r="M3806" s="2"/>
      <c r="N3806" s="9"/>
      <c r="P3806" s="3">
        <v>-891.18831345000001</v>
      </c>
      <c r="S3806" s="9"/>
      <c r="T3806" s="2"/>
      <c r="U3806" s="9"/>
    </row>
    <row r="3807" spans="2:21" x14ac:dyDescent="0.35">
      <c r="B3807" s="9"/>
      <c r="C3807" s="2"/>
      <c r="D3807" s="2"/>
      <c r="I3807" s="9"/>
      <c r="J3807" s="2"/>
      <c r="L3807" s="9"/>
      <c r="M3807" s="2"/>
      <c r="N3807" s="9"/>
      <c r="P3807" s="3">
        <v>-456.42831345000002</v>
      </c>
      <c r="S3807" s="9"/>
      <c r="T3807" s="2"/>
      <c r="U3807" s="9"/>
    </row>
    <row r="3808" spans="2:21" x14ac:dyDescent="0.35">
      <c r="B3808" s="9"/>
      <c r="C3808" s="2"/>
      <c r="D3808" s="2"/>
      <c r="I3808" s="9"/>
      <c r="J3808" s="2"/>
      <c r="L3808" s="9"/>
      <c r="M3808" s="2"/>
      <c r="N3808" s="9"/>
      <c r="P3808" s="3">
        <v>-21.668313449999999</v>
      </c>
      <c r="S3808" s="9"/>
      <c r="T3808" s="2"/>
      <c r="U3808" s="9"/>
    </row>
    <row r="3809" spans="2:21" x14ac:dyDescent="0.35">
      <c r="B3809" s="9"/>
      <c r="C3809" s="2"/>
      <c r="D3809" s="2"/>
      <c r="I3809" s="9"/>
      <c r="J3809" s="2"/>
      <c r="L3809" s="9"/>
      <c r="M3809" s="2"/>
      <c r="N3809" s="9"/>
      <c r="P3809" s="3">
        <v>0</v>
      </c>
      <c r="S3809" s="9"/>
      <c r="T3809" s="2"/>
      <c r="U3809" s="9"/>
    </row>
    <row r="3810" spans="2:21" x14ac:dyDescent="0.35">
      <c r="B3810" s="9"/>
      <c r="C3810" s="2"/>
      <c r="D3810" s="2"/>
      <c r="I3810" s="9"/>
      <c r="J3810" s="2"/>
      <c r="L3810" s="9"/>
      <c r="M3810" s="2"/>
      <c r="N3810" s="9"/>
      <c r="P3810" s="3">
        <v>0</v>
      </c>
      <c r="S3810" s="9"/>
      <c r="T3810" s="2"/>
      <c r="U3810" s="9"/>
    </row>
    <row r="3811" spans="2:21" x14ac:dyDescent="0.35">
      <c r="B3811" s="9"/>
      <c r="C3811" s="2"/>
      <c r="D3811" s="2"/>
      <c r="I3811" s="9"/>
      <c r="J3811" s="2"/>
      <c r="L3811" s="9"/>
      <c r="M3811" s="2"/>
      <c r="N3811" s="9"/>
      <c r="P3811" s="3">
        <v>-251.60949199999999</v>
      </c>
      <c r="S3811" s="9"/>
      <c r="T3811" s="2"/>
      <c r="U3811" s="9"/>
    </row>
    <row r="3812" spans="2:21" x14ac:dyDescent="0.35">
      <c r="B3812" s="9"/>
      <c r="C3812" s="2"/>
      <c r="D3812" s="2"/>
      <c r="I3812" s="9"/>
      <c r="J3812" s="2"/>
      <c r="L3812" s="9"/>
      <c r="M3812" s="2"/>
      <c r="N3812" s="9"/>
      <c r="P3812" s="3">
        <v>-686.36949200000004</v>
      </c>
      <c r="S3812" s="9"/>
      <c r="T3812" s="2"/>
      <c r="U3812" s="9"/>
    </row>
    <row r="3813" spans="2:21" x14ac:dyDescent="0.35">
      <c r="B3813" s="9"/>
      <c r="C3813" s="2"/>
      <c r="D3813" s="2"/>
      <c r="I3813" s="9"/>
      <c r="J3813" s="2"/>
      <c r="L3813" s="9"/>
      <c r="M3813" s="2"/>
      <c r="N3813" s="9"/>
      <c r="P3813" s="3">
        <v>-1121.129492</v>
      </c>
      <c r="S3813" s="9"/>
      <c r="T3813" s="2"/>
      <c r="U3813" s="9"/>
    </row>
    <row r="3814" spans="2:21" x14ac:dyDescent="0.35">
      <c r="B3814" s="9"/>
      <c r="C3814" s="2"/>
      <c r="D3814" s="2"/>
      <c r="I3814" s="9"/>
      <c r="J3814" s="2"/>
      <c r="L3814" s="9"/>
      <c r="M3814" s="2"/>
      <c r="N3814" s="9"/>
      <c r="P3814" s="3">
        <v>-1555.889492</v>
      </c>
      <c r="S3814" s="9"/>
      <c r="T3814" s="2"/>
      <c r="U3814" s="9"/>
    </row>
    <row r="3815" spans="2:21" x14ac:dyDescent="0.35">
      <c r="B3815" s="9"/>
      <c r="C3815" s="2"/>
      <c r="D3815" s="2"/>
      <c r="I3815" s="9"/>
      <c r="J3815" s="2"/>
      <c r="L3815" s="9"/>
      <c r="M3815" s="2"/>
      <c r="N3815" s="9"/>
      <c r="P3815" s="3">
        <v>-1990.649492</v>
      </c>
      <c r="S3815" s="9"/>
      <c r="T3815" s="2"/>
      <c r="U3815" s="9"/>
    </row>
    <row r="3816" spans="2:21" x14ac:dyDescent="0.35">
      <c r="B3816" s="9"/>
      <c r="C3816" s="2"/>
      <c r="D3816" s="2"/>
      <c r="I3816" s="9"/>
      <c r="J3816" s="2"/>
      <c r="L3816" s="9"/>
      <c r="M3816" s="2"/>
      <c r="N3816" s="9"/>
      <c r="P3816" s="3">
        <v>-2425.4094919999998</v>
      </c>
      <c r="S3816" s="9"/>
      <c r="T3816" s="2"/>
      <c r="U3816" s="9"/>
    </row>
    <row r="3817" spans="2:21" x14ac:dyDescent="0.35">
      <c r="B3817" s="9"/>
      <c r="C3817" s="2"/>
      <c r="D3817" s="2"/>
      <c r="I3817" s="9"/>
      <c r="J3817" s="2"/>
      <c r="L3817" s="9"/>
      <c r="M3817" s="2"/>
      <c r="N3817" s="9"/>
      <c r="P3817" s="3">
        <v>-2860.169492</v>
      </c>
      <c r="S3817" s="9"/>
      <c r="T3817" s="2"/>
      <c r="U3817" s="9"/>
    </row>
    <row r="3818" spans="2:21" x14ac:dyDescent="0.35">
      <c r="B3818" s="9"/>
      <c r="C3818" s="2"/>
      <c r="D3818" s="2"/>
      <c r="I3818" s="9"/>
      <c r="J3818" s="2"/>
      <c r="L3818" s="9"/>
      <c r="M3818" s="2"/>
      <c r="N3818" s="9"/>
      <c r="P3818" s="3">
        <v>-2860.169492</v>
      </c>
      <c r="S3818" s="9"/>
      <c r="T3818" s="2"/>
      <c r="U3818" s="9"/>
    </row>
    <row r="3819" spans="2:21" x14ac:dyDescent="0.35">
      <c r="B3819" s="9"/>
      <c r="C3819" s="2"/>
      <c r="D3819" s="2"/>
      <c r="I3819" s="9"/>
      <c r="J3819" s="2"/>
      <c r="L3819" s="9"/>
      <c r="M3819" s="2"/>
      <c r="N3819" s="9"/>
      <c r="P3819" s="3">
        <v>-2860.169492</v>
      </c>
      <c r="S3819" s="9"/>
      <c r="T3819" s="2"/>
      <c r="U3819" s="9"/>
    </row>
    <row r="3820" spans="2:21" x14ac:dyDescent="0.35">
      <c r="B3820" s="9"/>
      <c r="C3820" s="2"/>
      <c r="D3820" s="2"/>
      <c r="I3820" s="9"/>
      <c r="J3820" s="2"/>
      <c r="L3820" s="9"/>
      <c r="M3820" s="2"/>
      <c r="N3820" s="9"/>
      <c r="P3820" s="3">
        <v>-2541.7722888600001</v>
      </c>
      <c r="S3820" s="9"/>
      <c r="T3820" s="2"/>
      <c r="U3820" s="9"/>
    </row>
    <row r="3821" spans="2:21" x14ac:dyDescent="0.35">
      <c r="B3821" s="9"/>
      <c r="C3821" s="2"/>
      <c r="D3821" s="2"/>
      <c r="I3821" s="9"/>
      <c r="J3821" s="2"/>
      <c r="L3821" s="9"/>
      <c r="M3821" s="2"/>
      <c r="N3821" s="9"/>
      <c r="P3821" s="3">
        <v>-2475.0901983899998</v>
      </c>
      <c r="S3821" s="9"/>
      <c r="T3821" s="2"/>
      <c r="U3821" s="9"/>
    </row>
    <row r="3822" spans="2:21" x14ac:dyDescent="0.35">
      <c r="B3822" s="9"/>
      <c r="C3822" s="2"/>
      <c r="D3822" s="2"/>
      <c r="I3822" s="9"/>
      <c r="J3822" s="2"/>
      <c r="L3822" s="9"/>
      <c r="M3822" s="2"/>
      <c r="N3822" s="9"/>
      <c r="P3822" s="3">
        <v>-2040.3301983900001</v>
      </c>
      <c r="S3822" s="9"/>
      <c r="T3822" s="2"/>
      <c r="U3822" s="9"/>
    </row>
    <row r="3823" spans="2:21" x14ac:dyDescent="0.35">
      <c r="B3823" s="9"/>
      <c r="C3823" s="2"/>
      <c r="D3823" s="2"/>
      <c r="I3823" s="9"/>
      <c r="J3823" s="2"/>
      <c r="L3823" s="9"/>
      <c r="M3823" s="2"/>
      <c r="N3823" s="9"/>
      <c r="P3823" s="3">
        <v>-1893.7705783900001</v>
      </c>
      <c r="S3823" s="9"/>
      <c r="T3823" s="2"/>
      <c r="U3823" s="9"/>
    </row>
    <row r="3824" spans="2:21" x14ac:dyDescent="0.35">
      <c r="B3824" s="9"/>
      <c r="C3824" s="2"/>
      <c r="D3824" s="2"/>
      <c r="I3824" s="9"/>
      <c r="J3824" s="2"/>
      <c r="L3824" s="9"/>
      <c r="M3824" s="2"/>
      <c r="N3824" s="9"/>
      <c r="P3824" s="3">
        <v>-1743.3989683899999</v>
      </c>
      <c r="S3824" s="9"/>
      <c r="T3824" s="2"/>
      <c r="U3824" s="9"/>
    </row>
    <row r="3825" spans="2:21" x14ac:dyDescent="0.35">
      <c r="B3825" s="9"/>
      <c r="C3825" s="2"/>
      <c r="D3825" s="2"/>
      <c r="I3825" s="9"/>
      <c r="J3825" s="2"/>
      <c r="L3825" s="9"/>
      <c r="M3825" s="2"/>
      <c r="N3825" s="9"/>
      <c r="P3825" s="3">
        <v>-1618.00089839</v>
      </c>
      <c r="S3825" s="9"/>
      <c r="T3825" s="2"/>
      <c r="U3825" s="9"/>
    </row>
    <row r="3826" spans="2:21" x14ac:dyDescent="0.35">
      <c r="B3826" s="9"/>
      <c r="C3826" s="2"/>
      <c r="D3826" s="2"/>
      <c r="I3826" s="9"/>
      <c r="J3826" s="2"/>
      <c r="L3826" s="9"/>
      <c r="M3826" s="2"/>
      <c r="N3826" s="9"/>
      <c r="P3826" s="3">
        <v>-1516.87488839</v>
      </c>
      <c r="S3826" s="9"/>
      <c r="T3826" s="2"/>
      <c r="U3826" s="9"/>
    </row>
    <row r="3827" spans="2:21" x14ac:dyDescent="0.35">
      <c r="B3827" s="9"/>
      <c r="C3827" s="2"/>
      <c r="D3827" s="2"/>
      <c r="I3827" s="9"/>
      <c r="J3827" s="2"/>
      <c r="L3827" s="9"/>
      <c r="M3827" s="2"/>
      <c r="N3827" s="9"/>
      <c r="P3827" s="3">
        <v>-1392.7115083900001</v>
      </c>
      <c r="S3827" s="9"/>
      <c r="T3827" s="2"/>
      <c r="U3827" s="9"/>
    </row>
    <row r="3828" spans="2:21" x14ac:dyDescent="0.35">
      <c r="B3828" s="9"/>
      <c r="C3828" s="2"/>
      <c r="D3828" s="2"/>
      <c r="I3828" s="9"/>
      <c r="J3828" s="2"/>
      <c r="L3828" s="9"/>
      <c r="M3828" s="2"/>
      <c r="N3828" s="9"/>
      <c r="P3828" s="3">
        <v>-1319.9897583899999</v>
      </c>
      <c r="S3828" s="9"/>
      <c r="T3828" s="2"/>
      <c r="U3828" s="9"/>
    </row>
    <row r="3829" spans="2:21" x14ac:dyDescent="0.35">
      <c r="B3829" s="9"/>
      <c r="C3829" s="2"/>
      <c r="D3829" s="2"/>
      <c r="I3829" s="9"/>
      <c r="J3829" s="2"/>
      <c r="L3829" s="9"/>
      <c r="M3829" s="2"/>
      <c r="N3829" s="9"/>
      <c r="P3829" s="3">
        <v>-1754.7497583899999</v>
      </c>
      <c r="S3829" s="9"/>
      <c r="T3829" s="2"/>
      <c r="U3829" s="9"/>
    </row>
    <row r="3830" spans="2:21" x14ac:dyDescent="0.35">
      <c r="B3830" s="9"/>
      <c r="C3830" s="2"/>
      <c r="D3830" s="2"/>
      <c r="I3830" s="9"/>
      <c r="J3830" s="2"/>
      <c r="L3830" s="9"/>
      <c r="M3830" s="2"/>
      <c r="N3830" s="9"/>
      <c r="P3830" s="3">
        <v>-2189.5097583900001</v>
      </c>
      <c r="S3830" s="9"/>
      <c r="T3830" s="2"/>
      <c r="U3830" s="9"/>
    </row>
    <row r="3831" spans="2:21" x14ac:dyDescent="0.35">
      <c r="B3831" s="9"/>
      <c r="C3831" s="2"/>
      <c r="D3831" s="2"/>
      <c r="I3831" s="9"/>
      <c r="J3831" s="2"/>
      <c r="L3831" s="9"/>
      <c r="M3831" s="2"/>
      <c r="N3831" s="9"/>
      <c r="P3831" s="3">
        <v>-1754.7497583899999</v>
      </c>
      <c r="S3831" s="9"/>
      <c r="T3831" s="2"/>
      <c r="U3831" s="9"/>
    </row>
    <row r="3832" spans="2:21" x14ac:dyDescent="0.35">
      <c r="B3832" s="9"/>
      <c r="C3832" s="2"/>
      <c r="D3832" s="2"/>
      <c r="I3832" s="9"/>
      <c r="J3832" s="2"/>
      <c r="L3832" s="9"/>
      <c r="M3832" s="2"/>
      <c r="N3832" s="9"/>
      <c r="P3832" s="3">
        <v>-1319.9897583899999</v>
      </c>
      <c r="S3832" s="9"/>
      <c r="T3832" s="2"/>
      <c r="U3832" s="9"/>
    </row>
    <row r="3833" spans="2:21" x14ac:dyDescent="0.35">
      <c r="B3833" s="9"/>
      <c r="C3833" s="2"/>
      <c r="D3833" s="2"/>
      <c r="I3833" s="9"/>
      <c r="J3833" s="2"/>
      <c r="L3833" s="9"/>
      <c r="M3833" s="2"/>
      <c r="N3833" s="9"/>
      <c r="P3833" s="3">
        <v>-885.22975839000003</v>
      </c>
      <c r="S3833" s="9"/>
      <c r="T3833" s="2"/>
      <c r="U3833" s="9"/>
    </row>
    <row r="3834" spans="2:21" x14ac:dyDescent="0.35">
      <c r="B3834" s="9"/>
      <c r="C3834" s="2"/>
      <c r="D3834" s="2"/>
      <c r="I3834" s="9"/>
      <c r="J3834" s="2"/>
      <c r="L3834" s="9"/>
      <c r="M3834" s="2"/>
      <c r="N3834" s="9"/>
      <c r="P3834" s="3">
        <v>-450.46975838999998</v>
      </c>
      <c r="S3834" s="9"/>
      <c r="T3834" s="2"/>
      <c r="U3834" s="9"/>
    </row>
    <row r="3835" spans="2:21" x14ac:dyDescent="0.35">
      <c r="B3835" s="9"/>
      <c r="C3835" s="2"/>
      <c r="D3835" s="2"/>
      <c r="I3835" s="9"/>
      <c r="J3835" s="2"/>
      <c r="L3835" s="9"/>
      <c r="M3835" s="2"/>
      <c r="N3835" s="9"/>
      <c r="P3835" s="3">
        <v>-15.709758389999999</v>
      </c>
      <c r="S3835" s="9"/>
      <c r="T3835" s="2"/>
      <c r="U3835" s="9"/>
    </row>
    <row r="3836" spans="2:21" x14ac:dyDescent="0.35">
      <c r="B3836" s="9"/>
      <c r="C3836" s="2"/>
      <c r="D3836" s="2"/>
      <c r="I3836" s="9"/>
      <c r="J3836" s="2"/>
      <c r="L3836" s="9"/>
      <c r="M3836" s="2"/>
      <c r="N3836" s="9"/>
      <c r="P3836" s="3">
        <v>-382.89720148999999</v>
      </c>
      <c r="S3836" s="9"/>
      <c r="T3836" s="2"/>
      <c r="U3836" s="9"/>
    </row>
    <row r="3837" spans="2:21" x14ac:dyDescent="0.35">
      <c r="B3837" s="9"/>
      <c r="C3837" s="2"/>
      <c r="D3837" s="2"/>
      <c r="I3837" s="9"/>
      <c r="J3837" s="2"/>
      <c r="L3837" s="9"/>
      <c r="M3837" s="2"/>
      <c r="N3837" s="9"/>
      <c r="P3837" s="3">
        <v>-817.65720149000003</v>
      </c>
      <c r="S3837" s="9"/>
      <c r="T3837" s="2"/>
      <c r="U3837" s="9"/>
    </row>
    <row r="3838" spans="2:21" x14ac:dyDescent="0.35">
      <c r="B3838" s="9"/>
      <c r="C3838" s="2"/>
      <c r="D3838" s="2"/>
      <c r="I3838" s="9"/>
      <c r="J3838" s="2"/>
      <c r="L3838" s="9"/>
      <c r="M3838" s="2"/>
      <c r="N3838" s="9"/>
      <c r="P3838" s="3">
        <v>-1252.41720149</v>
      </c>
      <c r="S3838" s="9"/>
      <c r="T3838" s="2"/>
      <c r="U3838" s="9"/>
    </row>
    <row r="3839" spans="2:21" x14ac:dyDescent="0.35">
      <c r="B3839" s="9"/>
      <c r="C3839" s="2"/>
      <c r="D3839" s="2"/>
      <c r="I3839" s="9"/>
      <c r="J3839" s="2"/>
      <c r="L3839" s="9"/>
      <c r="M3839" s="2"/>
      <c r="N3839" s="9"/>
      <c r="P3839" s="3">
        <v>-1687.17720149</v>
      </c>
      <c r="S3839" s="9"/>
      <c r="T3839" s="2"/>
      <c r="U3839" s="9"/>
    </row>
    <row r="3840" spans="2:21" x14ac:dyDescent="0.35">
      <c r="B3840" s="9"/>
      <c r="C3840" s="2"/>
      <c r="D3840" s="2"/>
      <c r="I3840" s="9"/>
      <c r="J3840" s="2"/>
      <c r="L3840" s="9"/>
      <c r="M3840" s="2"/>
      <c r="N3840" s="9"/>
      <c r="P3840" s="3">
        <v>-2121.93720149</v>
      </c>
      <c r="S3840" s="9"/>
      <c r="T3840" s="2"/>
      <c r="U3840" s="9"/>
    </row>
    <row r="3841" spans="2:21" x14ac:dyDescent="0.35">
      <c r="B3841" s="9"/>
      <c r="C3841" s="2"/>
      <c r="D3841" s="2"/>
      <c r="I3841" s="9"/>
      <c r="J3841" s="2"/>
      <c r="L3841" s="9"/>
      <c r="M3841" s="2"/>
      <c r="N3841" s="9"/>
      <c r="P3841" s="3">
        <v>-2556.6972014900002</v>
      </c>
      <c r="S3841" s="9"/>
      <c r="T3841" s="2"/>
      <c r="U3841" s="9"/>
    </row>
    <row r="3842" spans="2:21" x14ac:dyDescent="0.35">
      <c r="B3842" s="9"/>
      <c r="C3842" s="2"/>
      <c r="D3842" s="2"/>
      <c r="I3842" s="9"/>
      <c r="J3842" s="2"/>
      <c r="L3842" s="9"/>
      <c r="M3842" s="2"/>
      <c r="N3842" s="9"/>
      <c r="P3842" s="3">
        <v>-2706.5828783900001</v>
      </c>
      <c r="S3842" s="9"/>
      <c r="T3842" s="2"/>
      <c r="U3842" s="9"/>
    </row>
    <row r="3843" spans="2:21" x14ac:dyDescent="0.35">
      <c r="B3843" s="9"/>
      <c r="C3843" s="2"/>
      <c r="D3843" s="2"/>
      <c r="I3843" s="9"/>
      <c r="J3843" s="2"/>
      <c r="L3843" s="9"/>
      <c r="M3843" s="2"/>
      <c r="N3843" s="9"/>
      <c r="P3843" s="3">
        <v>-2271.8228783899999</v>
      </c>
      <c r="S3843" s="9"/>
      <c r="T3843" s="2"/>
      <c r="U3843" s="9"/>
    </row>
    <row r="3844" spans="2:21" x14ac:dyDescent="0.35">
      <c r="B3844" s="9"/>
      <c r="C3844" s="2"/>
      <c r="D3844" s="2"/>
      <c r="I3844" s="9"/>
      <c r="J3844" s="2"/>
      <c r="L3844" s="9"/>
      <c r="M3844" s="2"/>
      <c r="N3844" s="9"/>
      <c r="P3844" s="3">
        <v>-1837.0628783899999</v>
      </c>
      <c r="S3844" s="9"/>
      <c r="T3844" s="2"/>
      <c r="U3844" s="9"/>
    </row>
    <row r="3845" spans="2:21" x14ac:dyDescent="0.35">
      <c r="B3845" s="9"/>
      <c r="C3845" s="2"/>
      <c r="D3845" s="2"/>
      <c r="I3845" s="9"/>
      <c r="J3845" s="2"/>
      <c r="L3845" s="9"/>
      <c r="M3845" s="2"/>
      <c r="N3845" s="9"/>
      <c r="P3845" s="3">
        <v>-1644.8814983899999</v>
      </c>
      <c r="S3845" s="9"/>
      <c r="T3845" s="2"/>
      <c r="U3845" s="9"/>
    </row>
    <row r="3846" spans="2:21" x14ac:dyDescent="0.35">
      <c r="B3846" s="9"/>
      <c r="C3846" s="2"/>
      <c r="D3846" s="2"/>
      <c r="I3846" s="9"/>
      <c r="J3846" s="2"/>
      <c r="L3846" s="9"/>
      <c r="M3846" s="2"/>
      <c r="N3846" s="9"/>
      <c r="P3846" s="3">
        <v>-1411.7217583900001</v>
      </c>
      <c r="S3846" s="9"/>
      <c r="T3846" s="2"/>
      <c r="U3846" s="9"/>
    </row>
    <row r="3847" spans="2:21" x14ac:dyDescent="0.35">
      <c r="B3847" s="9"/>
      <c r="C3847" s="2"/>
      <c r="D3847" s="2"/>
      <c r="I3847" s="9"/>
      <c r="J3847" s="2"/>
      <c r="L3847" s="9"/>
      <c r="M3847" s="2"/>
      <c r="N3847" s="9"/>
      <c r="P3847" s="3">
        <v>-1340.75583839</v>
      </c>
      <c r="S3847" s="9"/>
      <c r="T3847" s="2"/>
      <c r="U3847" s="9"/>
    </row>
    <row r="3848" spans="2:21" x14ac:dyDescent="0.35">
      <c r="B3848" s="9"/>
      <c r="C3848" s="2"/>
      <c r="D3848" s="2"/>
      <c r="I3848" s="9"/>
      <c r="J3848" s="2"/>
      <c r="L3848" s="9"/>
      <c r="M3848" s="2"/>
      <c r="N3848" s="9"/>
      <c r="P3848" s="3">
        <v>-1318.00033839</v>
      </c>
      <c r="S3848" s="9"/>
      <c r="T3848" s="2"/>
      <c r="U3848" s="9"/>
    </row>
    <row r="3849" spans="2:21" x14ac:dyDescent="0.35">
      <c r="B3849" s="9"/>
      <c r="C3849" s="2"/>
      <c r="D3849" s="2"/>
      <c r="I3849" s="9"/>
      <c r="J3849" s="2"/>
      <c r="L3849" s="9"/>
      <c r="M3849" s="2"/>
      <c r="N3849" s="9"/>
      <c r="P3849" s="3">
        <v>-1315.82915839</v>
      </c>
      <c r="S3849" s="9"/>
      <c r="T3849" s="2"/>
      <c r="U3849" s="9"/>
    </row>
    <row r="3850" spans="2:21" x14ac:dyDescent="0.35">
      <c r="B3850" s="9"/>
      <c r="C3850" s="2"/>
      <c r="D3850" s="2"/>
      <c r="I3850" s="9"/>
      <c r="J3850" s="2"/>
      <c r="L3850" s="9"/>
      <c r="M3850" s="2"/>
      <c r="N3850" s="9"/>
      <c r="P3850" s="3">
        <v>-1301.52620839</v>
      </c>
      <c r="S3850" s="9"/>
      <c r="T3850" s="2"/>
      <c r="U3850" s="9"/>
    </row>
    <row r="3851" spans="2:21" x14ac:dyDescent="0.35">
      <c r="B3851" s="9"/>
      <c r="C3851" s="2"/>
      <c r="D3851" s="2"/>
      <c r="I3851" s="9"/>
      <c r="J3851" s="2"/>
      <c r="L3851" s="9"/>
      <c r="M3851" s="2"/>
      <c r="N3851" s="9"/>
      <c r="P3851" s="3">
        <v>-1216.3262083899999</v>
      </c>
      <c r="S3851" s="9"/>
      <c r="T3851" s="2"/>
      <c r="U3851" s="9"/>
    </row>
    <row r="3852" spans="2:21" x14ac:dyDescent="0.35">
      <c r="B3852" s="9"/>
      <c r="C3852" s="2"/>
      <c r="D3852" s="2"/>
      <c r="I3852" s="9"/>
      <c r="J3852" s="2"/>
      <c r="L3852" s="9"/>
      <c r="M3852" s="2"/>
      <c r="N3852" s="9"/>
      <c r="P3852" s="3">
        <v>-1176.4554483899999</v>
      </c>
      <c r="S3852" s="9"/>
      <c r="T3852" s="2"/>
      <c r="U3852" s="9"/>
    </row>
    <row r="3853" spans="2:21" x14ac:dyDescent="0.35">
      <c r="B3853" s="9"/>
      <c r="C3853" s="2"/>
      <c r="D3853" s="2"/>
      <c r="I3853" s="9"/>
      <c r="J3853" s="2"/>
      <c r="L3853" s="9"/>
      <c r="M3853" s="2"/>
      <c r="N3853" s="9"/>
      <c r="P3853" s="3">
        <v>-1604.89713839</v>
      </c>
      <c r="S3853" s="9"/>
      <c r="T3853" s="2"/>
      <c r="U3853" s="9"/>
    </row>
    <row r="3854" spans="2:21" x14ac:dyDescent="0.35">
      <c r="B3854" s="9"/>
      <c r="C3854" s="2"/>
      <c r="D3854" s="2"/>
      <c r="I3854" s="9"/>
      <c r="J3854" s="2"/>
      <c r="L3854" s="9"/>
      <c r="M3854" s="2"/>
      <c r="N3854" s="9"/>
      <c r="P3854" s="3">
        <v>-1170.13713839</v>
      </c>
      <c r="S3854" s="9"/>
      <c r="T3854" s="2"/>
      <c r="U3854" s="9"/>
    </row>
    <row r="3855" spans="2:21" x14ac:dyDescent="0.35">
      <c r="B3855" s="9"/>
      <c r="C3855" s="2"/>
      <c r="D3855" s="2"/>
      <c r="I3855" s="9"/>
      <c r="J3855" s="2"/>
      <c r="L3855" s="9"/>
      <c r="M3855" s="2"/>
      <c r="N3855" s="9"/>
      <c r="P3855" s="3">
        <v>-735.37713839000003</v>
      </c>
      <c r="S3855" s="9"/>
      <c r="T3855" s="2"/>
      <c r="U3855" s="9"/>
    </row>
    <row r="3856" spans="2:21" x14ac:dyDescent="0.35">
      <c r="B3856" s="9"/>
      <c r="C3856" s="2"/>
      <c r="D3856" s="2"/>
      <c r="I3856" s="9"/>
      <c r="J3856" s="2"/>
      <c r="L3856" s="9"/>
      <c r="M3856" s="2"/>
      <c r="N3856" s="9"/>
      <c r="P3856" s="3">
        <v>-300.61713838999998</v>
      </c>
      <c r="S3856" s="9"/>
      <c r="T3856" s="2"/>
      <c r="U3856" s="9"/>
    </row>
    <row r="3857" spans="2:21" x14ac:dyDescent="0.35">
      <c r="B3857" s="9"/>
      <c r="C3857" s="2"/>
      <c r="D3857" s="2"/>
      <c r="I3857" s="9"/>
      <c r="J3857" s="2"/>
      <c r="L3857" s="9"/>
      <c r="M3857" s="2"/>
      <c r="N3857" s="9"/>
      <c r="P3857" s="3">
        <v>0</v>
      </c>
      <c r="S3857" s="9"/>
      <c r="T3857" s="2"/>
      <c r="U3857" s="9"/>
    </row>
    <row r="3858" spans="2:21" x14ac:dyDescent="0.35">
      <c r="B3858" s="9"/>
      <c r="C3858" s="2"/>
      <c r="D3858" s="2"/>
      <c r="I3858" s="9"/>
      <c r="J3858" s="2"/>
      <c r="L3858" s="9"/>
      <c r="M3858" s="2"/>
      <c r="N3858" s="9"/>
      <c r="P3858" s="3">
        <v>0</v>
      </c>
      <c r="S3858" s="9"/>
      <c r="T3858" s="2"/>
      <c r="U3858" s="9"/>
    </row>
    <row r="3859" spans="2:21" x14ac:dyDescent="0.35">
      <c r="B3859" s="9"/>
      <c r="C3859" s="2"/>
      <c r="D3859" s="2"/>
      <c r="I3859" s="9"/>
      <c r="J3859" s="2"/>
      <c r="L3859" s="9"/>
      <c r="M3859" s="2"/>
      <c r="N3859" s="9"/>
      <c r="P3859" s="3">
        <v>0</v>
      </c>
      <c r="S3859" s="9"/>
      <c r="T3859" s="2"/>
      <c r="U3859" s="9"/>
    </row>
    <row r="3860" spans="2:21" x14ac:dyDescent="0.35">
      <c r="B3860" s="9"/>
      <c r="C3860" s="2"/>
      <c r="D3860" s="2"/>
      <c r="I3860" s="9"/>
      <c r="J3860" s="2"/>
      <c r="L3860" s="9"/>
      <c r="M3860" s="2"/>
      <c r="N3860" s="9"/>
      <c r="P3860" s="3">
        <v>-161.64952839</v>
      </c>
      <c r="S3860" s="9"/>
      <c r="T3860" s="2"/>
      <c r="U3860" s="9"/>
    </row>
    <row r="3861" spans="2:21" x14ac:dyDescent="0.35">
      <c r="B3861" s="9"/>
      <c r="C3861" s="2"/>
      <c r="D3861" s="2"/>
      <c r="I3861" s="9"/>
      <c r="J3861" s="2"/>
      <c r="L3861" s="9"/>
      <c r="M3861" s="2"/>
      <c r="N3861" s="9"/>
      <c r="P3861" s="3">
        <v>-596.40952838999999</v>
      </c>
      <c r="S3861" s="9"/>
      <c r="T3861" s="2"/>
      <c r="U3861" s="9"/>
    </row>
    <row r="3862" spans="2:21" x14ac:dyDescent="0.35">
      <c r="B3862" s="9"/>
      <c r="C3862" s="2"/>
      <c r="D3862" s="2"/>
      <c r="I3862" s="9"/>
      <c r="J3862" s="2"/>
      <c r="L3862" s="9"/>
      <c r="M3862" s="2"/>
      <c r="N3862" s="9"/>
      <c r="P3862" s="3">
        <v>-1031.1695283900001</v>
      </c>
      <c r="S3862" s="9"/>
      <c r="T3862" s="2"/>
      <c r="U3862" s="9"/>
    </row>
    <row r="3863" spans="2:21" x14ac:dyDescent="0.35">
      <c r="B3863" s="9"/>
      <c r="C3863" s="2"/>
      <c r="D3863" s="2"/>
      <c r="I3863" s="9"/>
      <c r="J3863" s="2"/>
      <c r="L3863" s="9"/>
      <c r="M3863" s="2"/>
      <c r="N3863" s="9"/>
      <c r="P3863" s="3">
        <v>-1465.9295283900001</v>
      </c>
      <c r="S3863" s="9"/>
      <c r="T3863" s="2"/>
      <c r="U3863" s="9"/>
    </row>
    <row r="3864" spans="2:21" x14ac:dyDescent="0.35">
      <c r="B3864" s="9"/>
      <c r="C3864" s="2"/>
      <c r="D3864" s="2"/>
      <c r="I3864" s="9"/>
      <c r="J3864" s="2"/>
      <c r="L3864" s="9"/>
      <c r="M3864" s="2"/>
      <c r="N3864" s="9"/>
      <c r="P3864" s="3">
        <v>-1900.6895283900001</v>
      </c>
      <c r="S3864" s="9"/>
      <c r="T3864" s="2"/>
      <c r="U3864" s="9"/>
    </row>
    <row r="3865" spans="2:21" x14ac:dyDescent="0.35">
      <c r="B3865" s="9"/>
      <c r="C3865" s="2"/>
      <c r="D3865" s="2"/>
      <c r="I3865" s="9"/>
      <c r="J3865" s="2"/>
      <c r="L3865" s="9"/>
      <c r="M3865" s="2"/>
      <c r="N3865" s="9"/>
      <c r="P3865" s="3">
        <v>-2335.4495283900001</v>
      </c>
      <c r="S3865" s="9"/>
      <c r="T3865" s="2"/>
      <c r="U3865" s="9"/>
    </row>
    <row r="3866" spans="2:21" x14ac:dyDescent="0.35">
      <c r="B3866" s="9"/>
      <c r="C3866" s="2"/>
      <c r="D3866" s="2"/>
      <c r="I3866" s="9"/>
      <c r="J3866" s="2"/>
      <c r="L3866" s="9"/>
      <c r="M3866" s="2"/>
      <c r="N3866" s="9"/>
      <c r="P3866" s="3">
        <v>-1900.6895283900001</v>
      </c>
      <c r="S3866" s="9"/>
      <c r="T3866" s="2"/>
      <c r="U3866" s="9"/>
    </row>
    <row r="3867" spans="2:21" x14ac:dyDescent="0.35">
      <c r="B3867" s="9"/>
      <c r="C3867" s="2"/>
      <c r="D3867" s="2"/>
      <c r="I3867" s="9"/>
      <c r="J3867" s="2"/>
      <c r="L3867" s="9"/>
      <c r="M3867" s="2"/>
      <c r="N3867" s="9"/>
      <c r="P3867" s="3">
        <v>-1691.4816383899999</v>
      </c>
      <c r="S3867" s="9"/>
      <c r="T3867" s="2"/>
      <c r="U3867" s="9"/>
    </row>
    <row r="3868" spans="2:21" x14ac:dyDescent="0.35">
      <c r="B3868" s="9"/>
      <c r="C3868" s="2"/>
      <c r="D3868" s="2"/>
      <c r="I3868" s="9"/>
      <c r="J3868" s="2"/>
      <c r="L3868" s="9"/>
      <c r="M3868" s="2"/>
      <c r="N3868" s="9"/>
      <c r="P3868" s="3">
        <v>-1496.80176839</v>
      </c>
      <c r="S3868" s="9"/>
      <c r="T3868" s="2"/>
      <c r="U3868" s="9"/>
    </row>
    <row r="3869" spans="2:21" x14ac:dyDescent="0.35">
      <c r="B3869" s="9"/>
      <c r="C3869" s="2"/>
      <c r="D3869" s="2"/>
      <c r="I3869" s="9"/>
      <c r="J3869" s="2"/>
      <c r="L3869" s="9"/>
      <c r="M3869" s="2"/>
      <c r="N3869" s="9"/>
      <c r="P3869" s="3">
        <v>-1571.78060839</v>
      </c>
      <c r="S3869" s="9"/>
      <c r="T3869" s="2"/>
      <c r="U3869" s="9"/>
    </row>
    <row r="3870" spans="2:21" x14ac:dyDescent="0.35">
      <c r="B3870" s="9"/>
      <c r="C3870" s="2"/>
      <c r="D3870" s="2"/>
      <c r="I3870" s="9"/>
      <c r="J3870" s="2"/>
      <c r="L3870" s="9"/>
      <c r="M3870" s="2"/>
      <c r="N3870" s="9"/>
      <c r="P3870" s="3">
        <v>-1853.57780886</v>
      </c>
      <c r="S3870" s="9"/>
      <c r="T3870" s="2"/>
      <c r="U3870" s="9"/>
    </row>
    <row r="3871" spans="2:21" x14ac:dyDescent="0.35">
      <c r="B3871" s="9"/>
      <c r="C3871" s="2"/>
      <c r="D3871" s="2"/>
      <c r="I3871" s="9"/>
      <c r="J3871" s="2"/>
      <c r="L3871" s="9"/>
      <c r="M3871" s="2"/>
      <c r="N3871" s="9"/>
      <c r="P3871" s="3">
        <v>-1849.0196088600001</v>
      </c>
      <c r="S3871" s="9"/>
      <c r="T3871" s="2"/>
      <c r="U3871" s="9"/>
    </row>
    <row r="3872" spans="2:21" x14ac:dyDescent="0.35">
      <c r="B3872" s="9"/>
      <c r="C3872" s="2"/>
      <c r="D3872" s="2"/>
      <c r="I3872" s="9"/>
      <c r="J3872" s="2"/>
      <c r="L3872" s="9"/>
      <c r="M3872" s="2"/>
      <c r="N3872" s="9"/>
      <c r="P3872" s="3">
        <v>-1756.6514488600001</v>
      </c>
      <c r="S3872" s="9"/>
      <c r="T3872" s="2"/>
      <c r="U3872" s="9"/>
    </row>
    <row r="3873" spans="2:21" x14ac:dyDescent="0.35">
      <c r="B3873" s="9"/>
      <c r="C3873" s="2"/>
      <c r="D3873" s="2"/>
      <c r="I3873" s="9"/>
      <c r="J3873" s="2"/>
      <c r="L3873" s="9"/>
      <c r="M3873" s="2"/>
      <c r="N3873" s="9"/>
      <c r="P3873" s="3">
        <v>-1566.51486886</v>
      </c>
      <c r="S3873" s="9"/>
      <c r="T3873" s="2"/>
      <c r="U3873" s="9"/>
    </row>
    <row r="3874" spans="2:21" x14ac:dyDescent="0.35">
      <c r="B3874" s="9"/>
      <c r="C3874" s="2"/>
      <c r="D3874" s="2"/>
      <c r="I3874" s="9"/>
      <c r="J3874" s="2"/>
      <c r="L3874" s="9"/>
      <c r="M3874" s="2"/>
      <c r="N3874" s="9"/>
      <c r="P3874" s="3">
        <v>-1290.69264886</v>
      </c>
      <c r="S3874" s="9"/>
      <c r="T3874" s="2"/>
      <c r="U3874" s="9"/>
    </row>
    <row r="3875" spans="2:21" x14ac:dyDescent="0.35">
      <c r="B3875" s="9"/>
      <c r="C3875" s="2"/>
      <c r="D3875" s="2"/>
      <c r="I3875" s="9"/>
      <c r="J3875" s="2"/>
      <c r="L3875" s="9"/>
      <c r="M3875" s="2"/>
      <c r="N3875" s="9"/>
      <c r="P3875" s="3">
        <v>-902.32700237999995</v>
      </c>
      <c r="S3875" s="9"/>
      <c r="T3875" s="2"/>
      <c r="U3875" s="9"/>
    </row>
    <row r="3876" spans="2:21" x14ac:dyDescent="0.35">
      <c r="B3876" s="9"/>
      <c r="C3876" s="2"/>
      <c r="D3876" s="2"/>
      <c r="I3876" s="9"/>
      <c r="J3876" s="2"/>
      <c r="L3876" s="9"/>
      <c r="M3876" s="2"/>
      <c r="N3876" s="9"/>
      <c r="P3876" s="3">
        <v>-604.63119589999997</v>
      </c>
      <c r="S3876" s="9"/>
      <c r="T3876" s="2"/>
      <c r="U3876" s="9"/>
    </row>
    <row r="3877" spans="2:21" x14ac:dyDescent="0.35">
      <c r="B3877" s="9"/>
      <c r="C3877" s="2"/>
      <c r="D3877" s="2"/>
      <c r="I3877" s="9"/>
      <c r="J3877" s="2"/>
      <c r="L3877" s="9"/>
      <c r="M3877" s="2"/>
      <c r="N3877" s="9"/>
      <c r="P3877" s="3">
        <v>-941.55001345000005</v>
      </c>
      <c r="S3877" s="9"/>
      <c r="T3877" s="2"/>
      <c r="U3877" s="9"/>
    </row>
    <row r="3878" spans="2:21" x14ac:dyDescent="0.35">
      <c r="B3878" s="9"/>
      <c r="C3878" s="2"/>
      <c r="D3878" s="2"/>
      <c r="I3878" s="9"/>
      <c r="J3878" s="2"/>
      <c r="L3878" s="9"/>
      <c r="M3878" s="2"/>
      <c r="N3878" s="9"/>
      <c r="P3878" s="3">
        <v>-1376.31001345</v>
      </c>
      <c r="S3878" s="9"/>
      <c r="T3878" s="2"/>
      <c r="U3878" s="9"/>
    </row>
    <row r="3879" spans="2:21" x14ac:dyDescent="0.35">
      <c r="B3879" s="9"/>
      <c r="C3879" s="2"/>
      <c r="D3879" s="2"/>
      <c r="I3879" s="9"/>
      <c r="J3879" s="2"/>
      <c r="L3879" s="9"/>
      <c r="M3879" s="2"/>
      <c r="N3879" s="9"/>
      <c r="P3879" s="3">
        <v>-941.55001345000005</v>
      </c>
      <c r="S3879" s="9"/>
      <c r="T3879" s="2"/>
      <c r="U3879" s="9"/>
    </row>
    <row r="3880" spans="2:21" x14ac:dyDescent="0.35">
      <c r="B3880" s="9"/>
      <c r="C3880" s="2"/>
      <c r="D3880" s="2"/>
      <c r="I3880" s="9"/>
      <c r="J3880" s="2"/>
      <c r="L3880" s="9"/>
      <c r="M3880" s="2"/>
      <c r="N3880" s="9"/>
      <c r="P3880" s="3">
        <v>-506.79001345</v>
      </c>
      <c r="S3880" s="9"/>
      <c r="T3880" s="2"/>
      <c r="U3880" s="9"/>
    </row>
    <row r="3881" spans="2:21" x14ac:dyDescent="0.35">
      <c r="B3881" s="9"/>
      <c r="C3881" s="2"/>
      <c r="D3881" s="2"/>
      <c r="I3881" s="9"/>
      <c r="J3881" s="2"/>
      <c r="L3881" s="9"/>
      <c r="M3881" s="2"/>
      <c r="N3881" s="9"/>
      <c r="P3881" s="3">
        <v>-72.030013449999998</v>
      </c>
      <c r="S3881" s="9"/>
      <c r="T3881" s="2"/>
      <c r="U3881" s="9"/>
    </row>
    <row r="3882" spans="2:21" x14ac:dyDescent="0.35">
      <c r="B3882" s="9"/>
      <c r="C3882" s="2"/>
      <c r="D3882" s="2"/>
      <c r="I3882" s="9"/>
      <c r="J3882" s="2"/>
      <c r="L3882" s="9"/>
      <c r="M3882" s="2"/>
      <c r="N3882" s="9"/>
      <c r="P3882" s="3">
        <v>-334.83426823000002</v>
      </c>
      <c r="S3882" s="9"/>
      <c r="T3882" s="2"/>
      <c r="U3882" s="9"/>
    </row>
    <row r="3883" spans="2:21" x14ac:dyDescent="0.35">
      <c r="B3883" s="9"/>
      <c r="C3883" s="2"/>
      <c r="D3883" s="2"/>
      <c r="I3883" s="9"/>
      <c r="J3883" s="2"/>
      <c r="L3883" s="9"/>
      <c r="M3883" s="2"/>
      <c r="N3883" s="9"/>
      <c r="P3883" s="3">
        <v>-769.59426823000001</v>
      </c>
      <c r="S3883" s="9"/>
      <c r="T3883" s="2"/>
      <c r="U3883" s="9"/>
    </row>
    <row r="3884" spans="2:21" x14ac:dyDescent="0.35">
      <c r="B3884" s="9"/>
      <c r="C3884" s="2"/>
      <c r="D3884" s="2"/>
      <c r="I3884" s="9"/>
      <c r="J3884" s="2"/>
      <c r="L3884" s="9"/>
      <c r="M3884" s="2"/>
      <c r="N3884" s="9"/>
      <c r="P3884" s="3">
        <v>-1204.3542682299999</v>
      </c>
      <c r="S3884" s="9"/>
      <c r="T3884" s="2"/>
      <c r="U3884" s="9"/>
    </row>
    <row r="3885" spans="2:21" x14ac:dyDescent="0.35">
      <c r="B3885" s="9"/>
      <c r="C3885" s="2"/>
      <c r="D3885" s="2"/>
      <c r="I3885" s="9"/>
      <c r="J3885" s="2"/>
      <c r="L3885" s="9"/>
      <c r="M3885" s="2"/>
      <c r="N3885" s="9"/>
      <c r="P3885" s="3">
        <v>-1639.1142682300001</v>
      </c>
      <c r="S3885" s="9"/>
      <c r="T3885" s="2"/>
      <c r="U3885" s="9"/>
    </row>
    <row r="3886" spans="2:21" x14ac:dyDescent="0.35">
      <c r="B3886" s="9"/>
      <c r="C3886" s="2"/>
      <c r="D3886" s="2"/>
      <c r="I3886" s="9"/>
      <c r="J3886" s="2"/>
      <c r="L3886" s="9"/>
      <c r="M3886" s="2"/>
      <c r="N3886" s="9"/>
      <c r="P3886" s="3">
        <v>-2073.8742682299999</v>
      </c>
      <c r="S3886" s="9"/>
      <c r="T3886" s="2"/>
      <c r="U3886" s="9"/>
    </row>
    <row r="3887" spans="2:21" x14ac:dyDescent="0.35">
      <c r="B3887" s="9"/>
      <c r="C3887" s="2"/>
      <c r="D3887" s="2"/>
      <c r="I3887" s="9"/>
      <c r="J3887" s="2"/>
      <c r="L3887" s="9"/>
      <c r="M3887" s="2"/>
      <c r="N3887" s="9"/>
      <c r="P3887" s="3">
        <v>-2508.6342682300001</v>
      </c>
      <c r="S3887" s="9"/>
      <c r="T3887" s="2"/>
      <c r="U3887" s="9"/>
    </row>
    <row r="3888" spans="2:21" x14ac:dyDescent="0.35">
      <c r="B3888" s="9"/>
      <c r="C3888" s="2"/>
      <c r="D3888" s="2"/>
      <c r="I3888" s="9"/>
      <c r="J3888" s="2"/>
      <c r="L3888" s="9"/>
      <c r="M3888" s="2"/>
      <c r="N3888" s="9"/>
      <c r="P3888" s="3">
        <v>-2073.8742682299999</v>
      </c>
      <c r="S3888" s="9"/>
      <c r="T3888" s="2"/>
      <c r="U3888" s="9"/>
    </row>
    <row r="3889" spans="2:21" x14ac:dyDescent="0.35">
      <c r="B3889" s="9"/>
      <c r="C3889" s="2"/>
      <c r="D3889" s="2"/>
      <c r="I3889" s="9"/>
      <c r="J3889" s="2"/>
      <c r="L3889" s="9"/>
      <c r="M3889" s="2"/>
      <c r="N3889" s="9"/>
      <c r="P3889" s="3">
        <v>-1639.1142682300001</v>
      </c>
      <c r="S3889" s="9"/>
      <c r="T3889" s="2"/>
      <c r="U3889" s="9"/>
    </row>
    <row r="3890" spans="2:21" x14ac:dyDescent="0.35">
      <c r="B3890" s="9"/>
      <c r="C3890" s="2"/>
      <c r="D3890" s="2"/>
      <c r="I3890" s="9"/>
      <c r="J3890" s="2"/>
      <c r="L3890" s="9"/>
      <c r="M3890" s="2"/>
      <c r="N3890" s="9"/>
      <c r="P3890" s="3">
        <v>-1204.3542682299999</v>
      </c>
      <c r="S3890" s="9"/>
      <c r="T3890" s="2"/>
      <c r="U3890" s="9"/>
    </row>
    <row r="3891" spans="2:21" x14ac:dyDescent="0.35">
      <c r="B3891" s="9"/>
      <c r="C3891" s="2"/>
      <c r="D3891" s="2"/>
      <c r="I3891" s="9"/>
      <c r="J3891" s="2"/>
      <c r="L3891" s="9"/>
      <c r="M3891" s="2"/>
      <c r="N3891" s="9"/>
      <c r="P3891" s="3">
        <v>-1025.3108786</v>
      </c>
      <c r="S3891" s="9"/>
      <c r="T3891" s="2"/>
      <c r="U3891" s="9"/>
    </row>
    <row r="3892" spans="2:21" x14ac:dyDescent="0.35">
      <c r="B3892" s="9"/>
      <c r="C3892" s="2"/>
      <c r="D3892" s="2"/>
      <c r="I3892" s="9"/>
      <c r="J3892" s="2"/>
      <c r="L3892" s="9"/>
      <c r="M3892" s="2"/>
      <c r="N3892" s="9"/>
      <c r="P3892" s="3">
        <v>-868.29944885999998</v>
      </c>
      <c r="S3892" s="9"/>
      <c r="T3892" s="2"/>
      <c r="U3892" s="9"/>
    </row>
    <row r="3893" spans="2:21" x14ac:dyDescent="0.35">
      <c r="B3893" s="9"/>
      <c r="C3893" s="2"/>
      <c r="D3893" s="2"/>
      <c r="I3893" s="9"/>
      <c r="J3893" s="2"/>
      <c r="L3893" s="9"/>
      <c r="M3893" s="2"/>
      <c r="N3893" s="9"/>
      <c r="P3893" s="3">
        <v>-817.30937886000004</v>
      </c>
      <c r="S3893" s="9"/>
      <c r="T3893" s="2"/>
      <c r="U3893" s="9"/>
    </row>
    <row r="3894" spans="2:21" x14ac:dyDescent="0.35">
      <c r="B3894" s="9"/>
      <c r="C3894" s="2"/>
      <c r="D3894" s="2"/>
      <c r="I3894" s="9"/>
      <c r="J3894" s="2"/>
      <c r="L3894" s="9"/>
      <c r="M3894" s="2"/>
      <c r="N3894" s="9"/>
      <c r="P3894" s="3">
        <v>-722.11328886000001</v>
      </c>
      <c r="S3894" s="9"/>
      <c r="T3894" s="2"/>
      <c r="U3894" s="9"/>
    </row>
    <row r="3895" spans="2:21" x14ac:dyDescent="0.35">
      <c r="B3895" s="9"/>
      <c r="C3895" s="2"/>
      <c r="D3895" s="2"/>
      <c r="I3895" s="9"/>
      <c r="J3895" s="2"/>
      <c r="L3895" s="9"/>
      <c r="M3895" s="2"/>
      <c r="N3895" s="9"/>
      <c r="P3895" s="3">
        <v>-663.36930886000005</v>
      </c>
      <c r="S3895" s="9"/>
      <c r="T3895" s="2"/>
      <c r="U3895" s="9"/>
    </row>
    <row r="3896" spans="2:21" x14ac:dyDescent="0.35">
      <c r="B3896" s="9"/>
      <c r="C3896" s="2"/>
      <c r="D3896" s="2"/>
      <c r="I3896" s="9"/>
      <c r="J3896" s="2"/>
      <c r="L3896" s="9"/>
      <c r="M3896" s="2"/>
      <c r="N3896" s="9"/>
      <c r="P3896" s="3">
        <v>-572.29334886000004</v>
      </c>
      <c r="S3896" s="9"/>
      <c r="T3896" s="2"/>
      <c r="U3896" s="9"/>
    </row>
    <row r="3897" spans="2:21" x14ac:dyDescent="0.35">
      <c r="B3897" s="9"/>
      <c r="C3897" s="2"/>
      <c r="D3897" s="2"/>
      <c r="I3897" s="9"/>
      <c r="J3897" s="2"/>
      <c r="L3897" s="9"/>
      <c r="M3897" s="2"/>
      <c r="N3897" s="9"/>
      <c r="P3897" s="3">
        <v>-452.14075886000001</v>
      </c>
      <c r="S3897" s="9"/>
      <c r="T3897" s="2"/>
      <c r="U3897" s="9"/>
    </row>
    <row r="3898" spans="2:21" x14ac:dyDescent="0.35">
      <c r="B3898" s="9"/>
      <c r="C3898" s="2"/>
      <c r="D3898" s="2"/>
      <c r="I3898" s="9"/>
      <c r="J3898" s="2"/>
      <c r="L3898" s="9"/>
      <c r="M3898" s="2"/>
      <c r="N3898" s="9"/>
      <c r="P3898" s="3">
        <v>-311.39816886</v>
      </c>
      <c r="S3898" s="9"/>
      <c r="T3898" s="2"/>
      <c r="U3898" s="9"/>
    </row>
    <row r="3899" spans="2:21" x14ac:dyDescent="0.35">
      <c r="B3899" s="9"/>
      <c r="C3899" s="2"/>
      <c r="D3899" s="2"/>
      <c r="I3899" s="9"/>
      <c r="J3899" s="2"/>
      <c r="L3899" s="9"/>
      <c r="M3899" s="2"/>
      <c r="N3899" s="9"/>
      <c r="P3899" s="3">
        <v>-44.010132380000002</v>
      </c>
      <c r="S3899" s="9"/>
      <c r="T3899" s="2"/>
      <c r="U3899" s="9"/>
    </row>
    <row r="3900" spans="2:21" x14ac:dyDescent="0.35">
      <c r="B3900" s="9"/>
      <c r="C3900" s="2"/>
      <c r="D3900" s="2"/>
      <c r="I3900" s="9"/>
      <c r="J3900" s="2"/>
      <c r="L3900" s="9"/>
      <c r="M3900" s="2"/>
      <c r="N3900" s="9"/>
      <c r="P3900" s="3">
        <v>75.250604100000004</v>
      </c>
      <c r="S3900" s="9"/>
      <c r="T3900" s="2"/>
      <c r="U3900" s="9"/>
    </row>
    <row r="3901" spans="2:21" x14ac:dyDescent="0.35">
      <c r="B3901" s="9"/>
      <c r="C3901" s="2"/>
      <c r="D3901" s="2"/>
      <c r="I3901" s="9"/>
      <c r="J3901" s="2"/>
      <c r="L3901" s="9"/>
      <c r="M3901" s="2"/>
      <c r="N3901" s="9"/>
      <c r="P3901" s="3">
        <v>-359.50939590000002</v>
      </c>
      <c r="S3901" s="9"/>
      <c r="T3901" s="2"/>
      <c r="U3901" s="9"/>
    </row>
    <row r="3902" spans="2:21" x14ac:dyDescent="0.35">
      <c r="B3902" s="9"/>
      <c r="C3902" s="2"/>
      <c r="D3902" s="2"/>
      <c r="I3902" s="9"/>
      <c r="J3902" s="2"/>
      <c r="L3902" s="9"/>
      <c r="M3902" s="2"/>
      <c r="N3902" s="9"/>
      <c r="P3902" s="3">
        <v>-794.26939589999995</v>
      </c>
      <c r="S3902" s="9"/>
      <c r="T3902" s="2"/>
      <c r="U3902" s="9"/>
    </row>
    <row r="3903" spans="2:21" x14ac:dyDescent="0.35">
      <c r="B3903" s="9"/>
      <c r="C3903" s="2"/>
      <c r="D3903" s="2"/>
      <c r="I3903" s="9"/>
      <c r="J3903" s="2"/>
      <c r="L3903" s="9"/>
      <c r="M3903" s="2"/>
      <c r="N3903" s="9"/>
      <c r="P3903" s="3">
        <v>-1229.0293959000001</v>
      </c>
      <c r="S3903" s="9"/>
      <c r="T3903" s="2"/>
      <c r="U3903" s="9"/>
    </row>
    <row r="3904" spans="2:21" x14ac:dyDescent="0.35">
      <c r="B3904" s="9"/>
      <c r="C3904" s="2"/>
      <c r="D3904" s="2"/>
      <c r="I3904" s="9"/>
      <c r="J3904" s="2"/>
      <c r="L3904" s="9"/>
      <c r="M3904" s="2"/>
      <c r="N3904" s="9"/>
      <c r="P3904" s="3">
        <v>-794.26939589999995</v>
      </c>
      <c r="S3904" s="9"/>
      <c r="T3904" s="2"/>
      <c r="U3904" s="9"/>
    </row>
    <row r="3905" spans="2:21" x14ac:dyDescent="0.35">
      <c r="B3905" s="9"/>
      <c r="C3905" s="2"/>
      <c r="D3905" s="2"/>
      <c r="I3905" s="9"/>
      <c r="J3905" s="2"/>
      <c r="L3905" s="9"/>
      <c r="M3905" s="2"/>
      <c r="N3905" s="9"/>
      <c r="P3905" s="3">
        <v>-359.50939590000002</v>
      </c>
      <c r="S3905" s="9"/>
      <c r="T3905" s="2"/>
      <c r="U3905" s="9"/>
    </row>
    <row r="3906" spans="2:21" x14ac:dyDescent="0.35">
      <c r="B3906" s="9"/>
      <c r="C3906" s="2"/>
      <c r="D3906" s="2"/>
      <c r="I3906" s="9"/>
      <c r="J3906" s="2"/>
      <c r="L3906" s="9"/>
      <c r="M3906" s="2"/>
      <c r="N3906" s="9"/>
      <c r="P3906" s="3">
        <v>0</v>
      </c>
      <c r="S3906" s="9"/>
      <c r="T3906" s="2"/>
      <c r="U3906" s="9"/>
    </row>
    <row r="3907" spans="2:21" x14ac:dyDescent="0.35">
      <c r="B3907" s="9"/>
      <c r="C3907" s="2"/>
      <c r="D3907" s="2"/>
      <c r="I3907" s="9"/>
      <c r="J3907" s="2"/>
      <c r="L3907" s="9"/>
      <c r="M3907" s="2"/>
      <c r="N3907" s="9"/>
      <c r="P3907" s="3">
        <v>-251.60949199999999</v>
      </c>
      <c r="S3907" s="9"/>
      <c r="T3907" s="2"/>
      <c r="U3907" s="9"/>
    </row>
    <row r="3908" spans="2:21" x14ac:dyDescent="0.35">
      <c r="B3908" s="9"/>
      <c r="C3908" s="2"/>
      <c r="D3908" s="2"/>
      <c r="I3908" s="9"/>
      <c r="J3908" s="2"/>
      <c r="L3908" s="9"/>
      <c r="M3908" s="2"/>
      <c r="N3908" s="9"/>
      <c r="P3908" s="3">
        <v>-686.36949200000004</v>
      </c>
      <c r="S3908" s="9"/>
      <c r="T3908" s="2"/>
      <c r="U3908" s="9"/>
    </row>
    <row r="3909" spans="2:21" x14ac:dyDescent="0.35">
      <c r="B3909" s="9"/>
      <c r="C3909" s="2"/>
      <c r="D3909" s="2"/>
      <c r="I3909" s="9"/>
      <c r="J3909" s="2"/>
      <c r="L3909" s="9"/>
      <c r="M3909" s="2"/>
      <c r="N3909" s="9"/>
      <c r="P3909" s="3">
        <v>-1121.129492</v>
      </c>
      <c r="S3909" s="9"/>
      <c r="T3909" s="2"/>
      <c r="U3909" s="9"/>
    </row>
    <row r="3910" spans="2:21" x14ac:dyDescent="0.35">
      <c r="B3910" s="9"/>
      <c r="C3910" s="2"/>
      <c r="D3910" s="2"/>
      <c r="I3910" s="9"/>
      <c r="J3910" s="2"/>
      <c r="L3910" s="9"/>
      <c r="M3910" s="2"/>
      <c r="N3910" s="9"/>
      <c r="P3910" s="3">
        <v>-1555.889492</v>
      </c>
      <c r="S3910" s="9"/>
      <c r="T3910" s="2"/>
      <c r="U3910" s="9"/>
    </row>
    <row r="3911" spans="2:21" x14ac:dyDescent="0.35">
      <c r="B3911" s="9"/>
      <c r="C3911" s="2"/>
      <c r="D3911" s="2"/>
      <c r="I3911" s="9"/>
      <c r="J3911" s="2"/>
      <c r="L3911" s="9"/>
      <c r="M3911" s="2"/>
      <c r="N3911" s="9"/>
      <c r="P3911" s="3">
        <v>-1990.649492</v>
      </c>
      <c r="S3911" s="9"/>
      <c r="T3911" s="2"/>
      <c r="U3911" s="9"/>
    </row>
    <row r="3912" spans="2:21" x14ac:dyDescent="0.35">
      <c r="B3912" s="9"/>
      <c r="C3912" s="2"/>
      <c r="D3912" s="2"/>
      <c r="I3912" s="9"/>
      <c r="J3912" s="2"/>
      <c r="L3912" s="9"/>
      <c r="M3912" s="2"/>
      <c r="N3912" s="9"/>
      <c r="P3912" s="3">
        <v>-2425.4094919999998</v>
      </c>
      <c r="S3912" s="9"/>
      <c r="T3912" s="2"/>
      <c r="U3912" s="9"/>
    </row>
    <row r="3913" spans="2:21" x14ac:dyDescent="0.35">
      <c r="B3913" s="9"/>
      <c r="C3913" s="2"/>
      <c r="D3913" s="2"/>
      <c r="I3913" s="9"/>
      <c r="J3913" s="2"/>
      <c r="L3913" s="9"/>
      <c r="M3913" s="2"/>
      <c r="N3913" s="9"/>
      <c r="P3913" s="3">
        <v>-2860.169492</v>
      </c>
      <c r="S3913" s="9"/>
      <c r="T3913" s="2"/>
      <c r="U3913" s="9"/>
    </row>
    <row r="3914" spans="2:21" x14ac:dyDescent="0.35">
      <c r="B3914" s="9"/>
      <c r="C3914" s="2"/>
      <c r="D3914" s="2"/>
      <c r="I3914" s="9"/>
      <c r="J3914" s="2"/>
      <c r="L3914" s="9"/>
      <c r="M3914" s="2"/>
      <c r="N3914" s="9"/>
      <c r="P3914" s="3">
        <v>-2860.169492</v>
      </c>
      <c r="S3914" s="9"/>
      <c r="T3914" s="2"/>
      <c r="U3914" s="9"/>
    </row>
    <row r="3915" spans="2:21" x14ac:dyDescent="0.35">
      <c r="B3915" s="9"/>
      <c r="C3915" s="2"/>
      <c r="D3915" s="2"/>
      <c r="I3915" s="9"/>
      <c r="J3915" s="2"/>
      <c r="L3915" s="9"/>
      <c r="M3915" s="2"/>
      <c r="N3915" s="9"/>
      <c r="P3915" s="3">
        <v>-2860.169492</v>
      </c>
      <c r="S3915" s="9"/>
      <c r="T3915" s="2"/>
      <c r="U3915" s="9"/>
    </row>
    <row r="3916" spans="2:21" x14ac:dyDescent="0.35">
      <c r="B3916" s="9"/>
      <c r="C3916" s="2"/>
      <c r="D3916" s="2"/>
      <c r="I3916" s="9"/>
      <c r="J3916" s="2"/>
      <c r="L3916" s="9"/>
      <c r="M3916" s="2"/>
      <c r="N3916" s="9"/>
      <c r="P3916" s="3">
        <v>-2555.5981588599998</v>
      </c>
      <c r="S3916" s="9"/>
      <c r="T3916" s="2"/>
      <c r="U3916" s="9"/>
    </row>
    <row r="3917" spans="2:21" x14ac:dyDescent="0.35">
      <c r="B3917" s="9"/>
      <c r="C3917" s="2"/>
      <c r="D3917" s="2"/>
      <c r="I3917" s="9"/>
      <c r="J3917" s="2"/>
      <c r="L3917" s="9"/>
      <c r="M3917" s="2"/>
      <c r="N3917" s="9"/>
      <c r="P3917" s="3">
        <v>-2120.83815886</v>
      </c>
      <c r="S3917" s="9"/>
      <c r="T3917" s="2"/>
      <c r="U3917" s="9"/>
    </row>
    <row r="3918" spans="2:21" x14ac:dyDescent="0.35">
      <c r="B3918" s="9"/>
      <c r="C3918" s="2"/>
      <c r="D3918" s="2"/>
      <c r="I3918" s="9"/>
      <c r="J3918" s="2"/>
      <c r="L3918" s="9"/>
      <c r="M3918" s="2"/>
      <c r="N3918" s="9"/>
      <c r="P3918" s="3">
        <v>-1686.07815886</v>
      </c>
      <c r="S3918" s="9"/>
      <c r="T3918" s="2"/>
      <c r="U3918" s="9"/>
    </row>
    <row r="3919" spans="2:21" x14ac:dyDescent="0.35">
      <c r="B3919" s="9"/>
      <c r="C3919" s="2"/>
      <c r="D3919" s="2"/>
      <c r="I3919" s="9"/>
      <c r="J3919" s="2"/>
      <c r="L3919" s="9"/>
      <c r="M3919" s="2"/>
      <c r="N3919" s="9"/>
      <c r="P3919" s="3">
        <v>-1552.11606886</v>
      </c>
      <c r="S3919" s="9"/>
      <c r="T3919" s="2"/>
      <c r="U3919" s="9"/>
    </row>
    <row r="3920" spans="2:21" x14ac:dyDescent="0.35">
      <c r="B3920" s="9"/>
      <c r="C3920" s="2"/>
      <c r="D3920" s="2"/>
      <c r="I3920" s="9"/>
      <c r="J3920" s="2"/>
      <c r="L3920" s="9"/>
      <c r="M3920" s="2"/>
      <c r="N3920" s="9"/>
      <c r="P3920" s="3">
        <v>-1516.98881886</v>
      </c>
      <c r="S3920" s="9"/>
      <c r="T3920" s="2"/>
      <c r="U3920" s="9"/>
    </row>
    <row r="3921" spans="2:21" x14ac:dyDescent="0.35">
      <c r="B3921" s="9"/>
      <c r="C3921" s="2"/>
      <c r="D3921" s="2"/>
      <c r="I3921" s="9"/>
      <c r="J3921" s="2"/>
      <c r="L3921" s="9"/>
      <c r="M3921" s="2"/>
      <c r="N3921" s="9"/>
      <c r="P3921" s="3">
        <v>-1438.70705886</v>
      </c>
      <c r="S3921" s="9"/>
      <c r="T3921" s="2"/>
      <c r="U3921" s="9"/>
    </row>
    <row r="3922" spans="2:21" x14ac:dyDescent="0.35">
      <c r="B3922" s="9"/>
      <c r="C3922" s="2"/>
      <c r="D3922" s="2"/>
      <c r="I3922" s="9"/>
      <c r="J3922" s="2"/>
      <c r="L3922" s="9"/>
      <c r="M3922" s="2"/>
      <c r="N3922" s="9"/>
      <c r="P3922" s="3">
        <v>-1360.5594888600001</v>
      </c>
      <c r="S3922" s="9"/>
      <c r="T3922" s="2"/>
      <c r="U3922" s="9"/>
    </row>
    <row r="3923" spans="2:21" x14ac:dyDescent="0.35">
      <c r="B3923" s="9"/>
      <c r="C3923" s="2"/>
      <c r="D3923" s="2"/>
      <c r="I3923" s="9"/>
      <c r="J3923" s="2"/>
      <c r="L3923" s="9"/>
      <c r="M3923" s="2"/>
      <c r="N3923" s="9"/>
      <c r="P3923" s="3">
        <v>-1144.27938238</v>
      </c>
      <c r="S3923" s="9"/>
      <c r="T3923" s="2"/>
      <c r="U3923" s="9"/>
    </row>
    <row r="3924" spans="2:21" x14ac:dyDescent="0.35">
      <c r="B3924" s="9"/>
      <c r="C3924" s="2"/>
      <c r="D3924" s="2"/>
      <c r="I3924" s="9"/>
      <c r="J3924" s="2"/>
      <c r="L3924" s="9"/>
      <c r="M3924" s="2"/>
      <c r="N3924" s="9"/>
      <c r="P3924" s="3">
        <v>-1080.7813358999999</v>
      </c>
      <c r="S3924" s="9"/>
      <c r="T3924" s="2"/>
      <c r="U3924" s="9"/>
    </row>
    <row r="3925" spans="2:21" x14ac:dyDescent="0.35">
      <c r="B3925" s="9"/>
      <c r="C3925" s="2"/>
      <c r="D3925" s="2"/>
      <c r="I3925" s="9"/>
      <c r="J3925" s="2"/>
      <c r="L3925" s="9"/>
      <c r="M3925" s="2"/>
      <c r="N3925" s="9"/>
      <c r="P3925" s="3">
        <v>-1515.5413358999999</v>
      </c>
      <c r="S3925" s="9"/>
      <c r="T3925" s="2"/>
      <c r="U3925" s="9"/>
    </row>
    <row r="3926" spans="2:21" x14ac:dyDescent="0.35">
      <c r="B3926" s="9"/>
      <c r="C3926" s="2"/>
      <c r="D3926" s="2"/>
      <c r="I3926" s="9"/>
      <c r="J3926" s="2"/>
      <c r="L3926" s="9"/>
      <c r="M3926" s="2"/>
      <c r="N3926" s="9"/>
      <c r="P3926" s="3">
        <v>-1950.3013358999999</v>
      </c>
      <c r="S3926" s="9"/>
      <c r="T3926" s="2"/>
      <c r="U3926" s="9"/>
    </row>
    <row r="3927" spans="2:21" x14ac:dyDescent="0.35">
      <c r="B3927" s="9"/>
      <c r="C3927" s="2"/>
      <c r="D3927" s="2"/>
      <c r="I3927" s="9"/>
      <c r="J3927" s="2"/>
      <c r="L3927" s="9"/>
      <c r="M3927" s="2"/>
      <c r="N3927" s="9"/>
      <c r="P3927" s="3">
        <v>-1515.5413358999999</v>
      </c>
      <c r="S3927" s="9"/>
      <c r="T3927" s="2"/>
      <c r="U3927" s="9"/>
    </row>
    <row r="3928" spans="2:21" x14ac:dyDescent="0.35">
      <c r="B3928" s="9"/>
      <c r="C3928" s="2"/>
      <c r="D3928" s="2"/>
      <c r="I3928" s="9"/>
      <c r="J3928" s="2"/>
      <c r="L3928" s="9"/>
      <c r="M3928" s="2"/>
      <c r="N3928" s="9"/>
      <c r="P3928" s="3">
        <v>-1080.7813358999999</v>
      </c>
      <c r="S3928" s="9"/>
      <c r="T3928" s="2"/>
      <c r="U3928" s="9"/>
    </row>
    <row r="3929" spans="2:21" x14ac:dyDescent="0.35">
      <c r="B3929" s="9"/>
      <c r="C3929" s="2"/>
      <c r="D3929" s="2"/>
      <c r="I3929" s="9"/>
      <c r="J3929" s="2"/>
      <c r="L3929" s="9"/>
      <c r="M3929" s="2"/>
      <c r="N3929" s="9"/>
      <c r="P3929" s="3">
        <v>-646.02133590000005</v>
      </c>
      <c r="S3929" s="9"/>
      <c r="T3929" s="2"/>
      <c r="U3929" s="9"/>
    </row>
    <row r="3930" spans="2:21" x14ac:dyDescent="0.35">
      <c r="B3930" s="9"/>
      <c r="C3930" s="2"/>
      <c r="D3930" s="2"/>
      <c r="I3930" s="9"/>
      <c r="J3930" s="2"/>
      <c r="L3930" s="9"/>
      <c r="M3930" s="2"/>
      <c r="N3930" s="9"/>
      <c r="P3930" s="3">
        <v>-211.26133590000001</v>
      </c>
      <c r="S3930" s="9"/>
      <c r="T3930" s="2"/>
      <c r="U3930" s="9"/>
    </row>
    <row r="3931" spans="2:21" x14ac:dyDescent="0.35">
      <c r="B3931" s="9"/>
      <c r="C3931" s="2"/>
      <c r="D3931" s="2"/>
      <c r="I3931" s="9"/>
      <c r="J3931" s="2"/>
      <c r="L3931" s="9"/>
      <c r="M3931" s="2"/>
      <c r="N3931" s="9"/>
      <c r="P3931" s="3">
        <v>0</v>
      </c>
      <c r="S3931" s="9"/>
      <c r="T3931" s="2"/>
      <c r="U3931" s="9"/>
    </row>
    <row r="3932" spans="2:21" x14ac:dyDescent="0.35">
      <c r="B3932" s="9"/>
      <c r="C3932" s="2"/>
      <c r="D3932" s="2"/>
      <c r="I3932" s="9"/>
      <c r="J3932" s="2"/>
      <c r="L3932" s="9"/>
      <c r="M3932" s="2"/>
      <c r="N3932" s="9"/>
      <c r="P3932" s="3">
        <v>0</v>
      </c>
      <c r="S3932" s="9"/>
      <c r="T3932" s="2"/>
      <c r="U3932" s="9"/>
    </row>
    <row r="3933" spans="2:21" x14ac:dyDescent="0.35">
      <c r="B3933" s="9"/>
      <c r="C3933" s="2"/>
      <c r="D3933" s="2"/>
      <c r="I3933" s="9"/>
      <c r="J3933" s="2"/>
      <c r="L3933" s="9"/>
      <c r="M3933" s="2"/>
      <c r="N3933" s="9"/>
      <c r="P3933" s="3">
        <v>0</v>
      </c>
      <c r="S3933" s="9"/>
      <c r="T3933" s="2"/>
      <c r="U3933" s="9"/>
    </row>
    <row r="3934" spans="2:21" x14ac:dyDescent="0.35">
      <c r="B3934" s="9"/>
      <c r="C3934" s="2"/>
      <c r="D3934" s="2"/>
      <c r="I3934" s="9"/>
      <c r="J3934" s="2"/>
      <c r="L3934" s="9"/>
      <c r="M3934" s="2"/>
      <c r="N3934" s="9"/>
      <c r="P3934" s="3">
        <v>0</v>
      </c>
      <c r="S3934" s="9"/>
      <c r="T3934" s="2"/>
      <c r="U3934" s="9"/>
    </row>
    <row r="3935" spans="2:21" x14ac:dyDescent="0.35">
      <c r="B3935" s="9"/>
      <c r="C3935" s="2"/>
      <c r="D3935" s="2"/>
      <c r="I3935" s="9"/>
      <c r="J3935" s="2"/>
      <c r="L3935" s="9"/>
      <c r="M3935" s="2"/>
      <c r="N3935" s="9"/>
      <c r="P3935" s="3">
        <v>-407.61718860000002</v>
      </c>
      <c r="S3935" s="9"/>
      <c r="T3935" s="2"/>
      <c r="U3935" s="9"/>
    </row>
    <row r="3936" spans="2:21" x14ac:dyDescent="0.35">
      <c r="B3936" s="9"/>
      <c r="C3936" s="2"/>
      <c r="D3936" s="2"/>
      <c r="I3936" s="9"/>
      <c r="J3936" s="2"/>
      <c r="L3936" s="9"/>
      <c r="M3936" s="2"/>
      <c r="N3936" s="9"/>
      <c r="P3936" s="3">
        <v>-842.37718859999995</v>
      </c>
      <c r="S3936" s="9"/>
      <c r="T3936" s="2"/>
      <c r="U3936" s="9"/>
    </row>
    <row r="3937" spans="2:21" x14ac:dyDescent="0.35">
      <c r="B3937" s="9"/>
      <c r="C3937" s="2"/>
      <c r="D3937" s="2"/>
      <c r="I3937" s="9"/>
      <c r="J3937" s="2"/>
      <c r="L3937" s="9"/>
      <c r="M3937" s="2"/>
      <c r="N3937" s="9"/>
      <c r="P3937" s="3">
        <v>-1277.1371885999999</v>
      </c>
      <c r="S3937" s="9"/>
      <c r="T3937" s="2"/>
      <c r="U3937" s="9"/>
    </row>
    <row r="3938" spans="2:21" x14ac:dyDescent="0.35">
      <c r="B3938" s="9"/>
      <c r="C3938" s="2"/>
      <c r="D3938" s="2"/>
      <c r="I3938" s="9"/>
      <c r="J3938" s="2"/>
      <c r="L3938" s="9"/>
      <c r="M3938" s="2"/>
      <c r="N3938" s="9"/>
      <c r="P3938" s="3">
        <v>-1711.8971885999999</v>
      </c>
      <c r="S3938" s="9"/>
      <c r="T3938" s="2"/>
      <c r="U3938" s="9"/>
    </row>
    <row r="3939" spans="2:21" x14ac:dyDescent="0.35">
      <c r="B3939" s="9"/>
      <c r="C3939" s="2"/>
      <c r="D3939" s="2"/>
      <c r="I3939" s="9"/>
      <c r="J3939" s="2"/>
      <c r="L3939" s="9"/>
      <c r="M3939" s="2"/>
      <c r="N3939" s="9"/>
      <c r="P3939" s="3">
        <v>-2146.6571886000002</v>
      </c>
      <c r="S3939" s="9"/>
      <c r="T3939" s="2"/>
      <c r="U3939" s="9"/>
    </row>
    <row r="3940" spans="2:21" x14ac:dyDescent="0.35">
      <c r="B3940" s="9"/>
      <c r="C3940" s="2"/>
      <c r="D3940" s="2"/>
      <c r="I3940" s="9"/>
      <c r="J3940" s="2"/>
      <c r="L3940" s="9"/>
      <c r="M3940" s="2"/>
      <c r="N3940" s="9"/>
      <c r="P3940" s="3">
        <v>-1724.24846886</v>
      </c>
      <c r="S3940" s="9"/>
      <c r="T3940" s="2"/>
      <c r="U3940" s="9"/>
    </row>
    <row r="3941" spans="2:21" x14ac:dyDescent="0.35">
      <c r="B3941" s="9"/>
      <c r="C3941" s="2"/>
      <c r="D3941" s="2"/>
      <c r="I3941" s="9"/>
      <c r="J3941" s="2"/>
      <c r="L3941" s="9"/>
      <c r="M3941" s="2"/>
      <c r="N3941" s="9"/>
      <c r="P3941" s="3">
        <v>-1645.52934886</v>
      </c>
      <c r="S3941" s="9"/>
      <c r="T3941" s="2"/>
      <c r="U3941" s="9"/>
    </row>
    <row r="3942" spans="2:21" x14ac:dyDescent="0.35">
      <c r="B3942" s="9"/>
      <c r="C3942" s="2"/>
      <c r="D3942" s="2"/>
      <c r="I3942" s="9"/>
      <c r="J3942" s="2"/>
      <c r="L3942" s="9"/>
      <c r="M3942" s="2"/>
      <c r="N3942" s="9"/>
      <c r="P3942" s="3">
        <v>-1458.88454886</v>
      </c>
      <c r="S3942" s="9"/>
      <c r="T3942" s="2"/>
      <c r="U3942" s="9"/>
    </row>
    <row r="3943" spans="2:21" x14ac:dyDescent="0.35">
      <c r="B3943" s="9"/>
      <c r="C3943" s="2"/>
      <c r="D3943" s="2"/>
      <c r="I3943" s="9"/>
      <c r="J3943" s="2"/>
      <c r="L3943" s="9"/>
      <c r="M3943" s="2"/>
      <c r="N3943" s="9"/>
      <c r="P3943" s="3">
        <v>-1491.19309886</v>
      </c>
      <c r="S3943" s="9"/>
      <c r="T3943" s="2"/>
      <c r="U3943" s="9"/>
    </row>
    <row r="3944" spans="2:21" x14ac:dyDescent="0.35">
      <c r="B3944" s="9"/>
      <c r="C3944" s="2"/>
      <c r="D3944" s="2"/>
      <c r="I3944" s="9"/>
      <c r="J3944" s="2"/>
      <c r="L3944" s="9"/>
      <c r="M3944" s="2"/>
      <c r="N3944" s="9"/>
      <c r="P3944" s="3">
        <v>-1596.5833688600001</v>
      </c>
      <c r="S3944" s="9"/>
      <c r="T3944" s="2"/>
      <c r="U3944" s="9"/>
    </row>
    <row r="3945" spans="2:21" x14ac:dyDescent="0.35">
      <c r="B3945" s="9"/>
      <c r="C3945" s="2"/>
      <c r="D3945" s="2"/>
      <c r="I3945" s="9"/>
      <c r="J3945" s="2"/>
      <c r="L3945" s="9"/>
      <c r="M3945" s="2"/>
      <c r="N3945" s="9"/>
      <c r="P3945" s="3">
        <v>-1759.5688388599999</v>
      </c>
      <c r="S3945" s="9"/>
      <c r="T3945" s="2"/>
      <c r="U3945" s="9"/>
    </row>
    <row r="3946" spans="2:21" x14ac:dyDescent="0.35">
      <c r="B3946" s="9"/>
      <c r="C3946" s="2"/>
      <c r="D3946" s="2"/>
      <c r="I3946" s="9"/>
      <c r="J3946" s="2"/>
      <c r="L3946" s="9"/>
      <c r="M3946" s="2"/>
      <c r="N3946" s="9"/>
      <c r="P3946" s="3">
        <v>-1904.8738888600001</v>
      </c>
      <c r="S3946" s="9"/>
      <c r="T3946" s="2"/>
      <c r="U3946" s="9"/>
    </row>
    <row r="3947" spans="2:21" x14ac:dyDescent="0.35">
      <c r="B3947" s="9"/>
      <c r="C3947" s="2"/>
      <c r="D3947" s="2"/>
      <c r="I3947" s="9"/>
      <c r="J3947" s="2"/>
      <c r="L3947" s="9"/>
      <c r="M3947" s="2"/>
      <c r="N3947" s="9"/>
      <c r="P3947" s="3">
        <v>-1818.4960923799999</v>
      </c>
      <c r="S3947" s="9"/>
      <c r="T3947" s="2"/>
      <c r="U3947" s="9"/>
    </row>
    <row r="3948" spans="2:21" x14ac:dyDescent="0.35">
      <c r="B3948" s="9"/>
      <c r="C3948" s="2"/>
      <c r="D3948" s="2"/>
      <c r="I3948" s="9"/>
      <c r="J3948" s="2"/>
      <c r="L3948" s="9"/>
      <c r="M3948" s="2"/>
      <c r="N3948" s="9"/>
      <c r="P3948" s="3">
        <v>-1790.2601959000001</v>
      </c>
      <c r="S3948" s="9"/>
      <c r="T3948" s="2"/>
      <c r="U3948" s="9"/>
    </row>
    <row r="3949" spans="2:21" x14ac:dyDescent="0.35">
      <c r="B3949" s="9"/>
      <c r="C3949" s="2"/>
      <c r="D3949" s="2"/>
      <c r="I3949" s="9"/>
      <c r="J3949" s="2"/>
      <c r="L3949" s="9"/>
      <c r="M3949" s="2"/>
      <c r="N3949" s="9"/>
      <c r="P3949" s="3">
        <v>-2208.2780534499998</v>
      </c>
      <c r="S3949" s="9"/>
      <c r="T3949" s="2"/>
      <c r="U3949" s="9"/>
    </row>
    <row r="3950" spans="2:21" x14ac:dyDescent="0.35">
      <c r="B3950" s="9"/>
      <c r="C3950" s="2"/>
      <c r="D3950" s="2"/>
      <c r="I3950" s="9"/>
      <c r="J3950" s="2"/>
      <c r="L3950" s="9"/>
      <c r="M3950" s="2"/>
      <c r="N3950" s="9"/>
      <c r="P3950" s="3">
        <v>-1773.51805345</v>
      </c>
      <c r="S3950" s="9"/>
      <c r="T3950" s="2"/>
      <c r="U3950" s="9"/>
    </row>
    <row r="3951" spans="2:21" x14ac:dyDescent="0.35">
      <c r="B3951" s="9"/>
      <c r="C3951" s="2"/>
      <c r="D3951" s="2"/>
      <c r="I3951" s="9"/>
      <c r="J3951" s="2"/>
      <c r="L3951" s="9"/>
      <c r="M3951" s="2"/>
      <c r="N3951" s="9"/>
      <c r="P3951" s="3">
        <v>-1338.75805345</v>
      </c>
      <c r="S3951" s="9"/>
      <c r="T3951" s="2"/>
      <c r="U3951" s="9"/>
    </row>
    <row r="3952" spans="2:21" x14ac:dyDescent="0.35">
      <c r="B3952" s="9"/>
      <c r="C3952" s="2"/>
      <c r="D3952" s="2"/>
      <c r="I3952" s="9"/>
      <c r="J3952" s="2"/>
      <c r="L3952" s="9"/>
      <c r="M3952" s="2"/>
      <c r="N3952" s="9"/>
      <c r="P3952" s="3">
        <v>-903.99805345000004</v>
      </c>
      <c r="S3952" s="9"/>
      <c r="T3952" s="2"/>
      <c r="U3952" s="9"/>
    </row>
    <row r="3953" spans="2:21" x14ac:dyDescent="0.35">
      <c r="B3953" s="9"/>
      <c r="C3953" s="2"/>
      <c r="D3953" s="2"/>
      <c r="I3953" s="9"/>
      <c r="J3953" s="2"/>
      <c r="L3953" s="9"/>
      <c r="M3953" s="2"/>
      <c r="N3953" s="9"/>
      <c r="P3953" s="3">
        <v>-469.23805345</v>
      </c>
      <c r="S3953" s="9"/>
      <c r="T3953" s="2"/>
      <c r="U3953" s="9"/>
    </row>
    <row r="3954" spans="2:21" x14ac:dyDescent="0.35">
      <c r="B3954" s="9"/>
      <c r="C3954" s="2"/>
      <c r="D3954" s="2"/>
      <c r="I3954" s="9"/>
      <c r="J3954" s="2"/>
      <c r="L3954" s="9"/>
      <c r="M3954" s="2"/>
      <c r="N3954" s="9"/>
      <c r="P3954" s="3">
        <v>-34.478053449999997</v>
      </c>
      <c r="S3954" s="9"/>
      <c r="T3954" s="2"/>
      <c r="U3954" s="9"/>
    </row>
    <row r="3955" spans="2:21" x14ac:dyDescent="0.35">
      <c r="B3955" s="9"/>
      <c r="C3955" s="2"/>
      <c r="D3955" s="2"/>
      <c r="I3955" s="9"/>
      <c r="J3955" s="2"/>
      <c r="L3955" s="9"/>
      <c r="M3955" s="2"/>
      <c r="N3955" s="9"/>
      <c r="P3955" s="3">
        <v>0</v>
      </c>
      <c r="S3955" s="9"/>
      <c r="T3955" s="2"/>
      <c r="U3955" s="9"/>
    </row>
    <row r="3956" spans="2:21" x14ac:dyDescent="0.35">
      <c r="B3956" s="9"/>
      <c r="C3956" s="2"/>
      <c r="D3956" s="2"/>
      <c r="I3956" s="9"/>
      <c r="J3956" s="2"/>
      <c r="L3956" s="9"/>
      <c r="M3956" s="2"/>
      <c r="N3956" s="9"/>
      <c r="P3956" s="3">
        <v>0</v>
      </c>
      <c r="S3956" s="9"/>
      <c r="T3956" s="2"/>
      <c r="U3956" s="9"/>
    </row>
    <row r="3957" spans="2:21" x14ac:dyDescent="0.35">
      <c r="B3957" s="9"/>
      <c r="C3957" s="2"/>
      <c r="D3957" s="2"/>
      <c r="I3957" s="9"/>
      <c r="J3957" s="2"/>
      <c r="L3957" s="9"/>
      <c r="M3957" s="2"/>
      <c r="N3957" s="9"/>
      <c r="P3957" s="3">
        <v>0</v>
      </c>
      <c r="S3957" s="9"/>
      <c r="T3957" s="2"/>
      <c r="U3957" s="9"/>
    </row>
    <row r="3958" spans="2:21" x14ac:dyDescent="0.35">
      <c r="B3958" s="9"/>
      <c r="C3958" s="2"/>
      <c r="D3958" s="2"/>
      <c r="I3958" s="9"/>
      <c r="J3958" s="2"/>
      <c r="L3958" s="9"/>
      <c r="M3958" s="2"/>
      <c r="N3958" s="9"/>
      <c r="P3958" s="3">
        <v>0</v>
      </c>
      <c r="S3958" s="9"/>
      <c r="T3958" s="2"/>
      <c r="U3958" s="9"/>
    </row>
    <row r="3959" spans="2:21" x14ac:dyDescent="0.35">
      <c r="B3959" s="9"/>
      <c r="C3959" s="2"/>
      <c r="D3959" s="2"/>
      <c r="I3959" s="9"/>
      <c r="J3959" s="2"/>
      <c r="L3959" s="9"/>
      <c r="M3959" s="2"/>
      <c r="N3959" s="9"/>
      <c r="P3959" s="3">
        <v>0</v>
      </c>
      <c r="S3959" s="9"/>
      <c r="T3959" s="2"/>
      <c r="U3959" s="9"/>
    </row>
    <row r="3960" spans="2:21" x14ac:dyDescent="0.35">
      <c r="B3960" s="9"/>
      <c r="C3960" s="2"/>
      <c r="D3960" s="2"/>
      <c r="I3960" s="9"/>
      <c r="J3960" s="2"/>
      <c r="L3960" s="9"/>
      <c r="M3960" s="2"/>
      <c r="N3960" s="9"/>
      <c r="P3960" s="3">
        <v>0</v>
      </c>
      <c r="S3960" s="9"/>
      <c r="T3960" s="2"/>
      <c r="U3960" s="9"/>
    </row>
    <row r="3961" spans="2:21" x14ac:dyDescent="0.35">
      <c r="B3961" s="9"/>
      <c r="C3961" s="2"/>
      <c r="D3961" s="2"/>
      <c r="I3961" s="9"/>
      <c r="J3961" s="2"/>
      <c r="L3961" s="9"/>
      <c r="M3961" s="2"/>
      <c r="N3961" s="9"/>
      <c r="P3961" s="3">
        <v>0</v>
      </c>
      <c r="S3961" s="9"/>
      <c r="T3961" s="2"/>
      <c r="U3961" s="9"/>
    </row>
    <row r="3962" spans="2:21" x14ac:dyDescent="0.35">
      <c r="B3962" s="9"/>
      <c r="C3962" s="2"/>
      <c r="D3962" s="2"/>
      <c r="I3962" s="9"/>
      <c r="J3962" s="2"/>
      <c r="L3962" s="9"/>
      <c r="M3962" s="2"/>
      <c r="N3962" s="9"/>
      <c r="P3962" s="3">
        <v>-104.94611988</v>
      </c>
      <c r="S3962" s="9"/>
      <c r="T3962" s="2"/>
      <c r="U3962" s="9"/>
    </row>
    <row r="3963" spans="2:21" x14ac:dyDescent="0.35">
      <c r="B3963" s="9"/>
      <c r="C3963" s="2"/>
      <c r="D3963" s="2"/>
      <c r="I3963" s="9"/>
      <c r="J3963" s="2"/>
      <c r="L3963" s="9"/>
      <c r="M3963" s="2"/>
      <c r="N3963" s="9"/>
      <c r="P3963" s="3">
        <v>-539.70611987999996</v>
      </c>
      <c r="S3963" s="9"/>
      <c r="T3963" s="2"/>
      <c r="U3963" s="9"/>
    </row>
    <row r="3964" spans="2:21" x14ac:dyDescent="0.35">
      <c r="B3964" s="9"/>
      <c r="C3964" s="2"/>
      <c r="D3964" s="2"/>
      <c r="I3964" s="9"/>
      <c r="J3964" s="2"/>
      <c r="L3964" s="9"/>
      <c r="M3964" s="2"/>
      <c r="N3964" s="9"/>
      <c r="P3964" s="3">
        <v>-974.46611987999995</v>
      </c>
      <c r="S3964" s="9"/>
      <c r="T3964" s="2"/>
      <c r="U3964" s="9"/>
    </row>
    <row r="3965" spans="2:21" x14ac:dyDescent="0.35">
      <c r="B3965" s="9"/>
      <c r="C3965" s="2"/>
      <c r="D3965" s="2"/>
      <c r="I3965" s="9"/>
      <c r="J3965" s="2"/>
      <c r="L3965" s="9"/>
      <c r="M3965" s="2"/>
      <c r="N3965" s="9"/>
      <c r="P3965" s="3">
        <v>-1292.44279886</v>
      </c>
      <c r="S3965" s="9"/>
      <c r="T3965" s="2"/>
      <c r="U3965" s="9"/>
    </row>
    <row r="3966" spans="2:21" x14ac:dyDescent="0.35">
      <c r="B3966" s="9"/>
      <c r="C3966" s="2"/>
      <c r="D3966" s="2"/>
      <c r="I3966" s="9"/>
      <c r="J3966" s="2"/>
      <c r="L3966" s="9"/>
      <c r="M3966" s="2"/>
      <c r="N3966" s="9"/>
      <c r="P3966" s="3">
        <v>-857.68279886000005</v>
      </c>
      <c r="S3966" s="9"/>
      <c r="T3966" s="2"/>
      <c r="U3966" s="9"/>
    </row>
    <row r="3967" spans="2:21" x14ac:dyDescent="0.35">
      <c r="B3967" s="9"/>
      <c r="C3967" s="2"/>
      <c r="D3967" s="2"/>
      <c r="I3967" s="9"/>
      <c r="J3967" s="2"/>
      <c r="L3967" s="9"/>
      <c r="M3967" s="2"/>
      <c r="N3967" s="9"/>
      <c r="P3967" s="3">
        <v>-422.92279886</v>
      </c>
      <c r="S3967" s="9"/>
      <c r="T3967" s="2"/>
      <c r="U3967" s="9"/>
    </row>
    <row r="3968" spans="2:21" x14ac:dyDescent="0.35">
      <c r="B3968" s="9"/>
      <c r="C3968" s="2"/>
      <c r="D3968" s="2"/>
      <c r="I3968" s="9"/>
      <c r="J3968" s="2"/>
      <c r="L3968" s="9"/>
      <c r="M3968" s="2"/>
      <c r="N3968" s="9"/>
      <c r="P3968" s="3">
        <v>0</v>
      </c>
      <c r="S3968" s="9"/>
      <c r="T3968" s="2"/>
      <c r="U3968" s="9"/>
    </row>
    <row r="3969" spans="2:21" x14ac:dyDescent="0.35">
      <c r="B3969" s="9"/>
      <c r="C3969" s="2"/>
      <c r="D3969" s="2"/>
      <c r="I3969" s="9"/>
      <c r="J3969" s="2"/>
      <c r="L3969" s="9"/>
      <c r="M3969" s="2"/>
      <c r="N3969" s="9"/>
      <c r="P3969" s="3">
        <v>0</v>
      </c>
      <c r="S3969" s="9"/>
      <c r="T3969" s="2"/>
      <c r="U3969" s="9"/>
    </row>
    <row r="3970" spans="2:21" x14ac:dyDescent="0.35">
      <c r="B3970" s="9"/>
      <c r="C3970" s="2"/>
      <c r="D3970" s="2"/>
      <c r="I3970" s="9"/>
      <c r="J3970" s="2"/>
      <c r="L3970" s="9"/>
      <c r="M3970" s="2"/>
      <c r="N3970" s="9"/>
      <c r="P3970" s="3">
        <v>0</v>
      </c>
      <c r="S3970" s="9"/>
      <c r="T3970" s="2"/>
      <c r="U3970" s="9"/>
    </row>
    <row r="3971" spans="2:21" x14ac:dyDescent="0.35">
      <c r="B3971" s="9"/>
      <c r="C3971" s="2"/>
      <c r="D3971" s="2"/>
      <c r="I3971" s="9"/>
      <c r="J3971" s="2"/>
      <c r="L3971" s="9"/>
      <c r="M3971" s="2"/>
      <c r="N3971" s="9"/>
      <c r="P3971" s="3">
        <v>0</v>
      </c>
      <c r="S3971" s="9"/>
      <c r="T3971" s="2"/>
      <c r="U3971" s="9"/>
    </row>
    <row r="3972" spans="2:21" x14ac:dyDescent="0.35">
      <c r="B3972" s="9"/>
      <c r="C3972" s="2"/>
      <c r="D3972" s="2"/>
      <c r="I3972" s="9"/>
      <c r="J3972" s="2"/>
      <c r="L3972" s="9"/>
      <c r="M3972" s="2"/>
      <c r="N3972" s="9"/>
      <c r="P3972" s="3">
        <v>0</v>
      </c>
      <c r="S3972" s="9"/>
      <c r="T3972" s="2"/>
      <c r="U3972" s="9"/>
    </row>
    <row r="3973" spans="2:21" x14ac:dyDescent="0.35">
      <c r="B3973" s="9"/>
      <c r="C3973" s="2"/>
      <c r="D3973" s="2"/>
      <c r="I3973" s="9"/>
      <c r="J3973" s="2"/>
      <c r="L3973" s="9"/>
      <c r="M3973" s="2"/>
      <c r="N3973" s="9"/>
      <c r="P3973" s="3">
        <v>0</v>
      </c>
      <c r="S3973" s="9"/>
      <c r="T3973" s="2"/>
      <c r="U3973" s="9"/>
    </row>
    <row r="3974" spans="2:21" x14ac:dyDescent="0.35">
      <c r="B3974" s="9"/>
      <c r="C3974" s="2"/>
      <c r="D3974" s="2"/>
      <c r="I3974" s="9"/>
      <c r="J3974" s="2"/>
      <c r="L3974" s="9"/>
      <c r="M3974" s="2"/>
      <c r="N3974" s="9"/>
      <c r="P3974" s="3">
        <v>0</v>
      </c>
      <c r="S3974" s="9"/>
      <c r="T3974" s="2"/>
      <c r="U3974" s="9"/>
    </row>
    <row r="3975" spans="2:21" x14ac:dyDescent="0.35">
      <c r="B3975" s="9"/>
      <c r="C3975" s="2"/>
      <c r="D3975" s="2"/>
      <c r="I3975" s="9"/>
      <c r="J3975" s="2"/>
      <c r="L3975" s="9"/>
      <c r="M3975" s="2"/>
      <c r="N3975" s="9"/>
      <c r="P3975" s="3">
        <v>0</v>
      </c>
      <c r="S3975" s="9"/>
      <c r="T3975" s="2"/>
      <c r="U3975" s="9"/>
    </row>
    <row r="3976" spans="2:21" x14ac:dyDescent="0.35">
      <c r="B3976" s="9"/>
      <c r="C3976" s="2"/>
      <c r="D3976" s="2"/>
      <c r="I3976" s="9"/>
      <c r="J3976" s="2"/>
      <c r="L3976" s="9"/>
      <c r="M3976" s="2"/>
      <c r="N3976" s="9"/>
      <c r="P3976" s="3">
        <v>0</v>
      </c>
      <c r="S3976" s="9"/>
      <c r="T3976" s="2"/>
      <c r="U3976" s="9"/>
    </row>
    <row r="3977" spans="2:21" x14ac:dyDescent="0.35">
      <c r="B3977" s="9"/>
      <c r="C3977" s="2"/>
      <c r="D3977" s="2"/>
      <c r="I3977" s="9"/>
      <c r="J3977" s="2"/>
      <c r="L3977" s="9"/>
      <c r="M3977" s="2"/>
      <c r="N3977" s="9"/>
      <c r="P3977" s="3">
        <v>0</v>
      </c>
      <c r="S3977" s="9"/>
      <c r="T3977" s="2"/>
      <c r="U3977" s="9"/>
    </row>
    <row r="3978" spans="2:21" x14ac:dyDescent="0.35">
      <c r="B3978" s="9"/>
      <c r="C3978" s="2"/>
      <c r="D3978" s="2"/>
      <c r="I3978" s="9"/>
      <c r="J3978" s="2"/>
      <c r="L3978" s="9"/>
      <c r="M3978" s="2"/>
      <c r="N3978" s="9"/>
      <c r="P3978" s="3">
        <v>0</v>
      </c>
      <c r="S3978" s="9"/>
      <c r="T3978" s="2"/>
      <c r="U3978" s="9"/>
    </row>
    <row r="3979" spans="2:21" x14ac:dyDescent="0.35">
      <c r="B3979" s="9"/>
      <c r="C3979" s="2"/>
      <c r="D3979" s="2"/>
      <c r="I3979" s="9"/>
      <c r="J3979" s="2"/>
      <c r="L3979" s="9"/>
      <c r="M3979" s="2"/>
      <c r="N3979" s="9"/>
      <c r="P3979" s="3">
        <v>0</v>
      </c>
      <c r="S3979" s="9"/>
      <c r="T3979" s="2"/>
      <c r="U3979" s="9"/>
    </row>
    <row r="3980" spans="2:21" x14ac:dyDescent="0.35">
      <c r="B3980" s="9"/>
      <c r="C3980" s="2"/>
      <c r="D3980" s="2"/>
      <c r="I3980" s="9"/>
      <c r="J3980" s="2"/>
      <c r="L3980" s="9"/>
      <c r="M3980" s="2"/>
      <c r="N3980" s="9"/>
      <c r="P3980" s="3">
        <v>0</v>
      </c>
      <c r="S3980" s="9"/>
      <c r="T3980" s="2"/>
      <c r="U3980" s="9"/>
    </row>
    <row r="3981" spans="2:21" x14ac:dyDescent="0.35">
      <c r="B3981" s="9"/>
      <c r="C3981" s="2"/>
      <c r="D3981" s="2"/>
      <c r="I3981" s="9"/>
      <c r="J3981" s="2"/>
      <c r="L3981" s="9"/>
      <c r="M3981" s="2"/>
      <c r="N3981" s="9"/>
      <c r="P3981" s="3">
        <v>0</v>
      </c>
      <c r="S3981" s="9"/>
      <c r="T3981" s="2"/>
      <c r="U3981" s="9"/>
    </row>
    <row r="3982" spans="2:21" x14ac:dyDescent="0.35">
      <c r="B3982" s="9"/>
      <c r="C3982" s="2"/>
      <c r="D3982" s="2"/>
      <c r="I3982" s="9"/>
      <c r="J3982" s="2"/>
      <c r="L3982" s="9"/>
      <c r="M3982" s="2"/>
      <c r="N3982" s="9"/>
      <c r="P3982" s="3">
        <v>0</v>
      </c>
      <c r="S3982" s="9"/>
      <c r="T3982" s="2"/>
      <c r="U3982" s="9"/>
    </row>
    <row r="3983" spans="2:21" x14ac:dyDescent="0.35">
      <c r="B3983" s="9"/>
      <c r="C3983" s="2"/>
      <c r="D3983" s="2"/>
      <c r="I3983" s="9"/>
      <c r="J3983" s="2"/>
      <c r="L3983" s="9"/>
      <c r="M3983" s="2"/>
      <c r="N3983" s="9"/>
      <c r="P3983" s="3">
        <v>0</v>
      </c>
      <c r="S3983" s="9"/>
      <c r="T3983" s="2"/>
      <c r="U3983" s="9"/>
    </row>
    <row r="3984" spans="2:21" x14ac:dyDescent="0.35">
      <c r="B3984" s="9"/>
      <c r="C3984" s="2"/>
      <c r="D3984" s="2"/>
      <c r="I3984" s="9"/>
      <c r="J3984" s="2"/>
      <c r="L3984" s="9"/>
      <c r="M3984" s="2"/>
      <c r="N3984" s="9"/>
      <c r="P3984" s="3">
        <v>0</v>
      </c>
      <c r="S3984" s="9"/>
      <c r="T3984" s="2"/>
      <c r="U3984" s="9"/>
    </row>
    <row r="3985" spans="2:21" x14ac:dyDescent="0.35">
      <c r="B3985" s="9"/>
      <c r="C3985" s="2"/>
      <c r="D3985" s="2"/>
      <c r="I3985" s="9"/>
      <c r="J3985" s="2"/>
      <c r="L3985" s="9"/>
      <c r="M3985" s="2"/>
      <c r="N3985" s="9"/>
      <c r="P3985" s="3">
        <v>-300.75086859999999</v>
      </c>
      <c r="S3985" s="9"/>
      <c r="T3985" s="2"/>
      <c r="U3985" s="9"/>
    </row>
    <row r="3986" spans="2:21" x14ac:dyDescent="0.35">
      <c r="B3986" s="9"/>
      <c r="C3986" s="2"/>
      <c r="D3986" s="2"/>
      <c r="I3986" s="9"/>
      <c r="J3986" s="2"/>
      <c r="L3986" s="9"/>
      <c r="M3986" s="2"/>
      <c r="N3986" s="9"/>
      <c r="P3986" s="3">
        <v>-735.51086859999998</v>
      </c>
      <c r="S3986" s="9"/>
      <c r="T3986" s="2"/>
      <c r="U3986" s="9"/>
    </row>
    <row r="3987" spans="2:21" x14ac:dyDescent="0.35">
      <c r="B3987" s="9"/>
      <c r="C3987" s="2"/>
      <c r="D3987" s="2"/>
      <c r="I3987" s="9"/>
      <c r="J3987" s="2"/>
      <c r="L3987" s="9"/>
      <c r="M3987" s="2"/>
      <c r="N3987" s="9"/>
      <c r="P3987" s="3">
        <v>-1170.2708686000001</v>
      </c>
      <c r="S3987" s="9"/>
      <c r="T3987" s="2"/>
      <c r="U3987" s="9"/>
    </row>
    <row r="3988" spans="2:21" x14ac:dyDescent="0.35">
      <c r="B3988" s="9"/>
      <c r="C3988" s="2"/>
      <c r="D3988" s="2"/>
      <c r="I3988" s="9"/>
      <c r="J3988" s="2"/>
      <c r="L3988" s="9"/>
      <c r="M3988" s="2"/>
      <c r="N3988" s="9"/>
      <c r="P3988" s="3">
        <v>-1145.55728886</v>
      </c>
      <c r="S3988" s="9"/>
      <c r="T3988" s="2"/>
      <c r="U3988" s="9"/>
    </row>
    <row r="3989" spans="2:21" x14ac:dyDescent="0.35">
      <c r="B3989" s="9"/>
      <c r="C3989" s="2"/>
      <c r="D3989" s="2"/>
      <c r="I3989" s="9"/>
      <c r="J3989" s="2"/>
      <c r="L3989" s="9"/>
      <c r="M3989" s="2"/>
      <c r="N3989" s="9"/>
      <c r="P3989" s="3">
        <v>-1407.6424288600001</v>
      </c>
      <c r="S3989" s="9"/>
      <c r="T3989" s="2"/>
      <c r="U3989" s="9"/>
    </row>
    <row r="3990" spans="2:21" x14ac:dyDescent="0.35">
      <c r="B3990" s="9"/>
      <c r="C3990" s="2"/>
      <c r="D3990" s="2"/>
      <c r="I3990" s="9"/>
      <c r="J3990" s="2"/>
      <c r="L3990" s="9"/>
      <c r="M3990" s="2"/>
      <c r="N3990" s="9"/>
      <c r="P3990" s="3">
        <v>-1213.46916839</v>
      </c>
      <c r="S3990" s="9"/>
      <c r="T3990" s="2"/>
      <c r="U3990" s="9"/>
    </row>
    <row r="3991" spans="2:21" x14ac:dyDescent="0.35">
      <c r="B3991" s="9"/>
      <c r="C3991" s="2"/>
      <c r="D3991" s="2"/>
      <c r="I3991" s="9"/>
      <c r="J3991" s="2"/>
      <c r="L3991" s="9"/>
      <c r="M3991" s="2"/>
      <c r="N3991" s="9"/>
      <c r="P3991" s="3">
        <v>-1227.7621783899999</v>
      </c>
      <c r="S3991" s="9"/>
      <c r="T3991" s="2"/>
      <c r="U3991" s="9"/>
    </row>
    <row r="3992" spans="2:21" x14ac:dyDescent="0.35">
      <c r="B3992" s="9"/>
      <c r="C3992" s="2"/>
      <c r="D3992" s="2"/>
      <c r="I3992" s="9"/>
      <c r="J3992" s="2"/>
      <c r="L3992" s="9"/>
      <c r="M3992" s="2"/>
      <c r="N3992" s="9"/>
      <c r="P3992" s="3">
        <v>-1086.22296839</v>
      </c>
      <c r="S3992" s="9"/>
      <c r="T3992" s="2"/>
      <c r="U3992" s="9"/>
    </row>
    <row r="3993" spans="2:21" x14ac:dyDescent="0.35">
      <c r="B3993" s="9"/>
      <c r="C3993" s="2"/>
      <c r="D3993" s="2"/>
      <c r="I3993" s="9"/>
      <c r="J3993" s="2"/>
      <c r="L3993" s="9"/>
      <c r="M3993" s="2"/>
      <c r="N3993" s="9"/>
      <c r="P3993" s="3">
        <v>-884.31387839000001</v>
      </c>
      <c r="S3993" s="9"/>
      <c r="T3993" s="2"/>
      <c r="U3993" s="9"/>
    </row>
    <row r="3994" spans="2:21" x14ac:dyDescent="0.35">
      <c r="B3994" s="9"/>
      <c r="C3994" s="2"/>
      <c r="D3994" s="2"/>
      <c r="I3994" s="9"/>
      <c r="J3994" s="2"/>
      <c r="L3994" s="9"/>
      <c r="M3994" s="2"/>
      <c r="N3994" s="9"/>
      <c r="P3994" s="3">
        <v>-701.99013838999997</v>
      </c>
      <c r="S3994" s="9"/>
      <c r="T3994" s="2"/>
      <c r="U3994" s="9"/>
    </row>
    <row r="3995" spans="2:21" x14ac:dyDescent="0.35">
      <c r="B3995" s="9"/>
      <c r="C3995" s="2"/>
      <c r="D3995" s="2"/>
      <c r="I3995" s="9"/>
      <c r="J3995" s="2"/>
      <c r="L3995" s="9"/>
      <c r="M3995" s="2"/>
      <c r="N3995" s="9"/>
      <c r="P3995" s="3">
        <v>-585.10141839000005</v>
      </c>
      <c r="S3995" s="9"/>
      <c r="T3995" s="2"/>
      <c r="U3995" s="9"/>
    </row>
    <row r="3996" spans="2:21" x14ac:dyDescent="0.35">
      <c r="B3996" s="9"/>
      <c r="C3996" s="2"/>
      <c r="D3996" s="2"/>
      <c r="I3996" s="9"/>
      <c r="J3996" s="2"/>
      <c r="L3996" s="9"/>
      <c r="M3996" s="2"/>
      <c r="N3996" s="9"/>
      <c r="P3996" s="3">
        <v>-558.75402839000003</v>
      </c>
      <c r="S3996" s="9"/>
      <c r="T3996" s="2"/>
      <c r="U3996" s="9"/>
    </row>
    <row r="3997" spans="2:21" x14ac:dyDescent="0.35">
      <c r="B3997" s="9"/>
      <c r="C3997" s="2"/>
      <c r="D3997" s="2"/>
      <c r="I3997" s="9"/>
      <c r="J3997" s="2"/>
      <c r="L3997" s="9"/>
      <c r="M3997" s="2"/>
      <c r="N3997" s="9"/>
      <c r="P3997" s="3">
        <v>-935.15910839000003</v>
      </c>
      <c r="S3997" s="9"/>
      <c r="T3997" s="2"/>
      <c r="U3997" s="9"/>
    </row>
    <row r="3998" spans="2:21" x14ac:dyDescent="0.35">
      <c r="B3998" s="9"/>
      <c r="C3998" s="2"/>
      <c r="D3998" s="2"/>
      <c r="I3998" s="9"/>
      <c r="J3998" s="2"/>
      <c r="L3998" s="9"/>
      <c r="M3998" s="2"/>
      <c r="N3998" s="9"/>
      <c r="P3998" s="3">
        <v>-500.39910838999998</v>
      </c>
      <c r="S3998" s="9"/>
      <c r="T3998" s="2"/>
      <c r="U3998" s="9"/>
    </row>
    <row r="3999" spans="2:21" x14ac:dyDescent="0.35">
      <c r="B3999" s="9"/>
      <c r="C3999" s="2"/>
      <c r="D3999" s="2"/>
      <c r="I3999" s="9"/>
      <c r="J3999" s="2"/>
      <c r="L3999" s="9"/>
      <c r="M3999" s="2"/>
      <c r="N3999" s="9"/>
      <c r="P3999" s="3">
        <v>-65.639108390000004</v>
      </c>
      <c r="S3999" s="9"/>
      <c r="T3999" s="2"/>
      <c r="U3999" s="9"/>
    </row>
    <row r="4000" spans="2:21" x14ac:dyDescent="0.35">
      <c r="B4000" s="9"/>
      <c r="C4000" s="2"/>
      <c r="D4000" s="2"/>
      <c r="I4000" s="9"/>
      <c r="J4000" s="2"/>
      <c r="L4000" s="9"/>
      <c r="M4000" s="2"/>
      <c r="N4000" s="9"/>
      <c r="P4000" s="3">
        <v>0</v>
      </c>
      <c r="S4000" s="9"/>
      <c r="T4000" s="2"/>
      <c r="U4000" s="9"/>
    </row>
    <row r="4001" spans="2:21" x14ac:dyDescent="0.35">
      <c r="B4001" s="9"/>
      <c r="C4001" s="2"/>
      <c r="D4001" s="2"/>
      <c r="I4001" s="9"/>
      <c r="J4001" s="2"/>
      <c r="L4001" s="9"/>
      <c r="M4001" s="2"/>
      <c r="N4001" s="9"/>
      <c r="P4001" s="3">
        <v>0</v>
      </c>
      <c r="S4001" s="9"/>
      <c r="T4001" s="2"/>
      <c r="U4001" s="9"/>
    </row>
    <row r="4002" spans="2:21" x14ac:dyDescent="0.35">
      <c r="B4002" s="9"/>
      <c r="C4002" s="2"/>
      <c r="D4002" s="2"/>
      <c r="I4002" s="9"/>
      <c r="J4002" s="2"/>
      <c r="L4002" s="9"/>
      <c r="M4002" s="2"/>
      <c r="N4002" s="9"/>
      <c r="P4002" s="3">
        <v>0</v>
      </c>
      <c r="S4002" s="9"/>
      <c r="T4002" s="2"/>
      <c r="U4002" s="9"/>
    </row>
    <row r="4003" spans="2:21" x14ac:dyDescent="0.35">
      <c r="B4003" s="9"/>
      <c r="C4003" s="2"/>
      <c r="D4003" s="2"/>
      <c r="I4003" s="9"/>
      <c r="J4003" s="2"/>
      <c r="L4003" s="9"/>
      <c r="M4003" s="2"/>
      <c r="N4003" s="9"/>
      <c r="P4003" s="3">
        <v>0</v>
      </c>
      <c r="S4003" s="9"/>
      <c r="T4003" s="2"/>
      <c r="U4003" s="9"/>
    </row>
    <row r="4004" spans="2:21" x14ac:dyDescent="0.35">
      <c r="B4004" s="9"/>
      <c r="C4004" s="2"/>
      <c r="D4004" s="2"/>
      <c r="I4004" s="9"/>
      <c r="J4004" s="2"/>
      <c r="L4004" s="9"/>
      <c r="M4004" s="2"/>
      <c r="N4004" s="9"/>
      <c r="P4004" s="3">
        <v>0</v>
      </c>
      <c r="S4004" s="9"/>
      <c r="T4004" s="2"/>
      <c r="U4004" s="9"/>
    </row>
    <row r="4005" spans="2:21" x14ac:dyDescent="0.35">
      <c r="B4005" s="9"/>
      <c r="C4005" s="2"/>
      <c r="D4005" s="2"/>
      <c r="I4005" s="9"/>
      <c r="J4005" s="2"/>
      <c r="L4005" s="9"/>
      <c r="M4005" s="2"/>
      <c r="N4005" s="9"/>
      <c r="P4005" s="3">
        <v>0</v>
      </c>
      <c r="S4005" s="9"/>
      <c r="T4005" s="2"/>
      <c r="U4005" s="9"/>
    </row>
    <row r="4006" spans="2:21" x14ac:dyDescent="0.35">
      <c r="B4006" s="9"/>
      <c r="C4006" s="2"/>
      <c r="D4006" s="2"/>
      <c r="I4006" s="9"/>
      <c r="J4006" s="2"/>
      <c r="L4006" s="9"/>
      <c r="M4006" s="2"/>
      <c r="N4006" s="9"/>
      <c r="P4006" s="3">
        <v>0</v>
      </c>
      <c r="S4006" s="9"/>
      <c r="T4006" s="2"/>
      <c r="U4006" s="9"/>
    </row>
    <row r="4007" spans="2:21" x14ac:dyDescent="0.35">
      <c r="B4007" s="9"/>
      <c r="C4007" s="2"/>
      <c r="D4007" s="2"/>
      <c r="I4007" s="9"/>
      <c r="J4007" s="2"/>
      <c r="L4007" s="9"/>
      <c r="M4007" s="2"/>
      <c r="N4007" s="9"/>
      <c r="P4007" s="3">
        <v>-134.45161838999999</v>
      </c>
      <c r="S4007" s="9"/>
      <c r="T4007" s="2"/>
      <c r="U4007" s="9"/>
    </row>
    <row r="4008" spans="2:21" x14ac:dyDescent="0.35">
      <c r="B4008" s="9"/>
      <c r="C4008" s="2"/>
      <c r="D4008" s="2"/>
      <c r="I4008" s="9"/>
      <c r="J4008" s="2"/>
      <c r="L4008" s="9"/>
      <c r="M4008" s="2"/>
      <c r="N4008" s="9"/>
      <c r="P4008" s="3">
        <v>-569.21161839000001</v>
      </c>
      <c r="S4008" s="9"/>
      <c r="T4008" s="2"/>
      <c r="U4008" s="9"/>
    </row>
    <row r="4009" spans="2:21" x14ac:dyDescent="0.35">
      <c r="B4009" s="9"/>
      <c r="C4009" s="2"/>
      <c r="D4009" s="2"/>
      <c r="I4009" s="9"/>
      <c r="J4009" s="2"/>
      <c r="L4009" s="9"/>
      <c r="M4009" s="2"/>
      <c r="N4009" s="9"/>
      <c r="P4009" s="3">
        <v>-1003.97161839</v>
      </c>
      <c r="S4009" s="9"/>
      <c r="T4009" s="2"/>
      <c r="U4009" s="9"/>
    </row>
    <row r="4010" spans="2:21" x14ac:dyDescent="0.35">
      <c r="B4010" s="9"/>
      <c r="C4010" s="2"/>
      <c r="D4010" s="2"/>
      <c r="I4010" s="9"/>
      <c r="J4010" s="2"/>
      <c r="L4010" s="9"/>
      <c r="M4010" s="2"/>
      <c r="N4010" s="9"/>
      <c r="P4010" s="3">
        <v>-569.21161839000001</v>
      </c>
      <c r="S4010" s="9"/>
      <c r="T4010" s="2"/>
      <c r="U4010" s="9"/>
    </row>
    <row r="4011" spans="2:21" x14ac:dyDescent="0.35">
      <c r="B4011" s="9"/>
      <c r="C4011" s="2"/>
      <c r="D4011" s="2"/>
      <c r="I4011" s="9"/>
      <c r="J4011" s="2"/>
      <c r="L4011" s="9"/>
      <c r="M4011" s="2"/>
      <c r="N4011" s="9"/>
      <c r="P4011" s="3">
        <v>-452.18586839</v>
      </c>
      <c r="S4011" s="9"/>
      <c r="T4011" s="2"/>
      <c r="U4011" s="9"/>
    </row>
    <row r="4012" spans="2:21" x14ac:dyDescent="0.35">
      <c r="B4012" s="9"/>
      <c r="C4012" s="2"/>
      <c r="D4012" s="2"/>
      <c r="I4012" s="9"/>
      <c r="J4012" s="2"/>
      <c r="L4012" s="9"/>
      <c r="M4012" s="2"/>
      <c r="N4012" s="9"/>
      <c r="P4012" s="3">
        <v>-387.92873838999998</v>
      </c>
      <c r="S4012" s="9"/>
      <c r="T4012" s="2"/>
      <c r="U4012" s="9"/>
    </row>
    <row r="4013" spans="2:21" x14ac:dyDescent="0.35">
      <c r="B4013" s="9"/>
      <c r="C4013" s="2"/>
      <c r="D4013" s="2"/>
      <c r="I4013" s="9"/>
      <c r="J4013" s="2"/>
      <c r="L4013" s="9"/>
      <c r="M4013" s="2"/>
      <c r="N4013" s="9"/>
      <c r="P4013" s="3">
        <v>-612.11620839</v>
      </c>
      <c r="S4013" s="9"/>
      <c r="T4013" s="2"/>
      <c r="U4013" s="9"/>
    </row>
    <row r="4014" spans="2:21" x14ac:dyDescent="0.35">
      <c r="B4014" s="9"/>
      <c r="C4014" s="2"/>
      <c r="D4014" s="2"/>
      <c r="I4014" s="9"/>
      <c r="J4014" s="2"/>
      <c r="L4014" s="9"/>
      <c r="M4014" s="2"/>
      <c r="N4014" s="9"/>
      <c r="P4014" s="3">
        <v>-1046.8762083900001</v>
      </c>
      <c r="S4014" s="9"/>
      <c r="T4014" s="2"/>
      <c r="U4014" s="9"/>
    </row>
    <row r="4015" spans="2:21" x14ac:dyDescent="0.35">
      <c r="B4015" s="9"/>
      <c r="C4015" s="2"/>
      <c r="D4015" s="2"/>
      <c r="I4015" s="9"/>
      <c r="J4015" s="2"/>
      <c r="L4015" s="9"/>
      <c r="M4015" s="2"/>
      <c r="N4015" s="9"/>
      <c r="P4015" s="3">
        <v>-1481.6362083900001</v>
      </c>
      <c r="S4015" s="9"/>
      <c r="T4015" s="2"/>
      <c r="U4015" s="9"/>
    </row>
    <row r="4016" spans="2:21" x14ac:dyDescent="0.35">
      <c r="B4016" s="9"/>
      <c r="C4016" s="2"/>
      <c r="D4016" s="2"/>
      <c r="I4016" s="9"/>
      <c r="J4016" s="2"/>
      <c r="L4016" s="9"/>
      <c r="M4016" s="2"/>
      <c r="N4016" s="9"/>
      <c r="P4016" s="3">
        <v>-1916.3962083900001</v>
      </c>
      <c r="S4016" s="9"/>
      <c r="T4016" s="2"/>
      <c r="U4016" s="9"/>
    </row>
    <row r="4017" spans="2:21" x14ac:dyDescent="0.35">
      <c r="B4017" s="9"/>
      <c r="C4017" s="2"/>
      <c r="D4017" s="2"/>
      <c r="I4017" s="9"/>
      <c r="J4017" s="2"/>
      <c r="L4017" s="9"/>
      <c r="M4017" s="2"/>
      <c r="N4017" s="9"/>
      <c r="P4017" s="3">
        <v>-2351.1562083899998</v>
      </c>
      <c r="S4017" s="9"/>
      <c r="T4017" s="2"/>
      <c r="U4017" s="9"/>
    </row>
    <row r="4018" spans="2:21" x14ac:dyDescent="0.35">
      <c r="B4018" s="9"/>
      <c r="C4018" s="2"/>
      <c r="D4018" s="2"/>
      <c r="I4018" s="9"/>
      <c r="J4018" s="2"/>
      <c r="L4018" s="9"/>
      <c r="M4018" s="2"/>
      <c r="N4018" s="9"/>
      <c r="P4018" s="3">
        <v>-2785.9162083900001</v>
      </c>
      <c r="S4018" s="9"/>
      <c r="T4018" s="2"/>
      <c r="U4018" s="9"/>
    </row>
    <row r="4019" spans="2:21" x14ac:dyDescent="0.35">
      <c r="B4019" s="9"/>
      <c r="C4019" s="2"/>
      <c r="D4019" s="2"/>
      <c r="I4019" s="9"/>
      <c r="J4019" s="2"/>
      <c r="L4019" s="9"/>
      <c r="M4019" s="2"/>
      <c r="N4019" s="9"/>
      <c r="P4019" s="3">
        <v>-2860.169492</v>
      </c>
      <c r="S4019" s="9"/>
      <c r="T4019" s="2"/>
      <c r="U4019" s="9"/>
    </row>
    <row r="4020" spans="2:21" x14ac:dyDescent="0.35">
      <c r="B4020" s="9"/>
      <c r="C4020" s="2"/>
      <c r="D4020" s="2"/>
      <c r="I4020" s="9"/>
      <c r="J4020" s="2"/>
      <c r="L4020" s="9"/>
      <c r="M4020" s="2"/>
      <c r="N4020" s="9"/>
      <c r="P4020" s="3">
        <v>-2860.169492</v>
      </c>
      <c r="S4020" s="9"/>
      <c r="T4020" s="2"/>
      <c r="U4020" s="9"/>
    </row>
    <row r="4021" spans="2:21" x14ac:dyDescent="0.35">
      <c r="B4021" s="9"/>
      <c r="C4021" s="2"/>
      <c r="D4021" s="2"/>
      <c r="I4021" s="9"/>
      <c r="J4021" s="2"/>
      <c r="L4021" s="9"/>
      <c r="M4021" s="2"/>
      <c r="N4021" s="9"/>
      <c r="P4021" s="3">
        <v>-2608.56</v>
      </c>
      <c r="S4021" s="9"/>
      <c r="T4021" s="2"/>
      <c r="U4021" s="9"/>
    </row>
    <row r="4022" spans="2:21" x14ac:dyDescent="0.35">
      <c r="B4022" s="9"/>
      <c r="C4022" s="2"/>
      <c r="D4022" s="2"/>
      <c r="I4022" s="9"/>
      <c r="J4022" s="2"/>
      <c r="L4022" s="9"/>
      <c r="M4022" s="2"/>
      <c r="N4022" s="9"/>
      <c r="P4022" s="3">
        <v>-2173.8000000000002</v>
      </c>
      <c r="S4022" s="9"/>
      <c r="T4022" s="2"/>
      <c r="U4022" s="9"/>
    </row>
    <row r="4023" spans="2:21" x14ac:dyDescent="0.35">
      <c r="B4023" s="9"/>
      <c r="C4023" s="2"/>
      <c r="D4023" s="2"/>
      <c r="I4023" s="9"/>
      <c r="J4023" s="2"/>
      <c r="L4023" s="9"/>
      <c r="M4023" s="2"/>
      <c r="N4023" s="9"/>
      <c r="P4023" s="3">
        <v>-1739.04</v>
      </c>
      <c r="S4023" s="9"/>
      <c r="T4023" s="2"/>
      <c r="U4023" s="9"/>
    </row>
    <row r="4024" spans="2:21" x14ac:dyDescent="0.35">
      <c r="B4024" s="9"/>
      <c r="C4024" s="2"/>
      <c r="D4024" s="2"/>
      <c r="I4024" s="9"/>
      <c r="J4024" s="2"/>
      <c r="L4024" s="9"/>
      <c r="M4024" s="2"/>
      <c r="N4024" s="9"/>
      <c r="P4024" s="3">
        <v>-1304.28</v>
      </c>
      <c r="S4024" s="9"/>
      <c r="T4024" s="2"/>
      <c r="U4024" s="9"/>
    </row>
    <row r="4025" spans="2:21" x14ac:dyDescent="0.35">
      <c r="B4025" s="9"/>
      <c r="C4025" s="2"/>
      <c r="D4025" s="2"/>
      <c r="I4025" s="9"/>
      <c r="J4025" s="2"/>
      <c r="L4025" s="9"/>
      <c r="M4025" s="2"/>
      <c r="N4025" s="9"/>
      <c r="P4025" s="3">
        <v>-869.52</v>
      </c>
      <c r="S4025" s="9"/>
      <c r="T4025" s="2"/>
      <c r="U4025" s="9"/>
    </row>
    <row r="4026" spans="2:21" x14ac:dyDescent="0.35">
      <c r="B4026" s="9"/>
      <c r="C4026" s="2"/>
      <c r="D4026" s="2"/>
      <c r="I4026" s="9"/>
      <c r="J4026" s="2"/>
      <c r="L4026" s="9"/>
      <c r="M4026" s="2"/>
      <c r="N4026" s="9"/>
      <c r="P4026" s="3">
        <v>-434.76</v>
      </c>
      <c r="S4026" s="9"/>
      <c r="T4026" s="2"/>
      <c r="U4026" s="9"/>
    </row>
    <row r="4027" spans="2:21" x14ac:dyDescent="0.35">
      <c r="B4027" s="9"/>
      <c r="C4027" s="2"/>
      <c r="D4027" s="2"/>
      <c r="I4027" s="9"/>
      <c r="J4027" s="2"/>
      <c r="L4027" s="9"/>
      <c r="M4027" s="2"/>
      <c r="N4027" s="9"/>
      <c r="P4027" s="3">
        <v>0</v>
      </c>
      <c r="S4027" s="9"/>
      <c r="T4027" s="2"/>
      <c r="U4027" s="9"/>
    </row>
    <row r="4028" spans="2:21" x14ac:dyDescent="0.35">
      <c r="B4028" s="9"/>
      <c r="C4028" s="2"/>
      <c r="D4028" s="2"/>
      <c r="I4028" s="9"/>
      <c r="J4028" s="2"/>
      <c r="L4028" s="9"/>
      <c r="M4028" s="2"/>
      <c r="N4028" s="9"/>
      <c r="P4028" s="3">
        <v>0</v>
      </c>
      <c r="S4028" s="9"/>
      <c r="T4028" s="2"/>
      <c r="U4028" s="9"/>
    </row>
    <row r="4029" spans="2:21" x14ac:dyDescent="0.35">
      <c r="B4029" s="9"/>
      <c r="C4029" s="2"/>
      <c r="D4029" s="2"/>
      <c r="I4029" s="9"/>
      <c r="J4029" s="2"/>
      <c r="L4029" s="9"/>
      <c r="M4029" s="2"/>
      <c r="N4029" s="9"/>
      <c r="P4029" s="3">
        <v>0</v>
      </c>
      <c r="S4029" s="9"/>
      <c r="T4029" s="2"/>
      <c r="U4029" s="9"/>
    </row>
    <row r="4030" spans="2:21" x14ac:dyDescent="0.35">
      <c r="B4030" s="9"/>
      <c r="C4030" s="2"/>
      <c r="D4030" s="2"/>
      <c r="I4030" s="9"/>
      <c r="J4030" s="2"/>
      <c r="L4030" s="9"/>
      <c r="M4030" s="2"/>
      <c r="N4030" s="9"/>
      <c r="P4030" s="3">
        <v>0</v>
      </c>
      <c r="S4030" s="9"/>
      <c r="T4030" s="2"/>
      <c r="U4030" s="9"/>
    </row>
    <row r="4031" spans="2:21" x14ac:dyDescent="0.35">
      <c r="B4031" s="9"/>
      <c r="C4031" s="2"/>
      <c r="D4031" s="2"/>
      <c r="I4031" s="9"/>
      <c r="J4031" s="2"/>
      <c r="L4031" s="9"/>
      <c r="M4031" s="2"/>
      <c r="N4031" s="9"/>
      <c r="P4031" s="3">
        <v>0</v>
      </c>
      <c r="S4031" s="9"/>
      <c r="T4031" s="2"/>
      <c r="U4031" s="9"/>
    </row>
    <row r="4032" spans="2:21" x14ac:dyDescent="0.35">
      <c r="B4032" s="9"/>
      <c r="C4032" s="2"/>
      <c r="D4032" s="2"/>
      <c r="I4032" s="9"/>
      <c r="J4032" s="2"/>
      <c r="L4032" s="9"/>
      <c r="M4032" s="2"/>
      <c r="N4032" s="9"/>
      <c r="P4032" s="3">
        <v>0</v>
      </c>
      <c r="S4032" s="9"/>
      <c r="T4032" s="2"/>
      <c r="U4032" s="9"/>
    </row>
    <row r="4033" spans="2:21" x14ac:dyDescent="0.35">
      <c r="B4033" s="9"/>
      <c r="C4033" s="2"/>
      <c r="D4033" s="2"/>
      <c r="I4033" s="9"/>
      <c r="J4033" s="2"/>
      <c r="L4033" s="9"/>
      <c r="M4033" s="2"/>
      <c r="N4033" s="9"/>
      <c r="P4033" s="3">
        <v>0</v>
      </c>
      <c r="S4033" s="9"/>
      <c r="T4033" s="2"/>
      <c r="U4033" s="9"/>
    </row>
    <row r="4034" spans="2:21" x14ac:dyDescent="0.35">
      <c r="B4034" s="9"/>
      <c r="C4034" s="2"/>
      <c r="D4034" s="2"/>
      <c r="I4034" s="9"/>
      <c r="J4034" s="2"/>
      <c r="L4034" s="9"/>
      <c r="M4034" s="2"/>
      <c r="N4034" s="9"/>
      <c r="P4034" s="3">
        <v>0</v>
      </c>
      <c r="S4034" s="9"/>
      <c r="T4034" s="2"/>
      <c r="U4034" s="9"/>
    </row>
    <row r="4035" spans="2:21" x14ac:dyDescent="0.35">
      <c r="B4035" s="9"/>
      <c r="C4035" s="2"/>
      <c r="D4035" s="2"/>
      <c r="I4035" s="9"/>
      <c r="J4035" s="2"/>
      <c r="L4035" s="9"/>
      <c r="M4035" s="2"/>
      <c r="N4035" s="9"/>
      <c r="P4035" s="3">
        <v>0</v>
      </c>
      <c r="S4035" s="9"/>
      <c r="T4035" s="2"/>
      <c r="U4035" s="9"/>
    </row>
    <row r="4036" spans="2:21" x14ac:dyDescent="0.35">
      <c r="B4036" s="9"/>
      <c r="C4036" s="2"/>
      <c r="D4036" s="2"/>
      <c r="I4036" s="9"/>
      <c r="J4036" s="2"/>
      <c r="L4036" s="9"/>
      <c r="M4036" s="2"/>
      <c r="N4036" s="9"/>
      <c r="P4036" s="3">
        <v>0</v>
      </c>
      <c r="S4036" s="9"/>
      <c r="T4036" s="2"/>
      <c r="U4036" s="9"/>
    </row>
    <row r="4037" spans="2:21" x14ac:dyDescent="0.35">
      <c r="B4037" s="9"/>
      <c r="C4037" s="2"/>
      <c r="D4037" s="2"/>
      <c r="I4037" s="9"/>
      <c r="J4037" s="2"/>
      <c r="L4037" s="9"/>
      <c r="M4037" s="2"/>
      <c r="N4037" s="9"/>
      <c r="P4037" s="3">
        <v>0</v>
      </c>
      <c r="S4037" s="9"/>
      <c r="T4037" s="2"/>
      <c r="U4037" s="9"/>
    </row>
    <row r="4038" spans="2:21" x14ac:dyDescent="0.35">
      <c r="B4038" s="9"/>
      <c r="C4038" s="2"/>
      <c r="D4038" s="2"/>
      <c r="I4038" s="9"/>
      <c r="J4038" s="2"/>
      <c r="L4038" s="9"/>
      <c r="M4038" s="2"/>
      <c r="N4038" s="9"/>
      <c r="P4038" s="3">
        <v>0</v>
      </c>
      <c r="S4038" s="9"/>
      <c r="T4038" s="2"/>
      <c r="U4038" s="9"/>
    </row>
    <row r="4039" spans="2:21" x14ac:dyDescent="0.35">
      <c r="B4039" s="9"/>
      <c r="C4039" s="2"/>
      <c r="D4039" s="2"/>
      <c r="I4039" s="9"/>
      <c r="J4039" s="2"/>
      <c r="L4039" s="9"/>
      <c r="M4039" s="2"/>
      <c r="N4039" s="9"/>
      <c r="P4039" s="3">
        <v>0</v>
      </c>
      <c r="S4039" s="9"/>
      <c r="T4039" s="2"/>
      <c r="U4039" s="9"/>
    </row>
    <row r="4040" spans="2:21" x14ac:dyDescent="0.35">
      <c r="B4040" s="9"/>
      <c r="C4040" s="2"/>
      <c r="D4040" s="2"/>
      <c r="I4040" s="9"/>
      <c r="J4040" s="2"/>
      <c r="L4040" s="9"/>
      <c r="M4040" s="2"/>
      <c r="N4040" s="9"/>
      <c r="P4040" s="3">
        <v>0</v>
      </c>
      <c r="S4040" s="9"/>
      <c r="T4040" s="2"/>
      <c r="U4040" s="9"/>
    </row>
    <row r="4041" spans="2:21" x14ac:dyDescent="0.35">
      <c r="B4041" s="9"/>
      <c r="C4041" s="2"/>
      <c r="D4041" s="2"/>
      <c r="I4041" s="9"/>
      <c r="J4041" s="2"/>
      <c r="L4041" s="9"/>
      <c r="M4041" s="2"/>
      <c r="N4041" s="9"/>
      <c r="P4041" s="3">
        <v>0</v>
      </c>
      <c r="S4041" s="9"/>
      <c r="T4041" s="2"/>
      <c r="U4041" s="9"/>
    </row>
    <row r="4042" spans="2:21" x14ac:dyDescent="0.35">
      <c r="B4042" s="9"/>
      <c r="C4042" s="2"/>
      <c r="D4042" s="2"/>
      <c r="I4042" s="9"/>
      <c r="J4042" s="2"/>
      <c r="L4042" s="9"/>
      <c r="M4042" s="2"/>
      <c r="N4042" s="9"/>
      <c r="P4042" s="3">
        <v>0</v>
      </c>
      <c r="S4042" s="9"/>
      <c r="T4042" s="2"/>
      <c r="U4042" s="9"/>
    </row>
    <row r="4043" spans="2:21" x14ac:dyDescent="0.35">
      <c r="B4043" s="9"/>
      <c r="C4043" s="2"/>
      <c r="D4043" s="2"/>
      <c r="I4043" s="9"/>
      <c r="J4043" s="2"/>
      <c r="L4043" s="9"/>
      <c r="M4043" s="2"/>
      <c r="N4043" s="9"/>
      <c r="P4043" s="3">
        <v>-241.11442943</v>
      </c>
      <c r="S4043" s="9"/>
      <c r="T4043" s="2"/>
      <c r="U4043" s="9"/>
    </row>
    <row r="4044" spans="2:21" x14ac:dyDescent="0.35">
      <c r="B4044" s="9"/>
      <c r="C4044" s="2"/>
      <c r="D4044" s="2"/>
      <c r="I4044" s="9"/>
      <c r="J4044" s="2"/>
      <c r="L4044" s="9"/>
      <c r="M4044" s="2"/>
      <c r="N4044" s="9"/>
      <c r="P4044" s="3">
        <v>0</v>
      </c>
      <c r="S4044" s="9"/>
      <c r="T4044" s="2"/>
      <c r="U4044" s="9"/>
    </row>
    <row r="4045" spans="2:21" x14ac:dyDescent="0.35">
      <c r="B4045" s="9"/>
      <c r="C4045" s="2"/>
      <c r="D4045" s="2"/>
      <c r="I4045" s="9"/>
      <c r="J4045" s="2"/>
      <c r="L4045" s="9"/>
      <c r="M4045" s="2"/>
      <c r="N4045" s="9"/>
      <c r="P4045" s="3">
        <v>0</v>
      </c>
      <c r="S4045" s="9"/>
      <c r="T4045" s="2"/>
      <c r="U4045" s="9"/>
    </row>
    <row r="4046" spans="2:21" x14ac:dyDescent="0.35">
      <c r="B4046" s="9"/>
      <c r="C4046" s="2"/>
      <c r="D4046" s="2"/>
      <c r="I4046" s="9"/>
      <c r="J4046" s="2"/>
      <c r="L4046" s="9"/>
      <c r="M4046" s="2"/>
      <c r="N4046" s="9"/>
      <c r="P4046" s="3">
        <v>0</v>
      </c>
      <c r="S4046" s="9"/>
      <c r="T4046" s="2"/>
      <c r="U4046" s="9"/>
    </row>
    <row r="4047" spans="2:21" x14ac:dyDescent="0.35">
      <c r="B4047" s="9"/>
      <c r="C4047" s="2"/>
      <c r="D4047" s="2"/>
      <c r="I4047" s="9"/>
      <c r="J4047" s="2"/>
      <c r="L4047" s="9"/>
      <c r="M4047" s="2"/>
      <c r="N4047" s="9"/>
      <c r="P4047" s="3">
        <v>0</v>
      </c>
      <c r="S4047" s="9"/>
      <c r="T4047" s="2"/>
      <c r="U4047" s="9"/>
    </row>
    <row r="4048" spans="2:21" x14ac:dyDescent="0.35">
      <c r="B4048" s="9"/>
      <c r="C4048" s="2"/>
      <c r="D4048" s="2"/>
      <c r="I4048" s="9"/>
      <c r="J4048" s="2"/>
      <c r="L4048" s="9"/>
      <c r="M4048" s="2"/>
      <c r="N4048" s="9"/>
      <c r="P4048" s="3">
        <v>0</v>
      </c>
      <c r="S4048" s="9"/>
      <c r="T4048" s="2"/>
      <c r="U4048" s="9"/>
    </row>
    <row r="4049" spans="2:21" x14ac:dyDescent="0.35">
      <c r="B4049" s="9"/>
      <c r="C4049" s="2"/>
      <c r="D4049" s="2"/>
      <c r="I4049" s="9"/>
      <c r="J4049" s="2"/>
      <c r="L4049" s="9"/>
      <c r="M4049" s="2"/>
      <c r="N4049" s="9"/>
      <c r="P4049" s="3">
        <v>0</v>
      </c>
      <c r="S4049" s="9"/>
      <c r="T4049" s="2"/>
      <c r="U4049" s="9"/>
    </row>
    <row r="4050" spans="2:21" x14ac:dyDescent="0.35">
      <c r="B4050" s="9"/>
      <c r="C4050" s="2"/>
      <c r="D4050" s="2"/>
      <c r="I4050" s="9"/>
      <c r="J4050" s="2"/>
      <c r="L4050" s="9"/>
      <c r="M4050" s="2"/>
      <c r="N4050" s="9"/>
      <c r="P4050" s="3">
        <v>0</v>
      </c>
      <c r="S4050" s="9"/>
      <c r="T4050" s="2"/>
      <c r="U4050" s="9"/>
    </row>
    <row r="4051" spans="2:21" x14ac:dyDescent="0.35">
      <c r="B4051" s="9"/>
      <c r="C4051" s="2"/>
      <c r="D4051" s="2"/>
      <c r="I4051" s="9"/>
      <c r="J4051" s="2"/>
      <c r="L4051" s="9"/>
      <c r="M4051" s="2"/>
      <c r="N4051" s="9"/>
      <c r="P4051" s="3">
        <v>0</v>
      </c>
      <c r="S4051" s="9"/>
      <c r="T4051" s="2"/>
      <c r="U4051" s="9"/>
    </row>
    <row r="4052" spans="2:21" x14ac:dyDescent="0.35">
      <c r="B4052" s="9"/>
      <c r="C4052" s="2"/>
      <c r="D4052" s="2"/>
      <c r="I4052" s="9"/>
      <c r="J4052" s="2"/>
      <c r="L4052" s="9"/>
      <c r="M4052" s="2"/>
      <c r="N4052" s="9"/>
      <c r="P4052" s="3">
        <v>0</v>
      </c>
      <c r="S4052" s="9"/>
      <c r="T4052" s="2"/>
      <c r="U4052" s="9"/>
    </row>
    <row r="4053" spans="2:21" x14ac:dyDescent="0.35">
      <c r="B4053" s="9"/>
      <c r="C4053" s="2"/>
      <c r="D4053" s="2"/>
      <c r="I4053" s="9"/>
      <c r="J4053" s="2"/>
      <c r="L4053" s="9"/>
      <c r="M4053" s="2"/>
      <c r="N4053" s="9"/>
      <c r="P4053" s="3">
        <v>0</v>
      </c>
      <c r="S4053" s="9"/>
      <c r="T4053" s="2"/>
      <c r="U4053" s="9"/>
    </row>
    <row r="4054" spans="2:21" x14ac:dyDescent="0.35">
      <c r="B4054" s="9"/>
      <c r="C4054" s="2"/>
      <c r="D4054" s="2"/>
      <c r="I4054" s="9"/>
      <c r="J4054" s="2"/>
      <c r="L4054" s="9"/>
      <c r="M4054" s="2"/>
      <c r="N4054" s="9"/>
      <c r="P4054" s="3">
        <v>0</v>
      </c>
      <c r="S4054" s="9"/>
      <c r="T4054" s="2"/>
      <c r="U4054" s="9"/>
    </row>
    <row r="4055" spans="2:21" x14ac:dyDescent="0.35">
      <c r="B4055" s="9"/>
      <c r="C4055" s="2"/>
      <c r="D4055" s="2"/>
      <c r="I4055" s="9"/>
      <c r="J4055" s="2"/>
      <c r="L4055" s="9"/>
      <c r="M4055" s="2"/>
      <c r="N4055" s="9"/>
      <c r="P4055" s="3">
        <v>0</v>
      </c>
      <c r="S4055" s="9"/>
      <c r="T4055" s="2"/>
      <c r="U4055" s="9"/>
    </row>
    <row r="4056" spans="2:21" x14ac:dyDescent="0.35">
      <c r="B4056" s="9"/>
      <c r="C4056" s="2"/>
      <c r="D4056" s="2"/>
      <c r="I4056" s="9"/>
      <c r="J4056" s="2"/>
      <c r="L4056" s="9"/>
      <c r="M4056" s="2"/>
      <c r="N4056" s="9"/>
      <c r="P4056" s="3">
        <v>0</v>
      </c>
      <c r="S4056" s="9"/>
      <c r="T4056" s="2"/>
      <c r="U4056" s="9"/>
    </row>
    <row r="4057" spans="2:21" x14ac:dyDescent="0.35">
      <c r="B4057" s="9"/>
      <c r="C4057" s="2"/>
      <c r="D4057" s="2"/>
      <c r="I4057" s="9"/>
      <c r="J4057" s="2"/>
      <c r="L4057" s="9"/>
      <c r="M4057" s="2"/>
      <c r="N4057" s="9"/>
      <c r="P4057" s="3">
        <v>-86.487858860000003</v>
      </c>
      <c r="S4057" s="9"/>
      <c r="T4057" s="2"/>
      <c r="U4057" s="9"/>
    </row>
    <row r="4058" spans="2:21" x14ac:dyDescent="0.35">
      <c r="B4058" s="9"/>
      <c r="C4058" s="2"/>
      <c r="D4058" s="2"/>
      <c r="I4058" s="9"/>
      <c r="J4058" s="2"/>
      <c r="L4058" s="9"/>
      <c r="M4058" s="2"/>
      <c r="N4058" s="9"/>
      <c r="P4058" s="3">
        <v>-521.24785885999995</v>
      </c>
      <c r="S4058" s="9"/>
      <c r="T4058" s="2"/>
      <c r="U4058" s="9"/>
    </row>
    <row r="4059" spans="2:21" x14ac:dyDescent="0.35">
      <c r="B4059" s="9"/>
      <c r="C4059" s="2"/>
      <c r="D4059" s="2"/>
      <c r="I4059" s="9"/>
      <c r="J4059" s="2"/>
      <c r="L4059" s="9"/>
      <c r="M4059" s="2"/>
      <c r="N4059" s="9"/>
      <c r="P4059" s="3">
        <v>-956.00785886000006</v>
      </c>
      <c r="S4059" s="9"/>
      <c r="T4059" s="2"/>
      <c r="U4059" s="9"/>
    </row>
    <row r="4060" spans="2:21" x14ac:dyDescent="0.35">
      <c r="B4060" s="9"/>
      <c r="C4060" s="2"/>
      <c r="D4060" s="2"/>
      <c r="I4060" s="9"/>
      <c r="J4060" s="2"/>
      <c r="L4060" s="9"/>
      <c r="M4060" s="2"/>
      <c r="N4060" s="9"/>
      <c r="P4060" s="3">
        <v>-1390.7678588599999</v>
      </c>
      <c r="S4060" s="9"/>
      <c r="T4060" s="2"/>
      <c r="U4060" s="9"/>
    </row>
    <row r="4061" spans="2:21" x14ac:dyDescent="0.35">
      <c r="B4061" s="9"/>
      <c r="C4061" s="2"/>
      <c r="D4061" s="2"/>
      <c r="I4061" s="9"/>
      <c r="J4061" s="2"/>
      <c r="L4061" s="9"/>
      <c r="M4061" s="2"/>
      <c r="N4061" s="9"/>
      <c r="P4061" s="3">
        <v>-1154.2590488599999</v>
      </c>
      <c r="S4061" s="9"/>
      <c r="T4061" s="2"/>
      <c r="U4061" s="9"/>
    </row>
    <row r="4062" spans="2:21" x14ac:dyDescent="0.35">
      <c r="B4062" s="9"/>
      <c r="C4062" s="2"/>
      <c r="D4062" s="2"/>
      <c r="I4062" s="9"/>
      <c r="J4062" s="2"/>
      <c r="L4062" s="9"/>
      <c r="M4062" s="2"/>
      <c r="N4062" s="9"/>
      <c r="P4062" s="3">
        <v>-832.23996885999998</v>
      </c>
      <c r="S4062" s="9"/>
      <c r="T4062" s="2"/>
      <c r="U4062" s="9"/>
    </row>
    <row r="4063" spans="2:21" x14ac:dyDescent="0.35">
      <c r="B4063" s="9"/>
      <c r="C4063" s="2"/>
      <c r="D4063" s="2"/>
      <c r="I4063" s="9"/>
      <c r="J4063" s="2"/>
      <c r="L4063" s="9"/>
      <c r="M4063" s="2"/>
      <c r="N4063" s="9"/>
      <c r="P4063" s="3">
        <v>-662.15307886000005</v>
      </c>
      <c r="S4063" s="9"/>
      <c r="T4063" s="2"/>
      <c r="U4063" s="9"/>
    </row>
    <row r="4064" spans="2:21" x14ac:dyDescent="0.35">
      <c r="B4064" s="9"/>
      <c r="C4064" s="2"/>
      <c r="D4064" s="2"/>
      <c r="I4064" s="9"/>
      <c r="J4064" s="2"/>
      <c r="L4064" s="9"/>
      <c r="M4064" s="2"/>
      <c r="N4064" s="9"/>
      <c r="P4064" s="3">
        <v>-558.62158885999997</v>
      </c>
      <c r="S4064" s="9"/>
      <c r="T4064" s="2"/>
      <c r="U4064" s="9"/>
    </row>
    <row r="4065" spans="2:21" x14ac:dyDescent="0.35">
      <c r="B4065" s="9"/>
      <c r="C4065" s="2"/>
      <c r="D4065" s="2"/>
      <c r="I4065" s="9"/>
      <c r="J4065" s="2"/>
      <c r="L4065" s="9"/>
      <c r="M4065" s="2"/>
      <c r="N4065" s="9"/>
      <c r="P4065" s="3">
        <v>-447.40150885999998</v>
      </c>
      <c r="S4065" s="9"/>
      <c r="T4065" s="2"/>
      <c r="U4065" s="9"/>
    </row>
    <row r="4066" spans="2:21" x14ac:dyDescent="0.35">
      <c r="B4066" s="9"/>
      <c r="C4066" s="2"/>
      <c r="D4066" s="2"/>
      <c r="I4066" s="9"/>
      <c r="J4066" s="2"/>
      <c r="L4066" s="9"/>
      <c r="M4066" s="2"/>
      <c r="N4066" s="9"/>
      <c r="P4066" s="3">
        <v>-380.56707885999998</v>
      </c>
      <c r="S4066" s="9"/>
      <c r="T4066" s="2"/>
      <c r="U4066" s="9"/>
    </row>
    <row r="4067" spans="2:21" x14ac:dyDescent="0.35">
      <c r="B4067" s="9"/>
      <c r="C4067" s="2"/>
      <c r="D4067" s="2"/>
      <c r="I4067" s="9"/>
      <c r="J4067" s="2"/>
      <c r="L4067" s="9"/>
      <c r="M4067" s="2"/>
      <c r="N4067" s="9"/>
      <c r="P4067" s="3">
        <v>-267.59623238</v>
      </c>
      <c r="S4067" s="9"/>
      <c r="T4067" s="2"/>
      <c r="U4067" s="9"/>
    </row>
    <row r="4068" spans="2:21" x14ac:dyDescent="0.35">
      <c r="B4068" s="9"/>
      <c r="C4068" s="2"/>
      <c r="D4068" s="2"/>
      <c r="I4068" s="9"/>
      <c r="J4068" s="2"/>
      <c r="L4068" s="9"/>
      <c r="M4068" s="2"/>
      <c r="N4068" s="9"/>
      <c r="P4068" s="3">
        <v>-256.00912590000002</v>
      </c>
      <c r="S4068" s="9"/>
      <c r="T4068" s="2"/>
      <c r="U4068" s="9"/>
    </row>
    <row r="4069" spans="2:21" x14ac:dyDescent="0.35">
      <c r="B4069" s="9"/>
      <c r="C4069" s="2"/>
      <c r="D4069" s="2"/>
      <c r="I4069" s="9"/>
      <c r="J4069" s="2"/>
      <c r="L4069" s="9"/>
      <c r="M4069" s="2"/>
      <c r="N4069" s="9"/>
      <c r="P4069" s="3">
        <v>-690.76912589999995</v>
      </c>
      <c r="S4069" s="9"/>
      <c r="T4069" s="2"/>
      <c r="U4069" s="9"/>
    </row>
    <row r="4070" spans="2:21" x14ac:dyDescent="0.35">
      <c r="B4070" s="9"/>
      <c r="C4070" s="2"/>
      <c r="D4070" s="2"/>
      <c r="I4070" s="9"/>
      <c r="J4070" s="2"/>
      <c r="L4070" s="9"/>
      <c r="M4070" s="2"/>
      <c r="N4070" s="9"/>
      <c r="P4070" s="3">
        <v>-1125.5291259000001</v>
      </c>
      <c r="S4070" s="9"/>
      <c r="T4070" s="2"/>
      <c r="U4070" s="9"/>
    </row>
    <row r="4071" spans="2:21" x14ac:dyDescent="0.35">
      <c r="B4071" s="9"/>
      <c r="C4071" s="2"/>
      <c r="D4071" s="2"/>
      <c r="I4071" s="9"/>
      <c r="J4071" s="2"/>
      <c r="L4071" s="9"/>
      <c r="M4071" s="2"/>
      <c r="N4071" s="9"/>
      <c r="P4071" s="3">
        <v>-1336.6371055100001</v>
      </c>
      <c r="S4071" s="9"/>
      <c r="T4071" s="2"/>
      <c r="U4071" s="9"/>
    </row>
    <row r="4072" spans="2:21" x14ac:dyDescent="0.35">
      <c r="B4072" s="9"/>
      <c r="C4072" s="2"/>
      <c r="D4072" s="2"/>
      <c r="I4072" s="9"/>
      <c r="J4072" s="2"/>
      <c r="L4072" s="9"/>
      <c r="M4072" s="2"/>
      <c r="N4072" s="9"/>
      <c r="P4072" s="3">
        <v>-901.87710550999998</v>
      </c>
      <c r="S4072" s="9"/>
      <c r="T4072" s="2"/>
      <c r="U4072" s="9"/>
    </row>
    <row r="4073" spans="2:21" x14ac:dyDescent="0.35">
      <c r="B4073" s="9"/>
      <c r="C4073" s="2"/>
      <c r="D4073" s="2"/>
      <c r="I4073" s="9"/>
      <c r="J4073" s="2"/>
      <c r="L4073" s="9"/>
      <c r="M4073" s="2"/>
      <c r="N4073" s="9"/>
      <c r="P4073" s="3">
        <v>-467.11710550999999</v>
      </c>
      <c r="S4073" s="9"/>
      <c r="T4073" s="2"/>
      <c r="U4073" s="9"/>
    </row>
    <row r="4074" spans="2:21" x14ac:dyDescent="0.35">
      <c r="B4074" s="9"/>
      <c r="C4074" s="2"/>
      <c r="D4074" s="2"/>
      <c r="I4074" s="9"/>
      <c r="J4074" s="2"/>
      <c r="L4074" s="9"/>
      <c r="M4074" s="2"/>
      <c r="N4074" s="9"/>
      <c r="P4074" s="3">
        <v>-251.60949199999999</v>
      </c>
      <c r="S4074" s="9"/>
      <c r="T4074" s="2"/>
      <c r="U4074" s="9"/>
    </row>
    <row r="4075" spans="2:21" x14ac:dyDescent="0.35">
      <c r="B4075" s="9"/>
      <c r="C4075" s="2"/>
      <c r="D4075" s="2"/>
      <c r="I4075" s="9"/>
      <c r="J4075" s="2"/>
      <c r="L4075" s="9"/>
      <c r="M4075" s="2"/>
      <c r="N4075" s="9"/>
      <c r="P4075" s="3">
        <v>-686.36949200000004</v>
      </c>
      <c r="S4075" s="9"/>
      <c r="T4075" s="2"/>
      <c r="U4075" s="9"/>
    </row>
    <row r="4076" spans="2:21" x14ac:dyDescent="0.35">
      <c r="B4076" s="9"/>
      <c r="C4076" s="2"/>
      <c r="D4076" s="2"/>
      <c r="I4076" s="9"/>
      <c r="J4076" s="2"/>
      <c r="L4076" s="9"/>
      <c r="M4076" s="2"/>
      <c r="N4076" s="9"/>
      <c r="P4076" s="3">
        <v>-1121.129492</v>
      </c>
      <c r="S4076" s="9"/>
      <c r="T4076" s="2"/>
      <c r="U4076" s="9"/>
    </row>
    <row r="4077" spans="2:21" x14ac:dyDescent="0.35">
      <c r="B4077" s="9"/>
      <c r="C4077" s="2"/>
      <c r="D4077" s="2"/>
      <c r="I4077" s="9"/>
      <c r="J4077" s="2"/>
      <c r="L4077" s="9"/>
      <c r="M4077" s="2"/>
      <c r="N4077" s="9"/>
      <c r="P4077" s="3">
        <v>-1555.889492</v>
      </c>
      <c r="S4077" s="9"/>
      <c r="T4077" s="2"/>
      <c r="U4077" s="9"/>
    </row>
    <row r="4078" spans="2:21" x14ac:dyDescent="0.35">
      <c r="B4078" s="9"/>
      <c r="C4078" s="2"/>
      <c r="D4078" s="2"/>
      <c r="I4078" s="9"/>
      <c r="J4078" s="2"/>
      <c r="L4078" s="9"/>
      <c r="M4078" s="2"/>
      <c r="N4078" s="9"/>
      <c r="P4078" s="3">
        <v>-1990.649492</v>
      </c>
      <c r="S4078" s="9"/>
      <c r="T4078" s="2"/>
      <c r="U4078" s="9"/>
    </row>
    <row r="4079" spans="2:21" x14ac:dyDescent="0.35">
      <c r="B4079" s="9"/>
      <c r="C4079" s="2"/>
      <c r="D4079" s="2"/>
      <c r="I4079" s="9"/>
      <c r="J4079" s="2"/>
      <c r="L4079" s="9"/>
      <c r="M4079" s="2"/>
      <c r="N4079" s="9"/>
      <c r="P4079" s="3">
        <v>-2425.4094919999998</v>
      </c>
      <c r="S4079" s="9"/>
      <c r="T4079" s="2"/>
      <c r="U4079" s="9"/>
    </row>
    <row r="4080" spans="2:21" x14ac:dyDescent="0.35">
      <c r="B4080" s="9"/>
      <c r="C4080" s="2"/>
      <c r="D4080" s="2"/>
      <c r="I4080" s="9"/>
      <c r="J4080" s="2"/>
      <c r="L4080" s="9"/>
      <c r="M4080" s="2"/>
      <c r="N4080" s="9"/>
      <c r="P4080" s="3">
        <v>-2860.169492</v>
      </c>
      <c r="S4080" s="9"/>
      <c r="T4080" s="2"/>
      <c r="U4080" s="9"/>
    </row>
    <row r="4081" spans="2:21" x14ac:dyDescent="0.35">
      <c r="B4081" s="9"/>
      <c r="C4081" s="2"/>
      <c r="D4081" s="2"/>
      <c r="I4081" s="9"/>
      <c r="J4081" s="2"/>
      <c r="L4081" s="9"/>
      <c r="M4081" s="2"/>
      <c r="N4081" s="9"/>
      <c r="P4081" s="3">
        <v>-2860.169492</v>
      </c>
      <c r="S4081" s="9"/>
      <c r="T4081" s="2"/>
      <c r="U4081" s="9"/>
    </row>
    <row r="4082" spans="2:21" x14ac:dyDescent="0.35">
      <c r="B4082" s="9"/>
      <c r="C4082" s="2"/>
      <c r="D4082" s="2"/>
      <c r="I4082" s="9"/>
      <c r="J4082" s="2"/>
      <c r="L4082" s="9"/>
      <c r="M4082" s="2"/>
      <c r="N4082" s="9"/>
      <c r="P4082" s="3">
        <v>-2701.8337282299999</v>
      </c>
      <c r="S4082" s="9"/>
      <c r="T4082" s="2"/>
      <c r="U4082" s="9"/>
    </row>
    <row r="4083" spans="2:21" x14ac:dyDescent="0.35">
      <c r="B4083" s="9"/>
      <c r="C4083" s="2"/>
      <c r="D4083" s="2"/>
      <c r="I4083" s="9"/>
      <c r="J4083" s="2"/>
      <c r="L4083" s="9"/>
      <c r="M4083" s="2"/>
      <c r="N4083" s="9"/>
      <c r="P4083" s="3">
        <v>-2689.0489085999998</v>
      </c>
      <c r="S4083" s="9"/>
      <c r="T4083" s="2"/>
      <c r="U4083" s="9"/>
    </row>
    <row r="4084" spans="2:21" x14ac:dyDescent="0.35">
      <c r="B4084" s="9"/>
      <c r="C4084" s="2"/>
      <c r="D4084" s="2"/>
      <c r="I4084" s="9"/>
      <c r="J4084" s="2"/>
      <c r="L4084" s="9"/>
      <c r="M4084" s="2"/>
      <c r="N4084" s="9"/>
      <c r="P4084" s="3">
        <v>-2271.3971888599999</v>
      </c>
      <c r="S4084" s="9"/>
      <c r="T4084" s="2"/>
      <c r="U4084" s="9"/>
    </row>
    <row r="4085" spans="2:21" x14ac:dyDescent="0.35">
      <c r="B4085" s="9"/>
      <c r="C4085" s="2"/>
      <c r="D4085" s="2"/>
      <c r="I4085" s="9"/>
      <c r="J4085" s="2"/>
      <c r="L4085" s="9"/>
      <c r="M4085" s="2"/>
      <c r="N4085" s="9"/>
      <c r="P4085" s="3">
        <v>-2081.1044088600001</v>
      </c>
      <c r="S4085" s="9"/>
      <c r="T4085" s="2"/>
      <c r="U4085" s="9"/>
    </row>
    <row r="4086" spans="2:21" x14ac:dyDescent="0.35">
      <c r="B4086" s="9"/>
      <c r="C4086" s="2"/>
      <c r="D4086" s="2"/>
      <c r="I4086" s="9"/>
      <c r="J4086" s="2"/>
      <c r="L4086" s="9"/>
      <c r="M4086" s="2"/>
      <c r="N4086" s="9"/>
      <c r="P4086" s="3">
        <v>-1795.5282088599999</v>
      </c>
      <c r="S4086" s="9"/>
      <c r="T4086" s="2"/>
      <c r="U4086" s="9"/>
    </row>
    <row r="4087" spans="2:21" x14ac:dyDescent="0.35">
      <c r="B4087" s="9"/>
      <c r="C4087" s="2"/>
      <c r="D4087" s="2"/>
      <c r="I4087" s="9"/>
      <c r="J4087" s="2"/>
      <c r="L4087" s="9"/>
      <c r="M4087" s="2"/>
      <c r="N4087" s="9"/>
      <c r="P4087" s="3">
        <v>-1636.1381788599999</v>
      </c>
      <c r="S4087" s="9"/>
      <c r="T4087" s="2"/>
      <c r="U4087" s="9"/>
    </row>
    <row r="4088" spans="2:21" x14ac:dyDescent="0.35">
      <c r="B4088" s="9"/>
      <c r="C4088" s="2"/>
      <c r="D4088" s="2"/>
      <c r="I4088" s="9"/>
      <c r="J4088" s="2"/>
      <c r="L4088" s="9"/>
      <c r="M4088" s="2"/>
      <c r="N4088" s="9"/>
      <c r="P4088" s="3">
        <v>-1584.1519788600001</v>
      </c>
      <c r="S4088" s="9"/>
      <c r="T4088" s="2"/>
      <c r="U4088" s="9"/>
    </row>
    <row r="4089" spans="2:21" x14ac:dyDescent="0.35">
      <c r="B4089" s="9"/>
      <c r="C4089" s="2"/>
      <c r="D4089" s="2"/>
      <c r="I4089" s="9"/>
      <c r="J4089" s="2"/>
      <c r="L4089" s="9"/>
      <c r="M4089" s="2"/>
      <c r="N4089" s="9"/>
      <c r="P4089" s="3">
        <v>-1622.0652688600001</v>
      </c>
      <c r="S4089" s="9"/>
      <c r="T4089" s="2"/>
      <c r="U4089" s="9"/>
    </row>
    <row r="4090" spans="2:21" x14ac:dyDescent="0.35">
      <c r="B4090" s="9"/>
      <c r="C4090" s="2"/>
      <c r="D4090" s="2"/>
      <c r="I4090" s="9"/>
      <c r="J4090" s="2"/>
      <c r="L4090" s="9"/>
      <c r="M4090" s="2"/>
      <c r="N4090" s="9"/>
      <c r="P4090" s="3">
        <v>-1726.7831688599999</v>
      </c>
      <c r="S4090" s="9"/>
      <c r="T4090" s="2"/>
      <c r="U4090" s="9"/>
    </row>
    <row r="4091" spans="2:21" x14ac:dyDescent="0.35">
      <c r="B4091" s="9"/>
      <c r="C4091" s="2"/>
      <c r="D4091" s="2"/>
      <c r="I4091" s="9"/>
      <c r="J4091" s="2"/>
      <c r="L4091" s="9"/>
      <c r="M4091" s="2"/>
      <c r="N4091" s="9"/>
      <c r="P4091" s="3">
        <v>-1763.7302423799999</v>
      </c>
      <c r="S4091" s="9"/>
      <c r="T4091" s="2"/>
      <c r="U4091" s="9"/>
    </row>
    <row r="4092" spans="2:21" x14ac:dyDescent="0.35">
      <c r="B4092" s="9"/>
      <c r="C4092" s="2"/>
      <c r="D4092" s="2"/>
      <c r="I4092" s="9"/>
      <c r="J4092" s="2"/>
      <c r="L4092" s="9"/>
      <c r="M4092" s="2"/>
      <c r="N4092" s="9"/>
      <c r="P4092" s="3">
        <v>-1771.5034158999999</v>
      </c>
      <c r="S4092" s="9"/>
      <c r="T4092" s="2"/>
      <c r="U4092" s="9"/>
    </row>
    <row r="4093" spans="2:21" x14ac:dyDescent="0.35">
      <c r="B4093" s="9"/>
      <c r="C4093" s="2"/>
      <c r="D4093" s="2"/>
      <c r="I4093" s="9"/>
      <c r="J4093" s="2"/>
      <c r="L4093" s="9"/>
      <c r="M4093" s="2"/>
      <c r="N4093" s="9"/>
      <c r="P4093" s="3">
        <v>-2206.2634158999999</v>
      </c>
      <c r="S4093" s="9"/>
      <c r="T4093" s="2"/>
      <c r="U4093" s="9"/>
    </row>
    <row r="4094" spans="2:21" x14ac:dyDescent="0.35">
      <c r="B4094" s="9"/>
      <c r="C4094" s="2"/>
      <c r="D4094" s="2"/>
      <c r="I4094" s="9"/>
      <c r="J4094" s="2"/>
      <c r="L4094" s="9"/>
      <c r="M4094" s="2"/>
      <c r="N4094" s="9"/>
      <c r="P4094" s="3">
        <v>-2641.0234159000001</v>
      </c>
      <c r="S4094" s="9"/>
      <c r="T4094" s="2"/>
      <c r="U4094" s="9"/>
    </row>
    <row r="4095" spans="2:21" x14ac:dyDescent="0.35">
      <c r="B4095" s="9"/>
      <c r="C4095" s="2"/>
      <c r="D4095" s="2"/>
      <c r="I4095" s="9"/>
      <c r="J4095" s="2"/>
      <c r="L4095" s="9"/>
      <c r="M4095" s="2"/>
      <c r="N4095" s="9"/>
      <c r="P4095" s="3">
        <v>-2206.2634158999999</v>
      </c>
      <c r="S4095" s="9"/>
      <c r="T4095" s="2"/>
      <c r="U4095" s="9"/>
    </row>
    <row r="4096" spans="2:21" x14ac:dyDescent="0.35">
      <c r="B4096" s="9"/>
      <c r="C4096" s="2"/>
      <c r="D4096" s="2"/>
      <c r="I4096" s="9"/>
      <c r="J4096" s="2"/>
      <c r="L4096" s="9"/>
      <c r="M4096" s="2"/>
      <c r="N4096" s="9"/>
      <c r="P4096" s="3">
        <v>-1771.5034158999999</v>
      </c>
      <c r="S4096" s="9"/>
      <c r="T4096" s="2"/>
      <c r="U4096" s="9"/>
    </row>
    <row r="4097" spans="2:21" x14ac:dyDescent="0.35">
      <c r="B4097" s="9"/>
      <c r="C4097" s="2"/>
      <c r="D4097" s="2"/>
      <c r="I4097" s="9"/>
      <c r="J4097" s="2"/>
      <c r="L4097" s="9"/>
      <c r="M4097" s="2"/>
      <c r="N4097" s="9"/>
      <c r="P4097" s="3">
        <v>-1336.7434158999999</v>
      </c>
      <c r="S4097" s="9"/>
      <c r="T4097" s="2"/>
      <c r="U4097" s="9"/>
    </row>
    <row r="4098" spans="2:21" x14ac:dyDescent="0.35">
      <c r="B4098" s="9"/>
      <c r="C4098" s="2"/>
      <c r="D4098" s="2"/>
      <c r="I4098" s="9"/>
      <c r="J4098" s="2"/>
      <c r="L4098" s="9"/>
      <c r="M4098" s="2"/>
      <c r="N4098" s="9"/>
      <c r="P4098" s="3">
        <v>-901.98341589999995</v>
      </c>
      <c r="S4098" s="9"/>
      <c r="T4098" s="2"/>
      <c r="U4098" s="9"/>
    </row>
    <row r="4099" spans="2:21" x14ac:dyDescent="0.35">
      <c r="B4099" s="9"/>
      <c r="C4099" s="2"/>
      <c r="D4099" s="2"/>
      <c r="I4099" s="9"/>
      <c r="J4099" s="2"/>
      <c r="L4099" s="9"/>
      <c r="M4099" s="2"/>
      <c r="N4099" s="9"/>
      <c r="P4099" s="3">
        <v>-467.22341590000002</v>
      </c>
      <c r="S4099" s="9"/>
      <c r="T4099" s="2"/>
      <c r="U4099" s="9"/>
    </row>
    <row r="4100" spans="2:21" x14ac:dyDescent="0.35">
      <c r="B4100" s="9"/>
      <c r="C4100" s="2"/>
      <c r="D4100" s="2"/>
      <c r="I4100" s="9"/>
      <c r="J4100" s="2"/>
      <c r="L4100" s="9"/>
      <c r="M4100" s="2"/>
      <c r="N4100" s="9"/>
      <c r="P4100" s="3">
        <v>-686.36949200000004</v>
      </c>
      <c r="S4100" s="9"/>
      <c r="T4100" s="2"/>
      <c r="U4100" s="9"/>
    </row>
    <row r="4101" spans="2:21" x14ac:dyDescent="0.35">
      <c r="B4101" s="9"/>
      <c r="C4101" s="2"/>
      <c r="D4101" s="2"/>
      <c r="I4101" s="9"/>
      <c r="J4101" s="2"/>
      <c r="L4101" s="9"/>
      <c r="M4101" s="2"/>
      <c r="N4101" s="9"/>
      <c r="P4101" s="3">
        <v>-1121.129492</v>
      </c>
      <c r="S4101" s="9"/>
      <c r="T4101" s="2"/>
      <c r="U4101" s="9"/>
    </row>
    <row r="4102" spans="2:21" x14ac:dyDescent="0.35">
      <c r="B4102" s="9"/>
      <c r="C4102" s="2"/>
      <c r="D4102" s="2"/>
      <c r="I4102" s="9"/>
      <c r="J4102" s="2"/>
      <c r="L4102" s="9"/>
      <c r="M4102" s="2"/>
      <c r="N4102" s="9"/>
      <c r="P4102" s="3">
        <v>-1555.889492</v>
      </c>
      <c r="S4102" s="9"/>
      <c r="T4102" s="2"/>
      <c r="U4102" s="9"/>
    </row>
    <row r="4103" spans="2:21" x14ac:dyDescent="0.35">
      <c r="B4103" s="9"/>
      <c r="C4103" s="2"/>
      <c r="D4103" s="2"/>
      <c r="I4103" s="9"/>
      <c r="J4103" s="2"/>
      <c r="L4103" s="9"/>
      <c r="M4103" s="2"/>
      <c r="N4103" s="9"/>
      <c r="P4103" s="3">
        <v>-1990.649492</v>
      </c>
      <c r="S4103" s="9"/>
      <c r="T4103" s="2"/>
      <c r="U4103" s="9"/>
    </row>
    <row r="4104" spans="2:21" x14ac:dyDescent="0.35">
      <c r="B4104" s="9"/>
      <c r="C4104" s="2"/>
      <c r="D4104" s="2"/>
      <c r="I4104" s="9"/>
      <c r="J4104" s="2"/>
      <c r="L4104" s="9"/>
      <c r="M4104" s="2"/>
      <c r="N4104" s="9"/>
      <c r="P4104" s="3">
        <v>-2425.4094919999998</v>
      </c>
      <c r="S4104" s="9"/>
      <c r="T4104" s="2"/>
      <c r="U4104" s="9"/>
    </row>
    <row r="4105" spans="2:21" x14ac:dyDescent="0.35">
      <c r="B4105" s="9"/>
      <c r="C4105" s="2"/>
      <c r="D4105" s="2"/>
      <c r="I4105" s="9"/>
      <c r="J4105" s="2"/>
      <c r="L4105" s="9"/>
      <c r="M4105" s="2"/>
      <c r="N4105" s="9"/>
      <c r="P4105" s="3">
        <v>-2860.169492</v>
      </c>
      <c r="S4105" s="9"/>
      <c r="T4105" s="2"/>
      <c r="U4105" s="9"/>
    </row>
    <row r="4106" spans="2:21" x14ac:dyDescent="0.35">
      <c r="B4106" s="9"/>
      <c r="C4106" s="2"/>
      <c r="D4106" s="2"/>
      <c r="I4106" s="9"/>
      <c r="J4106" s="2"/>
      <c r="L4106" s="9"/>
      <c r="M4106" s="2"/>
      <c r="N4106" s="9"/>
      <c r="P4106" s="3">
        <v>-2438.6033582300001</v>
      </c>
      <c r="S4106" s="9"/>
      <c r="T4106" s="2"/>
      <c r="U4106" s="9"/>
    </row>
    <row r="4107" spans="2:21" x14ac:dyDescent="0.35">
      <c r="B4107" s="9"/>
      <c r="C4107" s="2"/>
      <c r="D4107" s="2"/>
      <c r="I4107" s="9"/>
      <c r="J4107" s="2"/>
      <c r="L4107" s="9"/>
      <c r="M4107" s="2"/>
      <c r="N4107" s="9"/>
      <c r="P4107" s="3">
        <v>-2162.1550686</v>
      </c>
      <c r="S4107" s="9"/>
      <c r="T4107" s="2"/>
      <c r="U4107" s="9"/>
    </row>
    <row r="4108" spans="2:21" x14ac:dyDescent="0.35">
      <c r="B4108" s="9"/>
      <c r="C4108" s="2"/>
      <c r="D4108" s="2"/>
      <c r="I4108" s="9"/>
      <c r="J4108" s="2"/>
      <c r="L4108" s="9"/>
      <c r="M4108" s="2"/>
      <c r="N4108" s="9"/>
      <c r="P4108" s="3">
        <v>-1860.34907886</v>
      </c>
      <c r="S4108" s="9"/>
      <c r="T4108" s="2"/>
      <c r="U4108" s="9"/>
    </row>
    <row r="4109" spans="2:21" x14ac:dyDescent="0.35">
      <c r="B4109" s="9"/>
      <c r="C4109" s="2"/>
      <c r="D4109" s="2"/>
      <c r="I4109" s="9"/>
      <c r="J4109" s="2"/>
      <c r="L4109" s="9"/>
      <c r="M4109" s="2"/>
      <c r="N4109" s="9"/>
      <c r="P4109" s="3">
        <v>-1687.58193886</v>
      </c>
      <c r="S4109" s="9"/>
      <c r="T4109" s="2"/>
      <c r="U4109" s="9"/>
    </row>
    <row r="4110" spans="2:21" x14ac:dyDescent="0.35">
      <c r="B4110" s="9"/>
      <c r="C4110" s="2"/>
      <c r="D4110" s="2"/>
      <c r="I4110" s="9"/>
      <c r="J4110" s="2"/>
      <c r="L4110" s="9"/>
      <c r="M4110" s="2"/>
      <c r="N4110" s="9"/>
      <c r="P4110" s="3">
        <v>-1512.89282886</v>
      </c>
      <c r="S4110" s="9"/>
      <c r="T4110" s="2"/>
      <c r="U4110" s="9"/>
    </row>
    <row r="4111" spans="2:21" x14ac:dyDescent="0.35">
      <c r="B4111" s="9"/>
      <c r="C4111" s="2"/>
      <c r="D4111" s="2"/>
      <c r="I4111" s="9"/>
      <c r="J4111" s="2"/>
      <c r="L4111" s="9"/>
      <c r="M4111" s="2"/>
      <c r="N4111" s="9"/>
      <c r="P4111" s="3">
        <v>-1413.03629886</v>
      </c>
      <c r="S4111" s="9"/>
      <c r="T4111" s="2"/>
      <c r="U4111" s="9"/>
    </row>
    <row r="4112" spans="2:21" x14ac:dyDescent="0.35">
      <c r="B4112" s="9"/>
      <c r="C4112" s="2"/>
      <c r="D4112" s="2"/>
      <c r="I4112" s="9"/>
      <c r="J4112" s="2"/>
      <c r="L4112" s="9"/>
      <c r="M4112" s="2"/>
      <c r="N4112" s="9"/>
      <c r="P4112" s="3">
        <v>-1352.58547886</v>
      </c>
      <c r="S4112" s="9"/>
      <c r="T4112" s="2"/>
      <c r="U4112" s="9"/>
    </row>
    <row r="4113" spans="2:21" x14ac:dyDescent="0.35">
      <c r="B4113" s="9"/>
      <c r="C4113" s="2"/>
      <c r="D4113" s="2"/>
      <c r="I4113" s="9"/>
      <c r="J4113" s="2"/>
      <c r="L4113" s="9"/>
      <c r="M4113" s="2"/>
      <c r="N4113" s="9"/>
      <c r="P4113" s="3">
        <v>-1310.11895886</v>
      </c>
      <c r="S4113" s="9"/>
      <c r="T4113" s="2"/>
      <c r="U4113" s="9"/>
    </row>
    <row r="4114" spans="2:21" x14ac:dyDescent="0.35">
      <c r="B4114" s="9"/>
      <c r="C4114" s="2"/>
      <c r="D4114" s="2"/>
      <c r="I4114" s="9"/>
      <c r="J4114" s="2"/>
      <c r="L4114" s="9"/>
      <c r="M4114" s="2"/>
      <c r="N4114" s="9"/>
      <c r="P4114" s="3">
        <v>-1290.47254886</v>
      </c>
      <c r="S4114" s="9"/>
      <c r="T4114" s="2"/>
      <c r="U4114" s="9"/>
    </row>
    <row r="4115" spans="2:21" x14ac:dyDescent="0.35">
      <c r="B4115" s="9"/>
      <c r="C4115" s="2"/>
      <c r="D4115" s="2"/>
      <c r="I4115" s="9"/>
      <c r="J4115" s="2"/>
      <c r="L4115" s="9"/>
      <c r="M4115" s="2"/>
      <c r="N4115" s="9"/>
      <c r="P4115" s="3">
        <v>-1088.6977423799999</v>
      </c>
      <c r="S4115" s="9"/>
      <c r="T4115" s="2"/>
      <c r="U4115" s="9"/>
    </row>
    <row r="4116" spans="2:21" x14ac:dyDescent="0.35">
      <c r="B4116" s="9"/>
      <c r="C4116" s="2"/>
      <c r="D4116" s="2"/>
      <c r="I4116" s="9"/>
      <c r="J4116" s="2"/>
      <c r="L4116" s="9"/>
      <c r="M4116" s="2"/>
      <c r="N4116" s="9"/>
      <c r="P4116" s="3">
        <v>-1004.0360159000001</v>
      </c>
      <c r="S4116" s="9"/>
      <c r="T4116" s="2"/>
      <c r="U4116" s="9"/>
    </row>
    <row r="4117" spans="2:21" x14ac:dyDescent="0.35">
      <c r="B4117" s="9"/>
      <c r="C4117" s="2"/>
      <c r="D4117" s="2"/>
      <c r="I4117" s="9"/>
      <c r="J4117" s="2"/>
      <c r="L4117" s="9"/>
      <c r="M4117" s="2"/>
      <c r="N4117" s="9"/>
      <c r="P4117" s="3">
        <v>-1438.7960158999999</v>
      </c>
      <c r="S4117" s="9"/>
      <c r="T4117" s="2"/>
      <c r="U4117" s="9"/>
    </row>
    <row r="4118" spans="2:21" x14ac:dyDescent="0.35">
      <c r="B4118" s="9"/>
      <c r="C4118" s="2"/>
      <c r="D4118" s="2"/>
      <c r="I4118" s="9"/>
      <c r="J4118" s="2"/>
      <c r="L4118" s="9"/>
      <c r="M4118" s="2"/>
      <c r="N4118" s="9"/>
      <c r="P4118" s="3">
        <v>-1873.5560158999999</v>
      </c>
      <c r="S4118" s="9"/>
      <c r="T4118" s="2"/>
      <c r="U4118" s="9"/>
    </row>
    <row r="4119" spans="2:21" x14ac:dyDescent="0.35">
      <c r="B4119" s="9"/>
      <c r="C4119" s="2"/>
      <c r="D4119" s="2"/>
      <c r="I4119" s="9"/>
      <c r="J4119" s="2"/>
      <c r="L4119" s="9"/>
      <c r="M4119" s="2"/>
      <c r="N4119" s="9"/>
      <c r="P4119" s="3">
        <v>-1438.7960158999999</v>
      </c>
      <c r="S4119" s="9"/>
      <c r="T4119" s="2"/>
      <c r="U4119" s="9"/>
    </row>
    <row r="4120" spans="2:21" x14ac:dyDescent="0.35">
      <c r="B4120" s="9"/>
      <c r="C4120" s="2"/>
      <c r="D4120" s="2"/>
      <c r="I4120" s="9"/>
      <c r="J4120" s="2"/>
      <c r="L4120" s="9"/>
      <c r="M4120" s="2"/>
      <c r="N4120" s="9"/>
      <c r="P4120" s="3">
        <v>-1004.0360159000001</v>
      </c>
      <c r="S4120" s="9"/>
      <c r="T4120" s="2"/>
      <c r="U4120" s="9"/>
    </row>
    <row r="4121" spans="2:21" x14ac:dyDescent="0.35">
      <c r="B4121" s="9"/>
      <c r="C4121" s="2"/>
      <c r="D4121" s="2"/>
      <c r="I4121" s="9"/>
      <c r="J4121" s="2"/>
      <c r="L4121" s="9"/>
      <c r="M4121" s="2"/>
      <c r="N4121" s="9"/>
      <c r="P4121" s="3">
        <v>-569.27601589999995</v>
      </c>
      <c r="S4121" s="9"/>
      <c r="T4121" s="2"/>
      <c r="U4121" s="9"/>
    </row>
    <row r="4122" spans="2:21" x14ac:dyDescent="0.35">
      <c r="B4122" s="9"/>
      <c r="C4122" s="2"/>
      <c r="D4122" s="2"/>
      <c r="I4122" s="9"/>
      <c r="J4122" s="2"/>
      <c r="L4122" s="9"/>
      <c r="M4122" s="2"/>
      <c r="N4122" s="9"/>
      <c r="P4122" s="3">
        <v>-134.51601590000001</v>
      </c>
      <c r="S4122" s="9"/>
      <c r="T4122" s="2"/>
      <c r="U4122" s="9"/>
    </row>
    <row r="4123" spans="2:21" x14ac:dyDescent="0.35">
      <c r="B4123" s="9"/>
      <c r="C4123" s="2"/>
      <c r="D4123" s="2"/>
      <c r="I4123" s="9"/>
      <c r="J4123" s="2"/>
      <c r="L4123" s="9"/>
      <c r="M4123" s="2"/>
      <c r="N4123" s="9"/>
      <c r="P4123" s="3">
        <v>-251.60949199999999</v>
      </c>
      <c r="S4123" s="9"/>
      <c r="T4123" s="2"/>
      <c r="U4123" s="9"/>
    </row>
    <row r="4124" spans="2:21" x14ac:dyDescent="0.35">
      <c r="B4124" s="9"/>
      <c r="C4124" s="2"/>
      <c r="D4124" s="2"/>
      <c r="I4124" s="9"/>
      <c r="J4124" s="2"/>
      <c r="L4124" s="9"/>
      <c r="M4124" s="2"/>
      <c r="N4124" s="9"/>
      <c r="P4124" s="3">
        <v>-686.36949200000004</v>
      </c>
      <c r="S4124" s="9"/>
      <c r="T4124" s="2"/>
      <c r="U4124" s="9"/>
    </row>
    <row r="4125" spans="2:21" x14ac:dyDescent="0.35">
      <c r="B4125" s="9"/>
      <c r="C4125" s="2"/>
      <c r="D4125" s="2"/>
      <c r="I4125" s="9"/>
      <c r="J4125" s="2"/>
      <c r="L4125" s="9"/>
      <c r="M4125" s="2"/>
      <c r="N4125" s="9"/>
      <c r="P4125" s="3">
        <v>-1121.129492</v>
      </c>
      <c r="S4125" s="9"/>
      <c r="T4125" s="2"/>
      <c r="U4125" s="9"/>
    </row>
    <row r="4126" spans="2:21" x14ac:dyDescent="0.35">
      <c r="B4126" s="9"/>
      <c r="C4126" s="2"/>
      <c r="D4126" s="2"/>
      <c r="I4126" s="9"/>
      <c r="J4126" s="2"/>
      <c r="L4126" s="9"/>
      <c r="M4126" s="2"/>
      <c r="N4126" s="9"/>
      <c r="P4126" s="3">
        <v>-1555.889492</v>
      </c>
      <c r="S4126" s="9"/>
      <c r="T4126" s="2"/>
      <c r="U4126" s="9"/>
    </row>
    <row r="4127" spans="2:21" x14ac:dyDescent="0.35">
      <c r="B4127" s="9"/>
      <c r="C4127" s="2"/>
      <c r="D4127" s="2"/>
      <c r="I4127" s="9"/>
      <c r="J4127" s="2"/>
      <c r="L4127" s="9"/>
      <c r="M4127" s="2"/>
      <c r="N4127" s="9"/>
      <c r="P4127" s="3">
        <v>-1990.649492</v>
      </c>
      <c r="S4127" s="9"/>
      <c r="T4127" s="2"/>
      <c r="U4127" s="9"/>
    </row>
    <row r="4128" spans="2:21" x14ac:dyDescent="0.35">
      <c r="B4128" s="9"/>
      <c r="C4128" s="2"/>
      <c r="D4128" s="2"/>
      <c r="I4128" s="9"/>
      <c r="J4128" s="2"/>
      <c r="L4128" s="9"/>
      <c r="M4128" s="2"/>
      <c r="N4128" s="9"/>
      <c r="P4128" s="3">
        <v>-2425.4094919999998</v>
      </c>
      <c r="S4128" s="9"/>
      <c r="T4128" s="2"/>
      <c r="U4128" s="9"/>
    </row>
    <row r="4129" spans="2:21" x14ac:dyDescent="0.35">
      <c r="B4129" s="9"/>
      <c r="C4129" s="2"/>
      <c r="D4129" s="2"/>
      <c r="I4129" s="9"/>
      <c r="J4129" s="2"/>
      <c r="L4129" s="9"/>
      <c r="M4129" s="2"/>
      <c r="N4129" s="9"/>
      <c r="P4129" s="3">
        <v>-2860.169492</v>
      </c>
      <c r="S4129" s="9"/>
      <c r="T4129" s="2"/>
      <c r="U4129" s="9"/>
    </row>
    <row r="4130" spans="2:21" x14ac:dyDescent="0.35">
      <c r="B4130" s="9"/>
      <c r="C4130" s="2"/>
      <c r="D4130" s="2"/>
      <c r="I4130" s="9"/>
      <c r="J4130" s="2"/>
      <c r="L4130" s="9"/>
      <c r="M4130" s="2"/>
      <c r="N4130" s="9"/>
      <c r="P4130" s="3">
        <v>-2860.169492</v>
      </c>
      <c r="S4130" s="9"/>
      <c r="T4130" s="2"/>
      <c r="U4130" s="9"/>
    </row>
    <row r="4131" spans="2:21" x14ac:dyDescent="0.35">
      <c r="B4131" s="9"/>
      <c r="C4131" s="2"/>
      <c r="D4131" s="2"/>
      <c r="I4131" s="9"/>
      <c r="J4131" s="2"/>
      <c r="L4131" s="9"/>
      <c r="M4131" s="2"/>
      <c r="N4131" s="9"/>
      <c r="P4131" s="3">
        <v>-2860.169492</v>
      </c>
      <c r="S4131" s="9"/>
      <c r="T4131" s="2"/>
      <c r="U4131" s="9"/>
    </row>
    <row r="4132" spans="2:21" x14ac:dyDescent="0.35">
      <c r="B4132" s="9"/>
      <c r="C4132" s="2"/>
      <c r="D4132" s="2"/>
      <c r="I4132" s="9"/>
      <c r="J4132" s="2"/>
      <c r="L4132" s="9"/>
      <c r="M4132" s="2"/>
      <c r="N4132" s="9"/>
      <c r="P4132" s="3">
        <v>-2860.169492</v>
      </c>
      <c r="S4132" s="9"/>
      <c r="T4132" s="2"/>
      <c r="U4132" s="9"/>
    </row>
    <row r="4133" spans="2:21" x14ac:dyDescent="0.35">
      <c r="B4133" s="9"/>
      <c r="C4133" s="2"/>
      <c r="D4133" s="2"/>
      <c r="I4133" s="9"/>
      <c r="J4133" s="2"/>
      <c r="L4133" s="9"/>
      <c r="M4133" s="2"/>
      <c r="N4133" s="9"/>
      <c r="P4133" s="3">
        <v>-2860.169492</v>
      </c>
      <c r="S4133" s="9"/>
      <c r="T4133" s="2"/>
      <c r="U4133" s="9"/>
    </row>
    <row r="4134" spans="2:21" x14ac:dyDescent="0.35">
      <c r="B4134" s="9"/>
      <c r="C4134" s="2"/>
      <c r="D4134" s="2"/>
      <c r="I4134" s="9"/>
      <c r="J4134" s="2"/>
      <c r="L4134" s="9"/>
      <c r="M4134" s="2"/>
      <c r="N4134" s="9"/>
      <c r="P4134" s="3">
        <v>-2860.169492</v>
      </c>
      <c r="S4134" s="9"/>
      <c r="T4134" s="2"/>
      <c r="U4134" s="9"/>
    </row>
    <row r="4135" spans="2:21" x14ac:dyDescent="0.35">
      <c r="B4135" s="9"/>
      <c r="C4135" s="2"/>
      <c r="D4135" s="2"/>
      <c r="I4135" s="9"/>
      <c r="J4135" s="2"/>
      <c r="L4135" s="9"/>
      <c r="M4135" s="2"/>
      <c r="N4135" s="9"/>
      <c r="P4135" s="3">
        <v>-2860.169492</v>
      </c>
      <c r="S4135" s="9"/>
      <c r="T4135" s="2"/>
      <c r="U4135" s="9"/>
    </row>
    <row r="4136" spans="2:21" x14ac:dyDescent="0.35">
      <c r="B4136" s="9"/>
      <c r="C4136" s="2"/>
      <c r="D4136" s="2"/>
      <c r="I4136" s="9"/>
      <c r="J4136" s="2"/>
      <c r="L4136" s="9"/>
      <c r="M4136" s="2"/>
      <c r="N4136" s="9"/>
      <c r="P4136" s="3">
        <v>-2860.169492</v>
      </c>
      <c r="S4136" s="9"/>
      <c r="T4136" s="2"/>
      <c r="U4136" s="9"/>
    </row>
    <row r="4137" spans="2:21" x14ac:dyDescent="0.35">
      <c r="B4137" s="9"/>
      <c r="C4137" s="2"/>
      <c r="D4137" s="2"/>
      <c r="I4137" s="9"/>
      <c r="J4137" s="2"/>
      <c r="L4137" s="9"/>
      <c r="M4137" s="2"/>
      <c r="N4137" s="9"/>
      <c r="P4137" s="3">
        <v>-2860.169492</v>
      </c>
      <c r="S4137" s="9"/>
      <c r="T4137" s="2"/>
      <c r="U4137" s="9"/>
    </row>
    <row r="4138" spans="2:21" x14ac:dyDescent="0.35">
      <c r="B4138" s="9"/>
      <c r="C4138" s="2"/>
      <c r="D4138" s="2"/>
      <c r="I4138" s="9"/>
      <c r="J4138" s="2"/>
      <c r="L4138" s="9"/>
      <c r="M4138" s="2"/>
      <c r="N4138" s="9"/>
      <c r="P4138" s="3">
        <v>-2860.169492</v>
      </c>
      <c r="S4138" s="9"/>
      <c r="T4138" s="2"/>
      <c r="U4138" s="9"/>
    </row>
    <row r="4139" spans="2:21" x14ac:dyDescent="0.35">
      <c r="B4139" s="9"/>
      <c r="C4139" s="2"/>
      <c r="D4139" s="2"/>
      <c r="I4139" s="9"/>
      <c r="J4139" s="2"/>
      <c r="L4139" s="9"/>
      <c r="M4139" s="2"/>
      <c r="N4139" s="9"/>
      <c r="P4139" s="3">
        <v>-2860.169492</v>
      </c>
      <c r="S4139" s="9"/>
      <c r="T4139" s="2"/>
      <c r="U4139" s="9"/>
    </row>
    <row r="4140" spans="2:21" x14ac:dyDescent="0.35">
      <c r="B4140" s="9"/>
      <c r="C4140" s="2"/>
      <c r="D4140" s="2"/>
      <c r="I4140" s="9"/>
      <c r="J4140" s="2"/>
      <c r="L4140" s="9"/>
      <c r="M4140" s="2"/>
      <c r="N4140" s="9"/>
      <c r="P4140" s="3">
        <v>-2860.169492</v>
      </c>
      <c r="S4140" s="9"/>
      <c r="T4140" s="2"/>
      <c r="U4140" s="9"/>
    </row>
    <row r="4141" spans="2:21" x14ac:dyDescent="0.35">
      <c r="B4141" s="9"/>
      <c r="C4141" s="2"/>
      <c r="D4141" s="2"/>
      <c r="I4141" s="9"/>
      <c r="J4141" s="2"/>
      <c r="L4141" s="9"/>
      <c r="M4141" s="2"/>
      <c r="N4141" s="9"/>
      <c r="P4141" s="3">
        <v>-2860.169492</v>
      </c>
      <c r="S4141" s="9"/>
      <c r="T4141" s="2"/>
      <c r="U4141" s="9"/>
    </row>
    <row r="4142" spans="2:21" x14ac:dyDescent="0.35">
      <c r="B4142" s="9"/>
      <c r="C4142" s="2"/>
      <c r="D4142" s="2"/>
      <c r="I4142" s="9"/>
      <c r="J4142" s="2"/>
      <c r="L4142" s="9"/>
      <c r="M4142" s="2"/>
      <c r="N4142" s="9"/>
      <c r="P4142" s="3">
        <v>-2546.82158682</v>
      </c>
      <c r="S4142" s="9"/>
      <c r="T4142" s="2"/>
      <c r="U4142" s="9"/>
    </row>
    <row r="4143" spans="2:21" x14ac:dyDescent="0.35">
      <c r="B4143" s="9"/>
      <c r="C4143" s="2"/>
      <c r="D4143" s="2"/>
      <c r="I4143" s="9"/>
      <c r="J4143" s="2"/>
      <c r="L4143" s="9"/>
      <c r="M4143" s="2"/>
      <c r="N4143" s="9"/>
      <c r="P4143" s="3">
        <v>-2112.0615868199998</v>
      </c>
      <c r="S4143" s="9"/>
      <c r="T4143" s="2"/>
      <c r="U4143" s="9"/>
    </row>
    <row r="4144" spans="2:21" x14ac:dyDescent="0.35">
      <c r="B4144" s="9"/>
      <c r="C4144" s="2"/>
      <c r="D4144" s="2"/>
      <c r="I4144" s="9"/>
      <c r="J4144" s="2"/>
      <c r="L4144" s="9"/>
      <c r="M4144" s="2"/>
      <c r="N4144" s="9"/>
      <c r="P4144" s="3">
        <v>-1677.30158682</v>
      </c>
      <c r="S4144" s="9"/>
      <c r="T4144" s="2"/>
      <c r="U4144" s="9"/>
    </row>
    <row r="4145" spans="2:21" x14ac:dyDescent="0.35">
      <c r="B4145" s="9"/>
      <c r="C4145" s="2"/>
      <c r="D4145" s="2"/>
      <c r="I4145" s="9"/>
      <c r="J4145" s="2"/>
      <c r="L4145" s="9"/>
      <c r="M4145" s="2"/>
      <c r="N4145" s="9"/>
      <c r="P4145" s="3">
        <v>-1242.54158682</v>
      </c>
      <c r="S4145" s="9"/>
      <c r="T4145" s="2"/>
      <c r="U4145" s="9"/>
    </row>
    <row r="4146" spans="2:21" x14ac:dyDescent="0.35">
      <c r="B4146" s="9"/>
      <c r="C4146" s="2"/>
      <c r="D4146" s="2"/>
      <c r="I4146" s="9"/>
      <c r="J4146" s="2"/>
      <c r="L4146" s="9"/>
      <c r="M4146" s="2"/>
      <c r="N4146" s="9"/>
      <c r="P4146" s="3">
        <v>-807.78158682000003</v>
      </c>
      <c r="S4146" s="9"/>
      <c r="T4146" s="2"/>
      <c r="U4146" s="9"/>
    </row>
    <row r="4147" spans="2:21" x14ac:dyDescent="0.35">
      <c r="B4147" s="9"/>
      <c r="C4147" s="2"/>
      <c r="D4147" s="2"/>
      <c r="I4147" s="9"/>
      <c r="J4147" s="2"/>
      <c r="L4147" s="9"/>
      <c r="M4147" s="2"/>
      <c r="N4147" s="9"/>
      <c r="P4147" s="3">
        <v>-373.02158681999998</v>
      </c>
      <c r="S4147" s="9"/>
      <c r="T4147" s="2"/>
      <c r="U4147" s="9"/>
    </row>
    <row r="4148" spans="2:21" x14ac:dyDescent="0.35">
      <c r="B4148" s="9"/>
      <c r="C4148" s="2"/>
      <c r="D4148" s="2"/>
      <c r="I4148" s="9"/>
      <c r="J4148" s="2"/>
      <c r="L4148" s="9"/>
      <c r="M4148" s="2"/>
      <c r="N4148" s="9"/>
      <c r="P4148" s="3">
        <v>0</v>
      </c>
      <c r="S4148" s="9"/>
      <c r="T4148" s="2"/>
      <c r="U4148" s="9"/>
    </row>
    <row r="4149" spans="2:21" x14ac:dyDescent="0.35">
      <c r="B4149" s="9"/>
      <c r="C4149" s="2"/>
      <c r="D4149" s="2"/>
      <c r="I4149" s="9"/>
      <c r="J4149" s="2"/>
      <c r="L4149" s="9"/>
      <c r="M4149" s="2"/>
      <c r="N4149" s="9"/>
      <c r="P4149" s="3">
        <v>0</v>
      </c>
      <c r="S4149" s="9"/>
      <c r="T4149" s="2"/>
      <c r="U4149" s="9"/>
    </row>
    <row r="4150" spans="2:21" x14ac:dyDescent="0.35">
      <c r="B4150" s="9"/>
      <c r="C4150" s="2"/>
      <c r="D4150" s="2"/>
      <c r="I4150" s="9"/>
      <c r="J4150" s="2"/>
      <c r="L4150" s="9"/>
      <c r="M4150" s="2"/>
      <c r="N4150" s="9"/>
      <c r="P4150" s="3">
        <v>0</v>
      </c>
      <c r="S4150" s="9"/>
      <c r="T4150" s="2"/>
      <c r="U4150" s="9"/>
    </row>
    <row r="4151" spans="2:21" x14ac:dyDescent="0.35">
      <c r="B4151" s="9"/>
      <c r="C4151" s="2"/>
      <c r="D4151" s="2"/>
      <c r="I4151" s="9"/>
      <c r="J4151" s="2"/>
      <c r="L4151" s="9"/>
      <c r="M4151" s="2"/>
      <c r="N4151" s="9"/>
      <c r="P4151" s="3">
        <v>0</v>
      </c>
      <c r="S4151" s="9"/>
      <c r="T4151" s="2"/>
      <c r="U4151" s="9"/>
    </row>
    <row r="4152" spans="2:21" x14ac:dyDescent="0.35">
      <c r="B4152" s="9"/>
      <c r="C4152" s="2"/>
      <c r="D4152" s="2"/>
      <c r="I4152" s="9"/>
      <c r="J4152" s="2"/>
      <c r="L4152" s="9"/>
      <c r="M4152" s="2"/>
      <c r="N4152" s="9"/>
      <c r="P4152" s="3">
        <v>0</v>
      </c>
      <c r="S4152" s="9"/>
      <c r="T4152" s="2"/>
      <c r="U4152" s="9"/>
    </row>
    <row r="4153" spans="2:21" x14ac:dyDescent="0.35">
      <c r="B4153" s="9"/>
      <c r="C4153" s="2"/>
      <c r="D4153" s="2"/>
      <c r="I4153" s="9"/>
      <c r="J4153" s="2"/>
      <c r="L4153" s="9"/>
      <c r="M4153" s="2"/>
      <c r="N4153" s="9"/>
      <c r="P4153" s="3">
        <v>0</v>
      </c>
      <c r="S4153" s="9"/>
      <c r="T4153" s="2"/>
      <c r="U4153" s="9"/>
    </row>
    <row r="4154" spans="2:21" x14ac:dyDescent="0.35">
      <c r="B4154" s="9"/>
      <c r="C4154" s="2"/>
      <c r="D4154" s="2"/>
      <c r="I4154" s="9"/>
      <c r="J4154" s="2"/>
      <c r="L4154" s="9"/>
      <c r="M4154" s="2"/>
      <c r="N4154" s="9"/>
      <c r="P4154" s="3">
        <v>0</v>
      </c>
      <c r="S4154" s="9"/>
      <c r="T4154" s="2"/>
      <c r="U4154" s="9"/>
    </row>
    <row r="4155" spans="2:21" x14ac:dyDescent="0.35">
      <c r="B4155" s="9"/>
      <c r="C4155" s="2"/>
      <c r="D4155" s="2"/>
      <c r="I4155" s="9"/>
      <c r="J4155" s="2"/>
      <c r="L4155" s="9"/>
      <c r="M4155" s="2"/>
      <c r="N4155" s="9"/>
      <c r="P4155" s="3">
        <v>0</v>
      </c>
      <c r="S4155" s="9"/>
      <c r="T4155" s="2"/>
      <c r="U4155" s="9"/>
    </row>
    <row r="4156" spans="2:21" x14ac:dyDescent="0.35">
      <c r="B4156" s="9"/>
      <c r="C4156" s="2"/>
      <c r="D4156" s="2"/>
      <c r="I4156" s="9"/>
      <c r="J4156" s="2"/>
      <c r="L4156" s="9"/>
      <c r="M4156" s="2"/>
      <c r="N4156" s="9"/>
      <c r="P4156" s="3">
        <v>0</v>
      </c>
      <c r="S4156" s="9"/>
      <c r="T4156" s="2"/>
      <c r="U4156" s="9"/>
    </row>
    <row r="4157" spans="2:21" x14ac:dyDescent="0.35">
      <c r="B4157" s="9"/>
      <c r="C4157" s="2"/>
      <c r="D4157" s="2"/>
      <c r="I4157" s="9"/>
      <c r="J4157" s="2"/>
      <c r="L4157" s="9"/>
      <c r="M4157" s="2"/>
      <c r="N4157" s="9"/>
      <c r="P4157" s="3">
        <v>0</v>
      </c>
      <c r="S4157" s="9"/>
      <c r="T4157" s="2"/>
      <c r="U4157" s="9"/>
    </row>
    <row r="4158" spans="2:21" x14ac:dyDescent="0.35">
      <c r="B4158" s="9"/>
      <c r="C4158" s="2"/>
      <c r="D4158" s="2"/>
      <c r="I4158" s="9"/>
      <c r="J4158" s="2"/>
      <c r="L4158" s="9"/>
      <c r="M4158" s="2"/>
      <c r="N4158" s="9"/>
      <c r="P4158" s="3">
        <v>0</v>
      </c>
      <c r="S4158" s="9"/>
      <c r="T4158" s="2"/>
      <c r="U4158" s="9"/>
    </row>
    <row r="4159" spans="2:21" x14ac:dyDescent="0.35">
      <c r="B4159" s="9"/>
      <c r="C4159" s="2"/>
      <c r="D4159" s="2"/>
      <c r="I4159" s="9"/>
      <c r="J4159" s="2"/>
      <c r="L4159" s="9"/>
      <c r="M4159" s="2"/>
      <c r="N4159" s="9"/>
      <c r="P4159" s="3">
        <v>0</v>
      </c>
      <c r="S4159" s="9"/>
      <c r="T4159" s="2"/>
      <c r="U4159" s="9"/>
    </row>
    <row r="4160" spans="2:21" x14ac:dyDescent="0.35">
      <c r="B4160" s="9"/>
      <c r="C4160" s="2"/>
      <c r="D4160" s="2"/>
      <c r="I4160" s="9"/>
      <c r="J4160" s="2"/>
      <c r="L4160" s="9"/>
      <c r="M4160" s="2"/>
      <c r="N4160" s="9"/>
      <c r="P4160" s="3">
        <v>0</v>
      </c>
      <c r="S4160" s="9"/>
      <c r="T4160" s="2"/>
      <c r="U4160" s="9"/>
    </row>
    <row r="4161" spans="2:21" x14ac:dyDescent="0.35">
      <c r="B4161" s="9"/>
      <c r="C4161" s="2"/>
      <c r="D4161" s="2"/>
      <c r="I4161" s="9"/>
      <c r="J4161" s="2"/>
      <c r="L4161" s="9"/>
      <c r="M4161" s="2"/>
      <c r="N4161" s="9"/>
      <c r="P4161" s="3">
        <v>0</v>
      </c>
      <c r="S4161" s="9"/>
      <c r="T4161" s="2"/>
      <c r="U4161" s="9"/>
    </row>
    <row r="4162" spans="2:21" x14ac:dyDescent="0.35">
      <c r="B4162" s="9"/>
      <c r="C4162" s="2"/>
      <c r="D4162" s="2"/>
      <c r="I4162" s="9"/>
      <c r="J4162" s="2"/>
      <c r="L4162" s="9"/>
      <c r="M4162" s="2"/>
      <c r="N4162" s="9"/>
      <c r="P4162" s="3">
        <v>0</v>
      </c>
      <c r="S4162" s="9"/>
      <c r="T4162" s="2"/>
      <c r="U4162" s="9"/>
    </row>
    <row r="4163" spans="2:21" x14ac:dyDescent="0.35">
      <c r="B4163" s="9"/>
      <c r="C4163" s="2"/>
      <c r="D4163" s="2"/>
      <c r="I4163" s="9"/>
      <c r="J4163" s="2"/>
      <c r="L4163" s="9"/>
      <c r="M4163" s="2"/>
      <c r="N4163" s="9"/>
      <c r="P4163" s="3">
        <v>0</v>
      </c>
      <c r="S4163" s="9"/>
      <c r="T4163" s="2"/>
      <c r="U4163" s="9"/>
    </row>
    <row r="4164" spans="2:21" x14ac:dyDescent="0.35">
      <c r="B4164" s="9"/>
      <c r="C4164" s="2"/>
      <c r="D4164" s="2"/>
      <c r="I4164" s="9"/>
      <c r="J4164" s="2"/>
      <c r="L4164" s="9"/>
      <c r="M4164" s="2"/>
      <c r="N4164" s="9"/>
      <c r="P4164" s="3">
        <v>0</v>
      </c>
      <c r="S4164" s="9"/>
      <c r="T4164" s="2"/>
      <c r="U4164" s="9"/>
    </row>
    <row r="4165" spans="2:21" x14ac:dyDescent="0.35">
      <c r="B4165" s="9"/>
      <c r="C4165" s="2"/>
      <c r="D4165" s="2"/>
      <c r="I4165" s="9"/>
      <c r="J4165" s="2"/>
      <c r="L4165" s="9"/>
      <c r="M4165" s="2"/>
      <c r="N4165" s="9"/>
      <c r="P4165" s="3">
        <v>0</v>
      </c>
      <c r="S4165" s="9"/>
      <c r="T4165" s="2"/>
      <c r="U4165" s="9"/>
    </row>
    <row r="4166" spans="2:21" x14ac:dyDescent="0.35">
      <c r="B4166" s="9"/>
      <c r="C4166" s="2"/>
      <c r="D4166" s="2"/>
      <c r="I4166" s="9"/>
      <c r="J4166" s="2"/>
      <c r="L4166" s="9"/>
      <c r="M4166" s="2"/>
      <c r="N4166" s="9"/>
      <c r="P4166" s="3">
        <v>0</v>
      </c>
      <c r="S4166" s="9"/>
      <c r="T4166" s="2"/>
      <c r="U4166" s="9"/>
    </row>
    <row r="4167" spans="2:21" x14ac:dyDescent="0.35">
      <c r="B4167" s="9"/>
      <c r="C4167" s="2"/>
      <c r="D4167" s="2"/>
      <c r="I4167" s="9"/>
      <c r="J4167" s="2"/>
      <c r="L4167" s="9"/>
      <c r="M4167" s="2"/>
      <c r="N4167" s="9"/>
      <c r="P4167" s="3">
        <v>0</v>
      </c>
      <c r="S4167" s="9"/>
      <c r="T4167" s="2"/>
      <c r="U4167" s="9"/>
    </row>
    <row r="4168" spans="2:21" x14ac:dyDescent="0.35">
      <c r="B4168" s="9"/>
      <c r="C4168" s="2"/>
      <c r="D4168" s="2"/>
      <c r="I4168" s="9"/>
      <c r="J4168" s="2"/>
      <c r="L4168" s="9"/>
      <c r="M4168" s="2"/>
      <c r="N4168" s="9"/>
      <c r="P4168" s="3">
        <v>0</v>
      </c>
      <c r="S4168" s="9"/>
      <c r="T4168" s="2"/>
      <c r="U4168" s="9"/>
    </row>
    <row r="4169" spans="2:21" x14ac:dyDescent="0.35">
      <c r="B4169" s="9"/>
      <c r="C4169" s="2"/>
      <c r="D4169" s="2"/>
      <c r="I4169" s="9"/>
      <c r="J4169" s="2"/>
      <c r="L4169" s="9"/>
      <c r="M4169" s="2"/>
      <c r="N4169" s="9"/>
      <c r="P4169" s="3">
        <v>0</v>
      </c>
      <c r="S4169" s="9"/>
      <c r="T4169" s="2"/>
      <c r="U4169" s="9"/>
    </row>
    <row r="4170" spans="2:21" x14ac:dyDescent="0.35">
      <c r="B4170" s="9"/>
      <c r="C4170" s="2"/>
      <c r="D4170" s="2"/>
      <c r="I4170" s="9"/>
      <c r="J4170" s="2"/>
      <c r="L4170" s="9"/>
      <c r="M4170" s="2"/>
      <c r="N4170" s="9"/>
      <c r="P4170" s="3">
        <v>0</v>
      </c>
      <c r="S4170" s="9"/>
      <c r="T4170" s="2"/>
      <c r="U4170" s="9"/>
    </row>
    <row r="4171" spans="2:21" x14ac:dyDescent="0.35">
      <c r="B4171" s="9"/>
      <c r="C4171" s="2"/>
      <c r="D4171" s="2"/>
      <c r="I4171" s="9"/>
      <c r="J4171" s="2"/>
      <c r="L4171" s="9"/>
      <c r="M4171" s="2"/>
      <c r="N4171" s="9"/>
      <c r="P4171" s="3">
        <v>-251.60949199999999</v>
      </c>
      <c r="S4171" s="9"/>
      <c r="T4171" s="2"/>
      <c r="U4171" s="9"/>
    </row>
    <row r="4172" spans="2:21" x14ac:dyDescent="0.35">
      <c r="B4172" s="9"/>
      <c r="C4172" s="2"/>
      <c r="D4172" s="2"/>
      <c r="I4172" s="9"/>
      <c r="J4172" s="2"/>
      <c r="L4172" s="9"/>
      <c r="M4172" s="2"/>
      <c r="N4172" s="9"/>
      <c r="P4172" s="3">
        <v>-686.36949200000004</v>
      </c>
      <c r="S4172" s="9"/>
      <c r="T4172" s="2"/>
      <c r="U4172" s="9"/>
    </row>
    <row r="4173" spans="2:21" x14ac:dyDescent="0.35">
      <c r="B4173" s="9"/>
      <c r="C4173" s="2"/>
      <c r="D4173" s="2"/>
      <c r="I4173" s="9"/>
      <c r="J4173" s="2"/>
      <c r="L4173" s="9"/>
      <c r="M4173" s="2"/>
      <c r="N4173" s="9"/>
      <c r="P4173" s="3">
        <v>-1121.129492</v>
      </c>
      <c r="S4173" s="9"/>
      <c r="T4173" s="2"/>
      <c r="U4173" s="9"/>
    </row>
    <row r="4174" spans="2:21" x14ac:dyDescent="0.35">
      <c r="B4174" s="9"/>
      <c r="C4174" s="2"/>
      <c r="D4174" s="2"/>
      <c r="I4174" s="9"/>
      <c r="J4174" s="2"/>
      <c r="L4174" s="9"/>
      <c r="M4174" s="2"/>
      <c r="N4174" s="9"/>
      <c r="P4174" s="3">
        <v>-1555.889492</v>
      </c>
      <c r="S4174" s="9"/>
      <c r="T4174" s="2"/>
      <c r="U4174" s="9"/>
    </row>
    <row r="4175" spans="2:21" x14ac:dyDescent="0.35">
      <c r="B4175" s="9"/>
      <c r="C4175" s="2"/>
      <c r="D4175" s="2"/>
      <c r="I4175" s="9"/>
      <c r="J4175" s="2"/>
      <c r="L4175" s="9"/>
      <c r="M4175" s="2"/>
      <c r="N4175" s="9"/>
      <c r="P4175" s="3">
        <v>-1990.649492</v>
      </c>
      <c r="S4175" s="9"/>
      <c r="T4175" s="2"/>
      <c r="U4175" s="9"/>
    </row>
    <row r="4176" spans="2:21" x14ac:dyDescent="0.35">
      <c r="B4176" s="9"/>
      <c r="C4176" s="2"/>
      <c r="D4176" s="2"/>
      <c r="I4176" s="9"/>
      <c r="J4176" s="2"/>
      <c r="L4176" s="9"/>
      <c r="M4176" s="2"/>
      <c r="N4176" s="9"/>
      <c r="P4176" s="3">
        <v>-2425.4094919999998</v>
      </c>
      <c r="S4176" s="9"/>
      <c r="T4176" s="2"/>
      <c r="U4176" s="9"/>
    </row>
    <row r="4177" spans="2:21" x14ac:dyDescent="0.35">
      <c r="B4177" s="9"/>
      <c r="C4177" s="2"/>
      <c r="D4177" s="2"/>
      <c r="I4177" s="9"/>
      <c r="J4177" s="2"/>
      <c r="L4177" s="9"/>
      <c r="M4177" s="2"/>
      <c r="N4177" s="9"/>
      <c r="P4177" s="3">
        <v>-2860.169492</v>
      </c>
      <c r="S4177" s="9"/>
      <c r="T4177" s="2"/>
      <c r="U4177" s="9"/>
    </row>
    <row r="4178" spans="2:21" x14ac:dyDescent="0.35">
      <c r="B4178" s="9"/>
      <c r="C4178" s="2"/>
      <c r="D4178" s="2"/>
      <c r="I4178" s="9"/>
      <c r="J4178" s="2"/>
      <c r="L4178" s="9"/>
      <c r="M4178" s="2"/>
      <c r="N4178" s="9"/>
      <c r="P4178" s="3">
        <v>-2860.169492</v>
      </c>
      <c r="S4178" s="9"/>
      <c r="T4178" s="2"/>
      <c r="U4178" s="9"/>
    </row>
    <row r="4179" spans="2:21" x14ac:dyDescent="0.35">
      <c r="B4179" s="9"/>
      <c r="C4179" s="2"/>
      <c r="D4179" s="2"/>
      <c r="I4179" s="9"/>
      <c r="J4179" s="2"/>
      <c r="L4179" s="9"/>
      <c r="M4179" s="2"/>
      <c r="N4179" s="9"/>
      <c r="P4179" s="3">
        <v>-2860.169492</v>
      </c>
      <c r="S4179" s="9"/>
      <c r="T4179" s="2"/>
      <c r="U4179" s="9"/>
    </row>
    <row r="4180" spans="2:21" x14ac:dyDescent="0.35">
      <c r="B4180" s="9"/>
      <c r="C4180" s="2"/>
      <c r="D4180" s="2"/>
      <c r="I4180" s="9"/>
      <c r="J4180" s="2"/>
      <c r="L4180" s="9"/>
      <c r="M4180" s="2"/>
      <c r="N4180" s="9"/>
      <c r="P4180" s="3">
        <v>-2860.169492</v>
      </c>
      <c r="S4180" s="9"/>
      <c r="T4180" s="2"/>
      <c r="U4180" s="9"/>
    </row>
    <row r="4181" spans="2:21" x14ac:dyDescent="0.35">
      <c r="B4181" s="9"/>
      <c r="C4181" s="2"/>
      <c r="D4181" s="2"/>
      <c r="I4181" s="9"/>
      <c r="J4181" s="2"/>
      <c r="L4181" s="9"/>
      <c r="M4181" s="2"/>
      <c r="N4181" s="9"/>
      <c r="P4181" s="3">
        <v>-2860.169492</v>
      </c>
      <c r="S4181" s="9"/>
      <c r="T4181" s="2"/>
      <c r="U4181" s="9"/>
    </row>
    <row r="4182" spans="2:21" x14ac:dyDescent="0.35">
      <c r="B4182" s="9"/>
      <c r="C4182" s="2"/>
      <c r="D4182" s="2"/>
      <c r="I4182" s="9"/>
      <c r="J4182" s="2"/>
      <c r="L4182" s="9"/>
      <c r="M4182" s="2"/>
      <c r="N4182" s="9"/>
      <c r="P4182" s="3">
        <v>-2860.169492</v>
      </c>
      <c r="S4182" s="9"/>
      <c r="T4182" s="2"/>
      <c r="U4182" s="9"/>
    </row>
    <row r="4183" spans="2:21" x14ac:dyDescent="0.35">
      <c r="B4183" s="9"/>
      <c r="C4183" s="2"/>
      <c r="D4183" s="2"/>
      <c r="I4183" s="9"/>
      <c r="J4183" s="2"/>
      <c r="L4183" s="9"/>
      <c r="M4183" s="2"/>
      <c r="N4183" s="9"/>
      <c r="P4183" s="3">
        <v>-2860.169492</v>
      </c>
      <c r="S4183" s="9"/>
      <c r="T4183" s="2"/>
      <c r="U4183" s="9"/>
    </row>
    <row r="4184" spans="2:21" x14ac:dyDescent="0.35">
      <c r="B4184" s="9"/>
      <c r="C4184" s="2"/>
      <c r="D4184" s="2"/>
      <c r="I4184" s="9"/>
      <c r="J4184" s="2"/>
      <c r="L4184" s="9"/>
      <c r="M4184" s="2"/>
      <c r="N4184" s="9"/>
      <c r="P4184" s="3">
        <v>-2860.169492</v>
      </c>
      <c r="S4184" s="9"/>
      <c r="T4184" s="2"/>
      <c r="U4184" s="9"/>
    </row>
    <row r="4185" spans="2:21" x14ac:dyDescent="0.35">
      <c r="B4185" s="9"/>
      <c r="C4185" s="2"/>
      <c r="D4185" s="2"/>
      <c r="I4185" s="9"/>
      <c r="J4185" s="2"/>
      <c r="L4185" s="9"/>
      <c r="M4185" s="2"/>
      <c r="N4185" s="9"/>
      <c r="P4185" s="3">
        <v>-2860.169492</v>
      </c>
      <c r="S4185" s="9"/>
      <c r="T4185" s="2"/>
      <c r="U4185" s="9"/>
    </row>
    <row r="4186" spans="2:21" x14ac:dyDescent="0.35">
      <c r="B4186" s="9"/>
      <c r="C4186" s="2"/>
      <c r="D4186" s="2"/>
      <c r="I4186" s="9"/>
      <c r="J4186" s="2"/>
      <c r="L4186" s="9"/>
      <c r="M4186" s="2"/>
      <c r="N4186" s="9"/>
      <c r="P4186" s="3">
        <v>-2860.169492</v>
      </c>
      <c r="S4186" s="9"/>
      <c r="T4186" s="2"/>
      <c r="U4186" s="9"/>
    </row>
    <row r="4187" spans="2:21" x14ac:dyDescent="0.35">
      <c r="B4187" s="9"/>
      <c r="C4187" s="2"/>
      <c r="D4187" s="2"/>
      <c r="I4187" s="9"/>
      <c r="J4187" s="2"/>
      <c r="L4187" s="9"/>
      <c r="M4187" s="2"/>
      <c r="N4187" s="9"/>
      <c r="P4187" s="3">
        <v>-2860.169492</v>
      </c>
      <c r="S4187" s="9"/>
      <c r="T4187" s="2"/>
      <c r="U4187" s="9"/>
    </row>
    <row r="4188" spans="2:21" x14ac:dyDescent="0.35">
      <c r="B4188" s="9"/>
      <c r="C4188" s="2"/>
      <c r="D4188" s="2"/>
      <c r="I4188" s="9"/>
      <c r="J4188" s="2"/>
      <c r="L4188" s="9"/>
      <c r="M4188" s="2"/>
      <c r="N4188" s="9"/>
      <c r="P4188" s="3">
        <v>-2860.169492</v>
      </c>
      <c r="S4188" s="9"/>
      <c r="T4188" s="2"/>
      <c r="U4188" s="9"/>
    </row>
    <row r="4189" spans="2:21" x14ac:dyDescent="0.35">
      <c r="B4189" s="9"/>
      <c r="C4189" s="2"/>
      <c r="D4189" s="2"/>
      <c r="I4189" s="9"/>
      <c r="J4189" s="2"/>
      <c r="L4189" s="9"/>
      <c r="M4189" s="2"/>
      <c r="N4189" s="9"/>
      <c r="P4189" s="3">
        <v>-2860.169492</v>
      </c>
      <c r="S4189" s="9"/>
      <c r="T4189" s="2"/>
      <c r="U4189" s="9"/>
    </row>
    <row r="4190" spans="2:21" x14ac:dyDescent="0.35">
      <c r="B4190" s="9"/>
      <c r="C4190" s="2"/>
      <c r="D4190" s="2"/>
      <c r="I4190" s="9"/>
      <c r="J4190" s="2"/>
      <c r="L4190" s="9"/>
      <c r="M4190" s="2"/>
      <c r="N4190" s="9"/>
      <c r="P4190" s="3">
        <v>-2425.4094919999998</v>
      </c>
      <c r="S4190" s="9"/>
      <c r="T4190" s="2"/>
      <c r="U4190" s="9"/>
    </row>
    <row r="4191" spans="2:21" x14ac:dyDescent="0.35">
      <c r="B4191" s="9"/>
      <c r="C4191" s="2"/>
      <c r="D4191" s="2"/>
      <c r="I4191" s="9"/>
      <c r="J4191" s="2"/>
      <c r="L4191" s="9"/>
      <c r="M4191" s="2"/>
      <c r="N4191" s="9"/>
      <c r="P4191" s="3">
        <v>-1990.649492</v>
      </c>
      <c r="S4191" s="9"/>
      <c r="T4191" s="2"/>
      <c r="U4191" s="9"/>
    </row>
    <row r="4192" spans="2:21" x14ac:dyDescent="0.35">
      <c r="B4192" s="9"/>
      <c r="C4192" s="2"/>
      <c r="D4192" s="2"/>
      <c r="I4192" s="9"/>
      <c r="J4192" s="2"/>
      <c r="L4192" s="9"/>
      <c r="M4192" s="2"/>
      <c r="N4192" s="9"/>
      <c r="P4192" s="3">
        <v>-1555.889492</v>
      </c>
      <c r="S4192" s="9"/>
      <c r="T4192" s="2"/>
      <c r="U4192" s="9"/>
    </row>
    <row r="4193" spans="2:21" x14ac:dyDescent="0.35">
      <c r="B4193" s="9"/>
      <c r="C4193" s="2"/>
      <c r="D4193" s="2"/>
      <c r="I4193" s="9"/>
      <c r="J4193" s="2"/>
      <c r="L4193" s="9"/>
      <c r="M4193" s="2"/>
      <c r="N4193" s="9"/>
      <c r="P4193" s="3">
        <v>-1121.129492</v>
      </c>
      <c r="S4193" s="9"/>
      <c r="T4193" s="2"/>
      <c r="U4193" s="9"/>
    </row>
    <row r="4194" spans="2:21" x14ac:dyDescent="0.35">
      <c r="B4194" s="9"/>
      <c r="C4194" s="2"/>
      <c r="D4194" s="2"/>
      <c r="I4194" s="9"/>
      <c r="J4194" s="2"/>
      <c r="L4194" s="9"/>
      <c r="M4194" s="2"/>
      <c r="N4194" s="9"/>
      <c r="P4194" s="3">
        <v>-686.36949200000004</v>
      </c>
      <c r="S4194" s="9"/>
      <c r="T4194" s="2"/>
      <c r="U4194" s="9"/>
    </row>
    <row r="4195" spans="2:21" x14ac:dyDescent="0.35">
      <c r="B4195" s="9"/>
      <c r="C4195" s="2"/>
      <c r="D4195" s="2"/>
      <c r="I4195" s="9"/>
      <c r="J4195" s="2"/>
      <c r="L4195" s="9"/>
      <c r="M4195" s="2"/>
      <c r="N4195" s="9"/>
      <c r="P4195" s="3">
        <v>-686.36949200000004</v>
      </c>
      <c r="S4195" s="9"/>
      <c r="T4195" s="2"/>
      <c r="U4195" s="9"/>
    </row>
    <row r="4196" spans="2:21" x14ac:dyDescent="0.35">
      <c r="B4196" s="9"/>
      <c r="C4196" s="2"/>
      <c r="D4196" s="2"/>
      <c r="I4196" s="9"/>
      <c r="J4196" s="2"/>
      <c r="L4196" s="9"/>
      <c r="M4196" s="2"/>
      <c r="N4196" s="9"/>
      <c r="P4196" s="3">
        <v>-1121.129492</v>
      </c>
      <c r="S4196" s="9"/>
      <c r="T4196" s="2"/>
      <c r="U4196" s="9"/>
    </row>
    <row r="4197" spans="2:21" x14ac:dyDescent="0.35">
      <c r="B4197" s="9"/>
      <c r="C4197" s="2"/>
      <c r="D4197" s="2"/>
      <c r="I4197" s="9"/>
      <c r="J4197" s="2"/>
      <c r="L4197" s="9"/>
      <c r="M4197" s="2"/>
      <c r="N4197" s="9"/>
      <c r="P4197" s="3">
        <v>-1555.889492</v>
      </c>
      <c r="S4197" s="9"/>
      <c r="T4197" s="2"/>
      <c r="U4197" s="9"/>
    </row>
    <row r="4198" spans="2:21" x14ac:dyDescent="0.35">
      <c r="B4198" s="9"/>
      <c r="C4198" s="2"/>
      <c r="D4198" s="2"/>
      <c r="I4198" s="9"/>
      <c r="J4198" s="2"/>
      <c r="L4198" s="9"/>
      <c r="M4198" s="2"/>
      <c r="N4198" s="9"/>
      <c r="P4198" s="3">
        <v>-1990.649492</v>
      </c>
      <c r="S4198" s="9"/>
      <c r="T4198" s="2"/>
      <c r="U4198" s="9"/>
    </row>
    <row r="4199" spans="2:21" x14ac:dyDescent="0.35">
      <c r="B4199" s="9"/>
      <c r="C4199" s="2"/>
      <c r="D4199" s="2"/>
      <c r="I4199" s="9"/>
      <c r="J4199" s="2"/>
      <c r="L4199" s="9"/>
      <c r="M4199" s="2"/>
      <c r="N4199" s="9"/>
      <c r="P4199" s="3">
        <v>-2425.4094919999998</v>
      </c>
      <c r="S4199" s="9"/>
      <c r="T4199" s="2"/>
      <c r="U4199" s="9"/>
    </row>
    <row r="4200" spans="2:21" x14ac:dyDescent="0.35">
      <c r="B4200" s="9"/>
      <c r="C4200" s="2"/>
      <c r="D4200" s="2"/>
      <c r="I4200" s="9"/>
      <c r="J4200" s="2"/>
      <c r="L4200" s="9"/>
      <c r="M4200" s="2"/>
      <c r="N4200" s="9"/>
      <c r="P4200" s="3">
        <v>-2860.169492</v>
      </c>
      <c r="S4200" s="9"/>
      <c r="T4200" s="2"/>
      <c r="U4200" s="9"/>
    </row>
    <row r="4201" spans="2:21" x14ac:dyDescent="0.35">
      <c r="B4201" s="9"/>
      <c r="C4201" s="2"/>
      <c r="D4201" s="2"/>
      <c r="I4201" s="9"/>
      <c r="J4201" s="2"/>
      <c r="L4201" s="9"/>
      <c r="M4201" s="2"/>
      <c r="N4201" s="9"/>
      <c r="P4201" s="3">
        <v>-2860.169492</v>
      </c>
      <c r="S4201" s="9"/>
      <c r="T4201" s="2"/>
      <c r="U4201" s="9"/>
    </row>
    <row r="4202" spans="2:21" x14ac:dyDescent="0.35">
      <c r="B4202" s="9"/>
      <c r="C4202" s="2"/>
      <c r="D4202" s="2"/>
      <c r="I4202" s="9"/>
      <c r="J4202" s="2"/>
      <c r="L4202" s="9"/>
      <c r="M4202" s="2"/>
      <c r="N4202" s="9"/>
      <c r="P4202" s="3">
        <v>-2860.169492</v>
      </c>
      <c r="S4202" s="9"/>
      <c r="T4202" s="2"/>
      <c r="U4202" s="9"/>
    </row>
    <row r="4203" spans="2:21" x14ac:dyDescent="0.35">
      <c r="B4203" s="9"/>
      <c r="C4203" s="2"/>
      <c r="D4203" s="2"/>
      <c r="I4203" s="9"/>
      <c r="J4203" s="2"/>
      <c r="L4203" s="9"/>
      <c r="M4203" s="2"/>
      <c r="N4203" s="9"/>
      <c r="P4203" s="3">
        <v>-2860.169492</v>
      </c>
      <c r="S4203" s="9"/>
      <c r="T4203" s="2"/>
      <c r="U4203" s="9"/>
    </row>
    <row r="4204" spans="2:21" x14ac:dyDescent="0.35">
      <c r="B4204" s="9"/>
      <c r="C4204" s="2"/>
      <c r="D4204" s="2"/>
      <c r="I4204" s="9"/>
      <c r="J4204" s="2"/>
      <c r="L4204" s="9"/>
      <c r="M4204" s="2"/>
      <c r="N4204" s="9"/>
      <c r="P4204" s="3">
        <v>-2860.169492</v>
      </c>
      <c r="S4204" s="9"/>
      <c r="T4204" s="2"/>
      <c r="U4204" s="9"/>
    </row>
    <row r="4205" spans="2:21" x14ac:dyDescent="0.35">
      <c r="B4205" s="9"/>
      <c r="C4205" s="2"/>
      <c r="D4205" s="2"/>
      <c r="I4205" s="9"/>
      <c r="J4205" s="2"/>
      <c r="L4205" s="9"/>
      <c r="M4205" s="2"/>
      <c r="N4205" s="9"/>
      <c r="P4205" s="3">
        <v>-2860.169492</v>
      </c>
      <c r="S4205" s="9"/>
      <c r="T4205" s="2"/>
      <c r="U4205" s="9"/>
    </row>
    <row r="4206" spans="2:21" x14ac:dyDescent="0.35">
      <c r="B4206" s="9"/>
      <c r="C4206" s="2"/>
      <c r="D4206" s="2"/>
      <c r="I4206" s="9"/>
      <c r="J4206" s="2"/>
      <c r="L4206" s="9"/>
      <c r="M4206" s="2"/>
      <c r="N4206" s="9"/>
      <c r="P4206" s="3">
        <v>-2860.169492</v>
      </c>
      <c r="S4206" s="9"/>
      <c r="T4206" s="2"/>
      <c r="U4206" s="9"/>
    </row>
    <row r="4207" spans="2:21" x14ac:dyDescent="0.35">
      <c r="B4207" s="9"/>
      <c r="C4207" s="2"/>
      <c r="D4207" s="2"/>
      <c r="I4207" s="9"/>
      <c r="J4207" s="2"/>
      <c r="L4207" s="9"/>
      <c r="M4207" s="2"/>
      <c r="N4207" s="9"/>
      <c r="P4207" s="3">
        <v>-2860.169492</v>
      </c>
      <c r="S4207" s="9"/>
      <c r="T4207" s="2"/>
      <c r="U4207" s="9"/>
    </row>
    <row r="4208" spans="2:21" x14ac:dyDescent="0.35">
      <c r="B4208" s="9"/>
      <c r="C4208" s="2"/>
      <c r="D4208" s="2"/>
      <c r="I4208" s="9"/>
      <c r="J4208" s="2"/>
      <c r="L4208" s="9"/>
      <c r="M4208" s="2"/>
      <c r="N4208" s="9"/>
      <c r="P4208" s="3">
        <v>-2860.169492</v>
      </c>
      <c r="S4208" s="9"/>
      <c r="T4208" s="2"/>
      <c r="U4208" s="9"/>
    </row>
    <row r="4209" spans="2:21" x14ac:dyDescent="0.35">
      <c r="B4209" s="9"/>
      <c r="C4209" s="2"/>
      <c r="D4209" s="2"/>
      <c r="I4209" s="9"/>
      <c r="J4209" s="2"/>
      <c r="L4209" s="9"/>
      <c r="M4209" s="2"/>
      <c r="N4209" s="9"/>
      <c r="P4209" s="3">
        <v>-2860.169492</v>
      </c>
      <c r="S4209" s="9"/>
      <c r="T4209" s="2"/>
      <c r="U4209" s="9"/>
    </row>
    <row r="4210" spans="2:21" x14ac:dyDescent="0.35">
      <c r="B4210" s="9"/>
      <c r="C4210" s="2"/>
      <c r="D4210" s="2"/>
      <c r="I4210" s="9"/>
      <c r="J4210" s="2"/>
      <c r="L4210" s="9"/>
      <c r="M4210" s="2"/>
      <c r="N4210" s="9"/>
      <c r="P4210" s="3">
        <v>-2860.169492</v>
      </c>
      <c r="S4210" s="9"/>
      <c r="T4210" s="2"/>
      <c r="U4210" s="9"/>
    </row>
    <row r="4211" spans="2:21" x14ac:dyDescent="0.35">
      <c r="B4211" s="9"/>
      <c r="C4211" s="2"/>
      <c r="D4211" s="2"/>
      <c r="I4211" s="9"/>
      <c r="J4211" s="2"/>
      <c r="L4211" s="9"/>
      <c r="M4211" s="2"/>
      <c r="N4211" s="9"/>
      <c r="P4211" s="3">
        <v>-2860.169492</v>
      </c>
      <c r="S4211" s="9"/>
      <c r="T4211" s="2"/>
      <c r="U4211" s="9"/>
    </row>
    <row r="4212" spans="2:21" x14ac:dyDescent="0.35">
      <c r="B4212" s="9"/>
      <c r="C4212" s="2"/>
      <c r="D4212" s="2"/>
      <c r="I4212" s="9"/>
      <c r="J4212" s="2"/>
      <c r="L4212" s="9"/>
      <c r="M4212" s="2"/>
      <c r="N4212" s="9"/>
      <c r="P4212" s="3">
        <v>-2860.169492</v>
      </c>
      <c r="S4212" s="9"/>
      <c r="T4212" s="2"/>
      <c r="U4212" s="9"/>
    </row>
    <row r="4213" spans="2:21" x14ac:dyDescent="0.35">
      <c r="B4213" s="9"/>
      <c r="C4213" s="2"/>
      <c r="D4213" s="2"/>
      <c r="I4213" s="9"/>
      <c r="J4213" s="2"/>
      <c r="L4213" s="9"/>
      <c r="M4213" s="2"/>
      <c r="N4213" s="9"/>
      <c r="P4213" s="3">
        <v>-2860.169492</v>
      </c>
      <c r="S4213" s="9"/>
      <c r="T4213" s="2"/>
      <c r="U4213" s="9"/>
    </row>
    <row r="4214" spans="2:21" x14ac:dyDescent="0.35">
      <c r="B4214" s="9"/>
      <c r="C4214" s="2"/>
      <c r="D4214" s="2"/>
      <c r="I4214" s="9"/>
      <c r="J4214" s="2"/>
      <c r="L4214" s="9"/>
      <c r="M4214" s="2"/>
      <c r="N4214" s="9"/>
      <c r="P4214" s="3">
        <v>-2860.169492</v>
      </c>
      <c r="S4214" s="9"/>
      <c r="T4214" s="2"/>
      <c r="U4214" s="9"/>
    </row>
    <row r="4215" spans="2:21" x14ac:dyDescent="0.35">
      <c r="B4215" s="9"/>
      <c r="C4215" s="2"/>
      <c r="D4215" s="2"/>
      <c r="I4215" s="9"/>
      <c r="J4215" s="2"/>
      <c r="L4215" s="9"/>
      <c r="M4215" s="2"/>
      <c r="N4215" s="9"/>
      <c r="P4215" s="3">
        <v>-2425.4094919999998</v>
      </c>
      <c r="S4215" s="9"/>
      <c r="T4215" s="2"/>
      <c r="U4215" s="9"/>
    </row>
    <row r="4216" spans="2:21" x14ac:dyDescent="0.35">
      <c r="B4216" s="9"/>
      <c r="C4216" s="2"/>
      <c r="D4216" s="2"/>
      <c r="I4216" s="9"/>
      <c r="J4216" s="2"/>
      <c r="L4216" s="9"/>
      <c r="M4216" s="2"/>
      <c r="N4216" s="9"/>
      <c r="P4216" s="3">
        <v>-1990.649492</v>
      </c>
      <c r="S4216" s="9"/>
      <c r="T4216" s="2"/>
      <c r="U4216" s="9"/>
    </row>
    <row r="4217" spans="2:21" x14ac:dyDescent="0.35">
      <c r="B4217" s="9"/>
      <c r="C4217" s="2"/>
      <c r="D4217" s="2"/>
      <c r="I4217" s="9"/>
      <c r="J4217" s="2"/>
      <c r="L4217" s="9"/>
      <c r="M4217" s="2"/>
      <c r="N4217" s="9"/>
      <c r="P4217" s="3">
        <v>-1555.889492</v>
      </c>
      <c r="S4217" s="9"/>
      <c r="T4217" s="2"/>
      <c r="U4217" s="9"/>
    </row>
    <row r="4218" spans="2:21" x14ac:dyDescent="0.35">
      <c r="B4218" s="9"/>
      <c r="C4218" s="2"/>
      <c r="D4218" s="2"/>
      <c r="I4218" s="9"/>
      <c r="J4218" s="2"/>
      <c r="L4218" s="9"/>
      <c r="M4218" s="2"/>
      <c r="N4218" s="9"/>
      <c r="P4218" s="3">
        <v>-1121.129492</v>
      </c>
      <c r="S4218" s="9"/>
      <c r="T4218" s="2"/>
      <c r="U4218" s="9"/>
    </row>
    <row r="4219" spans="2:21" x14ac:dyDescent="0.35">
      <c r="B4219" s="9"/>
      <c r="C4219" s="2"/>
      <c r="D4219" s="2"/>
      <c r="I4219" s="9"/>
      <c r="J4219" s="2"/>
      <c r="L4219" s="9"/>
      <c r="M4219" s="2"/>
      <c r="N4219" s="9"/>
      <c r="P4219" s="3">
        <v>-686.36949200000004</v>
      </c>
      <c r="S4219" s="9"/>
      <c r="T4219" s="2"/>
      <c r="U4219" s="9"/>
    </row>
    <row r="4220" spans="2:21" x14ac:dyDescent="0.35">
      <c r="B4220" s="9"/>
      <c r="C4220" s="2"/>
      <c r="D4220" s="2"/>
      <c r="I4220" s="9"/>
      <c r="J4220" s="2"/>
      <c r="L4220" s="9"/>
      <c r="M4220" s="2"/>
      <c r="N4220" s="9"/>
      <c r="P4220" s="3">
        <v>-1121.129492</v>
      </c>
      <c r="S4220" s="9"/>
      <c r="T4220" s="2"/>
      <c r="U4220" s="9"/>
    </row>
    <row r="4221" spans="2:21" x14ac:dyDescent="0.35">
      <c r="B4221" s="9"/>
      <c r="C4221" s="2"/>
      <c r="D4221" s="2"/>
      <c r="I4221" s="9"/>
      <c r="J4221" s="2"/>
      <c r="L4221" s="9"/>
      <c r="M4221" s="2"/>
      <c r="N4221" s="9"/>
      <c r="P4221" s="3">
        <v>-1555.889492</v>
      </c>
      <c r="S4221" s="9"/>
      <c r="T4221" s="2"/>
      <c r="U4221" s="9"/>
    </row>
    <row r="4222" spans="2:21" x14ac:dyDescent="0.35">
      <c r="B4222" s="9"/>
      <c r="C4222" s="2"/>
      <c r="D4222" s="2"/>
      <c r="I4222" s="9"/>
      <c r="J4222" s="2"/>
      <c r="L4222" s="9"/>
      <c r="M4222" s="2"/>
      <c r="N4222" s="9"/>
      <c r="P4222" s="3">
        <v>-1990.649492</v>
      </c>
      <c r="S4222" s="9"/>
      <c r="T4222" s="2"/>
      <c r="U4222" s="9"/>
    </row>
    <row r="4223" spans="2:21" x14ac:dyDescent="0.35">
      <c r="B4223" s="9"/>
      <c r="C4223" s="2"/>
      <c r="D4223" s="2"/>
      <c r="I4223" s="9"/>
      <c r="J4223" s="2"/>
      <c r="L4223" s="9"/>
      <c r="M4223" s="2"/>
      <c r="N4223" s="9"/>
      <c r="P4223" s="3">
        <v>-2425.4094919999998</v>
      </c>
      <c r="S4223" s="9"/>
      <c r="T4223" s="2"/>
      <c r="U4223" s="9"/>
    </row>
    <row r="4224" spans="2:21" x14ac:dyDescent="0.35">
      <c r="B4224" s="9"/>
      <c r="C4224" s="2"/>
      <c r="D4224" s="2"/>
      <c r="I4224" s="9"/>
      <c r="J4224" s="2"/>
      <c r="L4224" s="9"/>
      <c r="M4224" s="2"/>
      <c r="N4224" s="9"/>
      <c r="P4224" s="3">
        <v>-2860.169492</v>
      </c>
      <c r="S4224" s="9"/>
      <c r="T4224" s="2"/>
      <c r="U4224" s="9"/>
    </row>
    <row r="4225" spans="2:21" x14ac:dyDescent="0.35">
      <c r="B4225" s="9"/>
      <c r="C4225" s="2"/>
      <c r="D4225" s="2"/>
      <c r="I4225" s="9"/>
      <c r="J4225" s="2"/>
      <c r="L4225" s="9"/>
      <c r="M4225" s="2"/>
      <c r="N4225" s="9"/>
      <c r="P4225" s="3">
        <v>-2860.169492</v>
      </c>
      <c r="S4225" s="9"/>
      <c r="T4225" s="2"/>
      <c r="U4225" s="9"/>
    </row>
    <row r="4226" spans="2:21" x14ac:dyDescent="0.35">
      <c r="B4226" s="9"/>
      <c r="C4226" s="2"/>
      <c r="D4226" s="2"/>
      <c r="I4226" s="9"/>
      <c r="J4226" s="2"/>
      <c r="L4226" s="9"/>
      <c r="M4226" s="2"/>
      <c r="N4226" s="9"/>
      <c r="P4226" s="3">
        <v>-2860.169492</v>
      </c>
      <c r="S4226" s="9"/>
      <c r="T4226" s="2"/>
      <c r="U4226" s="9"/>
    </row>
    <row r="4227" spans="2:21" x14ac:dyDescent="0.35">
      <c r="B4227" s="9"/>
      <c r="C4227" s="2"/>
      <c r="D4227" s="2"/>
      <c r="I4227" s="9"/>
      <c r="J4227" s="2"/>
      <c r="L4227" s="9"/>
      <c r="M4227" s="2"/>
      <c r="N4227" s="9"/>
      <c r="P4227" s="3">
        <v>-2860.169492</v>
      </c>
      <c r="S4227" s="9"/>
      <c r="T4227" s="2"/>
      <c r="U4227" s="9"/>
    </row>
    <row r="4228" spans="2:21" x14ac:dyDescent="0.35">
      <c r="B4228" s="9"/>
      <c r="C4228" s="2"/>
      <c r="D4228" s="2"/>
      <c r="I4228" s="9"/>
      <c r="J4228" s="2"/>
      <c r="L4228" s="9"/>
      <c r="M4228" s="2"/>
      <c r="N4228" s="9"/>
      <c r="P4228" s="3">
        <v>-2860.169492</v>
      </c>
      <c r="S4228" s="9"/>
      <c r="T4228" s="2"/>
      <c r="U4228" s="9"/>
    </row>
    <row r="4229" spans="2:21" x14ac:dyDescent="0.35">
      <c r="B4229" s="9"/>
      <c r="C4229" s="2"/>
      <c r="D4229" s="2"/>
      <c r="I4229" s="9"/>
      <c r="J4229" s="2"/>
      <c r="L4229" s="9"/>
      <c r="M4229" s="2"/>
      <c r="N4229" s="9"/>
      <c r="P4229" s="3">
        <v>-2860.169492</v>
      </c>
      <c r="S4229" s="9"/>
      <c r="T4229" s="2"/>
      <c r="U4229" s="9"/>
    </row>
    <row r="4230" spans="2:21" x14ac:dyDescent="0.35">
      <c r="B4230" s="9"/>
      <c r="C4230" s="2"/>
      <c r="D4230" s="2"/>
      <c r="I4230" s="9"/>
      <c r="J4230" s="2"/>
      <c r="L4230" s="9"/>
      <c r="M4230" s="2"/>
      <c r="N4230" s="9"/>
      <c r="P4230" s="3">
        <v>-2860.169492</v>
      </c>
      <c r="S4230" s="9"/>
      <c r="T4230" s="2"/>
      <c r="U4230" s="9"/>
    </row>
    <row r="4231" spans="2:21" x14ac:dyDescent="0.35">
      <c r="B4231" s="9"/>
      <c r="C4231" s="2"/>
      <c r="D4231" s="2"/>
      <c r="I4231" s="9"/>
      <c r="J4231" s="2"/>
      <c r="L4231" s="9"/>
      <c r="M4231" s="2"/>
      <c r="N4231" s="9"/>
      <c r="P4231" s="3">
        <v>-2860.169492</v>
      </c>
      <c r="S4231" s="9"/>
      <c r="T4231" s="2"/>
      <c r="U4231" s="9"/>
    </row>
    <row r="4232" spans="2:21" x14ac:dyDescent="0.35">
      <c r="B4232" s="9"/>
      <c r="C4232" s="2"/>
      <c r="D4232" s="2"/>
      <c r="I4232" s="9"/>
      <c r="J4232" s="2"/>
      <c r="L4232" s="9"/>
      <c r="M4232" s="2"/>
      <c r="N4232" s="9"/>
      <c r="P4232" s="3">
        <v>-2860.169492</v>
      </c>
      <c r="S4232" s="9"/>
      <c r="T4232" s="2"/>
      <c r="U4232" s="9"/>
    </row>
    <row r="4233" spans="2:21" x14ac:dyDescent="0.35">
      <c r="B4233" s="9"/>
      <c r="C4233" s="2"/>
      <c r="D4233" s="2"/>
      <c r="I4233" s="9"/>
      <c r="J4233" s="2"/>
      <c r="L4233" s="9"/>
      <c r="M4233" s="2"/>
      <c r="N4233" s="9"/>
      <c r="P4233" s="3">
        <v>-2860.169492</v>
      </c>
      <c r="S4233" s="9"/>
      <c r="T4233" s="2"/>
      <c r="U4233" s="9"/>
    </row>
    <row r="4234" spans="2:21" x14ac:dyDescent="0.35">
      <c r="B4234" s="9"/>
      <c r="C4234" s="2"/>
      <c r="D4234" s="2"/>
      <c r="I4234" s="9"/>
      <c r="J4234" s="2"/>
      <c r="L4234" s="9"/>
      <c r="M4234" s="2"/>
      <c r="N4234" s="9"/>
      <c r="P4234" s="3">
        <v>-2860.169492</v>
      </c>
      <c r="S4234" s="9"/>
      <c r="T4234" s="2"/>
      <c r="U4234" s="9"/>
    </row>
    <row r="4235" spans="2:21" x14ac:dyDescent="0.35">
      <c r="B4235" s="9"/>
      <c r="C4235" s="2"/>
      <c r="D4235" s="2"/>
      <c r="I4235" s="9"/>
      <c r="J4235" s="2"/>
      <c r="L4235" s="9"/>
      <c r="M4235" s="2"/>
      <c r="N4235" s="9"/>
      <c r="P4235" s="3">
        <v>-2860.169492</v>
      </c>
      <c r="S4235" s="9"/>
      <c r="T4235" s="2"/>
      <c r="U4235" s="9"/>
    </row>
    <row r="4236" spans="2:21" x14ac:dyDescent="0.35">
      <c r="B4236" s="9"/>
      <c r="C4236" s="2"/>
      <c r="D4236" s="2"/>
      <c r="I4236" s="9"/>
      <c r="J4236" s="2"/>
      <c r="L4236" s="9"/>
      <c r="M4236" s="2"/>
      <c r="N4236" s="9"/>
      <c r="P4236" s="3">
        <v>-2860.169492</v>
      </c>
      <c r="S4236" s="9"/>
      <c r="T4236" s="2"/>
      <c r="U4236" s="9"/>
    </row>
    <row r="4237" spans="2:21" x14ac:dyDescent="0.35">
      <c r="B4237" s="9"/>
      <c r="C4237" s="2"/>
      <c r="D4237" s="2"/>
      <c r="I4237" s="9"/>
      <c r="J4237" s="2"/>
      <c r="L4237" s="9"/>
      <c r="M4237" s="2"/>
      <c r="N4237" s="9"/>
      <c r="P4237" s="3">
        <v>-2860.169492</v>
      </c>
      <c r="S4237" s="9"/>
      <c r="T4237" s="2"/>
      <c r="U4237" s="9"/>
    </row>
    <row r="4238" spans="2:21" x14ac:dyDescent="0.35">
      <c r="B4238" s="9"/>
      <c r="C4238" s="2"/>
      <c r="D4238" s="2"/>
      <c r="I4238" s="9"/>
      <c r="J4238" s="2"/>
      <c r="L4238" s="9"/>
      <c r="M4238" s="2"/>
      <c r="N4238" s="9"/>
      <c r="P4238" s="3">
        <v>-2860.169492</v>
      </c>
      <c r="S4238" s="9"/>
      <c r="T4238" s="2"/>
      <c r="U4238" s="9"/>
    </row>
    <row r="4239" spans="2:21" x14ac:dyDescent="0.35">
      <c r="B4239" s="9"/>
      <c r="C4239" s="2"/>
      <c r="D4239" s="2"/>
      <c r="I4239" s="9"/>
      <c r="J4239" s="2"/>
      <c r="L4239" s="9"/>
      <c r="M4239" s="2"/>
      <c r="N4239" s="9"/>
      <c r="P4239" s="3">
        <v>-2425.4094919999998</v>
      </c>
      <c r="S4239" s="9"/>
      <c r="T4239" s="2"/>
      <c r="U4239" s="9"/>
    </row>
    <row r="4240" spans="2:21" x14ac:dyDescent="0.35">
      <c r="B4240" s="9"/>
      <c r="C4240" s="2"/>
      <c r="D4240" s="2"/>
      <c r="I4240" s="9"/>
      <c r="J4240" s="2"/>
      <c r="L4240" s="9"/>
      <c r="M4240" s="2"/>
      <c r="N4240" s="9"/>
      <c r="P4240" s="3">
        <v>-1990.649492</v>
      </c>
      <c r="S4240" s="9"/>
      <c r="T4240" s="2"/>
      <c r="U4240" s="9"/>
    </row>
    <row r="4241" spans="2:21" x14ac:dyDescent="0.35">
      <c r="B4241" s="9"/>
      <c r="C4241" s="2"/>
      <c r="D4241" s="2"/>
      <c r="I4241" s="9"/>
      <c r="J4241" s="2"/>
      <c r="L4241" s="9"/>
      <c r="M4241" s="2"/>
      <c r="N4241" s="9"/>
      <c r="P4241" s="3">
        <v>-1555.889492</v>
      </c>
      <c r="S4241" s="9"/>
      <c r="T4241" s="2"/>
      <c r="U4241" s="9"/>
    </row>
    <row r="4242" spans="2:21" x14ac:dyDescent="0.35">
      <c r="B4242" s="9"/>
      <c r="C4242" s="2"/>
      <c r="D4242" s="2"/>
      <c r="I4242" s="9"/>
      <c r="J4242" s="2"/>
      <c r="L4242" s="9"/>
      <c r="M4242" s="2"/>
      <c r="N4242" s="9"/>
      <c r="P4242" s="3">
        <v>-1121.129492</v>
      </c>
      <c r="S4242" s="9"/>
      <c r="T4242" s="2"/>
      <c r="U4242" s="9"/>
    </row>
    <row r="4243" spans="2:21" x14ac:dyDescent="0.35">
      <c r="B4243" s="9"/>
      <c r="C4243" s="2"/>
      <c r="D4243" s="2"/>
      <c r="I4243" s="9"/>
      <c r="J4243" s="2"/>
      <c r="L4243" s="9"/>
      <c r="M4243" s="2"/>
      <c r="N4243" s="9"/>
      <c r="P4243" s="3">
        <v>-686.36949200000004</v>
      </c>
      <c r="S4243" s="9"/>
      <c r="T4243" s="2"/>
      <c r="U4243" s="9"/>
    </row>
    <row r="4244" spans="2:21" x14ac:dyDescent="0.35">
      <c r="B4244" s="9"/>
      <c r="C4244" s="2"/>
      <c r="D4244" s="2"/>
      <c r="I4244" s="9"/>
      <c r="J4244" s="2"/>
      <c r="L4244" s="9"/>
      <c r="M4244" s="2"/>
      <c r="N4244" s="9"/>
      <c r="P4244" s="3">
        <v>-1121.129492</v>
      </c>
      <c r="S4244" s="9"/>
      <c r="T4244" s="2"/>
      <c r="U4244" s="9"/>
    </row>
    <row r="4245" spans="2:21" x14ac:dyDescent="0.35">
      <c r="B4245" s="9"/>
      <c r="C4245" s="2"/>
      <c r="D4245" s="2"/>
      <c r="I4245" s="9"/>
      <c r="J4245" s="2"/>
      <c r="L4245" s="9"/>
      <c r="M4245" s="2"/>
      <c r="N4245" s="9"/>
      <c r="P4245" s="3">
        <v>-1555.889492</v>
      </c>
      <c r="S4245" s="9"/>
      <c r="T4245" s="2"/>
      <c r="U4245" s="9"/>
    </row>
    <row r="4246" spans="2:21" x14ac:dyDescent="0.35">
      <c r="B4246" s="9"/>
      <c r="C4246" s="2"/>
      <c r="D4246" s="2"/>
      <c r="I4246" s="9"/>
      <c r="J4246" s="2"/>
      <c r="L4246" s="9"/>
      <c r="M4246" s="2"/>
      <c r="N4246" s="9"/>
      <c r="P4246" s="3">
        <v>-1990.649492</v>
      </c>
      <c r="S4246" s="9"/>
      <c r="T4246" s="2"/>
      <c r="U4246" s="9"/>
    </row>
    <row r="4247" spans="2:21" x14ac:dyDescent="0.35">
      <c r="B4247" s="9"/>
      <c r="C4247" s="2"/>
      <c r="D4247" s="2"/>
      <c r="I4247" s="9"/>
      <c r="J4247" s="2"/>
      <c r="L4247" s="9"/>
      <c r="M4247" s="2"/>
      <c r="N4247" s="9"/>
      <c r="P4247" s="3">
        <v>-2425.4094919999998</v>
      </c>
      <c r="S4247" s="9"/>
      <c r="T4247" s="2"/>
      <c r="U4247" s="9"/>
    </row>
    <row r="4248" spans="2:21" x14ac:dyDescent="0.35">
      <c r="B4248" s="9"/>
      <c r="C4248" s="2"/>
      <c r="D4248" s="2"/>
      <c r="I4248" s="9"/>
      <c r="J4248" s="2"/>
      <c r="L4248" s="9"/>
      <c r="M4248" s="2"/>
      <c r="N4248" s="9"/>
      <c r="P4248" s="3">
        <v>-2860.169492</v>
      </c>
      <c r="S4248" s="9"/>
      <c r="T4248" s="2"/>
      <c r="U4248" s="9"/>
    </row>
    <row r="4249" spans="2:21" x14ac:dyDescent="0.35">
      <c r="B4249" s="9"/>
      <c r="C4249" s="2"/>
      <c r="D4249" s="2"/>
      <c r="I4249" s="9"/>
      <c r="J4249" s="2"/>
      <c r="L4249" s="9"/>
      <c r="M4249" s="2"/>
      <c r="N4249" s="9"/>
      <c r="P4249" s="3">
        <v>-2860.169492</v>
      </c>
      <c r="S4249" s="9"/>
      <c r="T4249" s="2"/>
      <c r="U4249" s="9"/>
    </row>
    <row r="4250" spans="2:21" x14ac:dyDescent="0.35">
      <c r="B4250" s="9"/>
      <c r="C4250" s="2"/>
      <c r="D4250" s="2"/>
      <c r="I4250" s="9"/>
      <c r="J4250" s="2"/>
      <c r="L4250" s="9"/>
      <c r="M4250" s="2"/>
      <c r="N4250" s="9"/>
      <c r="P4250" s="3">
        <v>-2860.169492</v>
      </c>
      <c r="S4250" s="9"/>
      <c r="T4250" s="2"/>
      <c r="U4250" s="9"/>
    </row>
    <row r="4251" spans="2:21" x14ac:dyDescent="0.35">
      <c r="B4251" s="9"/>
      <c r="C4251" s="2"/>
      <c r="D4251" s="2"/>
      <c r="I4251" s="9"/>
      <c r="J4251" s="2"/>
      <c r="L4251" s="9"/>
      <c r="M4251" s="2"/>
      <c r="N4251" s="9"/>
      <c r="P4251" s="3">
        <v>-2860.169492</v>
      </c>
      <c r="S4251" s="9"/>
      <c r="T4251" s="2"/>
      <c r="U4251" s="9"/>
    </row>
    <row r="4252" spans="2:21" x14ac:dyDescent="0.35">
      <c r="B4252" s="9"/>
      <c r="C4252" s="2"/>
      <c r="D4252" s="2"/>
      <c r="I4252" s="9"/>
      <c r="J4252" s="2"/>
      <c r="L4252" s="9"/>
      <c r="M4252" s="2"/>
      <c r="N4252" s="9"/>
      <c r="P4252" s="3">
        <v>-2860.169492</v>
      </c>
      <c r="S4252" s="9"/>
      <c r="T4252" s="2"/>
      <c r="U4252" s="9"/>
    </row>
    <row r="4253" spans="2:21" x14ac:dyDescent="0.35">
      <c r="B4253" s="9"/>
      <c r="C4253" s="2"/>
      <c r="D4253" s="2"/>
      <c r="I4253" s="9"/>
      <c r="J4253" s="2"/>
      <c r="L4253" s="9"/>
      <c r="M4253" s="2"/>
      <c r="N4253" s="9"/>
      <c r="P4253" s="3">
        <v>-2860.169492</v>
      </c>
      <c r="S4253" s="9"/>
      <c r="T4253" s="2"/>
      <c r="U4253" s="9"/>
    </row>
    <row r="4254" spans="2:21" x14ac:dyDescent="0.35">
      <c r="B4254" s="9"/>
      <c r="C4254" s="2"/>
      <c r="D4254" s="2"/>
      <c r="I4254" s="9"/>
      <c r="J4254" s="2"/>
      <c r="L4254" s="9"/>
      <c r="M4254" s="2"/>
      <c r="N4254" s="9"/>
      <c r="P4254" s="3">
        <v>-2860.169492</v>
      </c>
      <c r="S4254" s="9"/>
      <c r="T4254" s="2"/>
      <c r="U4254" s="9"/>
    </row>
    <row r="4255" spans="2:21" x14ac:dyDescent="0.35">
      <c r="B4255" s="9"/>
      <c r="C4255" s="2"/>
      <c r="D4255" s="2"/>
      <c r="I4255" s="9"/>
      <c r="J4255" s="2"/>
      <c r="L4255" s="9"/>
      <c r="M4255" s="2"/>
      <c r="N4255" s="9"/>
      <c r="P4255" s="3">
        <v>-2860.169492</v>
      </c>
      <c r="S4255" s="9"/>
      <c r="T4255" s="2"/>
      <c r="U4255" s="9"/>
    </row>
    <row r="4256" spans="2:21" x14ac:dyDescent="0.35">
      <c r="B4256" s="9"/>
      <c r="C4256" s="2"/>
      <c r="D4256" s="2"/>
      <c r="I4256" s="9"/>
      <c r="J4256" s="2"/>
      <c r="L4256" s="9"/>
      <c r="M4256" s="2"/>
      <c r="N4256" s="9"/>
      <c r="P4256" s="3">
        <v>-2860.169492</v>
      </c>
      <c r="S4256" s="9"/>
      <c r="T4256" s="2"/>
      <c r="U4256" s="9"/>
    </row>
    <row r="4257" spans="2:21" x14ac:dyDescent="0.35">
      <c r="B4257" s="9"/>
      <c r="C4257" s="2"/>
      <c r="D4257" s="2"/>
      <c r="I4257" s="9"/>
      <c r="J4257" s="2"/>
      <c r="L4257" s="9"/>
      <c r="M4257" s="2"/>
      <c r="N4257" s="9"/>
      <c r="P4257" s="3">
        <v>-2860.169492</v>
      </c>
      <c r="S4257" s="9"/>
      <c r="T4257" s="2"/>
      <c r="U4257" s="9"/>
    </row>
    <row r="4258" spans="2:21" x14ac:dyDescent="0.35">
      <c r="B4258" s="9"/>
      <c r="C4258" s="2"/>
      <c r="D4258" s="2"/>
      <c r="I4258" s="9"/>
      <c r="J4258" s="2"/>
      <c r="L4258" s="9"/>
      <c r="M4258" s="2"/>
      <c r="N4258" s="9"/>
      <c r="P4258" s="3">
        <v>-2860.169492</v>
      </c>
      <c r="S4258" s="9"/>
      <c r="T4258" s="2"/>
      <c r="U4258" s="9"/>
    </row>
    <row r="4259" spans="2:21" x14ac:dyDescent="0.35">
      <c r="B4259" s="9"/>
      <c r="C4259" s="2"/>
      <c r="D4259" s="2"/>
      <c r="I4259" s="9"/>
      <c r="J4259" s="2"/>
      <c r="L4259" s="9"/>
      <c r="M4259" s="2"/>
      <c r="N4259" s="9"/>
      <c r="P4259" s="3">
        <v>-2860.169492</v>
      </c>
      <c r="S4259" s="9"/>
      <c r="T4259" s="2"/>
      <c r="U4259" s="9"/>
    </row>
    <row r="4260" spans="2:21" x14ac:dyDescent="0.35">
      <c r="B4260" s="9"/>
      <c r="C4260" s="2"/>
      <c r="D4260" s="2"/>
      <c r="I4260" s="9"/>
      <c r="J4260" s="2"/>
      <c r="L4260" s="9"/>
      <c r="M4260" s="2"/>
      <c r="N4260" s="9"/>
      <c r="P4260" s="3">
        <v>-2860.169492</v>
      </c>
      <c r="S4260" s="9"/>
      <c r="T4260" s="2"/>
      <c r="U4260" s="9"/>
    </row>
    <row r="4261" spans="2:21" x14ac:dyDescent="0.35">
      <c r="B4261" s="9"/>
      <c r="C4261" s="2"/>
      <c r="D4261" s="2"/>
      <c r="I4261" s="9"/>
      <c r="J4261" s="2"/>
      <c r="L4261" s="9"/>
      <c r="M4261" s="2"/>
      <c r="N4261" s="9"/>
      <c r="P4261" s="3">
        <v>-2860.169492</v>
      </c>
      <c r="S4261" s="9"/>
      <c r="T4261" s="2"/>
      <c r="U4261" s="9"/>
    </row>
    <row r="4262" spans="2:21" x14ac:dyDescent="0.35">
      <c r="B4262" s="9"/>
      <c r="C4262" s="2"/>
      <c r="D4262" s="2"/>
      <c r="I4262" s="9"/>
      <c r="J4262" s="2"/>
      <c r="L4262" s="9"/>
      <c r="M4262" s="2"/>
      <c r="N4262" s="9"/>
      <c r="P4262" s="3">
        <v>-2860.169492</v>
      </c>
      <c r="S4262" s="9"/>
      <c r="T4262" s="2"/>
      <c r="U4262" s="9"/>
    </row>
    <row r="4263" spans="2:21" x14ac:dyDescent="0.35">
      <c r="B4263" s="9"/>
      <c r="C4263" s="2"/>
      <c r="D4263" s="2"/>
      <c r="I4263" s="9"/>
      <c r="J4263" s="2"/>
      <c r="L4263" s="9"/>
      <c r="M4263" s="2"/>
      <c r="N4263" s="9"/>
      <c r="P4263" s="3">
        <v>-2425.4094919999998</v>
      </c>
      <c r="S4263" s="9"/>
      <c r="T4263" s="2"/>
      <c r="U4263" s="9"/>
    </row>
    <row r="4264" spans="2:21" x14ac:dyDescent="0.35">
      <c r="B4264" s="9"/>
      <c r="C4264" s="2"/>
      <c r="D4264" s="2"/>
      <c r="I4264" s="9"/>
      <c r="J4264" s="2"/>
      <c r="L4264" s="9"/>
      <c r="M4264" s="2"/>
      <c r="N4264" s="9"/>
      <c r="P4264" s="3">
        <v>-1990.649492</v>
      </c>
      <c r="S4264" s="9"/>
      <c r="T4264" s="2"/>
      <c r="U4264" s="9"/>
    </row>
    <row r="4265" spans="2:21" x14ac:dyDescent="0.35">
      <c r="B4265" s="9"/>
      <c r="C4265" s="2"/>
      <c r="D4265" s="2"/>
      <c r="I4265" s="9"/>
      <c r="J4265" s="2"/>
      <c r="L4265" s="9"/>
      <c r="M4265" s="2"/>
      <c r="N4265" s="9"/>
      <c r="P4265" s="3">
        <v>-1555.889492</v>
      </c>
      <c r="S4265" s="9"/>
      <c r="T4265" s="2"/>
      <c r="U4265" s="9"/>
    </row>
    <row r="4266" spans="2:21" x14ac:dyDescent="0.35">
      <c r="B4266" s="9"/>
      <c r="C4266" s="2"/>
      <c r="D4266" s="2"/>
      <c r="I4266" s="9"/>
      <c r="J4266" s="2"/>
      <c r="L4266" s="9"/>
      <c r="M4266" s="2"/>
      <c r="N4266" s="9"/>
      <c r="P4266" s="3">
        <v>-1121.129492</v>
      </c>
      <c r="S4266" s="9"/>
      <c r="T4266" s="2"/>
      <c r="U4266" s="9"/>
    </row>
    <row r="4267" spans="2:21" x14ac:dyDescent="0.35">
      <c r="B4267" s="9"/>
      <c r="C4267" s="2"/>
      <c r="D4267" s="2"/>
      <c r="I4267" s="9"/>
      <c r="J4267" s="2"/>
      <c r="L4267" s="9"/>
      <c r="M4267" s="2"/>
      <c r="N4267" s="9"/>
      <c r="P4267" s="3">
        <v>-686.36949200000004</v>
      </c>
      <c r="S4267" s="9"/>
      <c r="T4267" s="2"/>
      <c r="U4267" s="9"/>
    </row>
    <row r="4268" spans="2:21" x14ac:dyDescent="0.35">
      <c r="B4268" s="9"/>
      <c r="C4268" s="2"/>
      <c r="D4268" s="2"/>
      <c r="I4268" s="9"/>
      <c r="J4268" s="2"/>
      <c r="L4268" s="9"/>
      <c r="M4268" s="2"/>
      <c r="N4268" s="9"/>
      <c r="P4268" s="3">
        <v>-1121.129492</v>
      </c>
      <c r="S4268" s="9"/>
      <c r="T4268" s="2"/>
      <c r="U4268" s="9"/>
    </row>
    <row r="4269" spans="2:21" x14ac:dyDescent="0.35">
      <c r="B4269" s="9"/>
      <c r="C4269" s="2"/>
      <c r="D4269" s="2"/>
      <c r="I4269" s="9"/>
      <c r="J4269" s="2"/>
      <c r="L4269" s="9"/>
      <c r="M4269" s="2"/>
      <c r="N4269" s="9"/>
      <c r="P4269" s="3">
        <v>-1555.889492</v>
      </c>
      <c r="S4269" s="9"/>
      <c r="T4269" s="2"/>
      <c r="U4269" s="9"/>
    </row>
    <row r="4270" spans="2:21" x14ac:dyDescent="0.35">
      <c r="B4270" s="9"/>
      <c r="C4270" s="2"/>
      <c r="D4270" s="2"/>
      <c r="I4270" s="9"/>
      <c r="J4270" s="2"/>
      <c r="L4270" s="9"/>
      <c r="M4270" s="2"/>
      <c r="N4270" s="9"/>
      <c r="P4270" s="3">
        <v>-1990.649492</v>
      </c>
      <c r="S4270" s="9"/>
      <c r="T4270" s="2"/>
      <c r="U4270" s="9"/>
    </row>
    <row r="4271" spans="2:21" x14ac:dyDescent="0.35">
      <c r="B4271" s="9"/>
      <c r="C4271" s="2"/>
      <c r="D4271" s="2"/>
      <c r="I4271" s="9"/>
      <c r="J4271" s="2"/>
      <c r="L4271" s="9"/>
      <c r="M4271" s="2"/>
      <c r="N4271" s="9"/>
      <c r="P4271" s="3">
        <v>-2425.4094919999998</v>
      </c>
      <c r="S4271" s="9"/>
      <c r="T4271" s="2"/>
      <c r="U4271" s="9"/>
    </row>
    <row r="4272" spans="2:21" x14ac:dyDescent="0.35">
      <c r="B4272" s="9"/>
      <c r="C4272" s="2"/>
      <c r="D4272" s="2"/>
      <c r="I4272" s="9"/>
      <c r="J4272" s="2"/>
      <c r="L4272" s="9"/>
      <c r="M4272" s="2"/>
      <c r="N4272" s="9"/>
      <c r="P4272" s="3">
        <v>-2860.169492</v>
      </c>
      <c r="S4272" s="9"/>
      <c r="T4272" s="2"/>
      <c r="U4272" s="9"/>
    </row>
    <row r="4273" spans="2:21" x14ac:dyDescent="0.35">
      <c r="B4273" s="9"/>
      <c r="C4273" s="2"/>
      <c r="D4273" s="2"/>
      <c r="I4273" s="9"/>
      <c r="J4273" s="2"/>
      <c r="L4273" s="9"/>
      <c r="M4273" s="2"/>
      <c r="N4273" s="9"/>
      <c r="P4273" s="3">
        <v>-2860.169492</v>
      </c>
      <c r="S4273" s="9"/>
      <c r="T4273" s="2"/>
      <c r="U4273" s="9"/>
    </row>
    <row r="4274" spans="2:21" x14ac:dyDescent="0.35">
      <c r="B4274" s="9"/>
      <c r="C4274" s="2"/>
      <c r="D4274" s="2"/>
      <c r="I4274" s="9"/>
      <c r="J4274" s="2"/>
      <c r="L4274" s="9"/>
      <c r="M4274" s="2"/>
      <c r="N4274" s="9"/>
      <c r="P4274" s="3">
        <v>-2860.169492</v>
      </c>
      <c r="S4274" s="9"/>
      <c r="T4274" s="2"/>
      <c r="U4274" s="9"/>
    </row>
    <row r="4275" spans="2:21" x14ac:dyDescent="0.35">
      <c r="B4275" s="9"/>
      <c r="C4275" s="2"/>
      <c r="D4275" s="2"/>
      <c r="I4275" s="9"/>
      <c r="J4275" s="2"/>
      <c r="L4275" s="9"/>
      <c r="M4275" s="2"/>
      <c r="N4275" s="9"/>
      <c r="P4275" s="3">
        <v>-2860.169492</v>
      </c>
      <c r="S4275" s="9"/>
      <c r="T4275" s="2"/>
      <c r="U4275" s="9"/>
    </row>
    <row r="4276" spans="2:21" x14ac:dyDescent="0.35">
      <c r="B4276" s="9"/>
      <c r="C4276" s="2"/>
      <c r="D4276" s="2"/>
      <c r="I4276" s="9"/>
      <c r="J4276" s="2"/>
      <c r="L4276" s="9"/>
      <c r="M4276" s="2"/>
      <c r="N4276" s="9"/>
      <c r="P4276" s="3">
        <v>-2860.169492</v>
      </c>
      <c r="S4276" s="9"/>
      <c r="T4276" s="2"/>
      <c r="U4276" s="9"/>
    </row>
    <row r="4277" spans="2:21" x14ac:dyDescent="0.35">
      <c r="B4277" s="9"/>
      <c r="C4277" s="2"/>
      <c r="D4277" s="2"/>
      <c r="I4277" s="9"/>
      <c r="J4277" s="2"/>
      <c r="L4277" s="9"/>
      <c r="M4277" s="2"/>
      <c r="N4277" s="9"/>
      <c r="P4277" s="3">
        <v>-2860.169492</v>
      </c>
      <c r="S4277" s="9"/>
      <c r="T4277" s="2"/>
      <c r="U4277" s="9"/>
    </row>
    <row r="4278" spans="2:21" x14ac:dyDescent="0.35">
      <c r="B4278" s="9"/>
      <c r="C4278" s="2"/>
      <c r="D4278" s="2"/>
      <c r="I4278" s="9"/>
      <c r="J4278" s="2"/>
      <c r="L4278" s="9"/>
      <c r="M4278" s="2"/>
      <c r="N4278" s="9"/>
      <c r="P4278" s="3">
        <v>-2860.169492</v>
      </c>
      <c r="S4278" s="9"/>
      <c r="T4278" s="2"/>
      <c r="U4278" s="9"/>
    </row>
    <row r="4279" spans="2:21" x14ac:dyDescent="0.35">
      <c r="B4279" s="9"/>
      <c r="C4279" s="2"/>
      <c r="D4279" s="2"/>
      <c r="I4279" s="9"/>
      <c r="J4279" s="2"/>
      <c r="L4279" s="9"/>
      <c r="M4279" s="2"/>
      <c r="N4279" s="9"/>
      <c r="P4279" s="3">
        <v>-2860.169492</v>
      </c>
      <c r="S4279" s="9"/>
      <c r="T4279" s="2"/>
      <c r="U4279" s="9"/>
    </row>
    <row r="4280" spans="2:21" x14ac:dyDescent="0.35">
      <c r="B4280" s="9"/>
      <c r="C4280" s="2"/>
      <c r="D4280" s="2"/>
      <c r="I4280" s="9"/>
      <c r="J4280" s="2"/>
      <c r="L4280" s="9"/>
      <c r="M4280" s="2"/>
      <c r="N4280" s="9"/>
      <c r="P4280" s="3">
        <v>-2860.169492</v>
      </c>
      <c r="S4280" s="9"/>
      <c r="T4280" s="2"/>
      <c r="U4280" s="9"/>
    </row>
    <row r="4281" spans="2:21" x14ac:dyDescent="0.35">
      <c r="B4281" s="9"/>
      <c r="C4281" s="2"/>
      <c r="D4281" s="2"/>
      <c r="I4281" s="9"/>
      <c r="J4281" s="2"/>
      <c r="L4281" s="9"/>
      <c r="M4281" s="2"/>
      <c r="N4281" s="9"/>
      <c r="P4281" s="3">
        <v>-2860.169492</v>
      </c>
      <c r="S4281" s="9"/>
      <c r="T4281" s="2"/>
      <c r="U4281" s="9"/>
    </row>
    <row r="4282" spans="2:21" x14ac:dyDescent="0.35">
      <c r="B4282" s="9"/>
      <c r="C4282" s="2"/>
      <c r="D4282" s="2"/>
      <c r="I4282" s="9"/>
      <c r="J4282" s="2"/>
      <c r="L4282" s="9"/>
      <c r="M4282" s="2"/>
      <c r="N4282" s="9"/>
      <c r="P4282" s="3">
        <v>-2860.169492</v>
      </c>
      <c r="S4282" s="9"/>
      <c r="T4282" s="2"/>
      <c r="U4282" s="9"/>
    </row>
    <row r="4283" spans="2:21" x14ac:dyDescent="0.35">
      <c r="B4283" s="9"/>
      <c r="C4283" s="2"/>
      <c r="D4283" s="2"/>
      <c r="I4283" s="9"/>
      <c r="J4283" s="2"/>
      <c r="L4283" s="9"/>
      <c r="M4283" s="2"/>
      <c r="N4283" s="9"/>
      <c r="P4283" s="3">
        <v>-2860.169492</v>
      </c>
      <c r="S4283" s="9"/>
      <c r="T4283" s="2"/>
      <c r="U4283" s="9"/>
    </row>
    <row r="4284" spans="2:21" x14ac:dyDescent="0.35">
      <c r="B4284" s="9"/>
      <c r="C4284" s="2"/>
      <c r="D4284" s="2"/>
      <c r="I4284" s="9"/>
      <c r="J4284" s="2"/>
      <c r="L4284" s="9"/>
      <c r="M4284" s="2"/>
      <c r="N4284" s="9"/>
      <c r="P4284" s="3">
        <v>-2860.169492</v>
      </c>
      <c r="S4284" s="9"/>
      <c r="T4284" s="2"/>
      <c r="U4284" s="9"/>
    </row>
    <row r="4285" spans="2:21" x14ac:dyDescent="0.35">
      <c r="B4285" s="9"/>
      <c r="C4285" s="2"/>
      <c r="D4285" s="2"/>
      <c r="I4285" s="9"/>
      <c r="J4285" s="2"/>
      <c r="L4285" s="9"/>
      <c r="M4285" s="2"/>
      <c r="N4285" s="9"/>
      <c r="P4285" s="3">
        <v>-2860.169492</v>
      </c>
      <c r="S4285" s="9"/>
      <c r="T4285" s="2"/>
      <c r="U4285" s="9"/>
    </row>
    <row r="4286" spans="2:21" x14ac:dyDescent="0.35">
      <c r="B4286" s="9"/>
      <c r="C4286" s="2"/>
      <c r="D4286" s="2"/>
      <c r="I4286" s="9"/>
      <c r="J4286" s="2"/>
      <c r="L4286" s="9"/>
      <c r="M4286" s="2"/>
      <c r="N4286" s="9"/>
      <c r="P4286" s="3">
        <v>-2860.169492</v>
      </c>
      <c r="S4286" s="9"/>
      <c r="T4286" s="2"/>
      <c r="U4286" s="9"/>
    </row>
    <row r="4287" spans="2:21" x14ac:dyDescent="0.35">
      <c r="B4287" s="9"/>
      <c r="C4287" s="2"/>
      <c r="D4287" s="2"/>
      <c r="I4287" s="9"/>
      <c r="J4287" s="2"/>
      <c r="L4287" s="9"/>
      <c r="M4287" s="2"/>
      <c r="N4287" s="9"/>
      <c r="P4287" s="3">
        <v>-2425.4094919999998</v>
      </c>
      <c r="S4287" s="9"/>
      <c r="T4287" s="2"/>
      <c r="U4287" s="9"/>
    </row>
    <row r="4288" spans="2:21" x14ac:dyDescent="0.35">
      <c r="B4288" s="9"/>
      <c r="C4288" s="2"/>
      <c r="D4288" s="2"/>
      <c r="I4288" s="9"/>
      <c r="J4288" s="2"/>
      <c r="L4288" s="9"/>
      <c r="M4288" s="2"/>
      <c r="N4288" s="9"/>
      <c r="P4288" s="3">
        <v>-1990.649492</v>
      </c>
      <c r="S4288" s="9"/>
      <c r="T4288" s="2"/>
      <c r="U4288" s="9"/>
    </row>
    <row r="4289" spans="2:21" x14ac:dyDescent="0.35">
      <c r="B4289" s="9"/>
      <c r="C4289" s="2"/>
      <c r="D4289" s="2"/>
      <c r="I4289" s="9"/>
      <c r="J4289" s="2"/>
      <c r="L4289" s="9"/>
      <c r="M4289" s="2"/>
      <c r="N4289" s="9"/>
      <c r="P4289" s="3">
        <v>-1555.889492</v>
      </c>
      <c r="S4289" s="9"/>
      <c r="T4289" s="2"/>
      <c r="U4289" s="9"/>
    </row>
    <row r="4290" spans="2:21" x14ac:dyDescent="0.35">
      <c r="B4290" s="9"/>
      <c r="C4290" s="2"/>
      <c r="D4290" s="2"/>
      <c r="I4290" s="9"/>
      <c r="J4290" s="2"/>
      <c r="L4290" s="9"/>
      <c r="M4290" s="2"/>
      <c r="N4290" s="9"/>
      <c r="P4290" s="3">
        <v>-1121.129492</v>
      </c>
      <c r="S4290" s="9"/>
      <c r="T4290" s="2"/>
      <c r="U4290" s="9"/>
    </row>
    <row r="4291" spans="2:21" x14ac:dyDescent="0.35">
      <c r="B4291" s="9"/>
      <c r="C4291" s="2"/>
      <c r="D4291" s="2"/>
      <c r="I4291" s="9"/>
      <c r="J4291" s="2"/>
      <c r="L4291" s="9"/>
      <c r="M4291" s="2"/>
      <c r="N4291" s="9"/>
      <c r="P4291" s="3">
        <v>-686.36949200000004</v>
      </c>
      <c r="S4291" s="9"/>
      <c r="T4291" s="2"/>
      <c r="U4291" s="9"/>
    </row>
    <row r="4292" spans="2:21" x14ac:dyDescent="0.35">
      <c r="B4292" s="9"/>
      <c r="C4292" s="2"/>
      <c r="D4292" s="2"/>
      <c r="I4292" s="9"/>
      <c r="J4292" s="2"/>
      <c r="L4292" s="9"/>
      <c r="M4292" s="2"/>
      <c r="N4292" s="9"/>
      <c r="P4292" s="3">
        <v>-1121.129492</v>
      </c>
      <c r="S4292" s="9"/>
      <c r="T4292" s="2"/>
      <c r="U4292" s="9"/>
    </row>
    <row r="4293" spans="2:21" x14ac:dyDescent="0.35">
      <c r="B4293" s="9"/>
      <c r="C4293" s="2"/>
      <c r="D4293" s="2"/>
      <c r="I4293" s="9"/>
      <c r="J4293" s="2"/>
      <c r="L4293" s="9"/>
      <c r="M4293" s="2"/>
      <c r="N4293" s="9"/>
      <c r="P4293" s="3">
        <v>-1555.889492</v>
      </c>
      <c r="S4293" s="9"/>
      <c r="T4293" s="2"/>
      <c r="U4293" s="9"/>
    </row>
    <row r="4294" spans="2:21" x14ac:dyDescent="0.35">
      <c r="B4294" s="9"/>
      <c r="C4294" s="2"/>
      <c r="D4294" s="2"/>
      <c r="I4294" s="9"/>
      <c r="J4294" s="2"/>
      <c r="L4294" s="9"/>
      <c r="M4294" s="2"/>
      <c r="N4294" s="9"/>
      <c r="P4294" s="3">
        <v>-1990.649492</v>
      </c>
      <c r="S4294" s="9"/>
      <c r="T4294" s="2"/>
      <c r="U4294" s="9"/>
    </row>
    <row r="4295" spans="2:21" x14ac:dyDescent="0.35">
      <c r="B4295" s="9"/>
      <c r="C4295" s="2"/>
      <c r="D4295" s="2"/>
      <c r="I4295" s="9"/>
      <c r="J4295" s="2"/>
      <c r="L4295" s="9"/>
      <c r="M4295" s="2"/>
      <c r="N4295" s="9"/>
      <c r="P4295" s="3">
        <v>-2425.4094919999998</v>
      </c>
      <c r="S4295" s="9"/>
      <c r="T4295" s="2"/>
      <c r="U4295" s="9"/>
    </row>
    <row r="4296" spans="2:21" x14ac:dyDescent="0.35">
      <c r="B4296" s="9"/>
      <c r="C4296" s="2"/>
      <c r="D4296" s="2"/>
      <c r="I4296" s="9"/>
      <c r="J4296" s="2"/>
      <c r="L4296" s="9"/>
      <c r="M4296" s="2"/>
      <c r="N4296" s="9"/>
      <c r="P4296" s="3">
        <v>-2860.169492</v>
      </c>
      <c r="S4296" s="9"/>
      <c r="T4296" s="2"/>
      <c r="U4296" s="9"/>
    </row>
    <row r="4297" spans="2:21" x14ac:dyDescent="0.35">
      <c r="B4297" s="9"/>
      <c r="C4297" s="2"/>
      <c r="D4297" s="2"/>
      <c r="I4297" s="9"/>
      <c r="J4297" s="2"/>
      <c r="L4297" s="9"/>
      <c r="M4297" s="2"/>
      <c r="N4297" s="9"/>
      <c r="P4297" s="3">
        <v>-2860.169492</v>
      </c>
      <c r="S4297" s="9"/>
      <c r="T4297" s="2"/>
      <c r="U4297" s="9"/>
    </row>
    <row r="4298" spans="2:21" x14ac:dyDescent="0.35">
      <c r="B4298" s="9"/>
      <c r="C4298" s="2"/>
      <c r="D4298" s="2"/>
      <c r="I4298" s="9"/>
      <c r="J4298" s="2"/>
      <c r="L4298" s="9"/>
      <c r="M4298" s="2"/>
      <c r="N4298" s="9"/>
      <c r="P4298" s="3">
        <v>-2860.169492</v>
      </c>
      <c r="S4298" s="9"/>
      <c r="T4298" s="2"/>
      <c r="U4298" s="9"/>
    </row>
    <row r="4299" spans="2:21" x14ac:dyDescent="0.35">
      <c r="B4299" s="9"/>
      <c r="C4299" s="2"/>
      <c r="D4299" s="2"/>
      <c r="I4299" s="9"/>
      <c r="J4299" s="2"/>
      <c r="L4299" s="9"/>
      <c r="M4299" s="2"/>
      <c r="N4299" s="9"/>
      <c r="P4299" s="3">
        <v>-2860.169492</v>
      </c>
      <c r="S4299" s="9"/>
      <c r="T4299" s="2"/>
      <c r="U4299" s="9"/>
    </row>
    <row r="4300" spans="2:21" x14ac:dyDescent="0.35">
      <c r="B4300" s="9"/>
      <c r="C4300" s="2"/>
      <c r="D4300" s="2"/>
      <c r="I4300" s="9"/>
      <c r="J4300" s="2"/>
      <c r="L4300" s="9"/>
      <c r="M4300" s="2"/>
      <c r="N4300" s="9"/>
      <c r="P4300" s="3">
        <v>-2860.169492</v>
      </c>
      <c r="S4300" s="9"/>
      <c r="T4300" s="2"/>
      <c r="U4300" s="9"/>
    </row>
    <row r="4301" spans="2:21" x14ac:dyDescent="0.35">
      <c r="B4301" s="9"/>
      <c r="C4301" s="2"/>
      <c r="D4301" s="2"/>
      <c r="I4301" s="9"/>
      <c r="J4301" s="2"/>
      <c r="L4301" s="9"/>
      <c r="M4301" s="2"/>
      <c r="N4301" s="9"/>
      <c r="P4301" s="3">
        <v>-2860.169492</v>
      </c>
      <c r="S4301" s="9"/>
      <c r="T4301" s="2"/>
      <c r="U4301" s="9"/>
    </row>
    <row r="4302" spans="2:21" x14ac:dyDescent="0.35">
      <c r="B4302" s="9"/>
      <c r="C4302" s="2"/>
      <c r="D4302" s="2"/>
      <c r="I4302" s="9"/>
      <c r="J4302" s="2"/>
      <c r="L4302" s="9"/>
      <c r="M4302" s="2"/>
      <c r="N4302" s="9"/>
      <c r="P4302" s="3">
        <v>-2860.169492</v>
      </c>
      <c r="S4302" s="9"/>
      <c r="T4302" s="2"/>
      <c r="U4302" s="9"/>
    </row>
    <row r="4303" spans="2:21" x14ac:dyDescent="0.35">
      <c r="B4303" s="9"/>
      <c r="C4303" s="2"/>
      <c r="D4303" s="2"/>
      <c r="I4303" s="9"/>
      <c r="J4303" s="2"/>
      <c r="L4303" s="9"/>
      <c r="M4303" s="2"/>
      <c r="N4303" s="9"/>
      <c r="P4303" s="3">
        <v>-2860.169492</v>
      </c>
      <c r="S4303" s="9"/>
      <c r="T4303" s="2"/>
      <c r="U4303" s="9"/>
    </row>
    <row r="4304" spans="2:21" x14ac:dyDescent="0.35">
      <c r="B4304" s="9"/>
      <c r="C4304" s="2"/>
      <c r="D4304" s="2"/>
      <c r="I4304" s="9"/>
      <c r="J4304" s="2"/>
      <c r="L4304" s="9"/>
      <c r="M4304" s="2"/>
      <c r="N4304" s="9"/>
      <c r="P4304" s="3">
        <v>-2860.169492</v>
      </c>
      <c r="S4304" s="9"/>
      <c r="T4304" s="2"/>
      <c r="U4304" s="9"/>
    </row>
    <row r="4305" spans="2:21" x14ac:dyDescent="0.35">
      <c r="B4305" s="9"/>
      <c r="C4305" s="2"/>
      <c r="D4305" s="2"/>
      <c r="I4305" s="9"/>
      <c r="J4305" s="2"/>
      <c r="L4305" s="9"/>
      <c r="M4305" s="2"/>
      <c r="N4305" s="9"/>
      <c r="P4305" s="3">
        <v>-2860.169492</v>
      </c>
      <c r="S4305" s="9"/>
      <c r="T4305" s="2"/>
      <c r="U4305" s="9"/>
    </row>
    <row r="4306" spans="2:21" x14ac:dyDescent="0.35">
      <c r="B4306" s="9"/>
      <c r="C4306" s="2"/>
      <c r="D4306" s="2"/>
      <c r="I4306" s="9"/>
      <c r="J4306" s="2"/>
      <c r="L4306" s="9"/>
      <c r="M4306" s="2"/>
      <c r="N4306" s="9"/>
      <c r="P4306" s="3">
        <v>-2860.169492</v>
      </c>
      <c r="S4306" s="9"/>
      <c r="T4306" s="2"/>
      <c r="U4306" s="9"/>
    </row>
    <row r="4307" spans="2:21" x14ac:dyDescent="0.35">
      <c r="B4307" s="9"/>
      <c r="C4307" s="2"/>
      <c r="D4307" s="2"/>
      <c r="I4307" s="9"/>
      <c r="J4307" s="2"/>
      <c r="L4307" s="9"/>
      <c r="M4307" s="2"/>
      <c r="N4307" s="9"/>
      <c r="P4307" s="3">
        <v>-2493.9703258999998</v>
      </c>
      <c r="S4307" s="9"/>
      <c r="T4307" s="2"/>
      <c r="U4307" s="9"/>
    </row>
    <row r="4308" spans="2:21" x14ac:dyDescent="0.35">
      <c r="B4308" s="9"/>
      <c r="C4308" s="2"/>
      <c r="D4308" s="2"/>
      <c r="I4308" s="9"/>
      <c r="J4308" s="2"/>
      <c r="L4308" s="9"/>
      <c r="M4308" s="2"/>
      <c r="N4308" s="9"/>
      <c r="P4308" s="3">
        <v>-2059.2103259</v>
      </c>
      <c r="S4308" s="9"/>
      <c r="T4308" s="2"/>
      <c r="U4308" s="9"/>
    </row>
    <row r="4309" spans="2:21" x14ac:dyDescent="0.35">
      <c r="B4309" s="9"/>
      <c r="C4309" s="2"/>
      <c r="D4309" s="2"/>
      <c r="I4309" s="9"/>
      <c r="J4309" s="2"/>
      <c r="L4309" s="9"/>
      <c r="M4309" s="2"/>
      <c r="N4309" s="9"/>
      <c r="P4309" s="3">
        <v>-2006.7218334500001</v>
      </c>
      <c r="S4309" s="9"/>
      <c r="T4309" s="2"/>
      <c r="U4309" s="9"/>
    </row>
    <row r="4310" spans="2:21" x14ac:dyDescent="0.35">
      <c r="B4310" s="9"/>
      <c r="C4310" s="2"/>
      <c r="D4310" s="2"/>
      <c r="I4310" s="9"/>
      <c r="J4310" s="2"/>
      <c r="L4310" s="9"/>
      <c r="M4310" s="2"/>
      <c r="N4310" s="9"/>
      <c r="P4310" s="3">
        <v>-2235.1992169700002</v>
      </c>
      <c r="S4310" s="9"/>
      <c r="T4310" s="2"/>
      <c r="U4310" s="9"/>
    </row>
    <row r="4311" spans="2:21" x14ac:dyDescent="0.35">
      <c r="B4311" s="9"/>
      <c r="C4311" s="2"/>
      <c r="D4311" s="2"/>
      <c r="I4311" s="9"/>
      <c r="J4311" s="2"/>
      <c r="L4311" s="9"/>
      <c r="M4311" s="2"/>
      <c r="N4311" s="9"/>
      <c r="P4311" s="3">
        <v>-1800.43921697</v>
      </c>
      <c r="S4311" s="9"/>
      <c r="T4311" s="2"/>
      <c r="U4311" s="9"/>
    </row>
    <row r="4312" spans="2:21" x14ac:dyDescent="0.35">
      <c r="B4312" s="9"/>
      <c r="C4312" s="2"/>
      <c r="D4312" s="2"/>
      <c r="I4312" s="9"/>
      <c r="J4312" s="2"/>
      <c r="L4312" s="9"/>
      <c r="M4312" s="2"/>
      <c r="N4312" s="9"/>
      <c r="P4312" s="3">
        <v>-1365.67921697</v>
      </c>
      <c r="S4312" s="9"/>
      <c r="T4312" s="2"/>
      <c r="U4312" s="9"/>
    </row>
    <row r="4313" spans="2:21" x14ac:dyDescent="0.35">
      <c r="B4313" s="9"/>
      <c r="C4313" s="2"/>
      <c r="D4313" s="2"/>
      <c r="I4313" s="9"/>
      <c r="J4313" s="2"/>
      <c r="L4313" s="9"/>
      <c r="M4313" s="2"/>
      <c r="N4313" s="9"/>
      <c r="P4313" s="3">
        <v>-930.91921696999998</v>
      </c>
      <c r="S4313" s="9"/>
      <c r="T4313" s="2"/>
      <c r="U4313" s="9"/>
    </row>
    <row r="4314" spans="2:21" x14ac:dyDescent="0.35">
      <c r="B4314" s="9"/>
      <c r="C4314" s="2"/>
      <c r="D4314" s="2"/>
      <c r="I4314" s="9"/>
      <c r="J4314" s="2"/>
      <c r="L4314" s="9"/>
      <c r="M4314" s="2"/>
      <c r="N4314" s="9"/>
      <c r="P4314" s="3">
        <v>-496.15921696999999</v>
      </c>
      <c r="S4314" s="9"/>
      <c r="T4314" s="2"/>
      <c r="U4314" s="9"/>
    </row>
    <row r="4315" spans="2:21" x14ac:dyDescent="0.35">
      <c r="B4315" s="9"/>
      <c r="C4315" s="2"/>
      <c r="D4315" s="2"/>
      <c r="I4315" s="9"/>
      <c r="J4315" s="2"/>
      <c r="L4315" s="9"/>
      <c r="M4315" s="2"/>
      <c r="N4315" s="9"/>
      <c r="P4315" s="3">
        <v>-61.399216969999998</v>
      </c>
      <c r="S4315" s="9"/>
      <c r="T4315" s="2"/>
      <c r="U4315" s="9"/>
    </row>
    <row r="4316" spans="2:21" x14ac:dyDescent="0.35">
      <c r="B4316" s="9"/>
      <c r="C4316" s="2"/>
      <c r="D4316" s="2"/>
      <c r="I4316" s="9"/>
      <c r="J4316" s="2"/>
      <c r="L4316" s="9"/>
      <c r="M4316" s="2"/>
      <c r="N4316" s="9"/>
      <c r="P4316" s="3">
        <v>0</v>
      </c>
      <c r="S4316" s="9"/>
      <c r="T4316" s="2"/>
      <c r="U4316" s="9"/>
    </row>
    <row r="4317" spans="2:21" x14ac:dyDescent="0.35">
      <c r="B4317" s="9"/>
      <c r="C4317" s="2"/>
      <c r="D4317" s="2"/>
      <c r="I4317" s="9"/>
      <c r="J4317" s="2"/>
      <c r="L4317" s="9"/>
      <c r="M4317" s="2"/>
      <c r="N4317" s="9"/>
      <c r="P4317" s="3">
        <v>0</v>
      </c>
      <c r="S4317" s="9"/>
      <c r="T4317" s="2"/>
      <c r="U4317" s="9"/>
    </row>
    <row r="4318" spans="2:21" x14ac:dyDescent="0.35">
      <c r="B4318" s="9"/>
      <c r="C4318" s="2"/>
      <c r="D4318" s="2"/>
      <c r="I4318" s="9"/>
      <c r="J4318" s="2"/>
      <c r="L4318" s="9"/>
      <c r="M4318" s="2"/>
      <c r="N4318" s="9"/>
      <c r="P4318" s="3">
        <v>-421.52956823</v>
      </c>
      <c r="S4318" s="9"/>
      <c r="T4318" s="2"/>
      <c r="U4318" s="9"/>
    </row>
    <row r="4319" spans="2:21" x14ac:dyDescent="0.35">
      <c r="B4319" s="9"/>
      <c r="C4319" s="2"/>
      <c r="D4319" s="2"/>
      <c r="I4319" s="9"/>
      <c r="J4319" s="2"/>
      <c r="L4319" s="9"/>
      <c r="M4319" s="2"/>
      <c r="N4319" s="9"/>
      <c r="P4319" s="3">
        <v>-856.28956822999999</v>
      </c>
      <c r="S4319" s="9"/>
      <c r="T4319" s="2"/>
      <c r="U4319" s="9"/>
    </row>
    <row r="4320" spans="2:21" x14ac:dyDescent="0.35">
      <c r="B4320" s="9"/>
      <c r="C4320" s="2"/>
      <c r="D4320" s="2"/>
      <c r="I4320" s="9"/>
      <c r="J4320" s="2"/>
      <c r="L4320" s="9"/>
      <c r="M4320" s="2"/>
      <c r="N4320" s="9"/>
      <c r="P4320" s="3">
        <v>-1291.04956823</v>
      </c>
      <c r="S4320" s="9"/>
      <c r="T4320" s="2"/>
      <c r="U4320" s="9"/>
    </row>
    <row r="4321" spans="2:21" x14ac:dyDescent="0.35">
      <c r="B4321" s="9"/>
      <c r="C4321" s="2"/>
      <c r="D4321" s="2"/>
      <c r="I4321" s="9"/>
      <c r="J4321" s="2"/>
      <c r="L4321" s="9"/>
      <c r="M4321" s="2"/>
      <c r="N4321" s="9"/>
      <c r="P4321" s="3">
        <v>-856.28956822999999</v>
      </c>
      <c r="S4321" s="9"/>
      <c r="T4321" s="2"/>
      <c r="U4321" s="9"/>
    </row>
    <row r="4322" spans="2:21" x14ac:dyDescent="0.35">
      <c r="B4322" s="9"/>
      <c r="C4322" s="2"/>
      <c r="D4322" s="2"/>
      <c r="I4322" s="9"/>
      <c r="J4322" s="2"/>
      <c r="L4322" s="9"/>
      <c r="M4322" s="2"/>
      <c r="N4322" s="9"/>
      <c r="P4322" s="3">
        <v>-421.52956823</v>
      </c>
      <c r="S4322" s="9"/>
      <c r="T4322" s="2"/>
      <c r="U4322" s="9"/>
    </row>
    <row r="4323" spans="2:21" x14ac:dyDescent="0.35">
      <c r="B4323" s="9"/>
      <c r="C4323" s="2"/>
      <c r="D4323" s="2"/>
      <c r="I4323" s="9"/>
      <c r="J4323" s="2"/>
      <c r="L4323" s="9"/>
      <c r="M4323" s="2"/>
      <c r="N4323" s="9"/>
      <c r="P4323" s="3">
        <v>-181.56675860000001</v>
      </c>
      <c r="S4323" s="9"/>
      <c r="T4323" s="2"/>
      <c r="U4323" s="9"/>
    </row>
    <row r="4324" spans="2:21" x14ac:dyDescent="0.35">
      <c r="B4324" s="9"/>
      <c r="C4324" s="2"/>
      <c r="D4324" s="2"/>
      <c r="I4324" s="9"/>
      <c r="J4324" s="2"/>
      <c r="L4324" s="9"/>
      <c r="M4324" s="2"/>
      <c r="N4324" s="9"/>
      <c r="P4324" s="3">
        <v>-10.568328859999999</v>
      </c>
      <c r="S4324" s="9"/>
      <c r="T4324" s="2"/>
      <c r="U4324" s="9"/>
    </row>
    <row r="4325" spans="2:21" x14ac:dyDescent="0.35">
      <c r="B4325" s="9"/>
      <c r="C4325" s="2"/>
      <c r="D4325" s="2"/>
      <c r="I4325" s="9"/>
      <c r="J4325" s="2"/>
      <c r="L4325" s="9"/>
      <c r="M4325" s="2"/>
      <c r="N4325" s="9"/>
      <c r="P4325" s="3">
        <v>109.38759114</v>
      </c>
      <c r="S4325" s="9"/>
      <c r="T4325" s="2"/>
      <c r="U4325" s="9"/>
    </row>
    <row r="4326" spans="2:21" x14ac:dyDescent="0.35">
      <c r="B4326" s="9"/>
      <c r="C4326" s="2"/>
      <c r="D4326" s="2"/>
      <c r="I4326" s="9"/>
      <c r="J4326" s="2"/>
      <c r="L4326" s="9"/>
      <c r="M4326" s="2"/>
      <c r="N4326" s="9"/>
      <c r="P4326" s="3">
        <v>537.03228161000004</v>
      </c>
      <c r="S4326" s="9"/>
      <c r="T4326" s="2"/>
      <c r="U4326" s="9"/>
    </row>
    <row r="4327" spans="2:21" x14ac:dyDescent="0.35">
      <c r="B4327" s="9"/>
      <c r="C4327" s="2"/>
      <c r="D4327" s="2"/>
      <c r="I4327" s="9"/>
      <c r="J4327" s="2"/>
      <c r="L4327" s="9"/>
      <c r="M4327" s="2"/>
      <c r="N4327" s="9"/>
      <c r="P4327" s="3">
        <v>616.26402160999999</v>
      </c>
      <c r="S4327" s="9"/>
      <c r="T4327" s="2"/>
      <c r="U4327" s="9"/>
    </row>
    <row r="4328" spans="2:21" x14ac:dyDescent="0.35">
      <c r="B4328" s="9"/>
      <c r="C4328" s="2"/>
      <c r="D4328" s="2"/>
      <c r="I4328" s="9"/>
      <c r="J4328" s="2"/>
      <c r="L4328" s="9"/>
      <c r="M4328" s="2"/>
      <c r="N4328" s="9"/>
      <c r="P4328" s="3">
        <v>654.94624161000002</v>
      </c>
      <c r="S4328" s="9"/>
      <c r="T4328" s="2"/>
      <c r="U4328" s="9"/>
    </row>
    <row r="4329" spans="2:21" x14ac:dyDescent="0.35">
      <c r="B4329" s="9"/>
      <c r="C4329" s="2"/>
      <c r="D4329" s="2"/>
      <c r="I4329" s="9"/>
      <c r="J4329" s="2"/>
      <c r="L4329" s="9"/>
      <c r="M4329" s="2"/>
      <c r="N4329" s="9"/>
      <c r="P4329" s="3">
        <v>686.12447161</v>
      </c>
      <c r="S4329" s="9"/>
      <c r="T4329" s="2"/>
      <c r="U4329" s="9"/>
    </row>
    <row r="4330" spans="2:21" x14ac:dyDescent="0.35">
      <c r="B4330" s="9"/>
      <c r="C4330" s="2"/>
      <c r="D4330" s="2"/>
      <c r="I4330" s="9"/>
      <c r="J4330" s="2"/>
      <c r="L4330" s="9"/>
      <c r="M4330" s="2"/>
      <c r="N4330" s="9"/>
      <c r="P4330" s="3">
        <v>700.65178160999994</v>
      </c>
      <c r="S4330" s="9"/>
      <c r="T4330" s="2"/>
      <c r="U4330" s="9"/>
    </row>
    <row r="4331" spans="2:21" x14ac:dyDescent="0.35">
      <c r="B4331" s="9"/>
      <c r="C4331" s="2"/>
      <c r="D4331" s="2"/>
      <c r="I4331" s="9"/>
      <c r="J4331" s="2"/>
      <c r="L4331" s="9"/>
      <c r="M4331" s="2"/>
      <c r="N4331" s="9"/>
      <c r="P4331" s="3">
        <v>686.91541160999998</v>
      </c>
      <c r="S4331" s="9"/>
      <c r="T4331" s="2"/>
      <c r="U4331" s="9"/>
    </row>
    <row r="4332" spans="2:21" x14ac:dyDescent="0.35">
      <c r="B4332" s="9"/>
      <c r="C4332" s="2"/>
      <c r="D4332" s="2"/>
      <c r="I4332" s="9"/>
      <c r="J4332" s="2"/>
      <c r="L4332" s="9"/>
      <c r="M4332" s="2"/>
      <c r="N4332" s="9"/>
      <c r="P4332" s="3">
        <v>531.87129160999996</v>
      </c>
      <c r="S4332" s="9"/>
      <c r="T4332" s="2"/>
      <c r="U4332" s="9"/>
    </row>
    <row r="4333" spans="2:21" x14ac:dyDescent="0.35">
      <c r="B4333" s="9"/>
      <c r="C4333" s="2"/>
      <c r="D4333" s="2"/>
      <c r="I4333" s="9"/>
      <c r="J4333" s="2"/>
      <c r="L4333" s="9"/>
      <c r="M4333" s="2"/>
      <c r="N4333" s="9"/>
      <c r="P4333" s="3">
        <v>97.111291609999995</v>
      </c>
      <c r="S4333" s="9"/>
      <c r="T4333" s="2"/>
      <c r="U4333" s="9"/>
    </row>
    <row r="4334" spans="2:21" x14ac:dyDescent="0.35">
      <c r="B4334" s="9"/>
      <c r="C4334" s="2"/>
      <c r="D4334" s="2"/>
      <c r="I4334" s="9"/>
      <c r="J4334" s="2"/>
      <c r="L4334" s="9"/>
      <c r="M4334" s="2"/>
      <c r="N4334" s="9"/>
      <c r="P4334" s="3">
        <v>-337.64870839000002</v>
      </c>
      <c r="S4334" s="9"/>
      <c r="T4334" s="2"/>
      <c r="U4334" s="9"/>
    </row>
    <row r="4335" spans="2:21" x14ac:dyDescent="0.35">
      <c r="B4335" s="9"/>
      <c r="C4335" s="2"/>
      <c r="D4335" s="2"/>
      <c r="I4335" s="9"/>
      <c r="J4335" s="2"/>
      <c r="L4335" s="9"/>
      <c r="M4335" s="2"/>
      <c r="N4335" s="9"/>
      <c r="P4335" s="3">
        <v>-772.40870839000002</v>
      </c>
      <c r="S4335" s="9"/>
      <c r="T4335" s="2"/>
      <c r="U4335" s="9"/>
    </row>
    <row r="4336" spans="2:21" x14ac:dyDescent="0.35">
      <c r="B4336" s="9"/>
      <c r="C4336" s="2"/>
      <c r="D4336" s="2"/>
      <c r="I4336" s="9"/>
      <c r="J4336" s="2"/>
      <c r="L4336" s="9"/>
      <c r="M4336" s="2"/>
      <c r="N4336" s="9"/>
      <c r="P4336" s="3">
        <v>-337.64870839000002</v>
      </c>
      <c r="S4336" s="9"/>
      <c r="T4336" s="2"/>
      <c r="U4336" s="9"/>
    </row>
    <row r="4337" spans="2:21" x14ac:dyDescent="0.35">
      <c r="B4337" s="9"/>
      <c r="C4337" s="2"/>
      <c r="D4337" s="2"/>
      <c r="I4337" s="9"/>
      <c r="J4337" s="2"/>
      <c r="L4337" s="9"/>
      <c r="M4337" s="2"/>
      <c r="N4337" s="9"/>
      <c r="P4337" s="3">
        <v>0</v>
      </c>
      <c r="S4337" s="9"/>
      <c r="T4337" s="2"/>
      <c r="U4337" s="9"/>
    </row>
    <row r="4338" spans="2:21" x14ac:dyDescent="0.35">
      <c r="B4338" s="9"/>
      <c r="C4338" s="2"/>
      <c r="D4338" s="2"/>
      <c r="I4338" s="9"/>
      <c r="J4338" s="2"/>
      <c r="L4338" s="9"/>
      <c r="M4338" s="2"/>
      <c r="N4338" s="9"/>
      <c r="P4338" s="3">
        <v>-251.60949199999999</v>
      </c>
      <c r="S4338" s="9"/>
      <c r="T4338" s="2"/>
      <c r="U4338" s="9"/>
    </row>
    <row r="4339" spans="2:21" x14ac:dyDescent="0.35">
      <c r="B4339" s="9"/>
      <c r="C4339" s="2"/>
      <c r="D4339" s="2"/>
      <c r="I4339" s="9"/>
      <c r="J4339" s="2"/>
      <c r="L4339" s="9"/>
      <c r="M4339" s="2"/>
      <c r="N4339" s="9"/>
      <c r="P4339" s="3">
        <v>-686.36949200000004</v>
      </c>
      <c r="S4339" s="9"/>
      <c r="T4339" s="2"/>
      <c r="U4339" s="9"/>
    </row>
    <row r="4340" spans="2:21" x14ac:dyDescent="0.35">
      <c r="B4340" s="9"/>
      <c r="C4340" s="2"/>
      <c r="D4340" s="2"/>
      <c r="I4340" s="9"/>
      <c r="J4340" s="2"/>
      <c r="L4340" s="9"/>
      <c r="M4340" s="2"/>
      <c r="N4340" s="9"/>
      <c r="P4340" s="3">
        <v>-1121.129492</v>
      </c>
      <c r="S4340" s="9"/>
      <c r="T4340" s="2"/>
      <c r="U4340" s="9"/>
    </row>
    <row r="4341" spans="2:21" x14ac:dyDescent="0.35">
      <c r="B4341" s="9"/>
      <c r="C4341" s="2"/>
      <c r="D4341" s="2"/>
      <c r="I4341" s="9"/>
      <c r="J4341" s="2"/>
      <c r="L4341" s="9"/>
      <c r="M4341" s="2"/>
      <c r="N4341" s="9"/>
      <c r="P4341" s="3">
        <v>-1555.889492</v>
      </c>
      <c r="S4341" s="9"/>
      <c r="T4341" s="2"/>
      <c r="U4341" s="9"/>
    </row>
    <row r="4342" spans="2:21" x14ac:dyDescent="0.35">
      <c r="B4342" s="9"/>
      <c r="C4342" s="2"/>
      <c r="D4342" s="2"/>
      <c r="I4342" s="9"/>
      <c r="J4342" s="2"/>
      <c r="L4342" s="9"/>
      <c r="M4342" s="2"/>
      <c r="N4342" s="9"/>
      <c r="P4342" s="3">
        <v>-1990.649492</v>
      </c>
      <c r="S4342" s="9"/>
      <c r="T4342" s="2"/>
      <c r="U4342" s="9"/>
    </row>
    <row r="4343" spans="2:21" x14ac:dyDescent="0.35">
      <c r="B4343" s="9"/>
      <c r="C4343" s="2"/>
      <c r="D4343" s="2"/>
      <c r="I4343" s="9"/>
      <c r="J4343" s="2"/>
      <c r="L4343" s="9"/>
      <c r="M4343" s="2"/>
      <c r="N4343" s="9"/>
      <c r="P4343" s="3">
        <v>-2425.4094919999998</v>
      </c>
      <c r="S4343" s="9"/>
      <c r="T4343" s="2"/>
      <c r="U4343" s="9"/>
    </row>
    <row r="4344" spans="2:21" x14ac:dyDescent="0.35">
      <c r="B4344" s="9"/>
      <c r="C4344" s="2"/>
      <c r="D4344" s="2"/>
      <c r="I4344" s="9"/>
      <c r="J4344" s="2"/>
      <c r="L4344" s="9"/>
      <c r="M4344" s="2"/>
      <c r="N4344" s="9"/>
      <c r="P4344" s="3">
        <v>-2860.169492</v>
      </c>
      <c r="S4344" s="9"/>
      <c r="T4344" s="2"/>
      <c r="U4344" s="9"/>
    </row>
    <row r="4345" spans="2:21" x14ac:dyDescent="0.35">
      <c r="B4345" s="9"/>
      <c r="C4345" s="2"/>
      <c r="D4345" s="2"/>
      <c r="I4345" s="9"/>
      <c r="J4345" s="2"/>
      <c r="L4345" s="9"/>
      <c r="M4345" s="2"/>
      <c r="N4345" s="9"/>
      <c r="P4345" s="3">
        <v>-2860.169492</v>
      </c>
      <c r="S4345" s="9"/>
      <c r="T4345" s="2"/>
      <c r="U4345" s="9"/>
    </row>
    <row r="4346" spans="2:21" x14ac:dyDescent="0.35">
      <c r="B4346" s="9"/>
      <c r="C4346" s="2"/>
      <c r="D4346" s="2"/>
      <c r="I4346" s="9"/>
      <c r="J4346" s="2"/>
      <c r="L4346" s="9"/>
      <c r="M4346" s="2"/>
      <c r="N4346" s="9"/>
      <c r="P4346" s="3">
        <v>-2860.169492</v>
      </c>
      <c r="S4346" s="9"/>
      <c r="T4346" s="2"/>
      <c r="U4346" s="9"/>
    </row>
    <row r="4347" spans="2:21" x14ac:dyDescent="0.35">
      <c r="B4347" s="9"/>
      <c r="C4347" s="2"/>
      <c r="D4347" s="2"/>
      <c r="I4347" s="9"/>
      <c r="J4347" s="2"/>
      <c r="L4347" s="9"/>
      <c r="M4347" s="2"/>
      <c r="N4347" s="9"/>
      <c r="P4347" s="3">
        <v>-2860.169492</v>
      </c>
      <c r="S4347" s="9"/>
      <c r="T4347" s="2"/>
      <c r="U4347" s="9"/>
    </row>
    <row r="4348" spans="2:21" x14ac:dyDescent="0.35">
      <c r="B4348" s="9"/>
      <c r="C4348" s="2"/>
      <c r="D4348" s="2"/>
      <c r="I4348" s="9"/>
      <c r="J4348" s="2"/>
      <c r="L4348" s="9"/>
      <c r="M4348" s="2"/>
      <c r="N4348" s="9"/>
      <c r="P4348" s="3">
        <v>-2483.1614983899999</v>
      </c>
      <c r="S4348" s="9"/>
      <c r="T4348" s="2"/>
      <c r="U4348" s="9"/>
    </row>
    <row r="4349" spans="2:21" x14ac:dyDescent="0.35">
      <c r="B4349" s="9"/>
      <c r="C4349" s="2"/>
      <c r="D4349" s="2"/>
      <c r="I4349" s="9"/>
      <c r="J4349" s="2"/>
      <c r="L4349" s="9"/>
      <c r="M4349" s="2"/>
      <c r="N4349" s="9"/>
      <c r="P4349" s="3">
        <v>-2048.4014983900001</v>
      </c>
      <c r="S4349" s="9"/>
      <c r="T4349" s="2"/>
      <c r="U4349" s="9"/>
    </row>
    <row r="4350" spans="2:21" x14ac:dyDescent="0.35">
      <c r="B4350" s="9"/>
      <c r="C4350" s="2"/>
      <c r="D4350" s="2"/>
      <c r="I4350" s="9"/>
      <c r="J4350" s="2"/>
      <c r="L4350" s="9"/>
      <c r="M4350" s="2"/>
      <c r="N4350" s="9"/>
      <c r="P4350" s="3">
        <v>-1613.6414983899999</v>
      </c>
      <c r="S4350" s="9"/>
      <c r="T4350" s="2"/>
      <c r="U4350" s="9"/>
    </row>
    <row r="4351" spans="2:21" x14ac:dyDescent="0.35">
      <c r="B4351" s="9"/>
      <c r="C4351" s="2"/>
      <c r="D4351" s="2"/>
      <c r="I4351" s="9"/>
      <c r="J4351" s="2"/>
      <c r="L4351" s="9"/>
      <c r="M4351" s="2"/>
      <c r="N4351" s="9"/>
      <c r="P4351" s="3">
        <v>-1633.9872583900001</v>
      </c>
      <c r="S4351" s="9"/>
      <c r="T4351" s="2"/>
      <c r="U4351" s="9"/>
    </row>
    <row r="4352" spans="2:21" x14ac:dyDescent="0.35">
      <c r="B4352" s="9"/>
      <c r="C4352" s="2"/>
      <c r="D4352" s="2"/>
      <c r="I4352" s="9"/>
      <c r="J4352" s="2"/>
      <c r="L4352" s="9"/>
      <c r="M4352" s="2"/>
      <c r="N4352" s="9"/>
      <c r="P4352" s="3">
        <v>-1608.8362183900001</v>
      </c>
      <c r="S4352" s="9"/>
      <c r="T4352" s="2"/>
      <c r="U4352" s="9"/>
    </row>
    <row r="4353" spans="2:21" x14ac:dyDescent="0.35">
      <c r="B4353" s="9"/>
      <c r="C4353" s="2"/>
      <c r="D4353" s="2"/>
      <c r="I4353" s="9"/>
      <c r="J4353" s="2"/>
      <c r="L4353" s="9"/>
      <c r="M4353" s="2"/>
      <c r="N4353" s="9"/>
      <c r="P4353" s="3">
        <v>-1529.4191683900001</v>
      </c>
      <c r="S4353" s="9"/>
      <c r="T4353" s="2"/>
      <c r="U4353" s="9"/>
    </row>
    <row r="4354" spans="2:21" x14ac:dyDescent="0.35">
      <c r="B4354" s="9"/>
      <c r="C4354" s="2"/>
      <c r="D4354" s="2"/>
      <c r="I4354" s="9"/>
      <c r="J4354" s="2"/>
      <c r="L4354" s="9"/>
      <c r="M4354" s="2"/>
      <c r="N4354" s="9"/>
      <c r="P4354" s="3">
        <v>-1235.8043483900001</v>
      </c>
      <c r="S4354" s="9"/>
      <c r="T4354" s="2"/>
      <c r="U4354" s="9"/>
    </row>
    <row r="4355" spans="2:21" x14ac:dyDescent="0.35">
      <c r="B4355" s="9"/>
      <c r="C4355" s="2"/>
      <c r="D4355" s="2"/>
      <c r="I4355" s="9"/>
      <c r="J4355" s="2"/>
      <c r="L4355" s="9"/>
      <c r="M4355" s="2"/>
      <c r="N4355" s="9"/>
      <c r="P4355" s="3">
        <v>-905.98875839000004</v>
      </c>
      <c r="S4355" s="9"/>
      <c r="T4355" s="2"/>
      <c r="U4355" s="9"/>
    </row>
    <row r="4356" spans="2:21" x14ac:dyDescent="0.35">
      <c r="B4356" s="9"/>
      <c r="C4356" s="2"/>
      <c r="D4356" s="2"/>
      <c r="I4356" s="9"/>
      <c r="J4356" s="2"/>
      <c r="L4356" s="9"/>
      <c r="M4356" s="2"/>
      <c r="N4356" s="9"/>
      <c r="P4356" s="3">
        <v>-719.51222839000002</v>
      </c>
      <c r="S4356" s="9"/>
      <c r="T4356" s="2"/>
      <c r="U4356" s="9"/>
    </row>
    <row r="4357" spans="2:21" x14ac:dyDescent="0.35">
      <c r="B4357" s="9"/>
      <c r="C4357" s="2"/>
      <c r="D4357" s="2"/>
      <c r="I4357" s="9"/>
      <c r="J4357" s="2"/>
      <c r="L4357" s="9"/>
      <c r="M4357" s="2"/>
      <c r="N4357" s="9"/>
      <c r="P4357" s="3">
        <v>-1129.84039839</v>
      </c>
      <c r="S4357" s="9"/>
      <c r="T4357" s="2"/>
      <c r="U4357" s="9"/>
    </row>
    <row r="4358" spans="2:21" x14ac:dyDescent="0.35">
      <c r="B4358" s="9"/>
      <c r="C4358" s="2"/>
      <c r="D4358" s="2"/>
      <c r="I4358" s="9"/>
      <c r="J4358" s="2"/>
      <c r="L4358" s="9"/>
      <c r="M4358" s="2"/>
      <c r="N4358" s="9"/>
      <c r="P4358" s="3">
        <v>-1564.60039839</v>
      </c>
      <c r="S4358" s="9"/>
      <c r="T4358" s="2"/>
      <c r="U4358" s="9"/>
    </row>
    <row r="4359" spans="2:21" x14ac:dyDescent="0.35">
      <c r="B4359" s="9"/>
      <c r="C4359" s="2"/>
      <c r="D4359" s="2"/>
      <c r="I4359" s="9"/>
      <c r="J4359" s="2"/>
      <c r="L4359" s="9"/>
      <c r="M4359" s="2"/>
      <c r="N4359" s="9"/>
      <c r="P4359" s="3">
        <v>-1129.84039839</v>
      </c>
      <c r="S4359" s="9"/>
      <c r="T4359" s="2"/>
      <c r="U4359" s="9"/>
    </row>
    <row r="4360" spans="2:21" x14ac:dyDescent="0.35">
      <c r="B4360" s="9"/>
      <c r="C4360" s="2"/>
      <c r="D4360" s="2"/>
      <c r="I4360" s="9"/>
      <c r="J4360" s="2"/>
      <c r="L4360" s="9"/>
      <c r="M4360" s="2"/>
      <c r="N4360" s="9"/>
      <c r="P4360" s="3">
        <v>-695.08039839000003</v>
      </c>
      <c r="S4360" s="9"/>
      <c r="T4360" s="2"/>
      <c r="U4360" s="9"/>
    </row>
    <row r="4361" spans="2:21" x14ac:dyDescent="0.35">
      <c r="B4361" s="9"/>
      <c r="C4361" s="2"/>
      <c r="D4361" s="2"/>
      <c r="I4361" s="9"/>
      <c r="J4361" s="2"/>
      <c r="L4361" s="9"/>
      <c r="M4361" s="2"/>
      <c r="N4361" s="9"/>
      <c r="P4361" s="3">
        <v>-260.32039838999998</v>
      </c>
      <c r="S4361" s="9"/>
      <c r="T4361" s="2"/>
      <c r="U4361" s="9"/>
    </row>
    <row r="4362" spans="2:21" x14ac:dyDescent="0.35">
      <c r="B4362" s="9"/>
      <c r="C4362" s="2"/>
      <c r="D4362" s="2"/>
      <c r="I4362" s="9"/>
      <c r="J4362" s="2"/>
      <c r="L4362" s="9"/>
      <c r="M4362" s="2"/>
      <c r="N4362" s="9"/>
      <c r="P4362" s="3">
        <v>0</v>
      </c>
      <c r="S4362" s="9"/>
      <c r="T4362" s="2"/>
      <c r="U4362" s="9"/>
    </row>
    <row r="4363" spans="2:21" x14ac:dyDescent="0.35">
      <c r="B4363" s="9"/>
      <c r="C4363" s="2"/>
      <c r="D4363" s="2"/>
      <c r="I4363" s="9"/>
      <c r="J4363" s="2"/>
      <c r="L4363" s="9"/>
      <c r="M4363" s="2"/>
      <c r="N4363" s="9"/>
      <c r="P4363" s="3">
        <v>-133.88428838999999</v>
      </c>
      <c r="S4363" s="9"/>
      <c r="T4363" s="2"/>
      <c r="U4363" s="9"/>
    </row>
    <row r="4364" spans="2:21" x14ac:dyDescent="0.35">
      <c r="B4364" s="9"/>
      <c r="C4364" s="2"/>
      <c r="D4364" s="2"/>
      <c r="I4364" s="9"/>
      <c r="J4364" s="2"/>
      <c r="L4364" s="9"/>
      <c r="M4364" s="2"/>
      <c r="N4364" s="9"/>
      <c r="P4364" s="3">
        <v>-568.64428839000004</v>
      </c>
      <c r="S4364" s="9"/>
      <c r="T4364" s="2"/>
      <c r="U4364" s="9"/>
    </row>
    <row r="4365" spans="2:21" x14ac:dyDescent="0.35">
      <c r="B4365" s="9"/>
      <c r="C4365" s="2"/>
      <c r="D4365" s="2"/>
      <c r="I4365" s="9"/>
      <c r="J4365" s="2"/>
      <c r="L4365" s="9"/>
      <c r="M4365" s="2"/>
      <c r="N4365" s="9"/>
      <c r="P4365" s="3">
        <v>-1003.40428839</v>
      </c>
      <c r="S4365" s="9"/>
      <c r="T4365" s="2"/>
      <c r="U4365" s="9"/>
    </row>
    <row r="4366" spans="2:21" x14ac:dyDescent="0.35">
      <c r="B4366" s="9"/>
      <c r="C4366" s="2"/>
      <c r="D4366" s="2"/>
      <c r="I4366" s="9"/>
      <c r="J4366" s="2"/>
      <c r="L4366" s="9"/>
      <c r="M4366" s="2"/>
      <c r="N4366" s="9"/>
      <c r="P4366" s="3">
        <v>-1438.1642883899999</v>
      </c>
      <c r="S4366" s="9"/>
      <c r="T4366" s="2"/>
      <c r="U4366" s="9"/>
    </row>
    <row r="4367" spans="2:21" x14ac:dyDescent="0.35">
      <c r="B4367" s="9"/>
      <c r="C4367" s="2"/>
      <c r="D4367" s="2"/>
      <c r="I4367" s="9"/>
      <c r="J4367" s="2"/>
      <c r="L4367" s="9"/>
      <c r="M4367" s="2"/>
      <c r="N4367" s="9"/>
      <c r="P4367" s="3">
        <v>-1872.9242883899999</v>
      </c>
      <c r="S4367" s="9"/>
      <c r="T4367" s="2"/>
      <c r="U4367" s="9"/>
    </row>
    <row r="4368" spans="2:21" x14ac:dyDescent="0.35">
      <c r="B4368" s="9"/>
      <c r="C4368" s="2"/>
      <c r="D4368" s="2"/>
      <c r="I4368" s="9"/>
      <c r="J4368" s="2"/>
      <c r="L4368" s="9"/>
      <c r="M4368" s="2"/>
      <c r="N4368" s="9"/>
      <c r="P4368" s="3">
        <v>-2307.6842883899999</v>
      </c>
      <c r="S4368" s="9"/>
      <c r="T4368" s="2"/>
      <c r="U4368" s="9"/>
    </row>
    <row r="4369" spans="2:21" x14ac:dyDescent="0.35">
      <c r="B4369" s="9"/>
      <c r="C4369" s="2"/>
      <c r="D4369" s="2"/>
      <c r="I4369" s="9"/>
      <c r="J4369" s="2"/>
      <c r="L4369" s="9"/>
      <c r="M4369" s="2"/>
      <c r="N4369" s="9"/>
      <c r="P4369" s="3">
        <v>-1872.9242883899999</v>
      </c>
      <c r="S4369" s="9"/>
      <c r="T4369" s="2"/>
      <c r="U4369" s="9"/>
    </row>
    <row r="4370" spans="2:21" x14ac:dyDescent="0.35">
      <c r="B4370" s="9"/>
      <c r="C4370" s="2"/>
      <c r="D4370" s="2"/>
      <c r="I4370" s="9"/>
      <c r="J4370" s="2"/>
      <c r="L4370" s="9"/>
      <c r="M4370" s="2"/>
      <c r="N4370" s="9"/>
      <c r="P4370" s="3">
        <v>-1438.1642883899999</v>
      </c>
      <c r="S4370" s="9"/>
      <c r="T4370" s="2"/>
      <c r="U4370" s="9"/>
    </row>
    <row r="4371" spans="2:21" x14ac:dyDescent="0.35">
      <c r="B4371" s="9"/>
      <c r="C4371" s="2"/>
      <c r="D4371" s="2"/>
      <c r="I4371" s="9"/>
      <c r="J4371" s="2"/>
      <c r="L4371" s="9"/>
      <c r="M4371" s="2"/>
      <c r="N4371" s="9"/>
      <c r="P4371" s="3">
        <v>-1082.42801839</v>
      </c>
      <c r="S4371" s="9"/>
      <c r="T4371" s="2"/>
      <c r="U4371" s="9"/>
    </row>
    <row r="4372" spans="2:21" x14ac:dyDescent="0.35">
      <c r="B4372" s="9"/>
      <c r="C4372" s="2"/>
      <c r="D4372" s="2"/>
      <c r="I4372" s="9"/>
      <c r="J4372" s="2"/>
      <c r="L4372" s="9"/>
      <c r="M4372" s="2"/>
      <c r="N4372" s="9"/>
      <c r="P4372" s="3">
        <v>-657.96516839000003</v>
      </c>
      <c r="S4372" s="9"/>
      <c r="T4372" s="2"/>
      <c r="U4372" s="9"/>
    </row>
    <row r="4373" spans="2:21" x14ac:dyDescent="0.35">
      <c r="B4373" s="9"/>
      <c r="C4373" s="2"/>
      <c r="D4373" s="2"/>
      <c r="I4373" s="9"/>
      <c r="J4373" s="2"/>
      <c r="L4373" s="9"/>
      <c r="M4373" s="2"/>
      <c r="N4373" s="9"/>
      <c r="P4373" s="3">
        <v>-626.76847839000004</v>
      </c>
      <c r="S4373" s="9"/>
      <c r="T4373" s="2"/>
      <c r="U4373" s="9"/>
    </row>
    <row r="4374" spans="2:21" x14ac:dyDescent="0.35">
      <c r="B4374" s="9"/>
      <c r="C4374" s="2"/>
      <c r="D4374" s="2"/>
      <c r="I4374" s="9"/>
      <c r="J4374" s="2"/>
      <c r="L4374" s="9"/>
      <c r="M4374" s="2"/>
      <c r="N4374" s="9"/>
      <c r="P4374" s="3">
        <v>-882.55127886000002</v>
      </c>
      <c r="S4374" s="9"/>
      <c r="T4374" s="2"/>
      <c r="U4374" s="9"/>
    </row>
    <row r="4375" spans="2:21" x14ac:dyDescent="0.35">
      <c r="B4375" s="9"/>
      <c r="C4375" s="2"/>
      <c r="D4375" s="2"/>
      <c r="I4375" s="9"/>
      <c r="J4375" s="2"/>
      <c r="L4375" s="9"/>
      <c r="M4375" s="2"/>
      <c r="N4375" s="9"/>
      <c r="P4375" s="3">
        <v>-828.39105886000004</v>
      </c>
      <c r="S4375" s="9"/>
      <c r="T4375" s="2"/>
      <c r="U4375" s="9"/>
    </row>
    <row r="4376" spans="2:21" x14ac:dyDescent="0.35">
      <c r="B4376" s="9"/>
      <c r="C4376" s="2"/>
      <c r="D4376" s="2"/>
      <c r="I4376" s="9"/>
      <c r="J4376" s="2"/>
      <c r="L4376" s="9"/>
      <c r="M4376" s="2"/>
      <c r="N4376" s="9"/>
      <c r="P4376" s="3">
        <v>-799.41453885999999</v>
      </c>
      <c r="S4376" s="9"/>
      <c r="T4376" s="2"/>
      <c r="U4376" s="9"/>
    </row>
    <row r="4377" spans="2:21" x14ac:dyDescent="0.35">
      <c r="B4377" s="9"/>
      <c r="C4377" s="2"/>
      <c r="D4377" s="2"/>
      <c r="I4377" s="9"/>
      <c r="J4377" s="2"/>
      <c r="L4377" s="9"/>
      <c r="M4377" s="2"/>
      <c r="N4377" s="9"/>
      <c r="P4377" s="3">
        <v>-749.74435886000003</v>
      </c>
      <c r="S4377" s="9"/>
      <c r="T4377" s="2"/>
      <c r="U4377" s="9"/>
    </row>
    <row r="4378" spans="2:21" x14ac:dyDescent="0.35">
      <c r="B4378" s="9"/>
      <c r="C4378" s="2"/>
      <c r="D4378" s="2"/>
      <c r="I4378" s="9"/>
      <c r="J4378" s="2"/>
      <c r="L4378" s="9"/>
      <c r="M4378" s="2"/>
      <c r="N4378" s="9"/>
      <c r="P4378" s="3">
        <v>-666.22705886000006</v>
      </c>
      <c r="S4378" s="9"/>
      <c r="T4378" s="2"/>
      <c r="U4378" s="9"/>
    </row>
    <row r="4379" spans="2:21" x14ac:dyDescent="0.35">
      <c r="B4379" s="9"/>
      <c r="C4379" s="2"/>
      <c r="D4379" s="2"/>
      <c r="I4379" s="9"/>
      <c r="J4379" s="2"/>
      <c r="L4379" s="9"/>
      <c r="M4379" s="2"/>
      <c r="N4379" s="9"/>
      <c r="P4379" s="3">
        <v>-488.84146238</v>
      </c>
      <c r="S4379" s="9"/>
      <c r="T4379" s="2"/>
      <c r="U4379" s="9"/>
    </row>
    <row r="4380" spans="2:21" x14ac:dyDescent="0.35">
      <c r="B4380" s="9"/>
      <c r="C4380" s="2"/>
      <c r="D4380" s="2"/>
      <c r="I4380" s="9"/>
      <c r="J4380" s="2"/>
      <c r="L4380" s="9"/>
      <c r="M4380" s="2"/>
      <c r="N4380" s="9"/>
      <c r="P4380" s="3">
        <v>-402.11221590000002</v>
      </c>
      <c r="S4380" s="9"/>
      <c r="T4380" s="2"/>
      <c r="U4380" s="9"/>
    </row>
    <row r="4381" spans="2:21" x14ac:dyDescent="0.35">
      <c r="B4381" s="9"/>
      <c r="C4381" s="2"/>
      <c r="D4381" s="2"/>
      <c r="I4381" s="9"/>
      <c r="J4381" s="2"/>
      <c r="L4381" s="9"/>
      <c r="M4381" s="2"/>
      <c r="N4381" s="9"/>
      <c r="P4381" s="3">
        <v>-781.63813345000005</v>
      </c>
      <c r="S4381" s="9"/>
      <c r="T4381" s="2"/>
      <c r="U4381" s="9"/>
    </row>
    <row r="4382" spans="2:21" x14ac:dyDescent="0.35">
      <c r="B4382" s="9"/>
      <c r="C4382" s="2"/>
      <c r="D4382" s="2"/>
      <c r="I4382" s="9"/>
      <c r="J4382" s="2"/>
      <c r="L4382" s="9"/>
      <c r="M4382" s="2"/>
      <c r="N4382" s="9"/>
      <c r="P4382" s="3">
        <v>-1216.3981334499999</v>
      </c>
      <c r="S4382" s="9"/>
      <c r="T4382" s="2"/>
      <c r="U4382" s="9"/>
    </row>
    <row r="4383" spans="2:21" x14ac:dyDescent="0.35">
      <c r="B4383" s="9"/>
      <c r="C4383" s="2"/>
      <c r="D4383" s="2"/>
      <c r="I4383" s="9"/>
      <c r="J4383" s="2"/>
      <c r="L4383" s="9"/>
      <c r="M4383" s="2"/>
      <c r="N4383" s="9"/>
      <c r="P4383" s="3">
        <v>-1651.1581334499999</v>
      </c>
      <c r="S4383" s="9"/>
      <c r="T4383" s="2"/>
      <c r="U4383" s="9"/>
    </row>
    <row r="4384" spans="2:21" x14ac:dyDescent="0.35">
      <c r="B4384" s="9"/>
      <c r="C4384" s="2"/>
      <c r="D4384" s="2"/>
      <c r="I4384" s="9"/>
      <c r="J4384" s="2"/>
      <c r="L4384" s="9"/>
      <c r="M4384" s="2"/>
      <c r="N4384" s="9"/>
      <c r="P4384" s="3">
        <v>-1216.3981334499999</v>
      </c>
      <c r="S4384" s="9"/>
      <c r="T4384" s="2"/>
      <c r="U4384" s="9"/>
    </row>
    <row r="4385" spans="2:21" x14ac:dyDescent="0.35">
      <c r="B4385" s="9"/>
      <c r="C4385" s="2"/>
      <c r="D4385" s="2"/>
      <c r="I4385" s="9"/>
      <c r="J4385" s="2"/>
      <c r="L4385" s="9"/>
      <c r="M4385" s="2"/>
      <c r="N4385" s="9"/>
      <c r="P4385" s="3">
        <v>-781.63813345000005</v>
      </c>
      <c r="S4385" s="9"/>
      <c r="T4385" s="2"/>
      <c r="U4385" s="9"/>
    </row>
    <row r="4386" spans="2:21" x14ac:dyDescent="0.35">
      <c r="B4386" s="9"/>
      <c r="C4386" s="2"/>
      <c r="D4386" s="2"/>
      <c r="I4386" s="9"/>
      <c r="J4386" s="2"/>
      <c r="L4386" s="9"/>
      <c r="M4386" s="2"/>
      <c r="N4386" s="9"/>
      <c r="P4386" s="3">
        <v>-681.65364823000004</v>
      </c>
      <c r="S4386" s="9"/>
      <c r="T4386" s="2"/>
      <c r="U4386" s="9"/>
    </row>
    <row r="4387" spans="2:21" x14ac:dyDescent="0.35">
      <c r="B4387" s="9"/>
      <c r="C4387" s="2"/>
      <c r="D4387" s="2"/>
      <c r="I4387" s="9"/>
      <c r="J4387" s="2"/>
      <c r="L4387" s="9"/>
      <c r="M4387" s="2"/>
      <c r="N4387" s="9"/>
      <c r="P4387" s="3">
        <v>-1116.41364823</v>
      </c>
      <c r="S4387" s="9"/>
      <c r="T4387" s="2"/>
      <c r="U4387" s="9"/>
    </row>
    <row r="4388" spans="2:21" x14ac:dyDescent="0.35">
      <c r="B4388" s="9"/>
      <c r="C4388" s="2"/>
      <c r="D4388" s="2"/>
      <c r="I4388" s="9"/>
      <c r="J4388" s="2"/>
      <c r="L4388" s="9"/>
      <c r="M4388" s="2"/>
      <c r="N4388" s="9"/>
      <c r="P4388" s="3">
        <v>-1551.17364823</v>
      </c>
      <c r="S4388" s="9"/>
      <c r="T4388" s="2"/>
      <c r="U4388" s="9"/>
    </row>
    <row r="4389" spans="2:21" x14ac:dyDescent="0.35">
      <c r="B4389" s="9"/>
      <c r="C4389" s="2"/>
      <c r="D4389" s="2"/>
      <c r="I4389" s="9"/>
      <c r="J4389" s="2"/>
      <c r="L4389" s="9"/>
      <c r="M4389" s="2"/>
      <c r="N4389" s="9"/>
      <c r="P4389" s="3">
        <v>-1985.93364823</v>
      </c>
      <c r="S4389" s="9"/>
      <c r="T4389" s="2"/>
      <c r="U4389" s="9"/>
    </row>
    <row r="4390" spans="2:21" x14ac:dyDescent="0.35">
      <c r="B4390" s="9"/>
      <c r="C4390" s="2"/>
      <c r="D4390" s="2"/>
      <c r="I4390" s="9"/>
      <c r="J4390" s="2"/>
      <c r="L4390" s="9"/>
      <c r="M4390" s="2"/>
      <c r="N4390" s="9"/>
      <c r="P4390" s="3">
        <v>-2420.6936482299998</v>
      </c>
      <c r="S4390" s="9"/>
      <c r="T4390" s="2"/>
      <c r="U4390" s="9"/>
    </row>
    <row r="4391" spans="2:21" x14ac:dyDescent="0.35">
      <c r="B4391" s="9"/>
      <c r="C4391" s="2"/>
      <c r="D4391" s="2"/>
      <c r="I4391" s="9"/>
      <c r="J4391" s="2"/>
      <c r="L4391" s="9"/>
      <c r="M4391" s="2"/>
      <c r="N4391" s="9"/>
      <c r="P4391" s="3">
        <v>-2855.45364823</v>
      </c>
      <c r="S4391" s="9"/>
      <c r="T4391" s="2"/>
      <c r="U4391" s="9"/>
    </row>
    <row r="4392" spans="2:21" x14ac:dyDescent="0.35">
      <c r="B4392" s="9"/>
      <c r="C4392" s="2"/>
      <c r="D4392" s="2"/>
      <c r="I4392" s="9"/>
      <c r="J4392" s="2"/>
      <c r="L4392" s="9"/>
      <c r="M4392" s="2"/>
      <c r="N4392" s="9"/>
      <c r="P4392" s="3">
        <v>-2420.6936482299998</v>
      </c>
      <c r="S4392" s="9"/>
      <c r="T4392" s="2"/>
      <c r="U4392" s="9"/>
    </row>
    <row r="4393" spans="2:21" x14ac:dyDescent="0.35">
      <c r="B4393" s="9"/>
      <c r="C4393" s="2"/>
      <c r="D4393" s="2"/>
      <c r="I4393" s="9"/>
      <c r="J4393" s="2"/>
      <c r="L4393" s="9"/>
      <c r="M4393" s="2"/>
      <c r="N4393" s="9"/>
      <c r="P4393" s="3">
        <v>-1985.93364823</v>
      </c>
      <c r="S4393" s="9"/>
      <c r="T4393" s="2"/>
      <c r="U4393" s="9"/>
    </row>
    <row r="4394" spans="2:21" x14ac:dyDescent="0.35">
      <c r="B4394" s="9"/>
      <c r="C4394" s="2"/>
      <c r="D4394" s="2"/>
      <c r="I4394" s="9"/>
      <c r="J4394" s="2"/>
      <c r="L4394" s="9"/>
      <c r="M4394" s="2"/>
      <c r="N4394" s="9"/>
      <c r="P4394" s="3">
        <v>-1551.17364823</v>
      </c>
      <c r="S4394" s="9"/>
      <c r="T4394" s="2"/>
      <c r="U4394" s="9"/>
    </row>
    <row r="4395" spans="2:21" x14ac:dyDescent="0.35">
      <c r="B4395" s="9"/>
      <c r="C4395" s="2"/>
      <c r="D4395" s="2"/>
      <c r="I4395" s="9"/>
      <c r="J4395" s="2"/>
      <c r="L4395" s="9"/>
      <c r="M4395" s="2"/>
      <c r="N4395" s="9"/>
      <c r="P4395" s="3">
        <v>-1429.0878786000001</v>
      </c>
      <c r="S4395" s="9"/>
      <c r="T4395" s="2"/>
      <c r="U4395" s="9"/>
    </row>
    <row r="4396" spans="2:21" x14ac:dyDescent="0.35">
      <c r="B4396" s="9"/>
      <c r="C4396" s="2"/>
      <c r="D4396" s="2"/>
      <c r="I4396" s="9"/>
      <c r="J4396" s="2"/>
      <c r="L4396" s="9"/>
      <c r="M4396" s="2"/>
      <c r="N4396" s="9"/>
      <c r="P4396" s="3">
        <v>-1134.6076688600001</v>
      </c>
      <c r="S4396" s="9"/>
      <c r="T4396" s="2"/>
      <c r="U4396" s="9"/>
    </row>
    <row r="4397" spans="2:21" x14ac:dyDescent="0.35">
      <c r="B4397" s="9"/>
      <c r="C4397" s="2"/>
      <c r="D4397" s="2"/>
      <c r="I4397" s="9"/>
      <c r="J4397" s="2"/>
      <c r="L4397" s="9"/>
      <c r="M4397" s="2"/>
      <c r="N4397" s="9"/>
      <c r="P4397" s="3">
        <v>-1115.27862886</v>
      </c>
      <c r="S4397" s="9"/>
      <c r="T4397" s="2"/>
      <c r="U4397" s="9"/>
    </row>
    <row r="4398" spans="2:21" x14ac:dyDescent="0.35">
      <c r="B4398" s="9"/>
      <c r="C4398" s="2"/>
      <c r="D4398" s="2"/>
      <c r="I4398" s="9"/>
      <c r="J4398" s="2"/>
      <c r="L4398" s="9"/>
      <c r="M4398" s="2"/>
      <c r="N4398" s="9"/>
      <c r="P4398" s="3">
        <v>-1137.2041388600001</v>
      </c>
      <c r="S4398" s="9"/>
      <c r="T4398" s="2"/>
      <c r="U4398" s="9"/>
    </row>
    <row r="4399" spans="2:21" x14ac:dyDescent="0.35">
      <c r="B4399" s="9"/>
      <c r="C4399" s="2"/>
      <c r="D4399" s="2"/>
      <c r="I4399" s="9"/>
      <c r="J4399" s="2"/>
      <c r="L4399" s="9"/>
      <c r="M4399" s="2"/>
      <c r="N4399" s="9"/>
      <c r="P4399" s="3">
        <v>-1133.83376886</v>
      </c>
      <c r="S4399" s="9"/>
      <c r="T4399" s="2"/>
      <c r="U4399" s="9"/>
    </row>
    <row r="4400" spans="2:21" x14ac:dyDescent="0.35">
      <c r="B4400" s="9"/>
      <c r="C4400" s="2"/>
      <c r="D4400" s="2"/>
      <c r="I4400" s="9"/>
      <c r="J4400" s="2"/>
      <c r="L4400" s="9"/>
      <c r="M4400" s="2"/>
      <c r="N4400" s="9"/>
      <c r="P4400" s="3">
        <v>-1109.3657488599999</v>
      </c>
      <c r="S4400" s="9"/>
      <c r="T4400" s="2"/>
      <c r="U4400" s="9"/>
    </row>
    <row r="4401" spans="2:21" x14ac:dyDescent="0.35">
      <c r="B4401" s="9"/>
      <c r="C4401" s="2"/>
      <c r="D4401" s="2"/>
      <c r="I4401" s="9"/>
      <c r="J4401" s="2"/>
      <c r="L4401" s="9"/>
      <c r="M4401" s="2"/>
      <c r="N4401" s="9"/>
      <c r="P4401" s="3">
        <v>-1075.08481886</v>
      </c>
      <c r="S4401" s="9"/>
      <c r="T4401" s="2"/>
      <c r="U4401" s="9"/>
    </row>
    <row r="4402" spans="2:21" x14ac:dyDescent="0.35">
      <c r="B4402" s="9"/>
      <c r="C4402" s="2"/>
      <c r="D4402" s="2"/>
      <c r="I4402" s="9"/>
      <c r="J4402" s="2"/>
      <c r="L4402" s="9"/>
      <c r="M4402" s="2"/>
      <c r="N4402" s="9"/>
      <c r="P4402" s="3">
        <v>-947.87695885999995</v>
      </c>
      <c r="S4402" s="9"/>
      <c r="T4402" s="2"/>
      <c r="U4402" s="9"/>
    </row>
    <row r="4403" spans="2:21" x14ac:dyDescent="0.35">
      <c r="B4403" s="9"/>
      <c r="C4403" s="2"/>
      <c r="D4403" s="2"/>
      <c r="I4403" s="9"/>
      <c r="J4403" s="2"/>
      <c r="L4403" s="9"/>
      <c r="M4403" s="2"/>
      <c r="N4403" s="9"/>
      <c r="P4403" s="3">
        <v>-696.56545238000001</v>
      </c>
      <c r="S4403" s="9"/>
      <c r="T4403" s="2"/>
      <c r="U4403" s="9"/>
    </row>
    <row r="4404" spans="2:21" x14ac:dyDescent="0.35">
      <c r="B4404" s="9"/>
      <c r="C4404" s="2"/>
      <c r="D4404" s="2"/>
      <c r="I4404" s="9"/>
      <c r="J4404" s="2"/>
      <c r="L4404" s="9"/>
      <c r="M4404" s="2"/>
      <c r="N4404" s="9"/>
      <c r="P4404" s="3">
        <v>-507.91144589999999</v>
      </c>
      <c r="S4404" s="9"/>
      <c r="T4404" s="2"/>
      <c r="U4404" s="9"/>
    </row>
    <row r="4405" spans="2:21" x14ac:dyDescent="0.35">
      <c r="B4405" s="9"/>
      <c r="C4405" s="2"/>
      <c r="D4405" s="2"/>
      <c r="I4405" s="9"/>
      <c r="J4405" s="2"/>
      <c r="L4405" s="9"/>
      <c r="M4405" s="2"/>
      <c r="N4405" s="9"/>
      <c r="P4405" s="3">
        <v>-816.82786345</v>
      </c>
      <c r="S4405" s="9"/>
      <c r="T4405" s="2"/>
      <c r="U4405" s="9"/>
    </row>
    <row r="4406" spans="2:21" x14ac:dyDescent="0.35">
      <c r="B4406" s="9"/>
      <c r="C4406" s="2"/>
      <c r="D4406" s="2"/>
      <c r="I4406" s="9"/>
      <c r="J4406" s="2"/>
      <c r="L4406" s="9"/>
      <c r="M4406" s="2"/>
      <c r="N4406" s="9"/>
      <c r="P4406" s="3">
        <v>-1251.58786345</v>
      </c>
      <c r="S4406" s="9"/>
      <c r="T4406" s="2"/>
      <c r="U4406" s="9"/>
    </row>
    <row r="4407" spans="2:21" x14ac:dyDescent="0.35">
      <c r="B4407" s="9"/>
      <c r="C4407" s="2"/>
      <c r="D4407" s="2"/>
      <c r="I4407" s="9"/>
      <c r="J4407" s="2"/>
      <c r="L4407" s="9"/>
      <c r="M4407" s="2"/>
      <c r="N4407" s="9"/>
      <c r="P4407" s="3">
        <v>-1686.34786345</v>
      </c>
      <c r="S4407" s="9"/>
      <c r="T4407" s="2"/>
      <c r="U4407" s="9"/>
    </row>
    <row r="4408" spans="2:21" x14ac:dyDescent="0.35">
      <c r="B4408" s="9"/>
      <c r="C4408" s="2"/>
      <c r="D4408" s="2"/>
      <c r="I4408" s="9"/>
      <c r="J4408" s="2"/>
      <c r="L4408" s="9"/>
      <c r="M4408" s="2"/>
      <c r="N4408" s="9"/>
      <c r="P4408" s="3">
        <v>-1251.58786345</v>
      </c>
      <c r="S4408" s="9"/>
      <c r="T4408" s="2"/>
      <c r="U4408" s="9"/>
    </row>
    <row r="4409" spans="2:21" x14ac:dyDescent="0.35">
      <c r="B4409" s="9"/>
      <c r="C4409" s="2"/>
      <c r="D4409" s="2"/>
      <c r="I4409" s="9"/>
      <c r="J4409" s="2"/>
      <c r="L4409" s="9"/>
      <c r="M4409" s="2"/>
      <c r="N4409" s="9"/>
      <c r="P4409" s="3">
        <v>-816.82786345</v>
      </c>
      <c r="S4409" s="9"/>
      <c r="T4409" s="2"/>
      <c r="U4409" s="9"/>
    </row>
    <row r="4410" spans="2:21" x14ac:dyDescent="0.35">
      <c r="B4410" s="9"/>
      <c r="C4410" s="2"/>
      <c r="D4410" s="2"/>
      <c r="I4410" s="9"/>
      <c r="J4410" s="2"/>
      <c r="L4410" s="9"/>
      <c r="M4410" s="2"/>
      <c r="N4410" s="9"/>
      <c r="P4410" s="3">
        <v>-382.06786345</v>
      </c>
      <c r="S4410" s="9"/>
      <c r="T4410" s="2"/>
      <c r="U4410" s="9"/>
    </row>
    <row r="4411" spans="2:21" x14ac:dyDescent="0.35">
      <c r="B4411" s="9"/>
      <c r="C4411" s="2"/>
      <c r="D4411" s="2"/>
      <c r="I4411" s="9"/>
      <c r="J4411" s="2"/>
      <c r="L4411" s="9"/>
      <c r="M4411" s="2"/>
      <c r="N4411" s="9"/>
      <c r="P4411" s="3">
        <v>-113.60396823000001</v>
      </c>
      <c r="S4411" s="9"/>
      <c r="T4411" s="2"/>
      <c r="U4411" s="9"/>
    </row>
    <row r="4412" spans="2:21" x14ac:dyDescent="0.35">
      <c r="B4412" s="9"/>
      <c r="C4412" s="2"/>
      <c r="D4412" s="2"/>
      <c r="I4412" s="9"/>
      <c r="J4412" s="2"/>
      <c r="L4412" s="9"/>
      <c r="M4412" s="2"/>
      <c r="N4412" s="9"/>
      <c r="P4412" s="3">
        <v>-548.36396822999995</v>
      </c>
      <c r="S4412" s="9"/>
      <c r="T4412" s="2"/>
      <c r="U4412" s="9"/>
    </row>
    <row r="4413" spans="2:21" x14ac:dyDescent="0.35">
      <c r="B4413" s="9"/>
      <c r="C4413" s="2"/>
      <c r="D4413" s="2"/>
      <c r="I4413" s="9"/>
      <c r="J4413" s="2"/>
      <c r="L4413" s="9"/>
      <c r="M4413" s="2"/>
      <c r="N4413" s="9"/>
      <c r="P4413" s="3">
        <v>-983.12396822999995</v>
      </c>
      <c r="S4413" s="9"/>
      <c r="T4413" s="2"/>
      <c r="U4413" s="9"/>
    </row>
    <row r="4414" spans="2:21" x14ac:dyDescent="0.35">
      <c r="B4414" s="9"/>
      <c r="C4414" s="2"/>
      <c r="D4414" s="2"/>
      <c r="I4414" s="9"/>
      <c r="J4414" s="2"/>
      <c r="L4414" s="9"/>
      <c r="M4414" s="2"/>
      <c r="N4414" s="9"/>
      <c r="P4414" s="3">
        <v>-1417.8839682299999</v>
      </c>
      <c r="S4414" s="9"/>
      <c r="T4414" s="2"/>
      <c r="U4414" s="9"/>
    </row>
    <row r="4415" spans="2:21" x14ac:dyDescent="0.35">
      <c r="B4415" s="9"/>
      <c r="C4415" s="2"/>
      <c r="D4415" s="2"/>
      <c r="I4415" s="9"/>
      <c r="J4415" s="2"/>
      <c r="L4415" s="9"/>
      <c r="M4415" s="2"/>
      <c r="N4415" s="9"/>
      <c r="P4415" s="3">
        <v>-1852.6439682299999</v>
      </c>
      <c r="S4415" s="9"/>
      <c r="T4415" s="2"/>
      <c r="U4415" s="9"/>
    </row>
    <row r="4416" spans="2:21" x14ac:dyDescent="0.35">
      <c r="B4416" s="9"/>
      <c r="C4416" s="2"/>
      <c r="D4416" s="2"/>
      <c r="I4416" s="9"/>
      <c r="J4416" s="2"/>
      <c r="L4416" s="9"/>
      <c r="M4416" s="2"/>
      <c r="N4416" s="9"/>
      <c r="P4416" s="3">
        <v>-1417.8839682299999</v>
      </c>
      <c r="S4416" s="9"/>
      <c r="T4416" s="2"/>
      <c r="U4416" s="9"/>
    </row>
    <row r="4417" spans="2:21" x14ac:dyDescent="0.35">
      <c r="B4417" s="9"/>
      <c r="C4417" s="2"/>
      <c r="D4417" s="2"/>
      <c r="I4417" s="9"/>
      <c r="J4417" s="2"/>
      <c r="L4417" s="9"/>
      <c r="M4417" s="2"/>
      <c r="N4417" s="9"/>
      <c r="P4417" s="3">
        <v>-983.12396822999995</v>
      </c>
      <c r="S4417" s="9"/>
      <c r="T4417" s="2"/>
      <c r="U4417" s="9"/>
    </row>
    <row r="4418" spans="2:21" x14ac:dyDescent="0.35">
      <c r="B4418" s="9"/>
      <c r="C4418" s="2"/>
      <c r="D4418" s="2"/>
      <c r="I4418" s="9"/>
      <c r="J4418" s="2"/>
      <c r="L4418" s="9"/>
      <c r="M4418" s="2"/>
      <c r="N4418" s="9"/>
      <c r="P4418" s="3">
        <v>-548.36396822999995</v>
      </c>
      <c r="S4418" s="9"/>
      <c r="T4418" s="2"/>
      <c r="U4418" s="9"/>
    </row>
    <row r="4419" spans="2:21" x14ac:dyDescent="0.35">
      <c r="B4419" s="9"/>
      <c r="C4419" s="2"/>
      <c r="D4419" s="2"/>
      <c r="I4419" s="9"/>
      <c r="J4419" s="2"/>
      <c r="L4419" s="9"/>
      <c r="M4419" s="2"/>
      <c r="N4419" s="9"/>
      <c r="P4419" s="3">
        <v>-304.75814860000003</v>
      </c>
      <c r="S4419" s="9"/>
      <c r="T4419" s="2"/>
      <c r="U4419" s="9"/>
    </row>
    <row r="4420" spans="2:21" x14ac:dyDescent="0.35">
      <c r="B4420" s="9"/>
      <c r="C4420" s="2"/>
      <c r="D4420" s="2"/>
      <c r="I4420" s="9"/>
      <c r="J4420" s="2"/>
      <c r="L4420" s="9"/>
      <c r="M4420" s="2"/>
      <c r="N4420" s="9"/>
      <c r="P4420" s="3">
        <v>-35.887638860000003</v>
      </c>
      <c r="S4420" s="9"/>
      <c r="T4420" s="2"/>
      <c r="U4420" s="9"/>
    </row>
    <row r="4421" spans="2:21" x14ac:dyDescent="0.35">
      <c r="B4421" s="9"/>
      <c r="C4421" s="2"/>
      <c r="D4421" s="2"/>
      <c r="I4421" s="9"/>
      <c r="J4421" s="2"/>
      <c r="L4421" s="9"/>
      <c r="M4421" s="2"/>
      <c r="N4421" s="9"/>
      <c r="P4421" s="3">
        <v>86.923901139999998</v>
      </c>
      <c r="S4421" s="9"/>
      <c r="T4421" s="2"/>
      <c r="U4421" s="9"/>
    </row>
    <row r="4422" spans="2:21" x14ac:dyDescent="0.35">
      <c r="B4422" s="9"/>
      <c r="C4422" s="2"/>
      <c r="D4422" s="2"/>
      <c r="I4422" s="9"/>
      <c r="J4422" s="2"/>
      <c r="L4422" s="9"/>
      <c r="M4422" s="2"/>
      <c r="N4422" s="9"/>
      <c r="P4422" s="3">
        <v>182.73982114</v>
      </c>
      <c r="S4422" s="9"/>
      <c r="T4422" s="2"/>
      <c r="U4422" s="9"/>
    </row>
    <row r="4423" spans="2:21" x14ac:dyDescent="0.35">
      <c r="B4423" s="9"/>
      <c r="C4423" s="2"/>
      <c r="D4423" s="2"/>
      <c r="I4423" s="9"/>
      <c r="J4423" s="2"/>
      <c r="L4423" s="9"/>
      <c r="M4423" s="2"/>
      <c r="N4423" s="9"/>
      <c r="P4423" s="3">
        <v>231.25696113999999</v>
      </c>
      <c r="S4423" s="9"/>
      <c r="T4423" s="2"/>
      <c r="U4423" s="9"/>
    </row>
    <row r="4424" spans="2:21" x14ac:dyDescent="0.35">
      <c r="B4424" s="9"/>
      <c r="C4424" s="2"/>
      <c r="D4424" s="2"/>
      <c r="I4424" s="9"/>
      <c r="J4424" s="2"/>
      <c r="L4424" s="9"/>
      <c r="M4424" s="2"/>
      <c r="N4424" s="9"/>
      <c r="P4424" s="3">
        <v>272.74723114</v>
      </c>
      <c r="S4424" s="9"/>
      <c r="T4424" s="2"/>
      <c r="U4424" s="9"/>
    </row>
    <row r="4425" spans="2:21" x14ac:dyDescent="0.35">
      <c r="B4425" s="9"/>
      <c r="C4425" s="2"/>
      <c r="D4425" s="2"/>
      <c r="I4425" s="9"/>
      <c r="J4425" s="2"/>
      <c r="L4425" s="9"/>
      <c r="M4425" s="2"/>
      <c r="N4425" s="9"/>
      <c r="P4425" s="3">
        <v>313.13700114</v>
      </c>
      <c r="S4425" s="9"/>
      <c r="T4425" s="2"/>
      <c r="U4425" s="9"/>
    </row>
    <row r="4426" spans="2:21" x14ac:dyDescent="0.35">
      <c r="B4426" s="9"/>
      <c r="C4426" s="2"/>
      <c r="D4426" s="2"/>
      <c r="I4426" s="9"/>
      <c r="J4426" s="2"/>
      <c r="L4426" s="9"/>
      <c r="M4426" s="2"/>
      <c r="N4426" s="9"/>
      <c r="P4426" s="3">
        <v>354.96665114000001</v>
      </c>
      <c r="S4426" s="9"/>
      <c r="T4426" s="2"/>
      <c r="U4426" s="9"/>
    </row>
    <row r="4427" spans="2:21" x14ac:dyDescent="0.35">
      <c r="B4427" s="9"/>
      <c r="C4427" s="2"/>
      <c r="D4427" s="2"/>
      <c r="I4427" s="9"/>
      <c r="J4427" s="2"/>
      <c r="L4427" s="9"/>
      <c r="M4427" s="2"/>
      <c r="N4427" s="9"/>
      <c r="P4427" s="3">
        <v>505.99491762000002</v>
      </c>
      <c r="S4427" s="9"/>
      <c r="T4427" s="2"/>
      <c r="U4427" s="9"/>
    </row>
    <row r="4428" spans="2:21" x14ac:dyDescent="0.35">
      <c r="B4428" s="9"/>
      <c r="C4428" s="2"/>
      <c r="D4428" s="2"/>
      <c r="I4428" s="9"/>
      <c r="J4428" s="2"/>
      <c r="L4428" s="9"/>
      <c r="M4428" s="2"/>
      <c r="N4428" s="9"/>
      <c r="P4428" s="3">
        <v>561.00136410000005</v>
      </c>
      <c r="S4428" s="9"/>
      <c r="T4428" s="2"/>
      <c r="U4428" s="9"/>
    </row>
    <row r="4429" spans="2:21" x14ac:dyDescent="0.35">
      <c r="B4429" s="9"/>
      <c r="C4429" s="2"/>
      <c r="D4429" s="2"/>
      <c r="I4429" s="9"/>
      <c r="J4429" s="2"/>
      <c r="L4429" s="9"/>
      <c r="M4429" s="2"/>
      <c r="N4429" s="9"/>
      <c r="P4429" s="3">
        <v>126.2413641</v>
      </c>
      <c r="S4429" s="9"/>
      <c r="T4429" s="2"/>
      <c r="U4429" s="9"/>
    </row>
    <row r="4430" spans="2:21" x14ac:dyDescent="0.35">
      <c r="B4430" s="9"/>
      <c r="C4430" s="2"/>
      <c r="D4430" s="2"/>
      <c r="I4430" s="9"/>
      <c r="J4430" s="2"/>
      <c r="L4430" s="9"/>
      <c r="M4430" s="2"/>
      <c r="N4430" s="9"/>
      <c r="P4430" s="3">
        <v>-308.51863589999999</v>
      </c>
      <c r="S4430" s="9"/>
      <c r="T4430" s="2"/>
      <c r="U4430" s="9"/>
    </row>
    <row r="4431" spans="2:21" x14ac:dyDescent="0.35">
      <c r="B4431" s="9"/>
      <c r="C4431" s="2"/>
      <c r="D4431" s="2"/>
      <c r="I4431" s="9"/>
      <c r="J4431" s="2"/>
      <c r="L4431" s="9"/>
      <c r="M4431" s="2"/>
      <c r="N4431" s="9"/>
      <c r="P4431" s="3">
        <v>-743.27863590000004</v>
      </c>
      <c r="S4431" s="9"/>
      <c r="T4431" s="2"/>
      <c r="U4431" s="9"/>
    </row>
    <row r="4432" spans="2:21" x14ac:dyDescent="0.35">
      <c r="B4432" s="9"/>
      <c r="C4432" s="2"/>
      <c r="D4432" s="2"/>
      <c r="I4432" s="9"/>
      <c r="J4432" s="2"/>
      <c r="L4432" s="9"/>
      <c r="M4432" s="2"/>
      <c r="N4432" s="9"/>
      <c r="P4432" s="3">
        <v>-308.51863589999999</v>
      </c>
      <c r="S4432" s="9"/>
      <c r="T4432" s="2"/>
      <c r="U4432" s="9"/>
    </row>
    <row r="4433" spans="2:21" x14ac:dyDescent="0.35">
      <c r="B4433" s="9"/>
      <c r="C4433" s="2"/>
      <c r="D4433" s="2"/>
      <c r="I4433" s="9"/>
      <c r="J4433" s="2"/>
      <c r="L4433" s="9"/>
      <c r="M4433" s="2"/>
      <c r="N4433" s="9"/>
      <c r="P4433" s="3">
        <v>0</v>
      </c>
      <c r="S4433" s="9"/>
      <c r="T4433" s="2"/>
      <c r="U4433" s="9"/>
    </row>
    <row r="4434" spans="2:21" x14ac:dyDescent="0.35">
      <c r="B4434" s="9"/>
      <c r="C4434" s="2"/>
      <c r="D4434" s="2"/>
      <c r="I4434" s="9"/>
      <c r="J4434" s="2"/>
      <c r="L4434" s="9"/>
      <c r="M4434" s="2"/>
      <c r="N4434" s="9"/>
      <c r="P4434" s="3">
        <v>-297.17803823000003</v>
      </c>
      <c r="S4434" s="9"/>
      <c r="T4434" s="2"/>
      <c r="U4434" s="9"/>
    </row>
    <row r="4435" spans="2:21" x14ac:dyDescent="0.35">
      <c r="B4435" s="9"/>
      <c r="C4435" s="2"/>
      <c r="D4435" s="2"/>
      <c r="I4435" s="9"/>
      <c r="J4435" s="2"/>
      <c r="L4435" s="9"/>
      <c r="M4435" s="2"/>
      <c r="N4435" s="9"/>
      <c r="P4435" s="3">
        <v>-731.93803822999996</v>
      </c>
      <c r="S4435" s="9"/>
      <c r="T4435" s="2"/>
      <c r="U4435" s="9"/>
    </row>
    <row r="4436" spans="2:21" x14ac:dyDescent="0.35">
      <c r="B4436" s="9"/>
      <c r="C4436" s="2"/>
      <c r="D4436" s="2"/>
      <c r="I4436" s="9"/>
      <c r="J4436" s="2"/>
      <c r="L4436" s="9"/>
      <c r="M4436" s="2"/>
      <c r="N4436" s="9"/>
      <c r="P4436" s="3">
        <v>-1166.6980382300001</v>
      </c>
      <c r="S4436" s="9"/>
      <c r="T4436" s="2"/>
      <c r="U4436" s="9"/>
    </row>
    <row r="4437" spans="2:21" x14ac:dyDescent="0.35">
      <c r="B4437" s="9"/>
      <c r="C4437" s="2"/>
      <c r="D4437" s="2"/>
      <c r="I4437" s="9"/>
      <c r="J4437" s="2"/>
      <c r="L4437" s="9"/>
      <c r="M4437" s="2"/>
      <c r="N4437" s="9"/>
      <c r="P4437" s="3">
        <v>-1601.4580382300001</v>
      </c>
      <c r="S4437" s="9"/>
      <c r="T4437" s="2"/>
      <c r="U4437" s="9"/>
    </row>
    <row r="4438" spans="2:21" x14ac:dyDescent="0.35">
      <c r="B4438" s="9"/>
      <c r="C4438" s="2"/>
      <c r="D4438" s="2"/>
      <c r="I4438" s="9"/>
      <c r="J4438" s="2"/>
      <c r="L4438" s="9"/>
      <c r="M4438" s="2"/>
      <c r="N4438" s="9"/>
      <c r="P4438" s="3">
        <v>-2036.21803823</v>
      </c>
      <c r="S4438" s="9"/>
      <c r="T4438" s="2"/>
      <c r="U4438" s="9"/>
    </row>
    <row r="4439" spans="2:21" x14ac:dyDescent="0.35">
      <c r="B4439" s="9"/>
      <c r="C4439" s="2"/>
      <c r="D4439" s="2"/>
      <c r="I4439" s="9"/>
      <c r="J4439" s="2"/>
      <c r="L4439" s="9"/>
      <c r="M4439" s="2"/>
      <c r="N4439" s="9"/>
      <c r="P4439" s="3">
        <v>-1601.4580382300001</v>
      </c>
      <c r="S4439" s="9"/>
      <c r="T4439" s="2"/>
      <c r="U4439" s="9"/>
    </row>
    <row r="4440" spans="2:21" x14ac:dyDescent="0.35">
      <c r="B4440" s="9"/>
      <c r="C4440" s="2"/>
      <c r="D4440" s="2"/>
      <c r="I4440" s="9"/>
      <c r="J4440" s="2"/>
      <c r="L4440" s="9"/>
      <c r="M4440" s="2"/>
      <c r="N4440" s="9"/>
      <c r="P4440" s="3">
        <v>-1166.6980382300001</v>
      </c>
      <c r="S4440" s="9"/>
      <c r="T4440" s="2"/>
      <c r="U4440" s="9"/>
    </row>
    <row r="4441" spans="2:21" x14ac:dyDescent="0.35">
      <c r="B4441" s="9"/>
      <c r="C4441" s="2"/>
      <c r="D4441" s="2"/>
      <c r="I4441" s="9"/>
      <c r="J4441" s="2"/>
      <c r="L4441" s="9"/>
      <c r="M4441" s="2"/>
      <c r="N4441" s="9"/>
      <c r="P4441" s="3">
        <v>-731.93803822999996</v>
      </c>
      <c r="S4441" s="9"/>
      <c r="T4441" s="2"/>
      <c r="U4441" s="9"/>
    </row>
    <row r="4442" spans="2:21" x14ac:dyDescent="0.35">
      <c r="B4442" s="9"/>
      <c r="C4442" s="2"/>
      <c r="D4442" s="2"/>
      <c r="I4442" s="9"/>
      <c r="J4442" s="2"/>
      <c r="L4442" s="9"/>
      <c r="M4442" s="2"/>
      <c r="N4442" s="9"/>
      <c r="P4442" s="3">
        <v>-297.17803823000003</v>
      </c>
      <c r="S4442" s="9"/>
      <c r="T4442" s="2"/>
      <c r="U4442" s="9"/>
    </row>
    <row r="4443" spans="2:21" x14ac:dyDescent="0.35">
      <c r="B4443" s="9"/>
      <c r="C4443" s="2"/>
      <c r="D4443" s="2"/>
      <c r="I4443" s="9"/>
      <c r="J4443" s="2"/>
      <c r="L4443" s="9"/>
      <c r="M4443" s="2"/>
      <c r="N4443" s="9"/>
      <c r="P4443" s="3">
        <v>-197.8953386</v>
      </c>
      <c r="S4443" s="9"/>
      <c r="T4443" s="2"/>
      <c r="U4443" s="9"/>
    </row>
    <row r="4444" spans="2:21" x14ac:dyDescent="0.35">
      <c r="B4444" s="9"/>
      <c r="C4444" s="2"/>
      <c r="D4444" s="2"/>
      <c r="I4444" s="9"/>
      <c r="J4444" s="2"/>
      <c r="L4444" s="9"/>
      <c r="M4444" s="2"/>
      <c r="N4444" s="9"/>
      <c r="P4444" s="3">
        <v>-155.43033886000001</v>
      </c>
      <c r="S4444" s="9"/>
      <c r="T4444" s="2"/>
      <c r="U4444" s="9"/>
    </row>
    <row r="4445" spans="2:21" x14ac:dyDescent="0.35">
      <c r="B4445" s="9"/>
      <c r="C4445" s="2"/>
      <c r="D4445" s="2"/>
      <c r="I4445" s="9"/>
      <c r="J4445" s="2"/>
      <c r="L4445" s="9"/>
      <c r="M4445" s="2"/>
      <c r="N4445" s="9"/>
      <c r="P4445" s="3">
        <v>-197.72645886000001</v>
      </c>
      <c r="S4445" s="9"/>
      <c r="T4445" s="2"/>
      <c r="U4445" s="9"/>
    </row>
    <row r="4446" spans="2:21" x14ac:dyDescent="0.35">
      <c r="B4446" s="9"/>
      <c r="C4446" s="2"/>
      <c r="D4446" s="2"/>
      <c r="I4446" s="9"/>
      <c r="J4446" s="2"/>
      <c r="L4446" s="9"/>
      <c r="M4446" s="2"/>
      <c r="N4446" s="9"/>
      <c r="P4446" s="3">
        <v>-253.06385886000001</v>
      </c>
      <c r="S4446" s="9"/>
      <c r="T4446" s="2"/>
      <c r="U4446" s="9"/>
    </row>
    <row r="4447" spans="2:21" x14ac:dyDescent="0.35">
      <c r="B4447" s="9"/>
      <c r="C4447" s="2"/>
      <c r="D4447" s="2"/>
      <c r="I4447" s="9"/>
      <c r="J4447" s="2"/>
      <c r="L4447" s="9"/>
      <c r="M4447" s="2"/>
      <c r="N4447" s="9"/>
      <c r="P4447" s="3">
        <v>-275.29182886000001</v>
      </c>
      <c r="S4447" s="9"/>
      <c r="T4447" s="2"/>
      <c r="U4447" s="9"/>
    </row>
    <row r="4448" spans="2:21" x14ac:dyDescent="0.35">
      <c r="B4448" s="9"/>
      <c r="C4448" s="2"/>
      <c r="D4448" s="2"/>
      <c r="I4448" s="9"/>
      <c r="J4448" s="2"/>
      <c r="L4448" s="9"/>
      <c r="M4448" s="2"/>
      <c r="N4448" s="9"/>
      <c r="P4448" s="3">
        <v>-282.33573885999999</v>
      </c>
      <c r="S4448" s="9"/>
      <c r="T4448" s="2"/>
      <c r="U4448" s="9"/>
    </row>
    <row r="4449" spans="2:21" x14ac:dyDescent="0.35">
      <c r="B4449" s="9"/>
      <c r="C4449" s="2"/>
      <c r="D4449" s="2"/>
      <c r="I4449" s="9"/>
      <c r="J4449" s="2"/>
      <c r="L4449" s="9"/>
      <c r="M4449" s="2"/>
      <c r="N4449" s="9"/>
      <c r="P4449" s="3">
        <v>-277.65612886000002</v>
      </c>
      <c r="S4449" s="9"/>
      <c r="T4449" s="2"/>
      <c r="U4449" s="9"/>
    </row>
    <row r="4450" spans="2:21" x14ac:dyDescent="0.35">
      <c r="B4450" s="9"/>
      <c r="C4450" s="2"/>
      <c r="D4450" s="2"/>
      <c r="I4450" s="9"/>
      <c r="J4450" s="2"/>
      <c r="L4450" s="9"/>
      <c r="M4450" s="2"/>
      <c r="N4450" s="9"/>
      <c r="P4450" s="3">
        <v>-261.92891886000001</v>
      </c>
      <c r="S4450" s="9"/>
      <c r="T4450" s="2"/>
      <c r="U4450" s="9"/>
    </row>
    <row r="4451" spans="2:21" x14ac:dyDescent="0.35">
      <c r="B4451" s="9"/>
      <c r="C4451" s="2"/>
      <c r="D4451" s="2"/>
      <c r="I4451" s="9"/>
      <c r="J4451" s="2"/>
      <c r="L4451" s="9"/>
      <c r="M4451" s="2"/>
      <c r="N4451" s="9"/>
      <c r="P4451" s="3">
        <v>-91.546762380000004</v>
      </c>
      <c r="S4451" s="9"/>
      <c r="T4451" s="2"/>
      <c r="U4451" s="9"/>
    </row>
    <row r="4452" spans="2:21" x14ac:dyDescent="0.35">
      <c r="B4452" s="9"/>
      <c r="C4452" s="2"/>
      <c r="D4452" s="2"/>
      <c r="I4452" s="9"/>
      <c r="J4452" s="2"/>
      <c r="L4452" s="9"/>
      <c r="M4452" s="2"/>
      <c r="N4452" s="9"/>
      <c r="P4452" s="3">
        <v>-25.4778059</v>
      </c>
      <c r="S4452" s="9"/>
      <c r="T4452" s="2"/>
      <c r="U4452" s="9"/>
    </row>
    <row r="4453" spans="2:21" x14ac:dyDescent="0.35">
      <c r="B4453" s="9"/>
      <c r="C4453" s="2"/>
      <c r="D4453" s="2"/>
      <c r="I4453" s="9"/>
      <c r="J4453" s="2"/>
      <c r="L4453" s="9"/>
      <c r="M4453" s="2"/>
      <c r="N4453" s="9"/>
      <c r="P4453" s="3">
        <v>-460.23780590000001</v>
      </c>
      <c r="S4453" s="9"/>
      <c r="T4453" s="2"/>
      <c r="U4453" s="9"/>
    </row>
    <row r="4454" spans="2:21" x14ac:dyDescent="0.35">
      <c r="B4454" s="9"/>
      <c r="C4454" s="2"/>
      <c r="D4454" s="2"/>
      <c r="I4454" s="9"/>
      <c r="J4454" s="2"/>
      <c r="L4454" s="9"/>
      <c r="M4454" s="2"/>
      <c r="N4454" s="9"/>
      <c r="P4454" s="3">
        <v>-894.9978059</v>
      </c>
      <c r="S4454" s="9"/>
      <c r="T4454" s="2"/>
      <c r="U4454" s="9"/>
    </row>
    <row r="4455" spans="2:21" x14ac:dyDescent="0.35">
      <c r="B4455" s="9"/>
      <c r="C4455" s="2"/>
      <c r="D4455" s="2"/>
      <c r="I4455" s="9"/>
      <c r="J4455" s="2"/>
      <c r="L4455" s="9"/>
      <c r="M4455" s="2"/>
      <c r="N4455" s="9"/>
      <c r="P4455" s="3">
        <v>-460.23780590000001</v>
      </c>
      <c r="S4455" s="9"/>
      <c r="T4455" s="2"/>
      <c r="U4455" s="9"/>
    </row>
    <row r="4456" spans="2:21" x14ac:dyDescent="0.35">
      <c r="B4456" s="9"/>
      <c r="C4456" s="2"/>
      <c r="D4456" s="2"/>
      <c r="I4456" s="9"/>
      <c r="J4456" s="2"/>
      <c r="L4456" s="9"/>
      <c r="M4456" s="2"/>
      <c r="N4456" s="9"/>
      <c r="P4456" s="3">
        <v>-25.4778059</v>
      </c>
      <c r="S4456" s="9"/>
      <c r="T4456" s="2"/>
      <c r="U4456" s="9"/>
    </row>
    <row r="4457" spans="2:21" x14ac:dyDescent="0.35">
      <c r="B4457" s="9"/>
      <c r="C4457" s="2"/>
      <c r="D4457" s="2"/>
      <c r="I4457" s="9"/>
      <c r="J4457" s="2"/>
      <c r="L4457" s="9"/>
      <c r="M4457" s="2"/>
      <c r="N4457" s="9"/>
      <c r="P4457" s="3">
        <v>-48.434937730000001</v>
      </c>
      <c r="S4457" s="9"/>
      <c r="T4457" s="2"/>
      <c r="U4457" s="9"/>
    </row>
    <row r="4458" spans="2:21" x14ac:dyDescent="0.35">
      <c r="B4458" s="9"/>
      <c r="C4458" s="2"/>
      <c r="D4458" s="2"/>
      <c r="I4458" s="9"/>
      <c r="J4458" s="2"/>
      <c r="L4458" s="9"/>
      <c r="M4458" s="2"/>
      <c r="N4458" s="9"/>
      <c r="P4458" s="3">
        <v>-483.19493772999999</v>
      </c>
      <c r="S4458" s="9"/>
      <c r="T4458" s="2"/>
      <c r="U4458" s="9"/>
    </row>
    <row r="4459" spans="2:21" x14ac:dyDescent="0.35">
      <c r="B4459" s="9"/>
      <c r="C4459" s="2"/>
      <c r="D4459" s="2"/>
      <c r="I4459" s="9"/>
      <c r="J4459" s="2"/>
      <c r="L4459" s="9"/>
      <c r="M4459" s="2"/>
      <c r="N4459" s="9"/>
      <c r="P4459" s="3">
        <v>-917.95493772999998</v>
      </c>
      <c r="S4459" s="9"/>
      <c r="T4459" s="2"/>
      <c r="U4459" s="9"/>
    </row>
    <row r="4460" spans="2:21" x14ac:dyDescent="0.35">
      <c r="B4460" s="9"/>
      <c r="C4460" s="2"/>
      <c r="D4460" s="2"/>
      <c r="I4460" s="9"/>
      <c r="J4460" s="2"/>
      <c r="L4460" s="9"/>
      <c r="M4460" s="2"/>
      <c r="N4460" s="9"/>
      <c r="P4460" s="3">
        <v>-1352.71493773</v>
      </c>
      <c r="S4460" s="9"/>
      <c r="T4460" s="2"/>
      <c r="U4460" s="9"/>
    </row>
    <row r="4461" spans="2:21" x14ac:dyDescent="0.35">
      <c r="B4461" s="9"/>
      <c r="C4461" s="2"/>
      <c r="D4461" s="2"/>
      <c r="I4461" s="9"/>
      <c r="J4461" s="2"/>
      <c r="L4461" s="9"/>
      <c r="M4461" s="2"/>
      <c r="N4461" s="9"/>
      <c r="P4461" s="3">
        <v>-1787.47493773</v>
      </c>
      <c r="S4461" s="9"/>
      <c r="T4461" s="2"/>
      <c r="U4461" s="9"/>
    </row>
    <row r="4462" spans="2:21" x14ac:dyDescent="0.35">
      <c r="B4462" s="9"/>
      <c r="C4462" s="2"/>
      <c r="D4462" s="2"/>
      <c r="I4462" s="9"/>
      <c r="J4462" s="2"/>
      <c r="L4462" s="9"/>
      <c r="M4462" s="2"/>
      <c r="N4462" s="9"/>
      <c r="P4462" s="3">
        <v>-2222.2349377300002</v>
      </c>
      <c r="S4462" s="9"/>
      <c r="T4462" s="2"/>
      <c r="U4462" s="9"/>
    </row>
    <row r="4463" spans="2:21" x14ac:dyDescent="0.35">
      <c r="B4463" s="9"/>
      <c r="C4463" s="2"/>
      <c r="D4463" s="2"/>
      <c r="I4463" s="9"/>
      <c r="J4463" s="2"/>
      <c r="L4463" s="9"/>
      <c r="M4463" s="2"/>
      <c r="N4463" s="9"/>
      <c r="P4463" s="3">
        <v>-2656.9949377299999</v>
      </c>
      <c r="S4463" s="9"/>
      <c r="T4463" s="2"/>
      <c r="U4463" s="9"/>
    </row>
    <row r="4464" spans="2:21" x14ac:dyDescent="0.35">
      <c r="B4464" s="9"/>
      <c r="C4464" s="2"/>
      <c r="D4464" s="2"/>
      <c r="I4464" s="9"/>
      <c r="J4464" s="2"/>
      <c r="L4464" s="9"/>
      <c r="M4464" s="2"/>
      <c r="N4464" s="9"/>
      <c r="P4464" s="3">
        <v>-2222.2349377300002</v>
      </c>
      <c r="S4464" s="9"/>
      <c r="T4464" s="2"/>
      <c r="U4464" s="9"/>
    </row>
    <row r="4465" spans="2:21" x14ac:dyDescent="0.35">
      <c r="B4465" s="9"/>
      <c r="C4465" s="2"/>
      <c r="D4465" s="2"/>
      <c r="I4465" s="9"/>
      <c r="J4465" s="2"/>
      <c r="L4465" s="9"/>
      <c r="M4465" s="2"/>
      <c r="N4465" s="9"/>
      <c r="P4465" s="3">
        <v>-1787.47493773</v>
      </c>
      <c r="S4465" s="9"/>
      <c r="T4465" s="2"/>
      <c r="U4465" s="9"/>
    </row>
    <row r="4466" spans="2:21" x14ac:dyDescent="0.35">
      <c r="B4466" s="9"/>
      <c r="C4466" s="2"/>
      <c r="D4466" s="2"/>
      <c r="I4466" s="9"/>
      <c r="J4466" s="2"/>
      <c r="L4466" s="9"/>
      <c r="M4466" s="2"/>
      <c r="N4466" s="9"/>
      <c r="P4466" s="3">
        <v>-1453.86672823</v>
      </c>
      <c r="S4466" s="9"/>
      <c r="T4466" s="2"/>
      <c r="U4466" s="9"/>
    </row>
    <row r="4467" spans="2:21" x14ac:dyDescent="0.35">
      <c r="B4467" s="9"/>
      <c r="C4467" s="2"/>
      <c r="D4467" s="2"/>
      <c r="I4467" s="9"/>
      <c r="J4467" s="2"/>
      <c r="L4467" s="9"/>
      <c r="M4467" s="2"/>
      <c r="N4467" s="9"/>
      <c r="P4467" s="3">
        <v>-1461.0392985999999</v>
      </c>
      <c r="S4467" s="9"/>
      <c r="T4467" s="2"/>
      <c r="U4467" s="9"/>
    </row>
    <row r="4468" spans="2:21" x14ac:dyDescent="0.35">
      <c r="B4468" s="9"/>
      <c r="C4468" s="2"/>
      <c r="D4468" s="2"/>
      <c r="I4468" s="9"/>
      <c r="J4468" s="2"/>
      <c r="L4468" s="9"/>
      <c r="M4468" s="2"/>
      <c r="N4468" s="9"/>
      <c r="P4468" s="3">
        <v>-1178.38200886</v>
      </c>
      <c r="S4468" s="9"/>
      <c r="T4468" s="2"/>
      <c r="U4468" s="9"/>
    </row>
    <row r="4469" spans="2:21" x14ac:dyDescent="0.35">
      <c r="B4469" s="9"/>
      <c r="C4469" s="2"/>
      <c r="D4469" s="2"/>
      <c r="I4469" s="9"/>
      <c r="J4469" s="2"/>
      <c r="L4469" s="9"/>
      <c r="M4469" s="2"/>
      <c r="N4469" s="9"/>
      <c r="P4469" s="3">
        <v>-1277.33257886</v>
      </c>
      <c r="S4469" s="9"/>
      <c r="T4469" s="2"/>
      <c r="U4469" s="9"/>
    </row>
    <row r="4470" spans="2:21" x14ac:dyDescent="0.35">
      <c r="B4470" s="9"/>
      <c r="C4470" s="2"/>
      <c r="D4470" s="2"/>
      <c r="I4470" s="9"/>
      <c r="J4470" s="2"/>
      <c r="L4470" s="9"/>
      <c r="M4470" s="2"/>
      <c r="N4470" s="9"/>
      <c r="P4470" s="3">
        <v>-1361.9794888599999</v>
      </c>
      <c r="S4470" s="9"/>
      <c r="T4470" s="2"/>
      <c r="U4470" s="9"/>
    </row>
    <row r="4471" spans="2:21" x14ac:dyDescent="0.35">
      <c r="B4471" s="9"/>
      <c r="C4471" s="2"/>
      <c r="D4471" s="2"/>
      <c r="I4471" s="9"/>
      <c r="J4471" s="2"/>
      <c r="L4471" s="9"/>
      <c r="M4471" s="2"/>
      <c r="N4471" s="9"/>
      <c r="P4471" s="3">
        <v>-1454.91777886</v>
      </c>
      <c r="S4471" s="9"/>
      <c r="T4471" s="2"/>
      <c r="U4471" s="9"/>
    </row>
    <row r="4472" spans="2:21" x14ac:dyDescent="0.35">
      <c r="B4472" s="9"/>
      <c r="C4472" s="2"/>
      <c r="D4472" s="2"/>
      <c r="I4472" s="9"/>
      <c r="J4472" s="2"/>
      <c r="L4472" s="9"/>
      <c r="M4472" s="2"/>
      <c r="N4472" s="9"/>
      <c r="P4472" s="3">
        <v>-1487.7872288599999</v>
      </c>
      <c r="S4472" s="9"/>
      <c r="T4472" s="2"/>
      <c r="U4472" s="9"/>
    </row>
    <row r="4473" spans="2:21" x14ac:dyDescent="0.35">
      <c r="B4473" s="9"/>
      <c r="C4473" s="2"/>
      <c r="D4473" s="2"/>
      <c r="I4473" s="9"/>
      <c r="J4473" s="2"/>
      <c r="L4473" s="9"/>
      <c r="M4473" s="2"/>
      <c r="N4473" s="9"/>
      <c r="P4473" s="3">
        <v>-1524.7846188599999</v>
      </c>
      <c r="S4473" s="9"/>
      <c r="T4473" s="2"/>
      <c r="U4473" s="9"/>
    </row>
    <row r="4474" spans="2:21" x14ac:dyDescent="0.35">
      <c r="B4474" s="9"/>
      <c r="C4474" s="2"/>
      <c r="D4474" s="2"/>
      <c r="I4474" s="9"/>
      <c r="J4474" s="2"/>
      <c r="L4474" s="9"/>
      <c r="M4474" s="2"/>
      <c r="N4474" s="9"/>
      <c r="P4474" s="3">
        <v>-1458.25619886</v>
      </c>
      <c r="S4474" s="9"/>
      <c r="T4474" s="2"/>
      <c r="U4474" s="9"/>
    </row>
    <row r="4475" spans="2:21" x14ac:dyDescent="0.35">
      <c r="B4475" s="9"/>
      <c r="C4475" s="2"/>
      <c r="D4475" s="2"/>
      <c r="I4475" s="9"/>
      <c r="J4475" s="2"/>
      <c r="L4475" s="9"/>
      <c r="M4475" s="2"/>
      <c r="N4475" s="9"/>
      <c r="P4475" s="3">
        <v>-1220.8621123800001</v>
      </c>
      <c r="S4475" s="9"/>
      <c r="T4475" s="2"/>
      <c r="U4475" s="9"/>
    </row>
    <row r="4476" spans="2:21" x14ac:dyDescent="0.35">
      <c r="B4476" s="9"/>
      <c r="C4476" s="2"/>
      <c r="D4476" s="2"/>
      <c r="I4476" s="9"/>
      <c r="J4476" s="2"/>
      <c r="L4476" s="9"/>
      <c r="M4476" s="2"/>
      <c r="N4476" s="9"/>
      <c r="P4476" s="3">
        <v>-1052.9649558999999</v>
      </c>
      <c r="S4476" s="9"/>
      <c r="T4476" s="2"/>
      <c r="U4476" s="9"/>
    </row>
    <row r="4477" spans="2:21" x14ac:dyDescent="0.35">
      <c r="B4477" s="9"/>
      <c r="C4477" s="2"/>
      <c r="D4477" s="2"/>
      <c r="I4477" s="9"/>
      <c r="J4477" s="2"/>
      <c r="L4477" s="9"/>
      <c r="M4477" s="2"/>
      <c r="N4477" s="9"/>
      <c r="P4477" s="3">
        <v>-1452.31904345</v>
      </c>
      <c r="S4477" s="9"/>
      <c r="T4477" s="2"/>
      <c r="U4477" s="9"/>
    </row>
    <row r="4478" spans="2:21" x14ac:dyDescent="0.35">
      <c r="B4478" s="9"/>
      <c r="C4478" s="2"/>
      <c r="D4478" s="2"/>
      <c r="I4478" s="9"/>
      <c r="J4478" s="2"/>
      <c r="L4478" s="9"/>
      <c r="M4478" s="2"/>
      <c r="N4478" s="9"/>
      <c r="P4478" s="3">
        <v>-1887.07904345</v>
      </c>
      <c r="S4478" s="9"/>
      <c r="T4478" s="2"/>
      <c r="U4478" s="9"/>
    </row>
    <row r="4479" spans="2:21" x14ac:dyDescent="0.35">
      <c r="B4479" s="9"/>
      <c r="C4479" s="2"/>
      <c r="D4479" s="2"/>
      <c r="I4479" s="9"/>
      <c r="J4479" s="2"/>
      <c r="L4479" s="9"/>
      <c r="M4479" s="2"/>
      <c r="N4479" s="9"/>
      <c r="P4479" s="3">
        <v>-1452.31904345</v>
      </c>
      <c r="S4479" s="9"/>
      <c r="T4479" s="2"/>
      <c r="U4479" s="9"/>
    </row>
    <row r="4480" spans="2:21" x14ac:dyDescent="0.35">
      <c r="B4480" s="9"/>
      <c r="C4480" s="2"/>
      <c r="D4480" s="2"/>
      <c r="I4480" s="9"/>
      <c r="J4480" s="2"/>
      <c r="L4480" s="9"/>
      <c r="M4480" s="2"/>
      <c r="N4480" s="9"/>
      <c r="P4480" s="3">
        <v>-1017.55904345</v>
      </c>
      <c r="S4480" s="9"/>
      <c r="T4480" s="2"/>
      <c r="U4480" s="9"/>
    </row>
    <row r="4481" spans="2:21" x14ac:dyDescent="0.35">
      <c r="B4481" s="9"/>
      <c r="C4481" s="2"/>
      <c r="D4481" s="2"/>
      <c r="I4481" s="9"/>
      <c r="J4481" s="2"/>
      <c r="L4481" s="9"/>
      <c r="M4481" s="2"/>
      <c r="N4481" s="9"/>
      <c r="P4481" s="3">
        <v>-582.79904345</v>
      </c>
      <c r="S4481" s="9"/>
      <c r="T4481" s="2"/>
      <c r="U4481" s="9"/>
    </row>
    <row r="4482" spans="2:21" x14ac:dyDescent="0.35">
      <c r="B4482" s="9"/>
      <c r="C4482" s="2"/>
      <c r="D4482" s="2"/>
      <c r="I4482" s="9"/>
      <c r="J4482" s="2"/>
      <c r="L4482" s="9"/>
      <c r="M4482" s="2"/>
      <c r="N4482" s="9"/>
      <c r="P4482" s="3">
        <v>-251.60949199999999</v>
      </c>
      <c r="S4482" s="9"/>
      <c r="T4482" s="2"/>
      <c r="U4482" s="9"/>
    </row>
    <row r="4483" spans="2:21" x14ac:dyDescent="0.35">
      <c r="B4483" s="9"/>
      <c r="C4483" s="2"/>
      <c r="D4483" s="2"/>
      <c r="I4483" s="9"/>
      <c r="J4483" s="2"/>
      <c r="L4483" s="9"/>
      <c r="M4483" s="2"/>
      <c r="N4483" s="9"/>
      <c r="P4483" s="3">
        <v>-686.36949200000004</v>
      </c>
      <c r="S4483" s="9"/>
      <c r="T4483" s="2"/>
      <c r="U4483" s="9"/>
    </row>
    <row r="4484" spans="2:21" x14ac:dyDescent="0.35">
      <c r="B4484" s="9"/>
      <c r="C4484" s="2"/>
      <c r="D4484" s="2"/>
      <c r="I4484" s="9"/>
      <c r="J4484" s="2"/>
      <c r="L4484" s="9"/>
      <c r="M4484" s="2"/>
      <c r="N4484" s="9"/>
      <c r="P4484" s="3">
        <v>-1121.129492</v>
      </c>
      <c r="S4484" s="9"/>
      <c r="T4484" s="2"/>
      <c r="U4484" s="9"/>
    </row>
    <row r="4485" spans="2:21" x14ac:dyDescent="0.35">
      <c r="B4485" s="9"/>
      <c r="C4485" s="2"/>
      <c r="D4485" s="2"/>
      <c r="I4485" s="9"/>
      <c r="J4485" s="2"/>
      <c r="L4485" s="9"/>
      <c r="M4485" s="2"/>
      <c r="N4485" s="9"/>
      <c r="P4485" s="3">
        <v>-1555.889492</v>
      </c>
      <c r="S4485" s="9"/>
      <c r="T4485" s="2"/>
      <c r="U4485" s="9"/>
    </row>
    <row r="4486" spans="2:21" x14ac:dyDescent="0.35">
      <c r="B4486" s="9"/>
      <c r="C4486" s="2"/>
      <c r="D4486" s="2"/>
      <c r="I4486" s="9"/>
      <c r="J4486" s="2"/>
      <c r="L4486" s="9"/>
      <c r="M4486" s="2"/>
      <c r="N4486" s="9"/>
      <c r="P4486" s="3">
        <v>-1990.649492</v>
      </c>
      <c r="S4486" s="9"/>
      <c r="T4486" s="2"/>
      <c r="U4486" s="9"/>
    </row>
    <row r="4487" spans="2:21" x14ac:dyDescent="0.35">
      <c r="B4487" s="9"/>
      <c r="C4487" s="2"/>
      <c r="D4487" s="2"/>
      <c r="I4487" s="9"/>
      <c r="J4487" s="2"/>
      <c r="L4487" s="9"/>
      <c r="M4487" s="2"/>
      <c r="N4487" s="9"/>
      <c r="P4487" s="3">
        <v>-2425.4094919999998</v>
      </c>
      <c r="S4487" s="9"/>
      <c r="T4487" s="2"/>
      <c r="U4487" s="9"/>
    </row>
    <row r="4488" spans="2:21" x14ac:dyDescent="0.35">
      <c r="B4488" s="9"/>
      <c r="C4488" s="2"/>
      <c r="D4488" s="2"/>
      <c r="I4488" s="9"/>
      <c r="J4488" s="2"/>
      <c r="L4488" s="9"/>
      <c r="M4488" s="2"/>
      <c r="N4488" s="9"/>
      <c r="P4488" s="3">
        <v>-2860.169492</v>
      </c>
      <c r="S4488" s="9"/>
      <c r="T4488" s="2"/>
      <c r="U4488" s="9"/>
    </row>
    <row r="4489" spans="2:21" x14ac:dyDescent="0.35">
      <c r="B4489" s="9"/>
      <c r="C4489" s="2"/>
      <c r="D4489" s="2"/>
      <c r="I4489" s="9"/>
      <c r="J4489" s="2"/>
      <c r="L4489" s="9"/>
      <c r="M4489" s="2"/>
      <c r="N4489" s="9"/>
      <c r="P4489" s="3">
        <v>-2848.1981182300001</v>
      </c>
      <c r="S4489" s="9"/>
      <c r="T4489" s="2"/>
      <c r="U4489" s="9"/>
    </row>
    <row r="4490" spans="2:21" x14ac:dyDescent="0.35">
      <c r="B4490" s="9"/>
      <c r="C4490" s="2"/>
      <c r="D4490" s="2"/>
      <c r="I4490" s="9"/>
      <c r="J4490" s="2"/>
      <c r="L4490" s="9"/>
      <c r="M4490" s="2"/>
      <c r="N4490" s="9"/>
      <c r="P4490" s="3">
        <v>-2413.4381182299999</v>
      </c>
      <c r="S4490" s="9"/>
      <c r="T4490" s="2"/>
      <c r="U4490" s="9"/>
    </row>
    <row r="4491" spans="2:21" x14ac:dyDescent="0.35">
      <c r="B4491" s="9"/>
      <c r="C4491" s="2"/>
      <c r="D4491" s="2"/>
      <c r="I4491" s="9"/>
      <c r="J4491" s="2"/>
      <c r="L4491" s="9"/>
      <c r="M4491" s="2"/>
      <c r="N4491" s="9"/>
      <c r="P4491" s="3">
        <v>-2344.0229886000002</v>
      </c>
      <c r="S4491" s="9"/>
      <c r="T4491" s="2"/>
      <c r="U4491" s="9"/>
    </row>
    <row r="4492" spans="2:21" x14ac:dyDescent="0.35">
      <c r="B4492" s="9"/>
      <c r="C4492" s="2"/>
      <c r="D4492" s="2"/>
      <c r="I4492" s="9"/>
      <c r="J4492" s="2"/>
      <c r="L4492" s="9"/>
      <c r="M4492" s="2"/>
      <c r="N4492" s="9"/>
      <c r="P4492" s="3">
        <v>-1939.71287886</v>
      </c>
      <c r="S4492" s="9"/>
      <c r="T4492" s="2"/>
      <c r="U4492" s="9"/>
    </row>
    <row r="4493" spans="2:21" x14ac:dyDescent="0.35">
      <c r="B4493" s="9"/>
      <c r="C4493" s="2"/>
      <c r="D4493" s="2"/>
      <c r="I4493" s="9"/>
      <c r="J4493" s="2"/>
      <c r="L4493" s="9"/>
      <c r="M4493" s="2"/>
      <c r="N4493" s="9"/>
      <c r="P4493" s="3">
        <v>-1894.07265886</v>
      </c>
      <c r="S4493" s="9"/>
      <c r="T4493" s="2"/>
      <c r="U4493" s="9"/>
    </row>
    <row r="4494" spans="2:21" x14ac:dyDescent="0.35">
      <c r="B4494" s="9"/>
      <c r="C4494" s="2"/>
      <c r="D4494" s="2"/>
      <c r="I4494" s="9"/>
      <c r="J4494" s="2"/>
      <c r="L4494" s="9"/>
      <c r="M4494" s="2"/>
      <c r="N4494" s="9"/>
      <c r="P4494" s="3">
        <v>-1557.3952983900001</v>
      </c>
      <c r="S4494" s="9"/>
      <c r="T4494" s="2"/>
      <c r="U4494" s="9"/>
    </row>
    <row r="4495" spans="2:21" x14ac:dyDescent="0.35">
      <c r="B4495" s="9"/>
      <c r="C4495" s="2"/>
      <c r="D4495" s="2"/>
      <c r="I4495" s="9"/>
      <c r="J4495" s="2"/>
      <c r="L4495" s="9"/>
      <c r="M4495" s="2"/>
      <c r="N4495" s="9"/>
      <c r="P4495" s="3">
        <v>-1490.34076839</v>
      </c>
      <c r="S4495" s="9"/>
      <c r="T4495" s="2"/>
      <c r="U4495" s="9"/>
    </row>
    <row r="4496" spans="2:21" x14ac:dyDescent="0.35">
      <c r="B4496" s="9"/>
      <c r="C4496" s="2"/>
      <c r="D4496" s="2"/>
      <c r="I4496" s="9"/>
      <c r="J4496" s="2"/>
      <c r="L4496" s="9"/>
      <c r="M4496" s="2"/>
      <c r="N4496" s="9"/>
      <c r="P4496" s="3">
        <v>-1369.9758883899999</v>
      </c>
      <c r="S4496" s="9"/>
      <c r="T4496" s="2"/>
      <c r="U4496" s="9"/>
    </row>
    <row r="4497" spans="2:21" x14ac:dyDescent="0.35">
      <c r="B4497" s="9"/>
      <c r="C4497" s="2"/>
      <c r="D4497" s="2"/>
      <c r="I4497" s="9"/>
      <c r="J4497" s="2"/>
      <c r="L4497" s="9"/>
      <c r="M4497" s="2"/>
      <c r="N4497" s="9"/>
      <c r="P4497" s="3">
        <v>-1213.5153183899999</v>
      </c>
      <c r="S4497" s="9"/>
      <c r="T4497" s="2"/>
      <c r="U4497" s="9"/>
    </row>
    <row r="4498" spans="2:21" x14ac:dyDescent="0.35">
      <c r="B4498" s="9"/>
      <c r="C4498" s="2"/>
      <c r="D4498" s="2"/>
      <c r="I4498" s="9"/>
      <c r="J4498" s="2"/>
      <c r="L4498" s="9"/>
      <c r="M4498" s="2"/>
      <c r="N4498" s="9"/>
      <c r="P4498" s="3">
        <v>-977.43534838999994</v>
      </c>
      <c r="S4498" s="9"/>
      <c r="T4498" s="2"/>
      <c r="U4498" s="9"/>
    </row>
    <row r="4499" spans="2:21" x14ac:dyDescent="0.35">
      <c r="B4499" s="9"/>
      <c r="C4499" s="2"/>
      <c r="D4499" s="2"/>
      <c r="I4499" s="9"/>
      <c r="J4499" s="2"/>
      <c r="L4499" s="9"/>
      <c r="M4499" s="2"/>
      <c r="N4499" s="9"/>
      <c r="P4499" s="3">
        <v>-711.76328838999996</v>
      </c>
      <c r="S4499" s="9"/>
      <c r="T4499" s="2"/>
      <c r="U4499" s="9"/>
    </row>
    <row r="4500" spans="2:21" x14ac:dyDescent="0.35">
      <c r="B4500" s="9"/>
      <c r="C4500" s="2"/>
      <c r="D4500" s="2"/>
      <c r="I4500" s="9"/>
      <c r="J4500" s="2"/>
      <c r="L4500" s="9"/>
      <c r="M4500" s="2"/>
      <c r="N4500" s="9"/>
      <c r="P4500" s="3">
        <v>-535.90764838999996</v>
      </c>
      <c r="S4500" s="9"/>
      <c r="T4500" s="2"/>
      <c r="U4500" s="9"/>
    </row>
    <row r="4501" spans="2:21" x14ac:dyDescent="0.35">
      <c r="B4501" s="9"/>
      <c r="C4501" s="2"/>
      <c r="D4501" s="2"/>
      <c r="I4501" s="9"/>
      <c r="J4501" s="2"/>
      <c r="L4501" s="9"/>
      <c r="M4501" s="2"/>
      <c r="N4501" s="9"/>
      <c r="P4501" s="3">
        <v>-940.97826839000004</v>
      </c>
      <c r="S4501" s="9"/>
      <c r="T4501" s="2"/>
      <c r="U4501" s="9"/>
    </row>
    <row r="4502" spans="2:21" x14ac:dyDescent="0.35">
      <c r="B4502" s="9"/>
      <c r="C4502" s="2"/>
      <c r="D4502" s="2"/>
      <c r="I4502" s="9"/>
      <c r="J4502" s="2"/>
      <c r="L4502" s="9"/>
      <c r="M4502" s="2"/>
      <c r="N4502" s="9"/>
      <c r="P4502" s="3">
        <v>-1375.73826839</v>
      </c>
      <c r="S4502" s="9"/>
      <c r="T4502" s="2"/>
      <c r="U4502" s="9"/>
    </row>
    <row r="4503" spans="2:21" x14ac:dyDescent="0.35">
      <c r="B4503" s="9"/>
      <c r="C4503" s="2"/>
      <c r="D4503" s="2"/>
      <c r="I4503" s="9"/>
      <c r="J4503" s="2"/>
      <c r="L4503" s="9"/>
      <c r="M4503" s="2"/>
      <c r="N4503" s="9"/>
      <c r="P4503" s="3">
        <v>-940.97826839000004</v>
      </c>
      <c r="S4503" s="9"/>
      <c r="T4503" s="2"/>
      <c r="U4503" s="9"/>
    </row>
    <row r="4504" spans="2:21" x14ac:dyDescent="0.35">
      <c r="B4504" s="9"/>
      <c r="C4504" s="2"/>
      <c r="D4504" s="2"/>
      <c r="I4504" s="9"/>
      <c r="J4504" s="2"/>
      <c r="L4504" s="9"/>
      <c r="M4504" s="2"/>
      <c r="N4504" s="9"/>
      <c r="P4504" s="3">
        <v>-506.21826838999999</v>
      </c>
      <c r="S4504" s="9"/>
      <c r="T4504" s="2"/>
      <c r="U4504" s="9"/>
    </row>
    <row r="4505" spans="2:21" x14ac:dyDescent="0.35">
      <c r="B4505" s="9"/>
      <c r="C4505" s="2"/>
      <c r="D4505" s="2"/>
      <c r="I4505" s="9"/>
      <c r="J4505" s="2"/>
      <c r="L4505" s="9"/>
      <c r="M4505" s="2"/>
      <c r="N4505" s="9"/>
      <c r="P4505" s="3">
        <v>-71.458268390000001</v>
      </c>
      <c r="S4505" s="9"/>
      <c r="T4505" s="2"/>
      <c r="U4505" s="9"/>
    </row>
    <row r="4506" spans="2:21" x14ac:dyDescent="0.35">
      <c r="B4506" s="9"/>
      <c r="C4506" s="2"/>
      <c r="D4506" s="2"/>
      <c r="I4506" s="9"/>
      <c r="J4506" s="2"/>
      <c r="L4506" s="9"/>
      <c r="M4506" s="2"/>
      <c r="N4506" s="9"/>
      <c r="P4506" s="3">
        <v>0</v>
      </c>
      <c r="S4506" s="9"/>
      <c r="T4506" s="2"/>
      <c r="U4506" s="9"/>
    </row>
    <row r="4507" spans="2:21" x14ac:dyDescent="0.35">
      <c r="B4507" s="9"/>
      <c r="C4507" s="2"/>
      <c r="D4507" s="2"/>
      <c r="I4507" s="9"/>
      <c r="J4507" s="2"/>
      <c r="L4507" s="9"/>
      <c r="M4507" s="2"/>
      <c r="N4507" s="9"/>
      <c r="P4507" s="3">
        <v>0</v>
      </c>
      <c r="S4507" s="9"/>
      <c r="T4507" s="2"/>
      <c r="U4507" s="9"/>
    </row>
    <row r="4508" spans="2:21" x14ac:dyDescent="0.35">
      <c r="B4508" s="9"/>
      <c r="C4508" s="2"/>
      <c r="D4508" s="2"/>
      <c r="I4508" s="9"/>
      <c r="J4508" s="2"/>
      <c r="L4508" s="9"/>
      <c r="M4508" s="2"/>
      <c r="N4508" s="9"/>
      <c r="P4508" s="3">
        <v>0</v>
      </c>
      <c r="S4508" s="9"/>
      <c r="T4508" s="2"/>
      <c r="U4508" s="9"/>
    </row>
    <row r="4509" spans="2:21" x14ac:dyDescent="0.35">
      <c r="B4509" s="9"/>
      <c r="C4509" s="2"/>
      <c r="D4509" s="2"/>
      <c r="I4509" s="9"/>
      <c r="J4509" s="2"/>
      <c r="L4509" s="9"/>
      <c r="M4509" s="2"/>
      <c r="N4509" s="9"/>
      <c r="P4509" s="3">
        <v>0</v>
      </c>
      <c r="S4509" s="9"/>
      <c r="T4509" s="2"/>
      <c r="U4509" s="9"/>
    </row>
    <row r="4510" spans="2:21" x14ac:dyDescent="0.35">
      <c r="B4510" s="9"/>
      <c r="C4510" s="2"/>
      <c r="D4510" s="2"/>
      <c r="I4510" s="9"/>
      <c r="J4510" s="2"/>
      <c r="L4510" s="9"/>
      <c r="M4510" s="2"/>
      <c r="N4510" s="9"/>
      <c r="P4510" s="3">
        <v>0</v>
      </c>
      <c r="S4510" s="9"/>
      <c r="T4510" s="2"/>
      <c r="U4510" s="9"/>
    </row>
    <row r="4511" spans="2:21" x14ac:dyDescent="0.35">
      <c r="B4511" s="9"/>
      <c r="C4511" s="2"/>
      <c r="D4511" s="2"/>
      <c r="I4511" s="9"/>
      <c r="J4511" s="2"/>
      <c r="L4511" s="9"/>
      <c r="M4511" s="2"/>
      <c r="N4511" s="9"/>
      <c r="P4511" s="3">
        <v>0</v>
      </c>
      <c r="S4511" s="9"/>
      <c r="T4511" s="2"/>
      <c r="U4511" s="9"/>
    </row>
    <row r="4512" spans="2:21" x14ac:dyDescent="0.35">
      <c r="B4512" s="9"/>
      <c r="C4512" s="2"/>
      <c r="D4512" s="2"/>
      <c r="I4512" s="9"/>
      <c r="J4512" s="2"/>
      <c r="L4512" s="9"/>
      <c r="M4512" s="2"/>
      <c r="N4512" s="9"/>
      <c r="P4512" s="3">
        <v>-182.34395839000001</v>
      </c>
      <c r="S4512" s="9"/>
      <c r="T4512" s="2"/>
      <c r="U4512" s="9"/>
    </row>
    <row r="4513" spans="2:21" x14ac:dyDescent="0.35">
      <c r="B4513" s="9"/>
      <c r="C4513" s="2"/>
      <c r="D4513" s="2"/>
      <c r="I4513" s="9"/>
      <c r="J4513" s="2"/>
      <c r="L4513" s="9"/>
      <c r="M4513" s="2"/>
      <c r="N4513" s="9"/>
      <c r="P4513" s="3">
        <v>-617.10395839</v>
      </c>
      <c r="S4513" s="9"/>
      <c r="T4513" s="2"/>
      <c r="U4513" s="9"/>
    </row>
    <row r="4514" spans="2:21" x14ac:dyDescent="0.35">
      <c r="B4514" s="9"/>
      <c r="C4514" s="2"/>
      <c r="D4514" s="2"/>
      <c r="I4514" s="9"/>
      <c r="J4514" s="2"/>
      <c r="L4514" s="9"/>
      <c r="M4514" s="2"/>
      <c r="N4514" s="9"/>
      <c r="P4514" s="3">
        <v>-267.18329839</v>
      </c>
      <c r="S4514" s="9"/>
      <c r="T4514" s="2"/>
      <c r="U4514" s="9"/>
    </row>
    <row r="4515" spans="2:21" x14ac:dyDescent="0.35">
      <c r="B4515" s="9"/>
      <c r="C4515" s="2"/>
      <c r="D4515" s="2"/>
      <c r="I4515" s="9"/>
      <c r="J4515" s="2"/>
      <c r="L4515" s="9"/>
      <c r="M4515" s="2"/>
      <c r="N4515" s="9"/>
      <c r="P4515" s="3">
        <v>-184.11684839</v>
      </c>
      <c r="S4515" s="9"/>
      <c r="T4515" s="2"/>
      <c r="U4515" s="9"/>
    </row>
    <row r="4516" spans="2:21" x14ac:dyDescent="0.35">
      <c r="B4516" s="9"/>
      <c r="C4516" s="2"/>
      <c r="D4516" s="2"/>
      <c r="I4516" s="9"/>
      <c r="J4516" s="2"/>
      <c r="L4516" s="9"/>
      <c r="M4516" s="2"/>
      <c r="N4516" s="9"/>
      <c r="P4516" s="3">
        <v>50.592111610000003</v>
      </c>
      <c r="S4516" s="9"/>
      <c r="T4516" s="2"/>
      <c r="U4516" s="9"/>
    </row>
    <row r="4517" spans="2:21" x14ac:dyDescent="0.35">
      <c r="B4517" s="9"/>
      <c r="C4517" s="2"/>
      <c r="D4517" s="2"/>
      <c r="I4517" s="9"/>
      <c r="J4517" s="2"/>
      <c r="L4517" s="9"/>
      <c r="M4517" s="2"/>
      <c r="N4517" s="9"/>
      <c r="P4517" s="3">
        <v>69.888491610000003</v>
      </c>
      <c r="S4517" s="9"/>
      <c r="T4517" s="2"/>
      <c r="U4517" s="9"/>
    </row>
    <row r="4518" spans="2:21" x14ac:dyDescent="0.35">
      <c r="B4518" s="9"/>
      <c r="C4518" s="2"/>
      <c r="D4518" s="2"/>
      <c r="I4518" s="9"/>
      <c r="J4518" s="2"/>
      <c r="L4518" s="9"/>
      <c r="M4518" s="2"/>
      <c r="N4518" s="9"/>
      <c r="P4518" s="3">
        <v>85.159881609999999</v>
      </c>
      <c r="S4518" s="9"/>
      <c r="T4518" s="2"/>
      <c r="U4518" s="9"/>
    </row>
    <row r="4519" spans="2:21" x14ac:dyDescent="0.35">
      <c r="B4519" s="9"/>
      <c r="C4519" s="2"/>
      <c r="D4519" s="2"/>
      <c r="I4519" s="9"/>
      <c r="J4519" s="2"/>
      <c r="L4519" s="9"/>
      <c r="M4519" s="2"/>
      <c r="N4519" s="9"/>
      <c r="P4519" s="3">
        <v>83.053311609999994</v>
      </c>
      <c r="S4519" s="9"/>
      <c r="T4519" s="2"/>
      <c r="U4519" s="9"/>
    </row>
    <row r="4520" spans="2:21" x14ac:dyDescent="0.35">
      <c r="B4520" s="9"/>
      <c r="C4520" s="2"/>
      <c r="D4520" s="2"/>
      <c r="I4520" s="9"/>
      <c r="J4520" s="2"/>
      <c r="L4520" s="9"/>
      <c r="M4520" s="2"/>
      <c r="N4520" s="9"/>
      <c r="P4520" s="3">
        <v>26.156751610000001</v>
      </c>
      <c r="S4520" s="9"/>
      <c r="T4520" s="2"/>
      <c r="U4520" s="9"/>
    </row>
    <row r="4521" spans="2:21" x14ac:dyDescent="0.35">
      <c r="B4521" s="9"/>
      <c r="C4521" s="2"/>
      <c r="D4521" s="2"/>
      <c r="I4521" s="9"/>
      <c r="J4521" s="2"/>
      <c r="L4521" s="9"/>
      <c r="M4521" s="2"/>
      <c r="N4521" s="9"/>
      <c r="P4521" s="3">
        <v>-16.429048389999998</v>
      </c>
      <c r="S4521" s="9"/>
      <c r="T4521" s="2"/>
      <c r="U4521" s="9"/>
    </row>
    <row r="4522" spans="2:21" x14ac:dyDescent="0.35">
      <c r="B4522" s="9"/>
      <c r="C4522" s="2"/>
      <c r="D4522" s="2"/>
      <c r="I4522" s="9"/>
      <c r="J4522" s="2"/>
      <c r="L4522" s="9"/>
      <c r="M4522" s="2"/>
      <c r="N4522" s="9"/>
      <c r="P4522" s="3">
        <v>38.148651610000002</v>
      </c>
      <c r="S4522" s="9"/>
      <c r="T4522" s="2"/>
      <c r="U4522" s="9"/>
    </row>
    <row r="4523" spans="2:21" x14ac:dyDescent="0.35">
      <c r="B4523" s="9"/>
      <c r="C4523" s="2"/>
      <c r="D4523" s="2"/>
      <c r="I4523" s="9"/>
      <c r="J4523" s="2"/>
      <c r="L4523" s="9"/>
      <c r="M4523" s="2"/>
      <c r="N4523" s="9"/>
      <c r="P4523" s="3">
        <v>103.32097161</v>
      </c>
      <c r="S4523" s="9"/>
      <c r="T4523" s="2"/>
      <c r="U4523" s="9"/>
    </row>
    <row r="4524" spans="2:21" x14ac:dyDescent="0.35">
      <c r="B4524" s="9"/>
      <c r="C4524" s="2"/>
      <c r="D4524" s="2"/>
      <c r="I4524" s="9"/>
      <c r="J4524" s="2"/>
      <c r="L4524" s="9"/>
      <c r="M4524" s="2"/>
      <c r="N4524" s="9"/>
      <c r="P4524" s="3">
        <v>120.63219161000001</v>
      </c>
      <c r="S4524" s="9"/>
      <c r="T4524" s="2"/>
      <c r="U4524" s="9"/>
    </row>
    <row r="4525" spans="2:21" x14ac:dyDescent="0.35">
      <c r="B4525" s="9"/>
      <c r="C4525" s="2"/>
      <c r="D4525" s="2"/>
      <c r="I4525" s="9"/>
      <c r="J4525" s="2"/>
      <c r="L4525" s="9"/>
      <c r="M4525" s="2"/>
      <c r="N4525" s="9"/>
      <c r="P4525" s="3">
        <v>-314.12780838999998</v>
      </c>
      <c r="S4525" s="9"/>
      <c r="T4525" s="2"/>
      <c r="U4525" s="9"/>
    </row>
    <row r="4526" spans="2:21" x14ac:dyDescent="0.35">
      <c r="B4526" s="9"/>
      <c r="C4526" s="2"/>
      <c r="D4526" s="2"/>
      <c r="I4526" s="9"/>
      <c r="J4526" s="2"/>
      <c r="L4526" s="9"/>
      <c r="M4526" s="2"/>
      <c r="N4526" s="9"/>
      <c r="P4526" s="3">
        <v>-748.88780839000003</v>
      </c>
      <c r="S4526" s="9"/>
      <c r="T4526" s="2"/>
      <c r="U4526" s="9"/>
    </row>
    <row r="4527" spans="2:21" x14ac:dyDescent="0.35">
      <c r="B4527" s="9"/>
      <c r="C4527" s="2"/>
      <c r="D4527" s="2"/>
      <c r="I4527" s="9"/>
      <c r="J4527" s="2"/>
      <c r="L4527" s="9"/>
      <c r="M4527" s="2"/>
      <c r="N4527" s="9"/>
      <c r="P4527" s="3">
        <v>-314.12780838999998</v>
      </c>
      <c r="S4527" s="9"/>
      <c r="T4527" s="2"/>
      <c r="U4527" s="9"/>
    </row>
    <row r="4528" spans="2:21" x14ac:dyDescent="0.35">
      <c r="B4528" s="9"/>
      <c r="C4528" s="2"/>
      <c r="D4528" s="2"/>
      <c r="I4528" s="9"/>
      <c r="J4528" s="2"/>
      <c r="L4528" s="9"/>
      <c r="M4528" s="2"/>
      <c r="N4528" s="9"/>
      <c r="P4528" s="3">
        <v>0</v>
      </c>
      <c r="S4528" s="9"/>
      <c r="T4528" s="2"/>
      <c r="U4528" s="9"/>
    </row>
    <row r="4529" spans="2:21" x14ac:dyDescent="0.35">
      <c r="B4529" s="9"/>
      <c r="C4529" s="2"/>
      <c r="D4529" s="2"/>
      <c r="I4529" s="9"/>
      <c r="J4529" s="2"/>
      <c r="L4529" s="9"/>
      <c r="M4529" s="2"/>
      <c r="N4529" s="9"/>
      <c r="P4529" s="3">
        <v>-115.09271839</v>
      </c>
      <c r="S4529" s="9"/>
      <c r="T4529" s="2"/>
      <c r="U4529" s="9"/>
    </row>
    <row r="4530" spans="2:21" x14ac:dyDescent="0.35">
      <c r="B4530" s="9"/>
      <c r="C4530" s="2"/>
      <c r="D4530" s="2"/>
      <c r="I4530" s="9"/>
      <c r="J4530" s="2"/>
      <c r="L4530" s="9"/>
      <c r="M4530" s="2"/>
      <c r="N4530" s="9"/>
      <c r="P4530" s="3">
        <v>-549.85271838999995</v>
      </c>
      <c r="S4530" s="9"/>
      <c r="T4530" s="2"/>
      <c r="U4530" s="9"/>
    </row>
    <row r="4531" spans="2:21" x14ac:dyDescent="0.35">
      <c r="B4531" s="9"/>
      <c r="C4531" s="2"/>
      <c r="D4531" s="2"/>
      <c r="I4531" s="9"/>
      <c r="J4531" s="2"/>
      <c r="L4531" s="9"/>
      <c r="M4531" s="2"/>
      <c r="N4531" s="9"/>
      <c r="P4531" s="3">
        <v>-984.61271839000005</v>
      </c>
      <c r="S4531" s="9"/>
      <c r="T4531" s="2"/>
      <c r="U4531" s="9"/>
    </row>
    <row r="4532" spans="2:21" x14ac:dyDescent="0.35">
      <c r="B4532" s="9"/>
      <c r="C4532" s="2"/>
      <c r="D4532" s="2"/>
      <c r="I4532" s="9"/>
      <c r="J4532" s="2"/>
      <c r="L4532" s="9"/>
      <c r="M4532" s="2"/>
      <c r="N4532" s="9"/>
      <c r="P4532" s="3">
        <v>-1419.37271839</v>
      </c>
      <c r="S4532" s="9"/>
      <c r="T4532" s="2"/>
      <c r="U4532" s="9"/>
    </row>
    <row r="4533" spans="2:21" x14ac:dyDescent="0.35">
      <c r="B4533" s="9"/>
      <c r="C4533" s="2"/>
      <c r="D4533" s="2"/>
      <c r="I4533" s="9"/>
      <c r="J4533" s="2"/>
      <c r="L4533" s="9"/>
      <c r="M4533" s="2"/>
      <c r="N4533" s="9"/>
      <c r="P4533" s="3">
        <v>-1854.13271839</v>
      </c>
      <c r="S4533" s="9"/>
      <c r="T4533" s="2"/>
      <c r="U4533" s="9"/>
    </row>
    <row r="4534" spans="2:21" x14ac:dyDescent="0.35">
      <c r="B4534" s="9"/>
      <c r="C4534" s="2"/>
      <c r="D4534" s="2"/>
      <c r="I4534" s="9"/>
      <c r="J4534" s="2"/>
      <c r="L4534" s="9"/>
      <c r="M4534" s="2"/>
      <c r="N4534" s="9"/>
      <c r="P4534" s="3">
        <v>-2288.89271839</v>
      </c>
      <c r="S4534" s="9"/>
      <c r="T4534" s="2"/>
      <c r="U4534" s="9"/>
    </row>
    <row r="4535" spans="2:21" x14ac:dyDescent="0.35">
      <c r="B4535" s="9"/>
      <c r="C4535" s="2"/>
      <c r="D4535" s="2"/>
      <c r="I4535" s="9"/>
      <c r="J4535" s="2"/>
      <c r="L4535" s="9"/>
      <c r="M4535" s="2"/>
      <c r="N4535" s="9"/>
      <c r="P4535" s="3">
        <v>-2723.6527183899998</v>
      </c>
      <c r="S4535" s="9"/>
      <c r="T4535" s="2"/>
      <c r="U4535" s="9"/>
    </row>
    <row r="4536" spans="2:21" x14ac:dyDescent="0.35">
      <c r="B4536" s="9"/>
      <c r="C4536" s="2"/>
      <c r="D4536" s="2"/>
      <c r="I4536" s="9"/>
      <c r="J4536" s="2"/>
      <c r="L4536" s="9"/>
      <c r="M4536" s="2"/>
      <c r="N4536" s="9"/>
      <c r="P4536" s="3">
        <v>-2288.89271839</v>
      </c>
      <c r="S4536" s="9"/>
      <c r="T4536" s="2"/>
      <c r="U4536" s="9"/>
    </row>
    <row r="4537" spans="2:21" x14ac:dyDescent="0.35">
      <c r="B4537" s="9"/>
      <c r="C4537" s="2"/>
      <c r="D4537" s="2"/>
      <c r="I4537" s="9"/>
      <c r="J4537" s="2"/>
      <c r="L4537" s="9"/>
      <c r="M4537" s="2"/>
      <c r="N4537" s="9"/>
      <c r="P4537" s="3">
        <v>-1854.13271839</v>
      </c>
      <c r="S4537" s="9"/>
      <c r="T4537" s="2"/>
      <c r="U4537" s="9"/>
    </row>
    <row r="4538" spans="2:21" x14ac:dyDescent="0.35">
      <c r="B4538" s="9"/>
      <c r="C4538" s="2"/>
      <c r="D4538" s="2"/>
      <c r="I4538" s="9"/>
      <c r="J4538" s="2"/>
      <c r="L4538" s="9"/>
      <c r="M4538" s="2"/>
      <c r="N4538" s="9"/>
      <c r="P4538" s="3">
        <v>-1419.37271839</v>
      </c>
      <c r="S4538" s="9"/>
      <c r="T4538" s="2"/>
      <c r="U4538" s="9"/>
    </row>
    <row r="4539" spans="2:21" x14ac:dyDescent="0.35">
      <c r="B4539" s="9"/>
      <c r="C4539" s="2"/>
      <c r="D4539" s="2"/>
      <c r="I4539" s="9"/>
      <c r="J4539" s="2"/>
      <c r="L4539" s="9"/>
      <c r="M4539" s="2"/>
      <c r="N4539" s="9"/>
      <c r="P4539" s="3">
        <v>-1082.0332783900001</v>
      </c>
      <c r="S4539" s="9"/>
      <c r="T4539" s="2"/>
      <c r="U4539" s="9"/>
    </row>
    <row r="4540" spans="2:21" x14ac:dyDescent="0.35">
      <c r="B4540" s="9"/>
      <c r="C4540" s="2"/>
      <c r="D4540" s="2"/>
      <c r="I4540" s="9"/>
      <c r="J4540" s="2"/>
      <c r="L4540" s="9"/>
      <c r="M4540" s="2"/>
      <c r="N4540" s="9"/>
      <c r="P4540" s="3">
        <v>-647.27327838999997</v>
      </c>
      <c r="S4540" s="9"/>
      <c r="T4540" s="2"/>
      <c r="U4540" s="9"/>
    </row>
    <row r="4541" spans="2:21" x14ac:dyDescent="0.35">
      <c r="B4541" s="9"/>
      <c r="C4541" s="2"/>
      <c r="D4541" s="2"/>
      <c r="I4541" s="9"/>
      <c r="J4541" s="2"/>
      <c r="L4541" s="9"/>
      <c r="M4541" s="2"/>
      <c r="N4541" s="9"/>
      <c r="P4541" s="3">
        <v>-600.25281839000002</v>
      </c>
      <c r="S4541" s="9"/>
      <c r="T4541" s="2"/>
      <c r="U4541" s="9"/>
    </row>
    <row r="4542" spans="2:21" x14ac:dyDescent="0.35">
      <c r="B4542" s="9"/>
      <c r="C4542" s="2"/>
      <c r="D4542" s="2"/>
      <c r="I4542" s="9"/>
      <c r="J4542" s="2"/>
      <c r="L4542" s="9"/>
      <c r="M4542" s="2"/>
      <c r="N4542" s="9"/>
      <c r="P4542" s="3">
        <v>-850.14190885999994</v>
      </c>
      <c r="S4542" s="9"/>
      <c r="T4542" s="2"/>
      <c r="U4542" s="9"/>
    </row>
    <row r="4543" spans="2:21" x14ac:dyDescent="0.35">
      <c r="B4543" s="9"/>
      <c r="C4543" s="2"/>
      <c r="D4543" s="2"/>
      <c r="I4543" s="9"/>
      <c r="J4543" s="2"/>
      <c r="L4543" s="9"/>
      <c r="M4543" s="2"/>
      <c r="N4543" s="9"/>
      <c r="P4543" s="3">
        <v>-787.59232885999995</v>
      </c>
      <c r="S4543" s="9"/>
      <c r="T4543" s="2"/>
      <c r="U4543" s="9"/>
    </row>
    <row r="4544" spans="2:21" x14ac:dyDescent="0.35">
      <c r="B4544" s="9"/>
      <c r="C4544" s="2"/>
      <c r="D4544" s="2"/>
      <c r="I4544" s="9"/>
      <c r="J4544" s="2"/>
      <c r="L4544" s="9"/>
      <c r="M4544" s="2"/>
      <c r="N4544" s="9"/>
      <c r="P4544" s="3">
        <v>-757.70913886000005</v>
      </c>
      <c r="S4544" s="9"/>
      <c r="T4544" s="2"/>
      <c r="U4544" s="9"/>
    </row>
    <row r="4545" spans="2:21" x14ac:dyDescent="0.35">
      <c r="B4545" s="9"/>
      <c r="C4545" s="2"/>
      <c r="D4545" s="2"/>
      <c r="I4545" s="9"/>
      <c r="J4545" s="2"/>
      <c r="L4545" s="9"/>
      <c r="M4545" s="2"/>
      <c r="N4545" s="9"/>
      <c r="P4545" s="3">
        <v>-737.54655886</v>
      </c>
      <c r="S4545" s="9"/>
      <c r="T4545" s="2"/>
      <c r="U4545" s="9"/>
    </row>
    <row r="4546" spans="2:21" x14ac:dyDescent="0.35">
      <c r="B4546" s="9"/>
      <c r="C4546" s="2"/>
      <c r="D4546" s="2"/>
      <c r="I4546" s="9"/>
      <c r="J4546" s="2"/>
      <c r="L4546" s="9"/>
      <c r="M4546" s="2"/>
      <c r="N4546" s="9"/>
      <c r="P4546" s="3">
        <v>-741.17536886000005</v>
      </c>
      <c r="S4546" s="9"/>
      <c r="T4546" s="2"/>
      <c r="U4546" s="9"/>
    </row>
    <row r="4547" spans="2:21" x14ac:dyDescent="0.35">
      <c r="B4547" s="9"/>
      <c r="C4547" s="2"/>
      <c r="D4547" s="2"/>
      <c r="I4547" s="9"/>
      <c r="J4547" s="2"/>
      <c r="L4547" s="9"/>
      <c r="M4547" s="2"/>
      <c r="N4547" s="9"/>
      <c r="P4547" s="3">
        <v>-678.05717238</v>
      </c>
      <c r="S4547" s="9"/>
      <c r="T4547" s="2"/>
      <c r="U4547" s="9"/>
    </row>
    <row r="4548" spans="2:21" x14ac:dyDescent="0.35">
      <c r="B4548" s="9"/>
      <c r="C4548" s="2"/>
      <c r="D4548" s="2"/>
      <c r="I4548" s="9"/>
      <c r="J4548" s="2"/>
      <c r="L4548" s="9"/>
      <c r="M4548" s="2"/>
      <c r="N4548" s="9"/>
      <c r="P4548" s="3">
        <v>-741.16561590000003</v>
      </c>
      <c r="S4548" s="9"/>
      <c r="T4548" s="2"/>
      <c r="U4548" s="9"/>
    </row>
    <row r="4549" spans="2:21" x14ac:dyDescent="0.35">
      <c r="B4549" s="9"/>
      <c r="C4549" s="2"/>
      <c r="D4549" s="2"/>
      <c r="I4549" s="9"/>
      <c r="J4549" s="2"/>
      <c r="L4549" s="9"/>
      <c r="M4549" s="2"/>
      <c r="N4549" s="9"/>
      <c r="P4549" s="3">
        <v>-1175.9256158999999</v>
      </c>
      <c r="S4549" s="9"/>
      <c r="T4549" s="2"/>
      <c r="U4549" s="9"/>
    </row>
    <row r="4550" spans="2:21" x14ac:dyDescent="0.35">
      <c r="B4550" s="9"/>
      <c r="C4550" s="2"/>
      <c r="D4550" s="2"/>
      <c r="I4550" s="9"/>
      <c r="J4550" s="2"/>
      <c r="L4550" s="9"/>
      <c r="M4550" s="2"/>
      <c r="N4550" s="9"/>
      <c r="P4550" s="3">
        <v>-1610.6856158999999</v>
      </c>
      <c r="S4550" s="9"/>
      <c r="T4550" s="2"/>
      <c r="U4550" s="9"/>
    </row>
    <row r="4551" spans="2:21" x14ac:dyDescent="0.35">
      <c r="B4551" s="9"/>
      <c r="C4551" s="2"/>
      <c r="D4551" s="2"/>
      <c r="I4551" s="9"/>
      <c r="J4551" s="2"/>
      <c r="L4551" s="9"/>
      <c r="M4551" s="2"/>
      <c r="N4551" s="9"/>
      <c r="P4551" s="3">
        <v>-2045.4456158999999</v>
      </c>
      <c r="S4551" s="9"/>
      <c r="T4551" s="2"/>
      <c r="U4551" s="9"/>
    </row>
    <row r="4552" spans="2:21" x14ac:dyDescent="0.35">
      <c r="B4552" s="9"/>
      <c r="C4552" s="2"/>
      <c r="D4552" s="2"/>
      <c r="I4552" s="9"/>
      <c r="J4552" s="2"/>
      <c r="L4552" s="9"/>
      <c r="M4552" s="2"/>
      <c r="N4552" s="9"/>
      <c r="P4552" s="3">
        <v>-1610.6856158999999</v>
      </c>
      <c r="S4552" s="9"/>
      <c r="T4552" s="2"/>
      <c r="U4552" s="9"/>
    </row>
    <row r="4553" spans="2:21" x14ac:dyDescent="0.35">
      <c r="B4553" s="9"/>
      <c r="C4553" s="2"/>
      <c r="D4553" s="2"/>
      <c r="I4553" s="9"/>
      <c r="J4553" s="2"/>
      <c r="L4553" s="9"/>
      <c r="M4553" s="2"/>
      <c r="N4553" s="9"/>
      <c r="P4553" s="3">
        <v>-1175.9256158999999</v>
      </c>
      <c r="S4553" s="9"/>
      <c r="T4553" s="2"/>
      <c r="U4553" s="9"/>
    </row>
    <row r="4554" spans="2:21" x14ac:dyDescent="0.35">
      <c r="B4554" s="9"/>
      <c r="C4554" s="2"/>
      <c r="D4554" s="2"/>
      <c r="I4554" s="9"/>
      <c r="J4554" s="2"/>
      <c r="L4554" s="9"/>
      <c r="M4554" s="2"/>
      <c r="N4554" s="9"/>
      <c r="P4554" s="3">
        <v>-741.16561590000003</v>
      </c>
      <c r="S4554" s="9"/>
      <c r="T4554" s="2"/>
      <c r="U4554" s="9"/>
    </row>
    <row r="4555" spans="2:21" x14ac:dyDescent="0.35">
      <c r="B4555" s="9"/>
      <c r="C4555" s="2"/>
      <c r="D4555" s="2"/>
      <c r="I4555" s="9"/>
      <c r="J4555" s="2"/>
      <c r="L4555" s="9"/>
      <c r="M4555" s="2"/>
      <c r="N4555" s="9"/>
      <c r="P4555" s="3">
        <v>-686.36949200000004</v>
      </c>
      <c r="S4555" s="9"/>
      <c r="T4555" s="2"/>
      <c r="U4555" s="9"/>
    </row>
    <row r="4556" spans="2:21" x14ac:dyDescent="0.35">
      <c r="B4556" s="9"/>
      <c r="C4556" s="2"/>
      <c r="D4556" s="2"/>
      <c r="I4556" s="9"/>
      <c r="J4556" s="2"/>
      <c r="L4556" s="9"/>
      <c r="M4556" s="2"/>
      <c r="N4556" s="9"/>
      <c r="P4556" s="3">
        <v>-1121.129492</v>
      </c>
      <c r="S4556" s="9"/>
      <c r="T4556" s="2"/>
      <c r="U4556" s="9"/>
    </row>
    <row r="4557" spans="2:21" x14ac:dyDescent="0.35">
      <c r="B4557" s="9"/>
      <c r="C4557" s="2"/>
      <c r="D4557" s="2"/>
      <c r="I4557" s="9"/>
      <c r="J4557" s="2"/>
      <c r="L4557" s="9"/>
      <c r="M4557" s="2"/>
      <c r="N4557" s="9"/>
      <c r="P4557" s="3">
        <v>-1555.889492</v>
      </c>
      <c r="S4557" s="9"/>
      <c r="T4557" s="2"/>
      <c r="U4557" s="9"/>
    </row>
    <row r="4558" spans="2:21" x14ac:dyDescent="0.35">
      <c r="B4558" s="9"/>
      <c r="C4558" s="2"/>
      <c r="D4558" s="2"/>
      <c r="I4558" s="9"/>
      <c r="J4558" s="2"/>
      <c r="L4558" s="9"/>
      <c r="M4558" s="2"/>
      <c r="N4558" s="9"/>
      <c r="P4558" s="3">
        <v>-1990.649492</v>
      </c>
      <c r="S4558" s="9"/>
      <c r="T4558" s="2"/>
      <c r="U4558" s="9"/>
    </row>
    <row r="4559" spans="2:21" x14ac:dyDescent="0.35">
      <c r="B4559" s="9"/>
      <c r="C4559" s="2"/>
      <c r="D4559" s="2"/>
      <c r="I4559" s="9"/>
      <c r="J4559" s="2"/>
      <c r="L4559" s="9"/>
      <c r="M4559" s="2"/>
      <c r="N4559" s="9"/>
      <c r="P4559" s="3">
        <v>-2425.4094919999998</v>
      </c>
      <c r="S4559" s="9"/>
      <c r="T4559" s="2"/>
      <c r="U4559" s="9"/>
    </row>
    <row r="4560" spans="2:21" x14ac:dyDescent="0.35">
      <c r="B4560" s="9"/>
      <c r="C4560" s="2"/>
      <c r="D4560" s="2"/>
      <c r="I4560" s="9"/>
      <c r="J4560" s="2"/>
      <c r="L4560" s="9"/>
      <c r="M4560" s="2"/>
      <c r="N4560" s="9"/>
      <c r="P4560" s="3">
        <v>-2860.169492</v>
      </c>
      <c r="S4560" s="9"/>
      <c r="T4560" s="2"/>
      <c r="U4560" s="9"/>
    </row>
    <row r="4561" spans="2:21" x14ac:dyDescent="0.35">
      <c r="B4561" s="9"/>
      <c r="C4561" s="2"/>
      <c r="D4561" s="2"/>
      <c r="I4561" s="9"/>
      <c r="J4561" s="2"/>
      <c r="L4561" s="9"/>
      <c r="M4561" s="2"/>
      <c r="N4561" s="9"/>
      <c r="P4561" s="3">
        <v>-2860.169492</v>
      </c>
      <c r="S4561" s="9"/>
      <c r="T4561" s="2"/>
      <c r="U4561" s="9"/>
    </row>
    <row r="4562" spans="2:21" x14ac:dyDescent="0.35">
      <c r="B4562" s="9"/>
      <c r="C4562" s="2"/>
      <c r="D4562" s="2"/>
      <c r="I4562" s="9"/>
      <c r="J4562" s="2"/>
      <c r="L4562" s="9"/>
      <c r="M4562" s="2"/>
      <c r="N4562" s="9"/>
      <c r="P4562" s="3">
        <v>-2860.169492</v>
      </c>
      <c r="S4562" s="9"/>
      <c r="T4562" s="2"/>
      <c r="U4562" s="9"/>
    </row>
    <row r="4563" spans="2:21" x14ac:dyDescent="0.35">
      <c r="B4563" s="9"/>
      <c r="C4563" s="2"/>
      <c r="D4563" s="2"/>
      <c r="I4563" s="9"/>
      <c r="J4563" s="2"/>
      <c r="L4563" s="9"/>
      <c r="M4563" s="2"/>
      <c r="N4563" s="9"/>
      <c r="P4563" s="3">
        <v>-2860.169492</v>
      </c>
      <c r="S4563" s="9"/>
      <c r="T4563" s="2"/>
      <c r="U4563" s="9"/>
    </row>
    <row r="4564" spans="2:21" x14ac:dyDescent="0.35">
      <c r="B4564" s="9"/>
      <c r="C4564" s="2"/>
      <c r="D4564" s="2"/>
      <c r="I4564" s="9"/>
      <c r="J4564" s="2"/>
      <c r="L4564" s="9"/>
      <c r="M4564" s="2"/>
      <c r="N4564" s="9"/>
      <c r="P4564" s="3">
        <v>-2860.169492</v>
      </c>
      <c r="S4564" s="9"/>
      <c r="T4564" s="2"/>
      <c r="U4564" s="9"/>
    </row>
    <row r="4565" spans="2:21" x14ac:dyDescent="0.35">
      <c r="B4565" s="9"/>
      <c r="C4565" s="2"/>
      <c r="D4565" s="2"/>
      <c r="I4565" s="9"/>
      <c r="J4565" s="2"/>
      <c r="L4565" s="9"/>
      <c r="M4565" s="2"/>
      <c r="N4565" s="9"/>
      <c r="P4565" s="3">
        <v>-2860.169492</v>
      </c>
      <c r="S4565" s="9"/>
      <c r="T4565" s="2"/>
      <c r="U4565" s="9"/>
    </row>
    <row r="4566" spans="2:21" x14ac:dyDescent="0.35">
      <c r="B4566" s="9"/>
      <c r="C4566" s="2"/>
      <c r="D4566" s="2"/>
      <c r="I4566" s="9"/>
      <c r="J4566" s="2"/>
      <c r="L4566" s="9"/>
      <c r="M4566" s="2"/>
      <c r="N4566" s="9"/>
      <c r="P4566" s="3">
        <v>-2860.169492</v>
      </c>
      <c r="S4566" s="9"/>
      <c r="T4566" s="2"/>
      <c r="U4566" s="9"/>
    </row>
    <row r="4567" spans="2:21" x14ac:dyDescent="0.35">
      <c r="B4567" s="9"/>
      <c r="C4567" s="2"/>
      <c r="D4567" s="2"/>
      <c r="I4567" s="9"/>
      <c r="J4567" s="2"/>
      <c r="L4567" s="9"/>
      <c r="M4567" s="2"/>
      <c r="N4567" s="9"/>
      <c r="P4567" s="3">
        <v>-2860.169492</v>
      </c>
      <c r="S4567" s="9"/>
      <c r="T4567" s="2"/>
      <c r="U4567" s="9"/>
    </row>
    <row r="4568" spans="2:21" x14ac:dyDescent="0.35">
      <c r="B4568" s="9"/>
      <c r="C4568" s="2"/>
      <c r="D4568" s="2"/>
      <c r="I4568" s="9"/>
      <c r="J4568" s="2"/>
      <c r="L4568" s="9"/>
      <c r="M4568" s="2"/>
      <c r="N4568" s="9"/>
      <c r="P4568" s="3">
        <v>-2860.169492</v>
      </c>
      <c r="S4568" s="9"/>
      <c r="T4568" s="2"/>
      <c r="U4568" s="9"/>
    </row>
    <row r="4569" spans="2:21" x14ac:dyDescent="0.35">
      <c r="B4569" s="9"/>
      <c r="C4569" s="2"/>
      <c r="D4569" s="2"/>
      <c r="I4569" s="9"/>
      <c r="J4569" s="2"/>
      <c r="L4569" s="9"/>
      <c r="M4569" s="2"/>
      <c r="N4569" s="9"/>
      <c r="P4569" s="3">
        <v>-2485.1064788600002</v>
      </c>
      <c r="S4569" s="9"/>
      <c r="T4569" s="2"/>
      <c r="U4569" s="9"/>
    </row>
    <row r="4570" spans="2:21" x14ac:dyDescent="0.35">
      <c r="B4570" s="9"/>
      <c r="C4570" s="2"/>
      <c r="D4570" s="2"/>
      <c r="I4570" s="9"/>
      <c r="J4570" s="2"/>
      <c r="L4570" s="9"/>
      <c r="M4570" s="2"/>
      <c r="N4570" s="9"/>
      <c r="P4570" s="3">
        <v>-2075.91714886</v>
      </c>
      <c r="S4570" s="9"/>
      <c r="T4570" s="2"/>
      <c r="U4570" s="9"/>
    </row>
    <row r="4571" spans="2:21" x14ac:dyDescent="0.35">
      <c r="B4571" s="9"/>
      <c r="C4571" s="2"/>
      <c r="D4571" s="2"/>
      <c r="I4571" s="9"/>
      <c r="J4571" s="2"/>
      <c r="L4571" s="9"/>
      <c r="M4571" s="2"/>
      <c r="N4571" s="9"/>
      <c r="P4571" s="3">
        <v>-1649.0070223800001</v>
      </c>
      <c r="S4571" s="9"/>
      <c r="T4571" s="2"/>
      <c r="U4571" s="9"/>
    </row>
    <row r="4572" spans="2:21" x14ac:dyDescent="0.35">
      <c r="B4572" s="9"/>
      <c r="C4572" s="2"/>
      <c r="D4572" s="2"/>
      <c r="I4572" s="9"/>
      <c r="J4572" s="2"/>
      <c r="L4572" s="9"/>
      <c r="M4572" s="2"/>
      <c r="N4572" s="9"/>
      <c r="P4572" s="3">
        <v>-1346.6635558999999</v>
      </c>
      <c r="S4572" s="9"/>
      <c r="T4572" s="2"/>
      <c r="U4572" s="9"/>
    </row>
    <row r="4573" spans="2:21" x14ac:dyDescent="0.35">
      <c r="B4573" s="9"/>
      <c r="C4573" s="2"/>
      <c r="D4573" s="2"/>
      <c r="I4573" s="9"/>
      <c r="J4573" s="2"/>
      <c r="L4573" s="9"/>
      <c r="M4573" s="2"/>
      <c r="N4573" s="9"/>
      <c r="P4573" s="3">
        <v>-1544.0744734499999</v>
      </c>
      <c r="S4573" s="9"/>
      <c r="T4573" s="2"/>
      <c r="U4573" s="9"/>
    </row>
    <row r="4574" spans="2:21" x14ac:dyDescent="0.35">
      <c r="B4574" s="9"/>
      <c r="C4574" s="2"/>
      <c r="D4574" s="2"/>
      <c r="I4574" s="9"/>
      <c r="J4574" s="2"/>
      <c r="L4574" s="9"/>
      <c r="M4574" s="2"/>
      <c r="N4574" s="9"/>
      <c r="P4574" s="3">
        <v>-1978.8344734499999</v>
      </c>
      <c r="S4574" s="9"/>
      <c r="T4574" s="2"/>
      <c r="U4574" s="9"/>
    </row>
    <row r="4575" spans="2:21" x14ac:dyDescent="0.35">
      <c r="B4575" s="9"/>
      <c r="C4575" s="2"/>
      <c r="D4575" s="2"/>
      <c r="I4575" s="9"/>
      <c r="J4575" s="2"/>
      <c r="L4575" s="9"/>
      <c r="M4575" s="2"/>
      <c r="N4575" s="9"/>
      <c r="P4575" s="3">
        <v>-1544.0744734499999</v>
      </c>
      <c r="S4575" s="9"/>
      <c r="T4575" s="2"/>
      <c r="U4575" s="9"/>
    </row>
    <row r="4576" spans="2:21" x14ac:dyDescent="0.35">
      <c r="B4576" s="9"/>
      <c r="C4576" s="2"/>
      <c r="D4576" s="2"/>
      <c r="I4576" s="9"/>
      <c r="J4576" s="2"/>
      <c r="L4576" s="9"/>
      <c r="M4576" s="2"/>
      <c r="N4576" s="9"/>
      <c r="P4576" s="3">
        <v>-1109.3144734499999</v>
      </c>
      <c r="S4576" s="9"/>
      <c r="T4576" s="2"/>
      <c r="U4576" s="9"/>
    </row>
    <row r="4577" spans="2:21" x14ac:dyDescent="0.35">
      <c r="B4577" s="9"/>
      <c r="C4577" s="2"/>
      <c r="D4577" s="2"/>
      <c r="I4577" s="9"/>
      <c r="J4577" s="2"/>
      <c r="L4577" s="9"/>
      <c r="M4577" s="2"/>
      <c r="N4577" s="9"/>
      <c r="P4577" s="3">
        <v>-674.55447345000005</v>
      </c>
      <c r="S4577" s="9"/>
      <c r="T4577" s="2"/>
      <c r="U4577" s="9"/>
    </row>
    <row r="4578" spans="2:21" x14ac:dyDescent="0.35">
      <c r="B4578" s="9"/>
      <c r="C4578" s="2"/>
      <c r="D4578" s="2"/>
      <c r="I4578" s="9"/>
      <c r="J4578" s="2"/>
      <c r="L4578" s="9"/>
      <c r="M4578" s="2"/>
      <c r="N4578" s="9"/>
      <c r="P4578" s="3">
        <v>-239.79447345</v>
      </c>
      <c r="S4578" s="9"/>
      <c r="T4578" s="2"/>
      <c r="U4578" s="9"/>
    </row>
    <row r="4579" spans="2:21" x14ac:dyDescent="0.35">
      <c r="B4579" s="9"/>
      <c r="C4579" s="2"/>
      <c r="D4579" s="2"/>
      <c r="I4579" s="9"/>
      <c r="J4579" s="2"/>
      <c r="L4579" s="9"/>
      <c r="M4579" s="2"/>
      <c r="N4579" s="9"/>
      <c r="P4579" s="3">
        <v>-570.60678823000001</v>
      </c>
      <c r="S4579" s="9"/>
      <c r="T4579" s="2"/>
      <c r="U4579" s="9"/>
    </row>
    <row r="4580" spans="2:21" x14ac:dyDescent="0.35">
      <c r="B4580" s="9"/>
      <c r="C4580" s="2"/>
      <c r="D4580" s="2"/>
      <c r="I4580" s="9"/>
      <c r="J4580" s="2"/>
      <c r="L4580" s="9"/>
      <c r="M4580" s="2"/>
      <c r="N4580" s="9"/>
      <c r="P4580" s="3">
        <v>-1005.36678823</v>
      </c>
      <c r="S4580" s="9"/>
      <c r="T4580" s="2"/>
      <c r="U4580" s="9"/>
    </row>
    <row r="4581" spans="2:21" x14ac:dyDescent="0.35">
      <c r="B4581" s="9"/>
      <c r="C4581" s="2"/>
      <c r="D4581" s="2"/>
      <c r="I4581" s="9"/>
      <c r="J4581" s="2"/>
      <c r="L4581" s="9"/>
      <c r="M4581" s="2"/>
      <c r="N4581" s="9"/>
      <c r="P4581" s="3">
        <v>-1440.1267882300001</v>
      </c>
      <c r="S4581" s="9"/>
      <c r="T4581" s="2"/>
      <c r="U4581" s="9"/>
    </row>
    <row r="4582" spans="2:21" x14ac:dyDescent="0.35">
      <c r="B4582" s="9"/>
      <c r="C4582" s="2"/>
      <c r="D4582" s="2"/>
      <c r="I4582" s="9"/>
      <c r="J4582" s="2"/>
      <c r="L4582" s="9"/>
      <c r="M4582" s="2"/>
      <c r="N4582" s="9"/>
      <c r="P4582" s="3">
        <v>-1874.8867882300001</v>
      </c>
      <c r="S4582" s="9"/>
      <c r="T4582" s="2"/>
      <c r="U4582" s="9"/>
    </row>
    <row r="4583" spans="2:21" x14ac:dyDescent="0.35">
      <c r="B4583" s="9"/>
      <c r="C4583" s="2"/>
      <c r="D4583" s="2"/>
      <c r="I4583" s="9"/>
      <c r="J4583" s="2"/>
      <c r="L4583" s="9"/>
      <c r="M4583" s="2"/>
      <c r="N4583" s="9"/>
      <c r="P4583" s="3">
        <v>-2309.6467882299999</v>
      </c>
      <c r="S4583" s="9"/>
      <c r="T4583" s="2"/>
      <c r="U4583" s="9"/>
    </row>
    <row r="4584" spans="2:21" x14ac:dyDescent="0.35">
      <c r="B4584" s="9"/>
      <c r="C4584" s="2"/>
      <c r="D4584" s="2"/>
      <c r="I4584" s="9"/>
      <c r="J4584" s="2"/>
      <c r="L4584" s="9"/>
      <c r="M4584" s="2"/>
      <c r="N4584" s="9"/>
      <c r="P4584" s="3">
        <v>-2744.4067882300001</v>
      </c>
      <c r="S4584" s="9"/>
      <c r="T4584" s="2"/>
      <c r="U4584" s="9"/>
    </row>
    <row r="4585" spans="2:21" x14ac:dyDescent="0.35">
      <c r="B4585" s="9"/>
      <c r="C4585" s="2"/>
      <c r="D4585" s="2"/>
      <c r="I4585" s="9"/>
      <c r="J4585" s="2"/>
      <c r="L4585" s="9"/>
      <c r="M4585" s="2"/>
      <c r="N4585" s="9"/>
      <c r="P4585" s="3">
        <v>-2309.6467882299999</v>
      </c>
      <c r="S4585" s="9"/>
      <c r="T4585" s="2"/>
      <c r="U4585" s="9"/>
    </row>
    <row r="4586" spans="2:21" x14ac:dyDescent="0.35">
      <c r="B4586" s="9"/>
      <c r="C4586" s="2"/>
      <c r="D4586" s="2"/>
      <c r="I4586" s="9"/>
      <c r="J4586" s="2"/>
      <c r="L4586" s="9"/>
      <c r="M4586" s="2"/>
      <c r="N4586" s="9"/>
      <c r="P4586" s="3">
        <v>-1874.8867882300001</v>
      </c>
      <c r="S4586" s="9"/>
      <c r="T4586" s="2"/>
      <c r="U4586" s="9"/>
    </row>
    <row r="4587" spans="2:21" x14ac:dyDescent="0.35">
      <c r="B4587" s="9"/>
      <c r="C4587" s="2"/>
      <c r="D4587" s="2"/>
      <c r="I4587" s="9"/>
      <c r="J4587" s="2"/>
      <c r="L4587" s="9"/>
      <c r="M4587" s="2"/>
      <c r="N4587" s="9"/>
      <c r="P4587" s="3">
        <v>-1690.3444486000001</v>
      </c>
      <c r="S4587" s="9"/>
      <c r="T4587" s="2"/>
      <c r="U4587" s="9"/>
    </row>
    <row r="4588" spans="2:21" x14ac:dyDescent="0.35">
      <c r="B4588" s="9"/>
      <c r="C4588" s="2"/>
      <c r="D4588" s="2"/>
      <c r="I4588" s="9"/>
      <c r="J4588" s="2"/>
      <c r="L4588" s="9"/>
      <c r="M4588" s="2"/>
      <c r="N4588" s="9"/>
      <c r="P4588" s="3">
        <v>-1382.4111588599999</v>
      </c>
      <c r="S4588" s="9"/>
      <c r="T4588" s="2"/>
      <c r="U4588" s="9"/>
    </row>
    <row r="4589" spans="2:21" x14ac:dyDescent="0.35">
      <c r="B4589" s="9"/>
      <c r="C4589" s="2"/>
      <c r="D4589" s="2"/>
      <c r="I4589" s="9"/>
      <c r="J4589" s="2"/>
      <c r="L4589" s="9"/>
      <c r="M4589" s="2"/>
      <c r="N4589" s="9"/>
      <c r="P4589" s="3">
        <v>-1332.73245886</v>
      </c>
      <c r="S4589" s="9"/>
      <c r="T4589" s="2"/>
      <c r="U4589" s="9"/>
    </row>
    <row r="4590" spans="2:21" x14ac:dyDescent="0.35">
      <c r="B4590" s="9"/>
      <c r="C4590" s="2"/>
      <c r="D4590" s="2"/>
      <c r="I4590" s="9"/>
      <c r="J4590" s="2"/>
      <c r="L4590" s="9"/>
      <c r="M4590" s="2"/>
      <c r="N4590" s="9"/>
      <c r="P4590" s="3">
        <v>-1280.9727488599999</v>
      </c>
      <c r="S4590" s="9"/>
      <c r="T4590" s="2"/>
      <c r="U4590" s="9"/>
    </row>
    <row r="4591" spans="2:21" x14ac:dyDescent="0.35">
      <c r="B4591" s="9"/>
      <c r="C4591" s="2"/>
      <c r="D4591" s="2"/>
      <c r="I4591" s="9"/>
      <c r="J4591" s="2"/>
      <c r="L4591" s="9"/>
      <c r="M4591" s="2"/>
      <c r="N4591" s="9"/>
      <c r="P4591" s="3">
        <v>-1253.3998988599999</v>
      </c>
      <c r="S4591" s="9"/>
      <c r="T4591" s="2"/>
      <c r="U4591" s="9"/>
    </row>
    <row r="4592" spans="2:21" x14ac:dyDescent="0.35">
      <c r="B4592" s="9"/>
      <c r="C4592" s="2"/>
      <c r="D4592" s="2"/>
      <c r="I4592" s="9"/>
      <c r="J4592" s="2"/>
      <c r="L4592" s="9"/>
      <c r="M4592" s="2"/>
      <c r="N4592" s="9"/>
      <c r="P4592" s="3">
        <v>-1208.4192688600001</v>
      </c>
      <c r="S4592" s="9"/>
      <c r="T4592" s="2"/>
      <c r="U4592" s="9"/>
    </row>
    <row r="4593" spans="2:21" x14ac:dyDescent="0.35">
      <c r="B4593" s="9"/>
      <c r="C4593" s="2"/>
      <c r="D4593" s="2"/>
      <c r="I4593" s="9"/>
      <c r="J4593" s="2"/>
      <c r="L4593" s="9"/>
      <c r="M4593" s="2"/>
      <c r="N4593" s="9"/>
      <c r="P4593" s="3">
        <v>-1155.2991988599999</v>
      </c>
      <c r="S4593" s="9"/>
      <c r="T4593" s="2"/>
      <c r="U4593" s="9"/>
    </row>
    <row r="4594" spans="2:21" x14ac:dyDescent="0.35">
      <c r="B4594" s="9"/>
      <c r="C4594" s="2"/>
      <c r="D4594" s="2"/>
      <c r="I4594" s="9"/>
      <c r="J4594" s="2"/>
      <c r="L4594" s="9"/>
      <c r="M4594" s="2"/>
      <c r="N4594" s="9"/>
      <c r="P4594" s="3">
        <v>-1099.4569888599999</v>
      </c>
      <c r="S4594" s="9"/>
      <c r="T4594" s="2"/>
      <c r="U4594" s="9"/>
    </row>
    <row r="4595" spans="2:21" x14ac:dyDescent="0.35">
      <c r="B4595" s="9"/>
      <c r="C4595" s="2"/>
      <c r="D4595" s="2"/>
      <c r="I4595" s="9"/>
      <c r="J4595" s="2"/>
      <c r="L4595" s="9"/>
      <c r="M4595" s="2"/>
      <c r="N4595" s="9"/>
      <c r="P4595" s="3">
        <v>-934.97422238000001</v>
      </c>
      <c r="S4595" s="9"/>
      <c r="T4595" s="2"/>
      <c r="U4595" s="9"/>
    </row>
    <row r="4596" spans="2:21" x14ac:dyDescent="0.35">
      <c r="B4596" s="9"/>
      <c r="C4596" s="2"/>
      <c r="D4596" s="2"/>
      <c r="I4596" s="9"/>
      <c r="J4596" s="2"/>
      <c r="L4596" s="9"/>
      <c r="M4596" s="2"/>
      <c r="N4596" s="9"/>
      <c r="P4596" s="3">
        <v>-779.39272589999996</v>
      </c>
      <c r="S4596" s="9"/>
      <c r="T4596" s="2"/>
      <c r="U4596" s="9"/>
    </row>
    <row r="4597" spans="2:21" x14ac:dyDescent="0.35">
      <c r="B4597" s="9"/>
      <c r="C4597" s="2"/>
      <c r="D4597" s="2"/>
      <c r="I4597" s="9"/>
      <c r="J4597" s="2"/>
      <c r="L4597" s="9"/>
      <c r="M4597" s="2"/>
      <c r="N4597" s="9"/>
      <c r="P4597" s="3">
        <v>-1076.3619734500001</v>
      </c>
      <c r="S4597" s="9"/>
      <c r="T4597" s="2"/>
      <c r="U4597" s="9"/>
    </row>
    <row r="4598" spans="2:21" x14ac:dyDescent="0.35">
      <c r="B4598" s="9"/>
      <c r="C4598" s="2"/>
      <c r="D4598" s="2"/>
      <c r="I4598" s="9"/>
      <c r="J4598" s="2"/>
      <c r="L4598" s="9"/>
      <c r="M4598" s="2"/>
      <c r="N4598" s="9"/>
      <c r="P4598" s="3">
        <v>-1511.12197345</v>
      </c>
      <c r="S4598" s="9"/>
      <c r="T4598" s="2"/>
      <c r="U4598" s="9"/>
    </row>
    <row r="4599" spans="2:21" x14ac:dyDescent="0.35">
      <c r="B4599" s="9"/>
      <c r="C4599" s="2"/>
      <c r="D4599" s="2"/>
      <c r="I4599" s="9"/>
      <c r="J4599" s="2"/>
      <c r="L4599" s="9"/>
      <c r="M4599" s="2"/>
      <c r="N4599" s="9"/>
      <c r="P4599" s="3">
        <v>-1076.3619734500001</v>
      </c>
      <c r="S4599" s="9"/>
      <c r="T4599" s="2"/>
      <c r="U4599" s="9"/>
    </row>
    <row r="4600" spans="2:21" x14ac:dyDescent="0.35">
      <c r="B4600" s="9"/>
      <c r="C4600" s="2"/>
      <c r="D4600" s="2"/>
      <c r="I4600" s="9"/>
      <c r="J4600" s="2"/>
      <c r="L4600" s="9"/>
      <c r="M4600" s="2"/>
      <c r="N4600" s="9"/>
      <c r="P4600" s="3">
        <v>-641.60197344999995</v>
      </c>
      <c r="S4600" s="9"/>
      <c r="T4600" s="2"/>
      <c r="U4600" s="9"/>
    </row>
    <row r="4601" spans="2:21" x14ac:dyDescent="0.35">
      <c r="B4601" s="9"/>
      <c r="C4601" s="2"/>
      <c r="D4601" s="2"/>
      <c r="I4601" s="9"/>
      <c r="J4601" s="2"/>
      <c r="L4601" s="9"/>
      <c r="M4601" s="2"/>
      <c r="N4601" s="9"/>
      <c r="P4601" s="3">
        <v>-206.84197345000001</v>
      </c>
      <c r="S4601" s="9"/>
      <c r="T4601" s="2"/>
      <c r="U4601" s="9"/>
    </row>
    <row r="4602" spans="2:21" x14ac:dyDescent="0.35">
      <c r="B4602" s="9"/>
      <c r="C4602" s="2"/>
      <c r="D4602" s="2"/>
      <c r="I4602" s="9"/>
      <c r="J4602" s="2"/>
      <c r="L4602" s="9"/>
      <c r="M4602" s="2"/>
      <c r="N4602" s="9"/>
      <c r="P4602" s="3">
        <v>0</v>
      </c>
      <c r="S4602" s="9"/>
      <c r="T4602" s="2"/>
      <c r="U4602" s="9"/>
    </row>
    <row r="4603" spans="2:21" x14ac:dyDescent="0.35">
      <c r="B4603" s="9"/>
      <c r="C4603" s="2"/>
      <c r="D4603" s="2"/>
      <c r="I4603" s="9"/>
      <c r="J4603" s="2"/>
      <c r="L4603" s="9"/>
      <c r="M4603" s="2"/>
      <c r="N4603" s="9"/>
      <c r="P4603" s="3">
        <v>0</v>
      </c>
      <c r="S4603" s="9"/>
      <c r="T4603" s="2"/>
      <c r="U4603" s="9"/>
    </row>
    <row r="4604" spans="2:21" x14ac:dyDescent="0.35">
      <c r="B4604" s="9"/>
      <c r="C4604" s="2"/>
      <c r="D4604" s="2"/>
      <c r="I4604" s="9"/>
      <c r="J4604" s="2"/>
      <c r="L4604" s="9"/>
      <c r="M4604" s="2"/>
      <c r="N4604" s="9"/>
      <c r="P4604" s="3">
        <v>-396.35647822999999</v>
      </c>
      <c r="S4604" s="9"/>
      <c r="T4604" s="2"/>
      <c r="U4604" s="9"/>
    </row>
    <row r="4605" spans="2:21" x14ac:dyDescent="0.35">
      <c r="B4605" s="9"/>
      <c r="C4605" s="2"/>
      <c r="D4605" s="2"/>
      <c r="I4605" s="9"/>
      <c r="J4605" s="2"/>
      <c r="L4605" s="9"/>
      <c r="M4605" s="2"/>
      <c r="N4605" s="9"/>
      <c r="P4605" s="3">
        <v>-831.11647822999998</v>
      </c>
      <c r="S4605" s="9"/>
      <c r="T4605" s="2"/>
      <c r="U4605" s="9"/>
    </row>
    <row r="4606" spans="2:21" x14ac:dyDescent="0.35">
      <c r="B4606" s="9"/>
      <c r="C4606" s="2"/>
      <c r="D4606" s="2"/>
      <c r="I4606" s="9"/>
      <c r="J4606" s="2"/>
      <c r="L4606" s="9"/>
      <c r="M4606" s="2"/>
      <c r="N4606" s="9"/>
      <c r="P4606" s="3">
        <v>-1265.87647823</v>
      </c>
      <c r="S4606" s="9"/>
      <c r="T4606" s="2"/>
      <c r="U4606" s="9"/>
    </row>
    <row r="4607" spans="2:21" x14ac:dyDescent="0.35">
      <c r="B4607" s="9"/>
      <c r="C4607" s="2"/>
      <c r="D4607" s="2"/>
      <c r="I4607" s="9"/>
      <c r="J4607" s="2"/>
      <c r="L4607" s="9"/>
      <c r="M4607" s="2"/>
      <c r="N4607" s="9"/>
      <c r="P4607" s="3">
        <v>-1700.63647823</v>
      </c>
      <c r="S4607" s="9"/>
      <c r="T4607" s="2"/>
      <c r="U4607" s="9"/>
    </row>
    <row r="4608" spans="2:21" x14ac:dyDescent="0.35">
      <c r="B4608" s="9"/>
      <c r="C4608" s="2"/>
      <c r="D4608" s="2"/>
      <c r="I4608" s="9"/>
      <c r="J4608" s="2"/>
      <c r="L4608" s="9"/>
      <c r="M4608" s="2"/>
      <c r="N4608" s="9"/>
      <c r="P4608" s="3">
        <v>-2135.39647823</v>
      </c>
      <c r="S4608" s="9"/>
      <c r="T4608" s="2"/>
      <c r="U4608" s="9"/>
    </row>
    <row r="4609" spans="2:21" x14ac:dyDescent="0.35">
      <c r="B4609" s="9"/>
      <c r="C4609" s="2"/>
      <c r="D4609" s="2"/>
      <c r="I4609" s="9"/>
      <c r="J4609" s="2"/>
      <c r="L4609" s="9"/>
      <c r="M4609" s="2"/>
      <c r="N4609" s="9"/>
      <c r="P4609" s="3">
        <v>-1700.63647823</v>
      </c>
      <c r="S4609" s="9"/>
      <c r="T4609" s="2"/>
      <c r="U4609" s="9"/>
    </row>
    <row r="4610" spans="2:21" x14ac:dyDescent="0.35">
      <c r="B4610" s="9"/>
      <c r="C4610" s="2"/>
      <c r="D4610" s="2"/>
      <c r="I4610" s="9"/>
      <c r="J4610" s="2"/>
      <c r="L4610" s="9"/>
      <c r="M4610" s="2"/>
      <c r="N4610" s="9"/>
      <c r="P4610" s="3">
        <v>-1265.87647823</v>
      </c>
      <c r="S4610" s="9"/>
      <c r="T4610" s="2"/>
      <c r="U4610" s="9"/>
    </row>
    <row r="4611" spans="2:21" x14ac:dyDescent="0.35">
      <c r="B4611" s="9"/>
      <c r="C4611" s="2"/>
      <c r="D4611" s="2"/>
      <c r="I4611" s="9"/>
      <c r="J4611" s="2"/>
      <c r="L4611" s="9"/>
      <c r="M4611" s="2"/>
      <c r="N4611" s="9"/>
      <c r="P4611" s="3">
        <v>-1095.4837285999999</v>
      </c>
      <c r="S4611" s="9"/>
      <c r="T4611" s="2"/>
      <c r="U4611" s="9"/>
    </row>
    <row r="4612" spans="2:21" x14ac:dyDescent="0.35">
      <c r="B4612" s="9"/>
      <c r="C4612" s="2"/>
      <c r="D4612" s="2"/>
      <c r="I4612" s="9"/>
      <c r="J4612" s="2"/>
      <c r="L4612" s="9"/>
      <c r="M4612" s="2"/>
      <c r="N4612" s="9"/>
      <c r="P4612" s="3">
        <v>-839.49900886</v>
      </c>
      <c r="S4612" s="9"/>
      <c r="T4612" s="2"/>
      <c r="U4612" s="9"/>
    </row>
    <row r="4613" spans="2:21" x14ac:dyDescent="0.35">
      <c r="B4613" s="9"/>
      <c r="C4613" s="2"/>
      <c r="D4613" s="2"/>
      <c r="I4613" s="9"/>
      <c r="J4613" s="2"/>
      <c r="L4613" s="9"/>
      <c r="M4613" s="2"/>
      <c r="N4613" s="9"/>
      <c r="P4613" s="3">
        <v>-814.73562886000002</v>
      </c>
      <c r="S4613" s="9"/>
      <c r="T4613" s="2"/>
      <c r="U4613" s="9"/>
    </row>
    <row r="4614" spans="2:21" x14ac:dyDescent="0.35">
      <c r="B4614" s="9"/>
      <c r="C4614" s="2"/>
      <c r="D4614" s="2"/>
      <c r="I4614" s="9"/>
      <c r="J4614" s="2"/>
      <c r="L4614" s="9"/>
      <c r="M4614" s="2"/>
      <c r="N4614" s="9"/>
      <c r="P4614" s="3">
        <v>-852.02482885999996</v>
      </c>
      <c r="S4614" s="9"/>
      <c r="T4614" s="2"/>
      <c r="U4614" s="9"/>
    </row>
    <row r="4615" spans="2:21" x14ac:dyDescent="0.35">
      <c r="B4615" s="9"/>
      <c r="C4615" s="2"/>
      <c r="D4615" s="2"/>
      <c r="I4615" s="9"/>
      <c r="J4615" s="2"/>
      <c r="L4615" s="9"/>
      <c r="M4615" s="2"/>
      <c r="N4615" s="9"/>
      <c r="P4615" s="3">
        <v>-921.39963885999998</v>
      </c>
      <c r="S4615" s="9"/>
      <c r="T4615" s="2"/>
      <c r="U4615" s="9"/>
    </row>
    <row r="4616" spans="2:21" x14ac:dyDescent="0.35">
      <c r="B4616" s="9"/>
      <c r="C4616" s="2"/>
      <c r="D4616" s="2"/>
      <c r="I4616" s="9"/>
      <c r="J4616" s="2"/>
      <c r="L4616" s="9"/>
      <c r="M4616" s="2"/>
      <c r="N4616" s="9"/>
      <c r="P4616" s="3">
        <v>-976.51267886000005</v>
      </c>
      <c r="S4616" s="9"/>
      <c r="T4616" s="2"/>
      <c r="U4616" s="9"/>
    </row>
    <row r="4617" spans="2:21" x14ac:dyDescent="0.35">
      <c r="B4617" s="9"/>
      <c r="C4617" s="2"/>
      <c r="D4617" s="2"/>
      <c r="I4617" s="9"/>
      <c r="J4617" s="2"/>
      <c r="L4617" s="9"/>
      <c r="M4617" s="2"/>
      <c r="N4617" s="9"/>
      <c r="P4617" s="3">
        <v>-947.15772886000002</v>
      </c>
      <c r="S4617" s="9"/>
      <c r="T4617" s="2"/>
      <c r="U4617" s="9"/>
    </row>
    <row r="4618" spans="2:21" x14ac:dyDescent="0.35">
      <c r="B4618" s="9"/>
      <c r="C4618" s="2"/>
      <c r="D4618" s="2"/>
      <c r="I4618" s="9"/>
      <c r="J4618" s="2"/>
      <c r="L4618" s="9"/>
      <c r="M4618" s="2"/>
      <c r="N4618" s="9"/>
      <c r="P4618" s="3">
        <v>-802.91696886</v>
      </c>
      <c r="S4618" s="9"/>
      <c r="T4618" s="2"/>
      <c r="U4618" s="9"/>
    </row>
    <row r="4619" spans="2:21" x14ac:dyDescent="0.35">
      <c r="B4619" s="9"/>
      <c r="C4619" s="2"/>
      <c r="D4619" s="2"/>
      <c r="I4619" s="9"/>
      <c r="J4619" s="2"/>
      <c r="L4619" s="9"/>
      <c r="M4619" s="2"/>
      <c r="N4619" s="9"/>
      <c r="P4619" s="3">
        <v>-513.82139238000002</v>
      </c>
      <c r="S4619" s="9"/>
      <c r="T4619" s="2"/>
      <c r="U4619" s="9"/>
    </row>
    <row r="4620" spans="2:21" x14ac:dyDescent="0.35">
      <c r="B4620" s="9"/>
      <c r="C4620" s="2"/>
      <c r="D4620" s="2"/>
      <c r="I4620" s="9"/>
      <c r="J4620" s="2"/>
      <c r="L4620" s="9"/>
      <c r="M4620" s="2"/>
      <c r="N4620" s="9"/>
      <c r="P4620" s="3">
        <v>-288.27010589999998</v>
      </c>
      <c r="S4620" s="9"/>
      <c r="T4620" s="2"/>
      <c r="U4620" s="9"/>
    </row>
    <row r="4621" spans="2:21" x14ac:dyDescent="0.35">
      <c r="B4621" s="9"/>
      <c r="C4621" s="2"/>
      <c r="D4621" s="2"/>
      <c r="I4621" s="9"/>
      <c r="J4621" s="2"/>
      <c r="L4621" s="9"/>
      <c r="M4621" s="2"/>
      <c r="N4621" s="9"/>
      <c r="P4621" s="3">
        <v>-487.28420345000001</v>
      </c>
      <c r="S4621" s="9"/>
      <c r="T4621" s="2"/>
      <c r="U4621" s="9"/>
    </row>
    <row r="4622" spans="2:21" x14ac:dyDescent="0.35">
      <c r="B4622" s="9"/>
      <c r="C4622" s="2"/>
      <c r="D4622" s="2"/>
      <c r="I4622" s="9"/>
      <c r="J4622" s="2"/>
      <c r="L4622" s="9"/>
      <c r="M4622" s="2"/>
      <c r="N4622" s="9"/>
      <c r="P4622" s="3">
        <v>-922.04420345000005</v>
      </c>
      <c r="S4622" s="9"/>
      <c r="T4622" s="2"/>
      <c r="U4622" s="9"/>
    </row>
    <row r="4623" spans="2:21" x14ac:dyDescent="0.35">
      <c r="B4623" s="9"/>
      <c r="C4623" s="2"/>
      <c r="D4623" s="2"/>
      <c r="I4623" s="9"/>
      <c r="J4623" s="2"/>
      <c r="L4623" s="9"/>
      <c r="M4623" s="2"/>
      <c r="N4623" s="9"/>
      <c r="P4623" s="3">
        <v>-869.52</v>
      </c>
      <c r="S4623" s="9"/>
      <c r="T4623" s="2"/>
      <c r="U4623" s="9"/>
    </row>
    <row r="4624" spans="2:21" x14ac:dyDescent="0.35">
      <c r="B4624" s="9"/>
      <c r="C4624" s="2"/>
      <c r="D4624" s="2"/>
      <c r="I4624" s="9"/>
      <c r="J4624" s="2"/>
      <c r="L4624" s="9"/>
      <c r="M4624" s="2"/>
      <c r="N4624" s="9"/>
      <c r="P4624" s="3">
        <v>-434.76</v>
      </c>
      <c r="S4624" s="9"/>
      <c r="T4624" s="2"/>
      <c r="U4624" s="9"/>
    </row>
    <row r="4625" spans="2:21" x14ac:dyDescent="0.35">
      <c r="B4625" s="9"/>
      <c r="C4625" s="2"/>
      <c r="D4625" s="2"/>
      <c r="I4625" s="9"/>
      <c r="J4625" s="2"/>
      <c r="L4625" s="9"/>
      <c r="M4625" s="2"/>
      <c r="N4625" s="9"/>
      <c r="P4625" s="3">
        <v>0</v>
      </c>
      <c r="S4625" s="9"/>
      <c r="T4625" s="2"/>
      <c r="U4625" s="9"/>
    </row>
    <row r="4626" spans="2:21" x14ac:dyDescent="0.35">
      <c r="B4626" s="9"/>
      <c r="C4626" s="2"/>
      <c r="D4626" s="2"/>
      <c r="I4626" s="9"/>
      <c r="J4626" s="2"/>
      <c r="L4626" s="9"/>
      <c r="M4626" s="2"/>
      <c r="N4626" s="9"/>
      <c r="P4626" s="3">
        <v>-238.68042822999999</v>
      </c>
      <c r="S4626" s="9"/>
      <c r="T4626" s="2"/>
      <c r="U4626" s="9"/>
    </row>
    <row r="4627" spans="2:21" x14ac:dyDescent="0.35">
      <c r="B4627" s="9"/>
      <c r="C4627" s="2"/>
      <c r="D4627" s="2"/>
      <c r="I4627" s="9"/>
      <c r="J4627" s="2"/>
      <c r="L4627" s="9"/>
      <c r="M4627" s="2"/>
      <c r="N4627" s="9"/>
      <c r="P4627" s="3">
        <v>-673.44042822999995</v>
      </c>
      <c r="S4627" s="9"/>
      <c r="T4627" s="2"/>
      <c r="U4627" s="9"/>
    </row>
    <row r="4628" spans="2:21" x14ac:dyDescent="0.35">
      <c r="B4628" s="9"/>
      <c r="C4628" s="2"/>
      <c r="D4628" s="2"/>
      <c r="I4628" s="9"/>
      <c r="J4628" s="2"/>
      <c r="L4628" s="9"/>
      <c r="M4628" s="2"/>
      <c r="N4628" s="9"/>
      <c r="P4628" s="3">
        <v>-1108.2004282299999</v>
      </c>
      <c r="S4628" s="9"/>
      <c r="T4628" s="2"/>
      <c r="U4628" s="9"/>
    </row>
    <row r="4629" spans="2:21" x14ac:dyDescent="0.35">
      <c r="B4629" s="9"/>
      <c r="C4629" s="2"/>
      <c r="D4629" s="2"/>
      <c r="I4629" s="9"/>
      <c r="J4629" s="2"/>
      <c r="L4629" s="9"/>
      <c r="M4629" s="2"/>
      <c r="N4629" s="9"/>
      <c r="P4629" s="3">
        <v>-1542.9604282299999</v>
      </c>
      <c r="S4629" s="9"/>
      <c r="T4629" s="2"/>
      <c r="U4629" s="9"/>
    </row>
    <row r="4630" spans="2:21" x14ac:dyDescent="0.35">
      <c r="B4630" s="9"/>
      <c r="C4630" s="2"/>
      <c r="D4630" s="2"/>
      <c r="I4630" s="9"/>
      <c r="J4630" s="2"/>
      <c r="L4630" s="9"/>
      <c r="M4630" s="2"/>
      <c r="N4630" s="9"/>
      <c r="P4630" s="3">
        <v>-1977.7204282299999</v>
      </c>
      <c r="S4630" s="9"/>
      <c r="T4630" s="2"/>
      <c r="U4630" s="9"/>
    </row>
    <row r="4631" spans="2:21" x14ac:dyDescent="0.35">
      <c r="B4631" s="9"/>
      <c r="C4631" s="2"/>
      <c r="D4631" s="2"/>
      <c r="I4631" s="9"/>
      <c r="J4631" s="2"/>
      <c r="L4631" s="9"/>
      <c r="M4631" s="2"/>
      <c r="N4631" s="9"/>
      <c r="P4631" s="3">
        <v>-1542.9604282299999</v>
      </c>
      <c r="S4631" s="9"/>
      <c r="T4631" s="2"/>
      <c r="U4631" s="9"/>
    </row>
    <row r="4632" spans="2:21" x14ac:dyDescent="0.35">
      <c r="B4632" s="9"/>
      <c r="C4632" s="2"/>
      <c r="D4632" s="2"/>
      <c r="I4632" s="9"/>
      <c r="J4632" s="2"/>
      <c r="L4632" s="9"/>
      <c r="M4632" s="2"/>
      <c r="N4632" s="9"/>
      <c r="P4632" s="3">
        <v>-1108.2004282299999</v>
      </c>
      <c r="S4632" s="9"/>
      <c r="T4632" s="2"/>
      <c r="U4632" s="9"/>
    </row>
    <row r="4633" spans="2:21" x14ac:dyDescent="0.35">
      <c r="B4633" s="9"/>
      <c r="C4633" s="2"/>
      <c r="D4633" s="2"/>
      <c r="I4633" s="9"/>
      <c r="J4633" s="2"/>
      <c r="L4633" s="9"/>
      <c r="M4633" s="2"/>
      <c r="N4633" s="9"/>
      <c r="P4633" s="3">
        <v>-673.44042822999995</v>
      </c>
      <c r="S4633" s="9"/>
      <c r="T4633" s="2"/>
      <c r="U4633" s="9"/>
    </row>
    <row r="4634" spans="2:21" x14ac:dyDescent="0.35">
      <c r="B4634" s="9"/>
      <c r="C4634" s="2"/>
      <c r="D4634" s="2"/>
      <c r="I4634" s="9"/>
      <c r="J4634" s="2"/>
      <c r="L4634" s="9"/>
      <c r="M4634" s="2"/>
      <c r="N4634" s="9"/>
      <c r="P4634" s="3">
        <v>-238.68042822999999</v>
      </c>
      <c r="S4634" s="9"/>
      <c r="T4634" s="2"/>
      <c r="U4634" s="9"/>
    </row>
    <row r="4635" spans="2:21" x14ac:dyDescent="0.35">
      <c r="B4635" s="9"/>
      <c r="C4635" s="2"/>
      <c r="D4635" s="2"/>
      <c r="I4635" s="9"/>
      <c r="J4635" s="2"/>
      <c r="L4635" s="9"/>
      <c r="M4635" s="2"/>
      <c r="N4635" s="9"/>
      <c r="P4635" s="3">
        <v>-43.890658600000002</v>
      </c>
      <c r="S4635" s="9"/>
      <c r="T4635" s="2"/>
      <c r="U4635" s="9"/>
    </row>
    <row r="4636" spans="2:21" x14ac:dyDescent="0.35">
      <c r="B4636" s="9"/>
      <c r="C4636" s="2"/>
      <c r="D4636" s="2"/>
      <c r="I4636" s="9"/>
      <c r="J4636" s="2"/>
      <c r="L4636" s="9"/>
      <c r="M4636" s="2"/>
      <c r="N4636" s="9"/>
      <c r="P4636" s="3">
        <v>148.86856114</v>
      </c>
      <c r="S4636" s="9"/>
      <c r="T4636" s="2"/>
      <c r="U4636" s="9"/>
    </row>
    <row r="4637" spans="2:21" x14ac:dyDescent="0.35">
      <c r="B4637" s="9"/>
      <c r="C4637" s="2"/>
      <c r="D4637" s="2"/>
      <c r="I4637" s="9"/>
      <c r="J4637" s="2"/>
      <c r="L4637" s="9"/>
      <c r="M4637" s="2"/>
      <c r="N4637" s="9"/>
      <c r="P4637" s="3">
        <v>216.22981114000001</v>
      </c>
      <c r="S4637" s="9"/>
      <c r="T4637" s="2"/>
      <c r="U4637" s="9"/>
    </row>
    <row r="4638" spans="2:21" x14ac:dyDescent="0.35">
      <c r="B4638" s="9"/>
      <c r="C4638" s="2"/>
      <c r="D4638" s="2"/>
      <c r="I4638" s="9"/>
      <c r="J4638" s="2"/>
      <c r="L4638" s="9"/>
      <c r="M4638" s="2"/>
      <c r="N4638" s="9"/>
      <c r="P4638" s="3">
        <v>229.33570114</v>
      </c>
      <c r="S4638" s="9"/>
      <c r="T4638" s="2"/>
      <c r="U4638" s="9"/>
    </row>
    <row r="4639" spans="2:21" x14ac:dyDescent="0.35">
      <c r="B4639" s="9"/>
      <c r="C4639" s="2"/>
      <c r="D4639" s="2"/>
      <c r="I4639" s="9"/>
      <c r="J4639" s="2"/>
      <c r="L4639" s="9"/>
      <c r="M4639" s="2"/>
      <c r="N4639" s="9"/>
      <c r="P4639" s="3">
        <v>212.45119113999999</v>
      </c>
      <c r="S4639" s="9"/>
      <c r="T4639" s="2"/>
      <c r="U4639" s="9"/>
    </row>
    <row r="4640" spans="2:21" x14ac:dyDescent="0.35">
      <c r="B4640" s="9"/>
      <c r="C4640" s="2"/>
      <c r="D4640" s="2"/>
      <c r="I4640" s="9"/>
      <c r="J4640" s="2"/>
      <c r="L4640" s="9"/>
      <c r="M4640" s="2"/>
      <c r="N4640" s="9"/>
      <c r="P4640" s="3">
        <v>239.52988113999999</v>
      </c>
      <c r="S4640" s="9"/>
      <c r="T4640" s="2"/>
      <c r="U4640" s="9"/>
    </row>
    <row r="4641" spans="2:21" x14ac:dyDescent="0.35">
      <c r="B4641" s="9"/>
      <c r="C4641" s="2"/>
      <c r="D4641" s="2"/>
      <c r="I4641" s="9"/>
      <c r="J4641" s="2"/>
      <c r="L4641" s="9"/>
      <c r="M4641" s="2"/>
      <c r="N4641" s="9"/>
      <c r="P4641" s="3">
        <v>293.17464114000001</v>
      </c>
      <c r="S4641" s="9"/>
      <c r="T4641" s="2"/>
      <c r="U4641" s="9"/>
    </row>
    <row r="4642" spans="2:21" x14ac:dyDescent="0.35">
      <c r="B4642" s="9"/>
      <c r="C4642" s="2"/>
      <c r="D4642" s="2"/>
      <c r="I4642" s="9"/>
      <c r="J4642" s="2"/>
      <c r="L4642" s="9"/>
      <c r="M4642" s="2"/>
      <c r="N4642" s="9"/>
      <c r="P4642" s="3">
        <v>364.74974114000003</v>
      </c>
      <c r="S4642" s="9"/>
      <c r="T4642" s="2"/>
      <c r="U4642" s="9"/>
    </row>
    <row r="4643" spans="2:21" x14ac:dyDescent="0.35">
      <c r="B4643" s="9"/>
      <c r="C4643" s="2"/>
      <c r="D4643" s="2"/>
      <c r="I4643" s="9"/>
      <c r="J4643" s="2"/>
      <c r="L4643" s="9"/>
      <c r="M4643" s="2"/>
      <c r="N4643" s="9"/>
      <c r="P4643" s="3">
        <v>507.19410762000001</v>
      </c>
      <c r="S4643" s="9"/>
      <c r="T4643" s="2"/>
      <c r="U4643" s="9"/>
    </row>
    <row r="4644" spans="2:21" x14ac:dyDescent="0.35">
      <c r="B4644" s="9"/>
      <c r="C4644" s="2"/>
      <c r="D4644" s="2"/>
      <c r="I4644" s="9"/>
      <c r="J4644" s="2"/>
      <c r="L4644" s="9"/>
      <c r="M4644" s="2"/>
      <c r="N4644" s="9"/>
      <c r="P4644" s="3">
        <v>581.06383410000001</v>
      </c>
      <c r="S4644" s="9"/>
      <c r="T4644" s="2"/>
      <c r="U4644" s="9"/>
    </row>
    <row r="4645" spans="2:21" x14ac:dyDescent="0.35">
      <c r="B4645" s="9"/>
      <c r="C4645" s="2"/>
      <c r="D4645" s="2"/>
      <c r="I4645" s="9"/>
      <c r="J4645" s="2"/>
      <c r="L4645" s="9"/>
      <c r="M4645" s="2"/>
      <c r="N4645" s="9"/>
      <c r="P4645" s="3">
        <v>191.32527655000001</v>
      </c>
      <c r="S4645" s="9"/>
      <c r="T4645" s="2"/>
      <c r="U4645" s="9"/>
    </row>
    <row r="4646" spans="2:21" x14ac:dyDescent="0.35">
      <c r="B4646" s="9"/>
      <c r="C4646" s="2"/>
      <c r="D4646" s="2"/>
      <c r="I4646" s="9"/>
      <c r="J4646" s="2"/>
      <c r="L4646" s="9"/>
      <c r="M4646" s="2"/>
      <c r="N4646" s="9"/>
      <c r="P4646" s="3">
        <v>-243.43472345000001</v>
      </c>
      <c r="S4646" s="9"/>
      <c r="T4646" s="2"/>
      <c r="U4646" s="9"/>
    </row>
    <row r="4647" spans="2:21" x14ac:dyDescent="0.35">
      <c r="B4647" s="9"/>
      <c r="C4647" s="2"/>
      <c r="D4647" s="2"/>
      <c r="I4647" s="9"/>
      <c r="J4647" s="2"/>
      <c r="L4647" s="9"/>
      <c r="M4647" s="2"/>
      <c r="N4647" s="9"/>
      <c r="P4647" s="3">
        <v>-678.19472344999997</v>
      </c>
      <c r="S4647" s="9"/>
      <c r="T4647" s="2"/>
      <c r="U4647" s="9"/>
    </row>
    <row r="4648" spans="2:21" x14ac:dyDescent="0.35">
      <c r="B4648" s="9"/>
      <c r="C4648" s="2"/>
      <c r="D4648" s="2"/>
      <c r="I4648" s="9"/>
      <c r="J4648" s="2"/>
      <c r="L4648" s="9"/>
      <c r="M4648" s="2"/>
      <c r="N4648" s="9"/>
      <c r="P4648" s="3">
        <v>-1112.9547234500001</v>
      </c>
      <c r="S4648" s="9"/>
      <c r="T4648" s="2"/>
      <c r="U4648" s="9"/>
    </row>
    <row r="4649" spans="2:21" x14ac:dyDescent="0.35">
      <c r="B4649" s="9"/>
      <c r="C4649" s="2"/>
      <c r="D4649" s="2"/>
      <c r="I4649" s="9"/>
      <c r="J4649" s="2"/>
      <c r="L4649" s="9"/>
      <c r="M4649" s="2"/>
      <c r="N4649" s="9"/>
      <c r="P4649" s="3">
        <v>-1547.7147234500001</v>
      </c>
      <c r="S4649" s="9"/>
      <c r="T4649" s="2"/>
      <c r="U4649" s="9"/>
    </row>
    <row r="4650" spans="2:21" x14ac:dyDescent="0.35">
      <c r="B4650" s="9"/>
      <c r="C4650" s="2"/>
      <c r="D4650" s="2"/>
      <c r="I4650" s="9"/>
      <c r="J4650" s="2"/>
      <c r="L4650" s="9"/>
      <c r="M4650" s="2"/>
      <c r="N4650" s="9"/>
      <c r="P4650" s="3">
        <v>-1982.4747234500001</v>
      </c>
      <c r="S4650" s="9"/>
      <c r="T4650" s="2"/>
      <c r="U4650" s="9"/>
    </row>
    <row r="4651" spans="2:21" x14ac:dyDescent="0.35">
      <c r="B4651" s="9"/>
      <c r="C4651" s="2"/>
      <c r="D4651" s="2"/>
      <c r="I4651" s="9"/>
      <c r="J4651" s="2"/>
      <c r="L4651" s="9"/>
      <c r="M4651" s="2"/>
      <c r="N4651" s="9"/>
      <c r="P4651" s="3">
        <v>-2417.2347234499998</v>
      </c>
      <c r="S4651" s="9"/>
      <c r="T4651" s="2"/>
      <c r="U4651" s="9"/>
    </row>
    <row r="4652" spans="2:21" x14ac:dyDescent="0.35">
      <c r="B4652" s="9"/>
      <c r="C4652" s="2"/>
      <c r="D4652" s="2"/>
      <c r="I4652" s="9"/>
      <c r="J4652" s="2"/>
      <c r="L4652" s="9"/>
      <c r="M4652" s="2"/>
      <c r="N4652" s="9"/>
      <c r="P4652" s="3">
        <v>-2084.6123882299999</v>
      </c>
      <c r="S4652" s="9"/>
      <c r="T4652" s="2"/>
      <c r="U4652" s="9"/>
    </row>
    <row r="4653" spans="2:21" x14ac:dyDescent="0.35">
      <c r="B4653" s="9"/>
      <c r="C4653" s="2"/>
      <c r="D4653" s="2"/>
      <c r="I4653" s="9"/>
      <c r="J4653" s="2"/>
      <c r="L4653" s="9"/>
      <c r="M4653" s="2"/>
      <c r="N4653" s="9"/>
      <c r="P4653" s="3">
        <v>-1649.8523882300001</v>
      </c>
      <c r="S4653" s="9"/>
      <c r="T4653" s="2"/>
      <c r="U4653" s="9"/>
    </row>
    <row r="4654" spans="2:21" x14ac:dyDescent="0.35">
      <c r="B4654" s="9"/>
      <c r="C4654" s="2"/>
      <c r="D4654" s="2"/>
      <c r="I4654" s="9"/>
      <c r="J4654" s="2"/>
      <c r="L4654" s="9"/>
      <c r="M4654" s="2"/>
      <c r="N4654" s="9"/>
      <c r="P4654" s="3">
        <v>-1215.0923882300001</v>
      </c>
      <c r="S4654" s="9"/>
      <c r="T4654" s="2"/>
      <c r="U4654" s="9"/>
    </row>
    <row r="4655" spans="2:21" x14ac:dyDescent="0.35">
      <c r="B4655" s="9"/>
      <c r="C4655" s="2"/>
      <c r="D4655" s="2"/>
      <c r="I4655" s="9"/>
      <c r="J4655" s="2"/>
      <c r="L4655" s="9"/>
      <c r="M4655" s="2"/>
      <c r="N4655" s="9"/>
      <c r="P4655" s="3">
        <v>-780.33238822999999</v>
      </c>
      <c r="S4655" s="9"/>
      <c r="T4655" s="2"/>
      <c r="U4655" s="9"/>
    </row>
    <row r="4656" spans="2:21" x14ac:dyDescent="0.35">
      <c r="B4656" s="9"/>
      <c r="C4656" s="2"/>
      <c r="D4656" s="2"/>
      <c r="I4656" s="9"/>
      <c r="J4656" s="2"/>
      <c r="L4656" s="9"/>
      <c r="M4656" s="2"/>
      <c r="N4656" s="9"/>
      <c r="P4656" s="3">
        <v>-345.57238823</v>
      </c>
      <c r="S4656" s="9"/>
      <c r="T4656" s="2"/>
      <c r="U4656" s="9"/>
    </row>
    <row r="4657" spans="2:21" x14ac:dyDescent="0.35">
      <c r="B4657" s="9"/>
      <c r="C4657" s="2"/>
      <c r="D4657" s="2"/>
      <c r="I4657" s="9"/>
      <c r="J4657" s="2"/>
      <c r="L4657" s="9"/>
      <c r="M4657" s="2"/>
      <c r="N4657" s="9"/>
      <c r="P4657" s="3">
        <v>89.187611770000004</v>
      </c>
      <c r="S4657" s="9"/>
      <c r="T4657" s="2"/>
      <c r="U4657" s="9"/>
    </row>
    <row r="4658" spans="2:21" x14ac:dyDescent="0.35">
      <c r="B4658" s="9"/>
      <c r="C4658" s="2"/>
      <c r="D4658" s="2"/>
      <c r="I4658" s="9"/>
      <c r="J4658" s="2"/>
      <c r="L4658" s="9"/>
      <c r="M4658" s="2"/>
      <c r="N4658" s="9"/>
      <c r="P4658" s="3">
        <v>523.94761176999998</v>
      </c>
      <c r="S4658" s="9"/>
      <c r="T4658" s="2"/>
      <c r="U4658" s="9"/>
    </row>
    <row r="4659" spans="2:21" x14ac:dyDescent="0.35">
      <c r="B4659" s="9"/>
      <c r="C4659" s="2"/>
      <c r="D4659" s="2"/>
      <c r="I4659" s="9"/>
      <c r="J4659" s="2"/>
      <c r="L4659" s="9"/>
      <c r="M4659" s="2"/>
      <c r="N4659" s="9"/>
      <c r="P4659" s="3">
        <v>586.12926140000002</v>
      </c>
      <c r="S4659" s="9"/>
      <c r="T4659" s="2"/>
      <c r="U4659" s="9"/>
    </row>
    <row r="4660" spans="2:21" x14ac:dyDescent="0.35">
      <c r="B4660" s="9"/>
      <c r="C4660" s="2"/>
      <c r="D4660" s="2"/>
      <c r="I4660" s="9"/>
      <c r="J4660" s="2"/>
      <c r="L4660" s="9"/>
      <c r="M4660" s="2"/>
      <c r="N4660" s="9"/>
      <c r="P4660" s="3">
        <v>616.46036114000003</v>
      </c>
      <c r="S4660" s="9"/>
      <c r="T4660" s="2"/>
      <c r="U4660" s="9"/>
    </row>
    <row r="4661" spans="2:21" x14ac:dyDescent="0.35">
      <c r="B4661" s="9"/>
      <c r="C4661" s="2"/>
      <c r="D4661" s="2"/>
      <c r="I4661" s="9"/>
      <c r="J4661" s="2"/>
      <c r="L4661" s="9"/>
      <c r="M4661" s="2"/>
      <c r="N4661" s="9"/>
      <c r="P4661" s="3">
        <v>670.47787114000005</v>
      </c>
      <c r="S4661" s="9"/>
      <c r="T4661" s="2"/>
      <c r="U4661" s="9"/>
    </row>
    <row r="4662" spans="2:21" x14ac:dyDescent="0.35">
      <c r="B4662" s="9"/>
      <c r="C4662" s="2"/>
      <c r="D4662" s="2"/>
      <c r="I4662" s="9"/>
      <c r="J4662" s="2"/>
      <c r="L4662" s="9"/>
      <c r="M4662" s="2"/>
      <c r="N4662" s="9"/>
      <c r="P4662" s="3">
        <v>1020.51672161</v>
      </c>
      <c r="S4662" s="9"/>
      <c r="T4662" s="2"/>
      <c r="U4662" s="9"/>
    </row>
    <row r="4663" spans="2:21" x14ac:dyDescent="0.35">
      <c r="B4663" s="9"/>
      <c r="C4663" s="2"/>
      <c r="D4663" s="2"/>
      <c r="I4663" s="9"/>
      <c r="J4663" s="2"/>
      <c r="L4663" s="9"/>
      <c r="M4663" s="2"/>
      <c r="N4663" s="9"/>
      <c r="P4663" s="3">
        <v>1029.19292161</v>
      </c>
      <c r="S4663" s="9"/>
      <c r="T4663" s="2"/>
      <c r="U4663" s="9"/>
    </row>
    <row r="4664" spans="2:21" x14ac:dyDescent="0.35">
      <c r="B4664" s="9"/>
      <c r="C4664" s="2"/>
      <c r="D4664" s="2"/>
      <c r="I4664" s="9"/>
      <c r="J4664" s="2"/>
      <c r="L4664" s="9"/>
      <c r="M4664" s="2"/>
      <c r="N4664" s="9"/>
      <c r="P4664" s="3">
        <v>1011.99530161</v>
      </c>
      <c r="S4664" s="9"/>
      <c r="T4664" s="2"/>
      <c r="U4664" s="9"/>
    </row>
    <row r="4665" spans="2:21" x14ac:dyDescent="0.35">
      <c r="B4665" s="9"/>
      <c r="C4665" s="2"/>
      <c r="D4665" s="2"/>
      <c r="I4665" s="9"/>
      <c r="J4665" s="2"/>
      <c r="L4665" s="9"/>
      <c r="M4665" s="2"/>
      <c r="N4665" s="9"/>
      <c r="P4665" s="3">
        <v>993.18527160999997</v>
      </c>
      <c r="S4665" s="9"/>
      <c r="T4665" s="2"/>
      <c r="U4665" s="9"/>
    </row>
    <row r="4666" spans="2:21" x14ac:dyDescent="0.35">
      <c r="B4666" s="9"/>
      <c r="C4666" s="2"/>
      <c r="D4666" s="2"/>
      <c r="I4666" s="9"/>
      <c r="J4666" s="2"/>
      <c r="L4666" s="9"/>
      <c r="M4666" s="2"/>
      <c r="N4666" s="9"/>
      <c r="P4666" s="3">
        <v>987.25109161</v>
      </c>
      <c r="S4666" s="9"/>
      <c r="T4666" s="2"/>
      <c r="U4666" s="9"/>
    </row>
    <row r="4667" spans="2:21" x14ac:dyDescent="0.35">
      <c r="B4667" s="9"/>
      <c r="C4667" s="2"/>
      <c r="D4667" s="2"/>
      <c r="I4667" s="9"/>
      <c r="J4667" s="2"/>
      <c r="L4667" s="9"/>
      <c r="M4667" s="2"/>
      <c r="N4667" s="9"/>
      <c r="P4667" s="3">
        <v>1016.89856161</v>
      </c>
      <c r="S4667" s="9"/>
      <c r="T4667" s="2"/>
      <c r="U4667" s="9"/>
    </row>
    <row r="4668" spans="2:21" x14ac:dyDescent="0.35">
      <c r="B4668" s="9"/>
      <c r="C4668" s="2"/>
      <c r="D4668" s="2"/>
      <c r="I4668" s="9"/>
      <c r="J4668" s="2"/>
      <c r="L4668" s="9"/>
      <c r="M4668" s="2"/>
      <c r="N4668" s="9"/>
      <c r="P4668" s="3">
        <v>990.97149161000004</v>
      </c>
      <c r="S4668" s="9"/>
      <c r="T4668" s="2"/>
      <c r="U4668" s="9"/>
    </row>
    <row r="4669" spans="2:21" x14ac:dyDescent="0.35">
      <c r="B4669" s="9"/>
      <c r="C4669" s="2"/>
      <c r="D4669" s="2"/>
      <c r="I4669" s="9"/>
      <c r="J4669" s="2"/>
      <c r="L4669" s="9"/>
      <c r="M4669" s="2"/>
      <c r="N4669" s="9"/>
      <c r="P4669" s="3">
        <v>556.21149161000005</v>
      </c>
      <c r="S4669" s="9"/>
      <c r="T4669" s="2"/>
      <c r="U4669" s="9"/>
    </row>
    <row r="4670" spans="2:21" x14ac:dyDescent="0.35">
      <c r="B4670" s="9"/>
      <c r="C4670" s="2"/>
      <c r="D4670" s="2"/>
      <c r="I4670" s="9"/>
      <c r="J4670" s="2"/>
      <c r="L4670" s="9"/>
      <c r="M4670" s="2"/>
      <c r="N4670" s="9"/>
      <c r="P4670" s="3">
        <v>121.45149161000001</v>
      </c>
      <c r="S4670" s="9"/>
      <c r="T4670" s="2"/>
      <c r="U4670" s="9"/>
    </row>
    <row r="4671" spans="2:21" x14ac:dyDescent="0.35">
      <c r="B4671" s="9"/>
      <c r="C4671" s="2"/>
      <c r="D4671" s="2"/>
      <c r="I4671" s="9"/>
      <c r="J4671" s="2"/>
      <c r="L4671" s="9"/>
      <c r="M4671" s="2"/>
      <c r="N4671" s="9"/>
      <c r="P4671" s="3">
        <v>-313.30850838999999</v>
      </c>
      <c r="S4671" s="9"/>
      <c r="T4671" s="2"/>
      <c r="U4671" s="9"/>
    </row>
    <row r="4672" spans="2:21" x14ac:dyDescent="0.35">
      <c r="B4672" s="9"/>
      <c r="C4672" s="2"/>
      <c r="D4672" s="2"/>
      <c r="I4672" s="9"/>
      <c r="J4672" s="2"/>
      <c r="L4672" s="9"/>
      <c r="M4672" s="2"/>
      <c r="N4672" s="9"/>
      <c r="P4672" s="3">
        <v>-748.06850839000003</v>
      </c>
      <c r="S4672" s="9"/>
      <c r="T4672" s="2"/>
      <c r="U4672" s="9"/>
    </row>
    <row r="4673" spans="2:21" x14ac:dyDescent="0.35">
      <c r="B4673" s="9"/>
      <c r="C4673" s="2"/>
      <c r="D4673" s="2"/>
      <c r="I4673" s="9"/>
      <c r="J4673" s="2"/>
      <c r="L4673" s="9"/>
      <c r="M4673" s="2"/>
      <c r="N4673" s="9"/>
      <c r="P4673" s="3">
        <v>-1182.82850839</v>
      </c>
      <c r="S4673" s="9"/>
      <c r="T4673" s="2"/>
      <c r="U4673" s="9"/>
    </row>
    <row r="4674" spans="2:21" x14ac:dyDescent="0.35">
      <c r="B4674" s="9"/>
      <c r="C4674" s="2"/>
      <c r="D4674" s="2"/>
      <c r="I4674" s="9"/>
      <c r="J4674" s="2"/>
      <c r="L4674" s="9"/>
      <c r="M4674" s="2"/>
      <c r="N4674" s="9"/>
      <c r="P4674" s="3">
        <v>-1617.58850839</v>
      </c>
      <c r="S4674" s="9"/>
      <c r="T4674" s="2"/>
      <c r="U4674" s="9"/>
    </row>
    <row r="4675" spans="2:21" x14ac:dyDescent="0.35">
      <c r="B4675" s="9"/>
      <c r="C4675" s="2"/>
      <c r="D4675" s="2"/>
      <c r="I4675" s="9"/>
      <c r="J4675" s="2"/>
      <c r="L4675" s="9"/>
      <c r="M4675" s="2"/>
      <c r="N4675" s="9"/>
      <c r="P4675" s="3">
        <v>-1477.4049027999999</v>
      </c>
      <c r="S4675" s="9"/>
      <c r="T4675" s="2"/>
      <c r="U4675" s="9"/>
    </row>
    <row r="4676" spans="2:21" x14ac:dyDescent="0.35">
      <c r="B4676" s="9"/>
      <c r="C4676" s="2"/>
      <c r="D4676" s="2"/>
      <c r="I4676" s="9"/>
      <c r="J4676" s="2"/>
      <c r="L4676" s="9"/>
      <c r="M4676" s="2"/>
      <c r="N4676" s="9"/>
      <c r="P4676" s="3">
        <v>-1665.58200149</v>
      </c>
      <c r="S4676" s="9"/>
      <c r="T4676" s="2"/>
      <c r="U4676" s="9"/>
    </row>
    <row r="4677" spans="2:21" x14ac:dyDescent="0.35">
      <c r="B4677" s="9"/>
      <c r="C4677" s="2"/>
      <c r="D4677" s="2"/>
      <c r="I4677" s="9"/>
      <c r="J4677" s="2"/>
      <c r="L4677" s="9"/>
      <c r="M4677" s="2"/>
      <c r="N4677" s="9"/>
      <c r="P4677" s="3">
        <v>-1629.5093883899999</v>
      </c>
      <c r="S4677" s="9"/>
      <c r="T4677" s="2"/>
      <c r="U4677" s="9"/>
    </row>
    <row r="4678" spans="2:21" x14ac:dyDescent="0.35">
      <c r="B4678" s="9"/>
      <c r="C4678" s="2"/>
      <c r="D4678" s="2"/>
      <c r="I4678" s="9"/>
      <c r="J4678" s="2"/>
      <c r="L4678" s="9"/>
      <c r="M4678" s="2"/>
      <c r="N4678" s="9"/>
      <c r="P4678" s="3">
        <v>-1194.7493883899999</v>
      </c>
      <c r="S4678" s="9"/>
      <c r="T4678" s="2"/>
      <c r="U4678" s="9"/>
    </row>
    <row r="4679" spans="2:21" x14ac:dyDescent="0.35">
      <c r="B4679" s="9"/>
      <c r="C4679" s="2"/>
      <c r="D4679" s="2"/>
      <c r="I4679" s="9"/>
      <c r="J4679" s="2"/>
      <c r="L4679" s="9"/>
      <c r="M4679" s="2"/>
      <c r="N4679" s="9"/>
      <c r="P4679" s="3">
        <v>-759.98938839000004</v>
      </c>
      <c r="S4679" s="9"/>
      <c r="T4679" s="2"/>
      <c r="U4679" s="9"/>
    </row>
    <row r="4680" spans="2:21" x14ac:dyDescent="0.35">
      <c r="B4680" s="9"/>
      <c r="C4680" s="2"/>
      <c r="D4680" s="2"/>
      <c r="I4680" s="9"/>
      <c r="J4680" s="2"/>
      <c r="L4680" s="9"/>
      <c r="M4680" s="2"/>
      <c r="N4680" s="9"/>
      <c r="P4680" s="3">
        <v>-325.22938839</v>
      </c>
      <c r="S4680" s="9"/>
      <c r="T4680" s="2"/>
      <c r="U4680" s="9"/>
    </row>
    <row r="4681" spans="2:21" x14ac:dyDescent="0.35">
      <c r="B4681" s="9"/>
      <c r="C4681" s="2"/>
      <c r="D4681" s="2"/>
      <c r="I4681" s="9"/>
      <c r="J4681" s="2"/>
      <c r="L4681" s="9"/>
      <c r="M4681" s="2"/>
      <c r="N4681" s="9"/>
      <c r="P4681" s="3">
        <v>109.53061160999999</v>
      </c>
      <c r="S4681" s="9"/>
      <c r="T4681" s="2"/>
      <c r="U4681" s="9"/>
    </row>
    <row r="4682" spans="2:21" x14ac:dyDescent="0.35">
      <c r="B4682" s="9"/>
      <c r="C4682" s="2"/>
      <c r="D4682" s="2"/>
      <c r="I4682" s="9"/>
      <c r="J4682" s="2"/>
      <c r="L4682" s="9"/>
      <c r="M4682" s="2"/>
      <c r="N4682" s="9"/>
      <c r="P4682" s="3">
        <v>544.29061161000004</v>
      </c>
      <c r="S4682" s="9"/>
      <c r="T4682" s="2"/>
      <c r="U4682" s="9"/>
    </row>
    <row r="4683" spans="2:21" x14ac:dyDescent="0.35">
      <c r="B4683" s="9"/>
      <c r="C4683" s="2"/>
      <c r="D4683" s="2"/>
      <c r="I4683" s="9"/>
      <c r="J4683" s="2"/>
      <c r="L4683" s="9"/>
      <c r="M4683" s="2"/>
      <c r="N4683" s="9"/>
      <c r="P4683" s="3">
        <v>763.68984161000003</v>
      </c>
      <c r="S4683" s="9"/>
      <c r="T4683" s="2"/>
      <c r="U4683" s="9"/>
    </row>
    <row r="4684" spans="2:21" x14ac:dyDescent="0.35">
      <c r="B4684" s="9"/>
      <c r="C4684" s="2"/>
      <c r="D4684" s="2"/>
      <c r="I4684" s="9"/>
      <c r="J4684" s="2"/>
      <c r="L4684" s="9"/>
      <c r="M4684" s="2"/>
      <c r="N4684" s="9"/>
      <c r="P4684" s="3">
        <v>854.96531160999996</v>
      </c>
      <c r="S4684" s="9"/>
      <c r="T4684" s="2"/>
      <c r="U4684" s="9"/>
    </row>
    <row r="4685" spans="2:21" x14ac:dyDescent="0.35">
      <c r="B4685" s="9"/>
      <c r="C4685" s="2"/>
      <c r="D4685" s="2"/>
      <c r="I4685" s="9"/>
      <c r="J4685" s="2"/>
      <c r="L4685" s="9"/>
      <c r="M4685" s="2"/>
      <c r="N4685" s="9"/>
      <c r="P4685" s="3">
        <v>869.96406161000004</v>
      </c>
      <c r="S4685" s="9"/>
      <c r="T4685" s="2"/>
      <c r="U4685" s="9"/>
    </row>
    <row r="4686" spans="2:21" x14ac:dyDescent="0.35">
      <c r="B4686" s="9"/>
      <c r="C4686" s="2"/>
      <c r="D4686" s="2"/>
      <c r="I4686" s="9"/>
      <c r="J4686" s="2"/>
      <c r="L4686" s="9"/>
      <c r="M4686" s="2"/>
      <c r="N4686" s="9"/>
      <c r="P4686" s="3">
        <v>820.71420161000003</v>
      </c>
      <c r="S4686" s="9"/>
      <c r="T4686" s="2"/>
      <c r="U4686" s="9"/>
    </row>
    <row r="4687" spans="2:21" x14ac:dyDescent="0.35">
      <c r="B4687" s="9"/>
      <c r="C4687" s="2"/>
      <c r="D4687" s="2"/>
      <c r="I4687" s="9"/>
      <c r="J4687" s="2"/>
      <c r="L4687" s="9"/>
      <c r="M4687" s="2"/>
      <c r="N4687" s="9"/>
      <c r="P4687" s="3">
        <v>821.04293160999998</v>
      </c>
      <c r="S4687" s="9"/>
      <c r="T4687" s="2"/>
      <c r="U4687" s="9"/>
    </row>
    <row r="4688" spans="2:21" x14ac:dyDescent="0.35">
      <c r="B4688" s="9"/>
      <c r="C4688" s="2"/>
      <c r="D4688" s="2"/>
      <c r="I4688" s="9"/>
      <c r="J4688" s="2"/>
      <c r="L4688" s="9"/>
      <c r="M4688" s="2"/>
      <c r="N4688" s="9"/>
      <c r="P4688" s="3">
        <v>842.35642160999998</v>
      </c>
      <c r="S4688" s="9"/>
      <c r="T4688" s="2"/>
      <c r="U4688" s="9"/>
    </row>
    <row r="4689" spans="2:21" x14ac:dyDescent="0.35">
      <c r="B4689" s="9"/>
      <c r="C4689" s="2"/>
      <c r="D4689" s="2"/>
      <c r="I4689" s="9"/>
      <c r="J4689" s="2"/>
      <c r="L4689" s="9"/>
      <c r="M4689" s="2"/>
      <c r="N4689" s="9"/>
      <c r="P4689" s="3">
        <v>855.72785161000002</v>
      </c>
      <c r="S4689" s="9"/>
      <c r="T4689" s="2"/>
      <c r="U4689" s="9"/>
    </row>
    <row r="4690" spans="2:21" x14ac:dyDescent="0.35">
      <c r="B4690" s="9"/>
      <c r="C4690" s="2"/>
      <c r="D4690" s="2"/>
      <c r="I4690" s="9"/>
      <c r="J4690" s="2"/>
      <c r="L4690" s="9"/>
      <c r="M4690" s="2"/>
      <c r="N4690" s="9"/>
      <c r="P4690" s="3">
        <v>869.58989161</v>
      </c>
      <c r="S4690" s="9"/>
      <c r="T4690" s="2"/>
      <c r="U4690" s="9"/>
    </row>
    <row r="4691" spans="2:21" x14ac:dyDescent="0.35">
      <c r="B4691" s="9"/>
      <c r="C4691" s="2"/>
      <c r="D4691" s="2"/>
      <c r="I4691" s="9"/>
      <c r="J4691" s="2"/>
      <c r="L4691" s="9"/>
      <c r="M4691" s="2"/>
      <c r="N4691" s="9"/>
      <c r="P4691" s="3">
        <v>886.06970161000004</v>
      </c>
      <c r="S4691" s="9"/>
      <c r="T4691" s="2"/>
      <c r="U4691" s="9"/>
    </row>
    <row r="4692" spans="2:21" x14ac:dyDescent="0.35">
      <c r="B4692" s="9"/>
      <c r="C4692" s="2"/>
      <c r="D4692" s="2"/>
      <c r="I4692" s="9"/>
      <c r="J4692" s="2"/>
      <c r="L4692" s="9"/>
      <c r="M4692" s="2"/>
      <c r="N4692" s="9"/>
      <c r="P4692" s="3">
        <v>867.92210161000003</v>
      </c>
      <c r="S4692" s="9"/>
      <c r="T4692" s="2"/>
      <c r="U4692" s="9"/>
    </row>
    <row r="4693" spans="2:21" x14ac:dyDescent="0.35">
      <c r="B4693" s="9"/>
      <c r="C4693" s="2"/>
      <c r="D4693" s="2"/>
      <c r="I4693" s="9"/>
      <c r="J4693" s="2"/>
      <c r="L4693" s="9"/>
      <c r="M4693" s="2"/>
      <c r="N4693" s="9"/>
      <c r="P4693" s="3">
        <v>433.16210160999998</v>
      </c>
      <c r="S4693" s="9"/>
      <c r="T4693" s="2"/>
      <c r="U4693" s="9"/>
    </row>
    <row r="4694" spans="2:21" x14ac:dyDescent="0.35">
      <c r="B4694" s="9"/>
      <c r="C4694" s="2"/>
      <c r="D4694" s="2"/>
      <c r="I4694" s="9"/>
      <c r="J4694" s="2"/>
      <c r="L4694" s="9"/>
      <c r="M4694" s="2"/>
      <c r="N4694" s="9"/>
      <c r="P4694" s="3">
        <v>-1.5978983899999999</v>
      </c>
      <c r="S4694" s="9"/>
      <c r="T4694" s="2"/>
      <c r="U4694" s="9"/>
    </row>
    <row r="4695" spans="2:21" x14ac:dyDescent="0.35">
      <c r="B4695" s="9"/>
      <c r="C4695" s="2"/>
      <c r="D4695" s="2"/>
      <c r="I4695" s="9"/>
      <c r="J4695" s="2"/>
      <c r="L4695" s="9"/>
      <c r="M4695" s="2"/>
      <c r="N4695" s="9"/>
      <c r="P4695" s="3">
        <v>-436.35789839</v>
      </c>
      <c r="S4695" s="9"/>
      <c r="T4695" s="2"/>
      <c r="U4695" s="9"/>
    </row>
    <row r="4696" spans="2:21" x14ac:dyDescent="0.35">
      <c r="B4696" s="9"/>
      <c r="C4696" s="2"/>
      <c r="D4696" s="2"/>
      <c r="I4696" s="9"/>
      <c r="J4696" s="2"/>
      <c r="L4696" s="9"/>
      <c r="M4696" s="2"/>
      <c r="N4696" s="9"/>
      <c r="P4696" s="3">
        <v>-869.52</v>
      </c>
      <c r="S4696" s="9"/>
      <c r="T4696" s="2"/>
      <c r="U4696" s="9"/>
    </row>
    <row r="4697" spans="2:21" x14ac:dyDescent="0.35">
      <c r="B4697" s="9"/>
      <c r="C4697" s="2"/>
      <c r="D4697" s="2"/>
      <c r="I4697" s="9"/>
      <c r="J4697" s="2"/>
      <c r="L4697" s="9"/>
      <c r="M4697" s="2"/>
      <c r="N4697" s="9"/>
      <c r="P4697" s="3">
        <v>-434.76</v>
      </c>
      <c r="S4697" s="9"/>
      <c r="T4697" s="2"/>
      <c r="U4697" s="9"/>
    </row>
    <row r="4698" spans="2:21" x14ac:dyDescent="0.35">
      <c r="B4698" s="9"/>
      <c r="C4698" s="2"/>
      <c r="D4698" s="2"/>
      <c r="I4698" s="9"/>
      <c r="J4698" s="2"/>
      <c r="L4698" s="9"/>
      <c r="M4698" s="2"/>
      <c r="N4698" s="9"/>
      <c r="P4698" s="3">
        <v>0</v>
      </c>
      <c r="S4698" s="9"/>
      <c r="T4698" s="2"/>
      <c r="U4698" s="9"/>
    </row>
    <row r="4699" spans="2:21" x14ac:dyDescent="0.35">
      <c r="B4699" s="9"/>
      <c r="C4699" s="2"/>
      <c r="D4699" s="2"/>
      <c r="I4699" s="9"/>
      <c r="J4699" s="2"/>
      <c r="L4699" s="9"/>
      <c r="M4699" s="2"/>
      <c r="N4699" s="9"/>
      <c r="P4699" s="3">
        <v>0</v>
      </c>
      <c r="S4699" s="9"/>
      <c r="T4699" s="2"/>
      <c r="U4699" s="9"/>
    </row>
    <row r="4700" spans="2:21" x14ac:dyDescent="0.35">
      <c r="B4700" s="9"/>
      <c r="C4700" s="2"/>
      <c r="D4700" s="2"/>
      <c r="I4700" s="9"/>
      <c r="J4700" s="2"/>
      <c r="L4700" s="9"/>
      <c r="M4700" s="2"/>
      <c r="N4700" s="9"/>
      <c r="P4700" s="3">
        <v>0</v>
      </c>
      <c r="S4700" s="9"/>
      <c r="T4700" s="2"/>
      <c r="U4700" s="9"/>
    </row>
    <row r="4701" spans="2:21" x14ac:dyDescent="0.35">
      <c r="B4701" s="9"/>
      <c r="C4701" s="2"/>
      <c r="D4701" s="2"/>
      <c r="I4701" s="9"/>
      <c r="J4701" s="2"/>
      <c r="L4701" s="9"/>
      <c r="M4701" s="2"/>
      <c r="N4701" s="9"/>
      <c r="P4701" s="3">
        <v>0</v>
      </c>
      <c r="S4701" s="9"/>
      <c r="T4701" s="2"/>
      <c r="U4701" s="9"/>
    </row>
    <row r="4702" spans="2:21" x14ac:dyDescent="0.35">
      <c r="B4702" s="9"/>
      <c r="C4702" s="2"/>
      <c r="D4702" s="2"/>
      <c r="I4702" s="9"/>
      <c r="J4702" s="2"/>
      <c r="L4702" s="9"/>
      <c r="M4702" s="2"/>
      <c r="N4702" s="9"/>
      <c r="P4702" s="3">
        <v>-345.90600839000001</v>
      </c>
      <c r="S4702" s="9"/>
      <c r="T4702" s="2"/>
      <c r="U4702" s="9"/>
    </row>
    <row r="4703" spans="2:21" x14ac:dyDescent="0.35">
      <c r="B4703" s="9"/>
      <c r="C4703" s="2"/>
      <c r="D4703" s="2"/>
      <c r="I4703" s="9"/>
      <c r="J4703" s="2"/>
      <c r="L4703" s="9"/>
      <c r="M4703" s="2"/>
      <c r="N4703" s="9"/>
      <c r="P4703" s="3">
        <v>-780.66600839</v>
      </c>
      <c r="S4703" s="9"/>
      <c r="T4703" s="2"/>
      <c r="U4703" s="9"/>
    </row>
    <row r="4704" spans="2:21" x14ac:dyDescent="0.35">
      <c r="B4704" s="9"/>
      <c r="C4704" s="2"/>
      <c r="D4704" s="2"/>
      <c r="I4704" s="9"/>
      <c r="J4704" s="2"/>
      <c r="L4704" s="9"/>
      <c r="M4704" s="2"/>
      <c r="N4704" s="9"/>
      <c r="P4704" s="3">
        <v>-345.90600839000001</v>
      </c>
      <c r="S4704" s="9"/>
      <c r="T4704" s="2"/>
      <c r="U4704" s="9"/>
    </row>
    <row r="4705" spans="2:21" x14ac:dyDescent="0.35">
      <c r="B4705" s="9"/>
      <c r="C4705" s="2"/>
      <c r="D4705" s="2"/>
      <c r="I4705" s="9"/>
      <c r="J4705" s="2"/>
      <c r="L4705" s="9"/>
      <c r="M4705" s="2"/>
      <c r="N4705" s="9"/>
      <c r="P4705" s="3">
        <v>88.853991609999994</v>
      </c>
      <c r="S4705" s="9"/>
      <c r="T4705" s="2"/>
      <c r="U4705" s="9"/>
    </row>
    <row r="4706" spans="2:21" x14ac:dyDescent="0.35">
      <c r="B4706" s="9"/>
      <c r="C4706" s="2"/>
      <c r="D4706" s="2"/>
      <c r="I4706" s="9"/>
      <c r="J4706" s="2"/>
      <c r="L4706" s="9"/>
      <c r="M4706" s="2"/>
      <c r="N4706" s="9"/>
      <c r="P4706" s="3">
        <v>523.61399160999997</v>
      </c>
      <c r="S4706" s="9"/>
      <c r="T4706" s="2"/>
      <c r="U4706" s="9"/>
    </row>
    <row r="4707" spans="2:21" x14ac:dyDescent="0.35">
      <c r="B4707" s="9"/>
      <c r="C4707" s="2"/>
      <c r="D4707" s="2"/>
      <c r="I4707" s="9"/>
      <c r="J4707" s="2"/>
      <c r="L4707" s="9"/>
      <c r="M4707" s="2"/>
      <c r="N4707" s="9"/>
      <c r="P4707" s="3">
        <v>713.35510161000002</v>
      </c>
      <c r="S4707" s="9"/>
      <c r="T4707" s="2"/>
      <c r="U4707" s="9"/>
    </row>
    <row r="4708" spans="2:21" x14ac:dyDescent="0.35">
      <c r="B4708" s="9"/>
      <c r="C4708" s="2"/>
      <c r="D4708" s="2"/>
      <c r="I4708" s="9"/>
      <c r="J4708" s="2"/>
      <c r="L4708" s="9"/>
      <c r="M4708" s="2"/>
      <c r="N4708" s="9"/>
      <c r="P4708" s="3">
        <v>828.54479160999995</v>
      </c>
      <c r="S4708" s="9"/>
      <c r="T4708" s="2"/>
      <c r="U4708" s="9"/>
    </row>
    <row r="4709" spans="2:21" x14ac:dyDescent="0.35">
      <c r="B4709" s="9"/>
      <c r="C4709" s="2"/>
      <c r="D4709" s="2"/>
      <c r="I4709" s="9"/>
      <c r="J4709" s="2"/>
      <c r="L4709" s="9"/>
      <c r="M4709" s="2"/>
      <c r="N4709" s="9"/>
      <c r="P4709" s="3">
        <v>859.40991160999999</v>
      </c>
      <c r="S4709" s="9"/>
      <c r="T4709" s="2"/>
      <c r="U4709" s="9"/>
    </row>
    <row r="4710" spans="2:21" x14ac:dyDescent="0.35">
      <c r="B4710" s="9"/>
      <c r="C4710" s="2"/>
      <c r="D4710" s="2"/>
      <c r="I4710" s="9"/>
      <c r="J4710" s="2"/>
      <c r="L4710" s="9"/>
      <c r="M4710" s="2"/>
      <c r="N4710" s="9"/>
      <c r="P4710" s="3">
        <v>567.82891113999995</v>
      </c>
      <c r="S4710" s="9"/>
      <c r="T4710" s="2"/>
      <c r="U4710" s="9"/>
    </row>
    <row r="4711" spans="2:21" x14ac:dyDescent="0.35">
      <c r="B4711" s="9"/>
      <c r="C4711" s="2"/>
      <c r="D4711" s="2"/>
      <c r="I4711" s="9"/>
      <c r="J4711" s="2"/>
      <c r="L4711" s="9"/>
      <c r="M4711" s="2"/>
      <c r="N4711" s="9"/>
      <c r="P4711" s="3">
        <v>550.51414113999999</v>
      </c>
      <c r="S4711" s="9"/>
      <c r="T4711" s="2"/>
      <c r="U4711" s="9"/>
    </row>
    <row r="4712" spans="2:21" x14ac:dyDescent="0.35">
      <c r="B4712" s="9"/>
      <c r="C4712" s="2"/>
      <c r="D4712" s="2"/>
      <c r="I4712" s="9"/>
      <c r="J4712" s="2"/>
      <c r="L4712" s="9"/>
      <c r="M4712" s="2"/>
      <c r="N4712" s="9"/>
      <c r="P4712" s="3">
        <v>562.68638113999998</v>
      </c>
      <c r="S4712" s="9"/>
      <c r="T4712" s="2"/>
      <c r="U4712" s="9"/>
    </row>
    <row r="4713" spans="2:21" x14ac:dyDescent="0.35">
      <c r="B4713" s="9"/>
      <c r="C4713" s="2"/>
      <c r="D4713" s="2"/>
      <c r="I4713" s="9"/>
      <c r="J4713" s="2"/>
      <c r="L4713" s="9"/>
      <c r="M4713" s="2"/>
      <c r="N4713" s="9"/>
      <c r="P4713" s="3">
        <v>557.05466114000001</v>
      </c>
      <c r="S4713" s="9"/>
      <c r="T4713" s="2"/>
      <c r="U4713" s="9"/>
    </row>
    <row r="4714" spans="2:21" x14ac:dyDescent="0.35">
      <c r="B4714" s="9"/>
      <c r="C4714" s="2"/>
      <c r="D4714" s="2"/>
      <c r="I4714" s="9"/>
      <c r="J4714" s="2"/>
      <c r="L4714" s="9"/>
      <c r="M4714" s="2"/>
      <c r="N4714" s="9"/>
      <c r="P4714" s="3">
        <v>553.16670113999999</v>
      </c>
      <c r="S4714" s="9"/>
      <c r="T4714" s="2"/>
      <c r="U4714" s="9"/>
    </row>
    <row r="4715" spans="2:21" x14ac:dyDescent="0.35">
      <c r="B4715" s="9"/>
      <c r="C4715" s="2"/>
      <c r="D4715" s="2"/>
      <c r="I4715" s="9"/>
      <c r="J4715" s="2"/>
      <c r="L4715" s="9"/>
      <c r="M4715" s="2"/>
      <c r="N4715" s="9"/>
      <c r="P4715" s="3">
        <v>655.61179761999995</v>
      </c>
      <c r="S4715" s="9"/>
      <c r="T4715" s="2"/>
      <c r="U4715" s="9"/>
    </row>
    <row r="4716" spans="2:21" x14ac:dyDescent="0.35">
      <c r="B4716" s="9"/>
      <c r="C4716" s="2"/>
      <c r="D4716" s="2"/>
      <c r="I4716" s="9"/>
      <c r="J4716" s="2"/>
      <c r="L4716" s="9"/>
      <c r="M4716" s="2"/>
      <c r="N4716" s="9"/>
      <c r="P4716" s="3">
        <v>688.23762409999995</v>
      </c>
      <c r="S4716" s="9"/>
      <c r="T4716" s="2"/>
      <c r="U4716" s="9"/>
    </row>
    <row r="4717" spans="2:21" x14ac:dyDescent="0.35">
      <c r="B4717" s="9"/>
      <c r="C4717" s="2"/>
      <c r="D4717" s="2"/>
      <c r="I4717" s="9"/>
      <c r="J4717" s="2"/>
      <c r="L4717" s="9"/>
      <c r="M4717" s="2"/>
      <c r="N4717" s="9"/>
      <c r="P4717" s="3">
        <v>253.47762410000001</v>
      </c>
      <c r="S4717" s="9"/>
      <c r="T4717" s="2"/>
      <c r="U4717" s="9"/>
    </row>
    <row r="4718" spans="2:21" x14ac:dyDescent="0.35">
      <c r="B4718" s="9"/>
      <c r="C4718" s="2"/>
      <c r="D4718" s="2"/>
      <c r="I4718" s="9"/>
      <c r="J4718" s="2"/>
      <c r="L4718" s="9"/>
      <c r="M4718" s="2"/>
      <c r="N4718" s="9"/>
      <c r="P4718" s="3">
        <v>-181.28237590000001</v>
      </c>
      <c r="S4718" s="9"/>
      <c r="T4718" s="2"/>
      <c r="U4718" s="9"/>
    </row>
    <row r="4719" spans="2:21" x14ac:dyDescent="0.35">
      <c r="B4719" s="9"/>
      <c r="C4719" s="2"/>
      <c r="D4719" s="2"/>
      <c r="I4719" s="9"/>
      <c r="J4719" s="2"/>
      <c r="L4719" s="9"/>
      <c r="M4719" s="2"/>
      <c r="N4719" s="9"/>
      <c r="P4719" s="3">
        <v>0</v>
      </c>
      <c r="S4719" s="9"/>
      <c r="T4719" s="2"/>
      <c r="U4719" s="9"/>
    </row>
    <row r="4720" spans="2:21" x14ac:dyDescent="0.35">
      <c r="B4720" s="9"/>
      <c r="C4720" s="2"/>
      <c r="D4720" s="2"/>
      <c r="I4720" s="9"/>
      <c r="J4720" s="2"/>
      <c r="L4720" s="9"/>
      <c r="M4720" s="2"/>
      <c r="N4720" s="9"/>
      <c r="P4720" s="3">
        <v>0</v>
      </c>
      <c r="S4720" s="9"/>
      <c r="T4720" s="2"/>
      <c r="U4720" s="9"/>
    </row>
    <row r="4721" spans="2:21" x14ac:dyDescent="0.35">
      <c r="B4721" s="9"/>
      <c r="C4721" s="2"/>
      <c r="D4721" s="2"/>
      <c r="I4721" s="9"/>
      <c r="J4721" s="2"/>
      <c r="L4721" s="9"/>
      <c r="M4721" s="2"/>
      <c r="N4721" s="9"/>
      <c r="P4721" s="3">
        <v>0</v>
      </c>
      <c r="S4721" s="9"/>
      <c r="T4721" s="2"/>
      <c r="U4721" s="9"/>
    </row>
    <row r="4722" spans="2:21" x14ac:dyDescent="0.35">
      <c r="B4722" s="9"/>
      <c r="C4722" s="2"/>
      <c r="D4722" s="2"/>
      <c r="I4722" s="9"/>
      <c r="J4722" s="2"/>
      <c r="L4722" s="9"/>
      <c r="M4722" s="2"/>
      <c r="N4722" s="9"/>
      <c r="P4722" s="3">
        <v>0</v>
      </c>
      <c r="S4722" s="9"/>
      <c r="T4722" s="2"/>
      <c r="U4722" s="9"/>
    </row>
    <row r="4723" spans="2:21" x14ac:dyDescent="0.35">
      <c r="B4723" s="9"/>
      <c r="C4723" s="2"/>
      <c r="D4723" s="2"/>
      <c r="I4723" s="9"/>
      <c r="J4723" s="2"/>
      <c r="L4723" s="9"/>
      <c r="M4723" s="2"/>
      <c r="N4723" s="9"/>
      <c r="P4723" s="3">
        <v>0</v>
      </c>
      <c r="S4723" s="9"/>
      <c r="T4723" s="2"/>
      <c r="U4723" s="9"/>
    </row>
    <row r="4724" spans="2:21" x14ac:dyDescent="0.35">
      <c r="B4724" s="9"/>
      <c r="C4724" s="2"/>
      <c r="D4724" s="2"/>
      <c r="I4724" s="9"/>
      <c r="J4724" s="2"/>
      <c r="L4724" s="9"/>
      <c r="M4724" s="2"/>
      <c r="N4724" s="9"/>
      <c r="P4724" s="3">
        <v>0</v>
      </c>
      <c r="S4724" s="9"/>
      <c r="T4724" s="2"/>
      <c r="U4724" s="9"/>
    </row>
    <row r="4725" spans="2:21" x14ac:dyDescent="0.35">
      <c r="B4725" s="9"/>
      <c r="C4725" s="2"/>
      <c r="D4725" s="2"/>
      <c r="I4725" s="9"/>
      <c r="J4725" s="2"/>
      <c r="L4725" s="9"/>
      <c r="M4725" s="2"/>
      <c r="N4725" s="9"/>
      <c r="P4725" s="3">
        <v>-222.78324773</v>
      </c>
      <c r="S4725" s="9"/>
      <c r="T4725" s="2"/>
      <c r="U4725" s="9"/>
    </row>
    <row r="4726" spans="2:21" x14ac:dyDescent="0.35">
      <c r="B4726" s="9"/>
      <c r="C4726" s="2"/>
      <c r="D4726" s="2"/>
      <c r="I4726" s="9"/>
      <c r="J4726" s="2"/>
      <c r="L4726" s="9"/>
      <c r="M4726" s="2"/>
      <c r="N4726" s="9"/>
      <c r="P4726" s="3">
        <v>-657.54324772999996</v>
      </c>
      <c r="S4726" s="9"/>
      <c r="T4726" s="2"/>
      <c r="U4726" s="9"/>
    </row>
    <row r="4727" spans="2:21" x14ac:dyDescent="0.35">
      <c r="B4727" s="9"/>
      <c r="C4727" s="2"/>
      <c r="D4727" s="2"/>
      <c r="I4727" s="9"/>
      <c r="J4727" s="2"/>
      <c r="L4727" s="9"/>
      <c r="M4727" s="2"/>
      <c r="N4727" s="9"/>
      <c r="P4727" s="3">
        <v>-1092.3032477300001</v>
      </c>
      <c r="S4727" s="9"/>
      <c r="T4727" s="2"/>
      <c r="U4727" s="9"/>
    </row>
    <row r="4728" spans="2:21" x14ac:dyDescent="0.35">
      <c r="B4728" s="9"/>
      <c r="C4728" s="2"/>
      <c r="D4728" s="2"/>
      <c r="I4728" s="9"/>
      <c r="J4728" s="2"/>
      <c r="L4728" s="9"/>
      <c r="M4728" s="2"/>
      <c r="N4728" s="9"/>
      <c r="P4728" s="3">
        <v>-1527.0632477300001</v>
      </c>
      <c r="S4728" s="9"/>
      <c r="T4728" s="2"/>
      <c r="U4728" s="9"/>
    </row>
    <row r="4729" spans="2:21" x14ac:dyDescent="0.35">
      <c r="B4729" s="9"/>
      <c r="C4729" s="2"/>
      <c r="D4729" s="2"/>
      <c r="I4729" s="9"/>
      <c r="J4729" s="2"/>
      <c r="L4729" s="9"/>
      <c r="M4729" s="2"/>
      <c r="N4729" s="9"/>
      <c r="P4729" s="3">
        <v>-1961.82324773</v>
      </c>
      <c r="S4729" s="9"/>
      <c r="T4729" s="2"/>
      <c r="U4729" s="9"/>
    </row>
    <row r="4730" spans="2:21" x14ac:dyDescent="0.35">
      <c r="B4730" s="9"/>
      <c r="C4730" s="2"/>
      <c r="D4730" s="2"/>
      <c r="I4730" s="9"/>
      <c r="J4730" s="2"/>
      <c r="L4730" s="9"/>
      <c r="M4730" s="2"/>
      <c r="N4730" s="9"/>
      <c r="P4730" s="3">
        <v>-1600.89068823</v>
      </c>
      <c r="S4730" s="9"/>
      <c r="T4730" s="2"/>
      <c r="U4730" s="9"/>
    </row>
    <row r="4731" spans="2:21" x14ac:dyDescent="0.35">
      <c r="B4731" s="9"/>
      <c r="C4731" s="2"/>
      <c r="D4731" s="2"/>
      <c r="I4731" s="9"/>
      <c r="J4731" s="2"/>
      <c r="L4731" s="9"/>
      <c r="M4731" s="2"/>
      <c r="N4731" s="9"/>
      <c r="P4731" s="3">
        <v>-1571.1453885999999</v>
      </c>
      <c r="S4731" s="9"/>
      <c r="T4731" s="2"/>
      <c r="U4731" s="9"/>
    </row>
    <row r="4732" spans="2:21" x14ac:dyDescent="0.35">
      <c r="B4732" s="9"/>
      <c r="C4732" s="2"/>
      <c r="D4732" s="2"/>
      <c r="I4732" s="9"/>
      <c r="J4732" s="2"/>
      <c r="L4732" s="9"/>
      <c r="M4732" s="2"/>
      <c r="N4732" s="9"/>
      <c r="P4732" s="3">
        <v>-1215.79900886</v>
      </c>
      <c r="S4732" s="9"/>
      <c r="T4732" s="2"/>
      <c r="U4732" s="9"/>
    </row>
    <row r="4733" spans="2:21" x14ac:dyDescent="0.35">
      <c r="B4733" s="9"/>
      <c r="C4733" s="2"/>
      <c r="D4733" s="2"/>
      <c r="I4733" s="9"/>
      <c r="J4733" s="2"/>
      <c r="L4733" s="9"/>
      <c r="M4733" s="2"/>
      <c r="N4733" s="9"/>
      <c r="P4733" s="3">
        <v>-1223.0275188600001</v>
      </c>
      <c r="S4733" s="9"/>
      <c r="T4733" s="2"/>
      <c r="U4733" s="9"/>
    </row>
    <row r="4734" spans="2:21" x14ac:dyDescent="0.35">
      <c r="B4734" s="9"/>
      <c r="C4734" s="2"/>
      <c r="D4734" s="2"/>
      <c r="I4734" s="9"/>
      <c r="J4734" s="2"/>
      <c r="L4734" s="9"/>
      <c r="M4734" s="2"/>
      <c r="N4734" s="9"/>
      <c r="P4734" s="3">
        <v>-1196.0972188600001</v>
      </c>
      <c r="S4734" s="9"/>
      <c r="T4734" s="2"/>
      <c r="U4734" s="9"/>
    </row>
    <row r="4735" spans="2:21" x14ac:dyDescent="0.35">
      <c r="B4735" s="9"/>
      <c r="C4735" s="2"/>
      <c r="D4735" s="2"/>
      <c r="I4735" s="9"/>
      <c r="J4735" s="2"/>
      <c r="L4735" s="9"/>
      <c r="M4735" s="2"/>
      <c r="N4735" s="9"/>
      <c r="P4735" s="3">
        <v>-1172.2653588600001</v>
      </c>
      <c r="S4735" s="9"/>
      <c r="T4735" s="2"/>
      <c r="U4735" s="9"/>
    </row>
    <row r="4736" spans="2:21" x14ac:dyDescent="0.35">
      <c r="B4736" s="9"/>
      <c r="C4736" s="2"/>
      <c r="D4736" s="2"/>
      <c r="I4736" s="9"/>
      <c r="J4736" s="2"/>
      <c r="L4736" s="9"/>
      <c r="M4736" s="2"/>
      <c r="N4736" s="9"/>
      <c r="P4736" s="3">
        <v>-1128.21837886</v>
      </c>
      <c r="S4736" s="9"/>
      <c r="T4736" s="2"/>
      <c r="U4736" s="9"/>
    </row>
    <row r="4737" spans="2:21" x14ac:dyDescent="0.35">
      <c r="B4737" s="9"/>
      <c r="C4737" s="2"/>
      <c r="D4737" s="2"/>
      <c r="I4737" s="9"/>
      <c r="J4737" s="2"/>
      <c r="L4737" s="9"/>
      <c r="M4737" s="2"/>
      <c r="N4737" s="9"/>
      <c r="P4737" s="3">
        <v>-1017.5627488600001</v>
      </c>
      <c r="S4737" s="9"/>
      <c r="T4737" s="2"/>
      <c r="U4737" s="9"/>
    </row>
    <row r="4738" spans="2:21" x14ac:dyDescent="0.35">
      <c r="B4738" s="9"/>
      <c r="C4738" s="2"/>
      <c r="D4738" s="2"/>
      <c r="I4738" s="9"/>
      <c r="J4738" s="2"/>
      <c r="L4738" s="9"/>
      <c r="M4738" s="2"/>
      <c r="N4738" s="9"/>
      <c r="P4738" s="3">
        <v>-976.21518886000001</v>
      </c>
      <c r="S4738" s="9"/>
      <c r="T4738" s="2"/>
      <c r="U4738" s="9"/>
    </row>
    <row r="4739" spans="2:21" x14ac:dyDescent="0.35">
      <c r="B4739" s="9"/>
      <c r="C4739" s="2"/>
      <c r="D4739" s="2"/>
      <c r="I4739" s="9"/>
      <c r="J4739" s="2"/>
      <c r="L4739" s="9"/>
      <c r="M4739" s="2"/>
      <c r="N4739" s="9"/>
      <c r="P4739" s="3">
        <v>-839.01985237999997</v>
      </c>
      <c r="S4739" s="9"/>
      <c r="T4739" s="2"/>
      <c r="U4739" s="9"/>
    </row>
    <row r="4740" spans="2:21" x14ac:dyDescent="0.35">
      <c r="B4740" s="9"/>
      <c r="C4740" s="2"/>
      <c r="D4740" s="2"/>
      <c r="I4740" s="9"/>
      <c r="J4740" s="2"/>
      <c r="L4740" s="9"/>
      <c r="M4740" s="2"/>
      <c r="N4740" s="9"/>
      <c r="P4740" s="3">
        <v>-791.30723590000002</v>
      </c>
      <c r="S4740" s="9"/>
      <c r="T4740" s="2"/>
      <c r="U4740" s="9"/>
    </row>
    <row r="4741" spans="2:21" x14ac:dyDescent="0.35">
      <c r="B4741" s="9"/>
      <c r="C4741" s="2"/>
      <c r="D4741" s="2"/>
      <c r="I4741" s="9"/>
      <c r="J4741" s="2"/>
      <c r="L4741" s="9"/>
      <c r="M4741" s="2"/>
      <c r="N4741" s="9"/>
      <c r="P4741" s="3">
        <v>-1226.0672359</v>
      </c>
      <c r="S4741" s="9"/>
      <c r="T4741" s="2"/>
      <c r="U4741" s="9"/>
    </row>
    <row r="4742" spans="2:21" x14ac:dyDescent="0.35">
      <c r="B4742" s="9"/>
      <c r="C4742" s="2"/>
      <c r="D4742" s="2"/>
      <c r="I4742" s="9"/>
      <c r="J4742" s="2"/>
      <c r="L4742" s="9"/>
      <c r="M4742" s="2"/>
      <c r="N4742" s="9"/>
      <c r="P4742" s="3">
        <v>-791.30723590000002</v>
      </c>
      <c r="S4742" s="9"/>
      <c r="T4742" s="2"/>
      <c r="U4742" s="9"/>
    </row>
    <row r="4743" spans="2:21" x14ac:dyDescent="0.35">
      <c r="B4743" s="9"/>
      <c r="C4743" s="2"/>
      <c r="D4743" s="2"/>
      <c r="I4743" s="9"/>
      <c r="J4743" s="2"/>
      <c r="L4743" s="9"/>
      <c r="M4743" s="2"/>
      <c r="N4743" s="9"/>
      <c r="P4743" s="3">
        <v>-356.54723589999998</v>
      </c>
      <c r="S4743" s="9"/>
      <c r="T4743" s="2"/>
      <c r="U4743" s="9"/>
    </row>
    <row r="4744" spans="2:21" x14ac:dyDescent="0.35">
      <c r="B4744" s="9"/>
      <c r="C4744" s="2"/>
      <c r="D4744" s="2"/>
      <c r="I4744" s="9"/>
      <c r="J4744" s="2"/>
      <c r="L4744" s="9"/>
      <c r="M4744" s="2"/>
      <c r="N4744" s="9"/>
      <c r="P4744" s="3">
        <v>0</v>
      </c>
      <c r="S4744" s="9"/>
      <c r="T4744" s="2"/>
      <c r="U4744" s="9"/>
    </row>
    <row r="4745" spans="2:21" x14ac:dyDescent="0.35">
      <c r="B4745" s="9"/>
      <c r="C4745" s="2"/>
      <c r="D4745" s="2"/>
      <c r="I4745" s="9"/>
      <c r="J4745" s="2"/>
      <c r="L4745" s="9"/>
      <c r="M4745" s="2"/>
      <c r="N4745" s="9"/>
      <c r="P4745" s="3">
        <v>0</v>
      </c>
      <c r="S4745" s="9"/>
      <c r="T4745" s="2"/>
      <c r="U4745" s="9"/>
    </row>
    <row r="4746" spans="2:21" x14ac:dyDescent="0.35">
      <c r="B4746" s="9"/>
      <c r="C4746" s="2"/>
      <c r="D4746" s="2"/>
      <c r="I4746" s="9"/>
      <c r="J4746" s="2"/>
      <c r="L4746" s="9"/>
      <c r="M4746" s="2"/>
      <c r="N4746" s="9"/>
      <c r="P4746" s="3">
        <v>0</v>
      </c>
      <c r="S4746" s="9"/>
      <c r="T4746" s="2"/>
      <c r="U4746" s="9"/>
    </row>
    <row r="4747" spans="2:21" x14ac:dyDescent="0.35">
      <c r="B4747" s="9"/>
      <c r="C4747" s="2"/>
      <c r="D4747" s="2"/>
      <c r="I4747" s="9"/>
      <c r="J4747" s="2"/>
      <c r="L4747" s="9"/>
      <c r="M4747" s="2"/>
      <c r="N4747" s="9"/>
      <c r="P4747" s="3">
        <v>-251.60949199999999</v>
      </c>
      <c r="S4747" s="9"/>
      <c r="T4747" s="2"/>
      <c r="U4747" s="9"/>
    </row>
    <row r="4748" spans="2:21" x14ac:dyDescent="0.35">
      <c r="B4748" s="9"/>
      <c r="C4748" s="2"/>
      <c r="D4748" s="2"/>
      <c r="I4748" s="9"/>
      <c r="J4748" s="2"/>
      <c r="L4748" s="9"/>
      <c r="M4748" s="2"/>
      <c r="N4748" s="9"/>
      <c r="P4748" s="3">
        <v>-686.36949200000004</v>
      </c>
      <c r="S4748" s="9"/>
      <c r="T4748" s="2"/>
      <c r="U4748" s="9"/>
    </row>
    <row r="4749" spans="2:21" x14ac:dyDescent="0.35">
      <c r="B4749" s="9"/>
      <c r="C4749" s="2"/>
      <c r="D4749" s="2"/>
      <c r="I4749" s="9"/>
      <c r="J4749" s="2"/>
      <c r="L4749" s="9"/>
      <c r="M4749" s="2"/>
      <c r="N4749" s="9"/>
      <c r="P4749" s="3">
        <v>-1121.129492</v>
      </c>
      <c r="S4749" s="9"/>
      <c r="T4749" s="2"/>
      <c r="U4749" s="9"/>
    </row>
    <row r="4750" spans="2:21" x14ac:dyDescent="0.35">
      <c r="B4750" s="9"/>
      <c r="C4750" s="2"/>
      <c r="D4750" s="2"/>
      <c r="I4750" s="9"/>
      <c r="J4750" s="2"/>
      <c r="L4750" s="9"/>
      <c r="M4750" s="2"/>
      <c r="N4750" s="9"/>
      <c r="P4750" s="3">
        <v>-1555.889492</v>
      </c>
      <c r="S4750" s="9"/>
      <c r="T4750" s="2"/>
      <c r="U4750" s="9"/>
    </row>
    <row r="4751" spans="2:21" x14ac:dyDescent="0.35">
      <c r="B4751" s="9"/>
      <c r="C4751" s="2"/>
      <c r="D4751" s="2"/>
      <c r="I4751" s="9"/>
      <c r="J4751" s="2"/>
      <c r="L4751" s="9"/>
      <c r="M4751" s="2"/>
      <c r="N4751" s="9"/>
      <c r="P4751" s="3">
        <v>-1990.649492</v>
      </c>
      <c r="S4751" s="9"/>
      <c r="T4751" s="2"/>
      <c r="U4751" s="9"/>
    </row>
    <row r="4752" spans="2:21" x14ac:dyDescent="0.35">
      <c r="B4752" s="9"/>
      <c r="C4752" s="2"/>
      <c r="D4752" s="2"/>
      <c r="I4752" s="9"/>
      <c r="J4752" s="2"/>
      <c r="L4752" s="9"/>
      <c r="M4752" s="2"/>
      <c r="N4752" s="9"/>
      <c r="P4752" s="3">
        <v>-2425.4094919999998</v>
      </c>
      <c r="S4752" s="9"/>
      <c r="T4752" s="2"/>
      <c r="U4752" s="9"/>
    </row>
    <row r="4753" spans="2:21" x14ac:dyDescent="0.35">
      <c r="B4753" s="9"/>
      <c r="C4753" s="2"/>
      <c r="D4753" s="2"/>
      <c r="I4753" s="9"/>
      <c r="J4753" s="2"/>
      <c r="L4753" s="9"/>
      <c r="M4753" s="2"/>
      <c r="N4753" s="9"/>
      <c r="P4753" s="3">
        <v>-2860.169492</v>
      </c>
      <c r="S4753" s="9"/>
      <c r="T4753" s="2"/>
      <c r="U4753" s="9"/>
    </row>
    <row r="4754" spans="2:21" x14ac:dyDescent="0.35">
      <c r="B4754" s="9"/>
      <c r="C4754" s="2"/>
      <c r="D4754" s="2"/>
      <c r="I4754" s="9"/>
      <c r="J4754" s="2"/>
      <c r="L4754" s="9"/>
      <c r="M4754" s="2"/>
      <c r="N4754" s="9"/>
      <c r="P4754" s="3">
        <v>-2860.169492</v>
      </c>
      <c r="S4754" s="9"/>
      <c r="T4754" s="2"/>
      <c r="U4754" s="9"/>
    </row>
    <row r="4755" spans="2:21" x14ac:dyDescent="0.35">
      <c r="B4755" s="9"/>
      <c r="C4755" s="2"/>
      <c r="D4755" s="2"/>
      <c r="I4755" s="9"/>
      <c r="J4755" s="2"/>
      <c r="L4755" s="9"/>
      <c r="M4755" s="2"/>
      <c r="N4755" s="9"/>
      <c r="P4755" s="3">
        <v>-2860.169492</v>
      </c>
      <c r="S4755" s="9"/>
      <c r="T4755" s="2"/>
      <c r="U4755" s="9"/>
    </row>
    <row r="4756" spans="2:21" x14ac:dyDescent="0.35">
      <c r="B4756" s="9"/>
      <c r="C4756" s="2"/>
      <c r="D4756" s="2"/>
      <c r="I4756" s="9"/>
      <c r="J4756" s="2"/>
      <c r="L4756" s="9"/>
      <c r="M4756" s="2"/>
      <c r="N4756" s="9"/>
      <c r="P4756" s="3">
        <v>-2791.3294788600001</v>
      </c>
      <c r="S4756" s="9"/>
      <c r="T4756" s="2"/>
      <c r="U4756" s="9"/>
    </row>
    <row r="4757" spans="2:21" x14ac:dyDescent="0.35">
      <c r="B4757" s="9"/>
      <c r="C4757" s="2"/>
      <c r="D4757" s="2"/>
      <c r="I4757" s="9"/>
      <c r="J4757" s="2"/>
      <c r="L4757" s="9"/>
      <c r="M4757" s="2"/>
      <c r="N4757" s="9"/>
      <c r="P4757" s="3">
        <v>-2715.32681886</v>
      </c>
      <c r="S4757" s="9"/>
      <c r="T4757" s="2"/>
      <c r="U4757" s="9"/>
    </row>
    <row r="4758" spans="2:21" x14ac:dyDescent="0.35">
      <c r="B4758" s="9"/>
      <c r="C4758" s="2"/>
      <c r="D4758" s="2"/>
      <c r="I4758" s="9"/>
      <c r="J4758" s="2"/>
      <c r="L4758" s="9"/>
      <c r="M4758" s="2"/>
      <c r="N4758" s="9"/>
      <c r="P4758" s="3">
        <v>-2713.6781988600001</v>
      </c>
      <c r="S4758" s="9"/>
      <c r="T4758" s="2"/>
      <c r="U4758" s="9"/>
    </row>
    <row r="4759" spans="2:21" x14ac:dyDescent="0.35">
      <c r="B4759" s="9"/>
      <c r="C4759" s="2"/>
      <c r="D4759" s="2"/>
      <c r="I4759" s="9"/>
      <c r="J4759" s="2"/>
      <c r="L4759" s="9"/>
      <c r="M4759" s="2"/>
      <c r="N4759" s="9"/>
      <c r="P4759" s="3">
        <v>-2690.8445988600001</v>
      </c>
      <c r="S4759" s="9"/>
      <c r="T4759" s="2"/>
      <c r="U4759" s="9"/>
    </row>
    <row r="4760" spans="2:21" x14ac:dyDescent="0.35">
      <c r="B4760" s="9"/>
      <c r="C4760" s="2"/>
      <c r="D4760" s="2"/>
      <c r="I4760" s="9"/>
      <c r="J4760" s="2"/>
      <c r="L4760" s="9"/>
      <c r="M4760" s="2"/>
      <c r="N4760" s="9"/>
      <c r="P4760" s="3">
        <v>-2689.2186988600001</v>
      </c>
      <c r="S4760" s="9"/>
      <c r="T4760" s="2"/>
      <c r="U4760" s="9"/>
    </row>
    <row r="4761" spans="2:21" x14ac:dyDescent="0.35">
      <c r="B4761" s="9"/>
      <c r="C4761" s="2"/>
      <c r="D4761" s="2"/>
      <c r="I4761" s="9"/>
      <c r="J4761" s="2"/>
      <c r="L4761" s="9"/>
      <c r="M4761" s="2"/>
      <c r="N4761" s="9"/>
      <c r="P4761" s="3">
        <v>-2669.9024388600001</v>
      </c>
      <c r="S4761" s="9"/>
      <c r="T4761" s="2"/>
      <c r="U4761" s="9"/>
    </row>
    <row r="4762" spans="2:21" x14ac:dyDescent="0.35">
      <c r="B4762" s="9"/>
      <c r="C4762" s="2"/>
      <c r="D4762" s="2"/>
      <c r="I4762" s="9"/>
      <c r="J4762" s="2"/>
      <c r="L4762" s="9"/>
      <c r="M4762" s="2"/>
      <c r="N4762" s="9"/>
      <c r="P4762" s="3">
        <v>-2591.5383188599999</v>
      </c>
      <c r="S4762" s="9"/>
      <c r="T4762" s="2"/>
      <c r="U4762" s="9"/>
    </row>
    <row r="4763" spans="2:21" x14ac:dyDescent="0.35">
      <c r="B4763" s="9"/>
      <c r="C4763" s="2"/>
      <c r="D4763" s="2"/>
      <c r="I4763" s="9"/>
      <c r="J4763" s="2"/>
      <c r="L4763" s="9"/>
      <c r="M4763" s="2"/>
      <c r="N4763" s="9"/>
      <c r="P4763" s="3">
        <v>-2404.16870238</v>
      </c>
      <c r="S4763" s="9"/>
      <c r="T4763" s="2"/>
      <c r="U4763" s="9"/>
    </row>
    <row r="4764" spans="2:21" x14ac:dyDescent="0.35">
      <c r="B4764" s="9"/>
      <c r="C4764" s="2"/>
      <c r="D4764" s="2"/>
      <c r="I4764" s="9"/>
      <c r="J4764" s="2"/>
      <c r="L4764" s="9"/>
      <c r="M4764" s="2"/>
      <c r="N4764" s="9"/>
      <c r="P4764" s="3">
        <v>-2333.4811958999999</v>
      </c>
      <c r="S4764" s="9"/>
      <c r="T4764" s="2"/>
      <c r="U4764" s="9"/>
    </row>
    <row r="4765" spans="2:21" x14ac:dyDescent="0.35">
      <c r="B4765" s="9"/>
      <c r="C4765" s="2"/>
      <c r="D4765" s="2"/>
      <c r="I4765" s="9"/>
      <c r="J4765" s="2"/>
      <c r="L4765" s="9"/>
      <c r="M4765" s="2"/>
      <c r="N4765" s="9"/>
      <c r="P4765" s="3">
        <v>-2678.3221934500002</v>
      </c>
      <c r="S4765" s="9"/>
      <c r="T4765" s="2"/>
      <c r="U4765" s="9"/>
    </row>
    <row r="4766" spans="2:21" x14ac:dyDescent="0.35">
      <c r="B4766" s="9"/>
      <c r="C4766" s="2"/>
      <c r="D4766" s="2"/>
      <c r="I4766" s="9"/>
      <c r="J4766" s="2"/>
      <c r="L4766" s="9"/>
      <c r="M4766" s="2"/>
      <c r="N4766" s="9"/>
      <c r="P4766" s="3">
        <v>-2243.56219345</v>
      </c>
      <c r="S4766" s="9"/>
      <c r="T4766" s="2"/>
      <c r="U4766" s="9"/>
    </row>
    <row r="4767" spans="2:21" x14ac:dyDescent="0.35">
      <c r="B4767" s="9"/>
      <c r="C4767" s="2"/>
      <c r="D4767" s="2"/>
      <c r="I4767" s="9"/>
      <c r="J4767" s="2"/>
      <c r="L4767" s="9"/>
      <c r="M4767" s="2"/>
      <c r="N4767" s="9"/>
      <c r="P4767" s="3">
        <v>-1808.80219345</v>
      </c>
      <c r="S4767" s="9"/>
      <c r="T4767" s="2"/>
      <c r="U4767" s="9"/>
    </row>
    <row r="4768" spans="2:21" x14ac:dyDescent="0.35">
      <c r="B4768" s="9"/>
      <c r="C4768" s="2"/>
      <c r="D4768" s="2"/>
      <c r="I4768" s="9"/>
      <c r="J4768" s="2"/>
      <c r="L4768" s="9"/>
      <c r="M4768" s="2"/>
      <c r="N4768" s="9"/>
      <c r="P4768" s="3">
        <v>-1374.04219345</v>
      </c>
      <c r="S4768" s="9"/>
      <c r="T4768" s="2"/>
      <c r="U4768" s="9"/>
    </row>
    <row r="4769" spans="2:21" x14ac:dyDescent="0.35">
      <c r="B4769" s="9"/>
      <c r="C4769" s="2"/>
      <c r="D4769" s="2"/>
      <c r="I4769" s="9"/>
      <c r="J4769" s="2"/>
      <c r="L4769" s="9"/>
      <c r="M4769" s="2"/>
      <c r="N4769" s="9"/>
      <c r="P4769" s="3">
        <v>-939.28219345000002</v>
      </c>
      <c r="S4769" s="9"/>
      <c r="T4769" s="2"/>
      <c r="U4769" s="9"/>
    </row>
    <row r="4770" spans="2:21" x14ac:dyDescent="0.35">
      <c r="B4770" s="9"/>
      <c r="C4770" s="2"/>
      <c r="D4770" s="2"/>
      <c r="I4770" s="9"/>
      <c r="J4770" s="2"/>
      <c r="L4770" s="9"/>
      <c r="M4770" s="2"/>
      <c r="N4770" s="9"/>
      <c r="P4770" s="3">
        <v>-504.52219344999997</v>
      </c>
      <c r="S4770" s="9"/>
      <c r="T4770" s="2"/>
      <c r="U4770" s="9"/>
    </row>
    <row r="4771" spans="2:21" x14ac:dyDescent="0.35">
      <c r="B4771" s="9"/>
      <c r="C4771" s="2"/>
      <c r="D4771" s="2"/>
      <c r="I4771" s="9"/>
      <c r="J4771" s="2"/>
      <c r="L4771" s="9"/>
      <c r="M4771" s="2"/>
      <c r="N4771" s="9"/>
      <c r="P4771" s="3">
        <v>-251.60949199999999</v>
      </c>
      <c r="S4771" s="9"/>
      <c r="T4771" s="2"/>
      <c r="U4771" s="9"/>
    </row>
    <row r="4772" spans="2:21" x14ac:dyDescent="0.35">
      <c r="B4772" s="9"/>
      <c r="C4772" s="2"/>
      <c r="D4772" s="2"/>
      <c r="I4772" s="9"/>
      <c r="J4772" s="2"/>
      <c r="L4772" s="9"/>
      <c r="M4772" s="2"/>
      <c r="N4772" s="9"/>
      <c r="P4772" s="3">
        <v>-686.36949200000004</v>
      </c>
      <c r="S4772" s="9"/>
      <c r="T4772" s="2"/>
      <c r="U4772" s="9"/>
    </row>
    <row r="4773" spans="2:21" x14ac:dyDescent="0.35">
      <c r="B4773" s="9"/>
      <c r="C4773" s="2"/>
      <c r="D4773" s="2"/>
      <c r="I4773" s="9"/>
      <c r="J4773" s="2"/>
      <c r="L4773" s="9"/>
      <c r="M4773" s="2"/>
      <c r="N4773" s="9"/>
      <c r="P4773" s="3">
        <v>-1121.129492</v>
      </c>
      <c r="S4773" s="9"/>
      <c r="T4773" s="2"/>
      <c r="U4773" s="9"/>
    </row>
    <row r="4774" spans="2:21" x14ac:dyDescent="0.35">
      <c r="B4774" s="9"/>
      <c r="C4774" s="2"/>
      <c r="D4774" s="2"/>
      <c r="I4774" s="9"/>
      <c r="J4774" s="2"/>
      <c r="L4774" s="9"/>
      <c r="M4774" s="2"/>
      <c r="N4774" s="9"/>
      <c r="P4774" s="3">
        <v>-1555.889492</v>
      </c>
      <c r="S4774" s="9"/>
      <c r="T4774" s="2"/>
      <c r="U4774" s="9"/>
    </row>
    <row r="4775" spans="2:21" x14ac:dyDescent="0.35">
      <c r="B4775" s="9"/>
      <c r="C4775" s="2"/>
      <c r="D4775" s="2"/>
      <c r="I4775" s="9"/>
      <c r="J4775" s="2"/>
      <c r="L4775" s="9"/>
      <c r="M4775" s="2"/>
      <c r="N4775" s="9"/>
      <c r="P4775" s="3">
        <v>-1990.649492</v>
      </c>
      <c r="S4775" s="9"/>
      <c r="T4775" s="2"/>
      <c r="U4775" s="9"/>
    </row>
    <row r="4776" spans="2:21" x14ac:dyDescent="0.35">
      <c r="B4776" s="9"/>
      <c r="C4776" s="2"/>
      <c r="D4776" s="2"/>
      <c r="I4776" s="9"/>
      <c r="J4776" s="2"/>
      <c r="L4776" s="9"/>
      <c r="M4776" s="2"/>
      <c r="N4776" s="9"/>
      <c r="P4776" s="3">
        <v>-2425.4094919999998</v>
      </c>
      <c r="S4776" s="9"/>
      <c r="T4776" s="2"/>
      <c r="U4776" s="9"/>
    </row>
    <row r="4777" spans="2:21" x14ac:dyDescent="0.35">
      <c r="B4777" s="9"/>
      <c r="C4777" s="2"/>
      <c r="D4777" s="2"/>
      <c r="I4777" s="9"/>
      <c r="J4777" s="2"/>
      <c r="L4777" s="9"/>
      <c r="M4777" s="2"/>
      <c r="N4777" s="9"/>
      <c r="P4777" s="3">
        <v>-2860.169492</v>
      </c>
      <c r="S4777" s="9"/>
      <c r="T4777" s="2"/>
      <c r="U4777" s="9"/>
    </row>
    <row r="4778" spans="2:21" x14ac:dyDescent="0.35">
      <c r="B4778" s="9"/>
      <c r="C4778" s="2"/>
      <c r="D4778" s="2"/>
      <c r="I4778" s="9"/>
      <c r="J4778" s="2"/>
      <c r="L4778" s="9"/>
      <c r="M4778" s="2"/>
      <c r="N4778" s="9"/>
      <c r="P4778" s="3">
        <v>-2860.169492</v>
      </c>
      <c r="S4778" s="9"/>
      <c r="T4778" s="2"/>
      <c r="U4778" s="9"/>
    </row>
    <row r="4779" spans="2:21" x14ac:dyDescent="0.35">
      <c r="B4779" s="9"/>
      <c r="C4779" s="2"/>
      <c r="D4779" s="2"/>
      <c r="I4779" s="9"/>
      <c r="J4779" s="2"/>
      <c r="L4779" s="9"/>
      <c r="M4779" s="2"/>
      <c r="N4779" s="9"/>
      <c r="P4779" s="3">
        <v>-2860.169492</v>
      </c>
      <c r="S4779" s="9"/>
      <c r="T4779" s="2"/>
      <c r="U4779" s="9"/>
    </row>
    <row r="4780" spans="2:21" x14ac:dyDescent="0.35">
      <c r="B4780" s="9"/>
      <c r="C4780" s="2"/>
      <c r="D4780" s="2"/>
      <c r="I4780" s="9"/>
      <c r="J4780" s="2"/>
      <c r="L4780" s="9"/>
      <c r="M4780" s="2"/>
      <c r="N4780" s="9"/>
      <c r="P4780" s="3">
        <v>-2860.169492</v>
      </c>
      <c r="S4780" s="9"/>
      <c r="T4780" s="2"/>
      <c r="U4780" s="9"/>
    </row>
    <row r="4781" spans="2:21" x14ac:dyDescent="0.35">
      <c r="B4781" s="9"/>
      <c r="C4781" s="2"/>
      <c r="D4781" s="2"/>
      <c r="I4781" s="9"/>
      <c r="J4781" s="2"/>
      <c r="L4781" s="9"/>
      <c r="M4781" s="2"/>
      <c r="N4781" s="9"/>
      <c r="P4781" s="3">
        <v>-2860.169492</v>
      </c>
      <c r="S4781" s="9"/>
      <c r="T4781" s="2"/>
      <c r="U4781" s="9"/>
    </row>
    <row r="4782" spans="2:21" x14ac:dyDescent="0.35">
      <c r="B4782" s="9"/>
      <c r="C4782" s="2"/>
      <c r="D4782" s="2"/>
      <c r="I4782" s="9"/>
      <c r="J4782" s="2"/>
      <c r="L4782" s="9"/>
      <c r="M4782" s="2"/>
      <c r="N4782" s="9"/>
      <c r="P4782" s="3">
        <v>-2860.169492</v>
      </c>
      <c r="S4782" s="9"/>
      <c r="T4782" s="2"/>
      <c r="U4782" s="9"/>
    </row>
    <row r="4783" spans="2:21" x14ac:dyDescent="0.35">
      <c r="B4783" s="9"/>
      <c r="C4783" s="2"/>
      <c r="D4783" s="2"/>
      <c r="I4783" s="9"/>
      <c r="J4783" s="2"/>
      <c r="L4783" s="9"/>
      <c r="M4783" s="2"/>
      <c r="N4783" s="9"/>
      <c r="P4783" s="3">
        <v>-2747.55584886</v>
      </c>
      <c r="S4783" s="9"/>
      <c r="T4783" s="2"/>
      <c r="U4783" s="9"/>
    </row>
    <row r="4784" spans="2:21" x14ac:dyDescent="0.35">
      <c r="B4784" s="9"/>
      <c r="C4784" s="2"/>
      <c r="D4784" s="2"/>
      <c r="I4784" s="9"/>
      <c r="J4784" s="2"/>
      <c r="L4784" s="9"/>
      <c r="M4784" s="2"/>
      <c r="N4784" s="9"/>
      <c r="P4784" s="3">
        <v>-2326.9937388600001</v>
      </c>
      <c r="S4784" s="9"/>
      <c r="T4784" s="2"/>
      <c r="U4784" s="9"/>
    </row>
    <row r="4785" spans="2:21" x14ac:dyDescent="0.35">
      <c r="B4785" s="9"/>
      <c r="C4785" s="2"/>
      <c r="D4785" s="2"/>
      <c r="I4785" s="9"/>
      <c r="J4785" s="2"/>
      <c r="L4785" s="9"/>
      <c r="M4785" s="2"/>
      <c r="N4785" s="9"/>
      <c r="P4785" s="3">
        <v>-1999.6574688600001</v>
      </c>
      <c r="S4785" s="9"/>
      <c r="T4785" s="2"/>
      <c r="U4785" s="9"/>
    </row>
    <row r="4786" spans="2:21" x14ac:dyDescent="0.35">
      <c r="B4786" s="9"/>
      <c r="C4786" s="2"/>
      <c r="D4786" s="2"/>
      <c r="I4786" s="9"/>
      <c r="J4786" s="2"/>
      <c r="L4786" s="9"/>
      <c r="M4786" s="2"/>
      <c r="N4786" s="9"/>
      <c r="P4786" s="3">
        <v>-1654.8956688599999</v>
      </c>
      <c r="S4786" s="9"/>
      <c r="T4786" s="2"/>
      <c r="U4786" s="9"/>
    </row>
    <row r="4787" spans="2:21" x14ac:dyDescent="0.35">
      <c r="B4787" s="9"/>
      <c r="C4787" s="2"/>
      <c r="D4787" s="2"/>
      <c r="I4787" s="9"/>
      <c r="J4787" s="2"/>
      <c r="L4787" s="9"/>
      <c r="M4787" s="2"/>
      <c r="N4787" s="9"/>
      <c r="P4787" s="3">
        <v>-1288.2503423799999</v>
      </c>
      <c r="S4787" s="9"/>
      <c r="T4787" s="2"/>
      <c r="U4787" s="9"/>
    </row>
    <row r="4788" spans="2:21" x14ac:dyDescent="0.35">
      <c r="B4788" s="9"/>
      <c r="C4788" s="2"/>
      <c r="D4788" s="2"/>
      <c r="I4788" s="9"/>
      <c r="J4788" s="2"/>
      <c r="L4788" s="9"/>
      <c r="M4788" s="2"/>
      <c r="N4788" s="9"/>
      <c r="P4788" s="3">
        <v>-1082.9567758999999</v>
      </c>
      <c r="S4788" s="9"/>
      <c r="T4788" s="2"/>
      <c r="U4788" s="9"/>
    </row>
    <row r="4789" spans="2:21" x14ac:dyDescent="0.35">
      <c r="B4789" s="9"/>
      <c r="C4789" s="2"/>
      <c r="D4789" s="2"/>
      <c r="I4789" s="9"/>
      <c r="J4789" s="2"/>
      <c r="L4789" s="9"/>
      <c r="M4789" s="2"/>
      <c r="N4789" s="9"/>
      <c r="P4789" s="3">
        <v>-1423.24951345</v>
      </c>
      <c r="S4789" s="9"/>
      <c r="T4789" s="2"/>
      <c r="U4789" s="9"/>
    </row>
    <row r="4790" spans="2:21" x14ac:dyDescent="0.35">
      <c r="B4790" s="9"/>
      <c r="C4790" s="2"/>
      <c r="D4790" s="2"/>
      <c r="I4790" s="9"/>
      <c r="J4790" s="2"/>
      <c r="L4790" s="9"/>
      <c r="M4790" s="2"/>
      <c r="N4790" s="9"/>
      <c r="P4790" s="3">
        <v>-1858.00951345</v>
      </c>
      <c r="S4790" s="9"/>
      <c r="T4790" s="2"/>
      <c r="U4790" s="9"/>
    </row>
    <row r="4791" spans="2:21" x14ac:dyDescent="0.35">
      <c r="B4791" s="9"/>
      <c r="C4791" s="2"/>
      <c r="D4791" s="2"/>
      <c r="I4791" s="9"/>
      <c r="J4791" s="2"/>
      <c r="L4791" s="9"/>
      <c r="M4791" s="2"/>
      <c r="N4791" s="9"/>
      <c r="P4791" s="3">
        <v>-1423.24951345</v>
      </c>
      <c r="S4791" s="9"/>
      <c r="T4791" s="2"/>
      <c r="U4791" s="9"/>
    </row>
    <row r="4792" spans="2:21" x14ac:dyDescent="0.35">
      <c r="B4792" s="9"/>
      <c r="C4792" s="2"/>
      <c r="D4792" s="2"/>
      <c r="I4792" s="9"/>
      <c r="J4792" s="2"/>
      <c r="L4792" s="9"/>
      <c r="M4792" s="2"/>
      <c r="N4792" s="9"/>
      <c r="P4792" s="3">
        <v>-988.48951345</v>
      </c>
      <c r="S4792" s="9"/>
      <c r="T4792" s="2"/>
      <c r="U4792" s="9"/>
    </row>
    <row r="4793" spans="2:21" x14ac:dyDescent="0.35">
      <c r="B4793" s="9"/>
      <c r="C4793" s="2"/>
      <c r="D4793" s="2"/>
      <c r="I4793" s="9"/>
      <c r="J4793" s="2"/>
      <c r="L4793" s="9"/>
      <c r="M4793" s="2"/>
      <c r="N4793" s="9"/>
      <c r="P4793" s="3">
        <v>-553.72951345000001</v>
      </c>
      <c r="S4793" s="9"/>
      <c r="T4793" s="2"/>
      <c r="U4793" s="9"/>
    </row>
    <row r="4794" spans="2:21" x14ac:dyDescent="0.35">
      <c r="B4794" s="9"/>
      <c r="C4794" s="2"/>
      <c r="D4794" s="2"/>
      <c r="I4794" s="9"/>
      <c r="J4794" s="2"/>
      <c r="L4794" s="9"/>
      <c r="M4794" s="2"/>
      <c r="N4794" s="9"/>
      <c r="P4794" s="3">
        <v>-251.60949199999999</v>
      </c>
      <c r="S4794" s="9"/>
      <c r="T4794" s="2"/>
      <c r="U4794" s="9"/>
    </row>
    <row r="4795" spans="2:21" x14ac:dyDescent="0.35">
      <c r="B4795" s="9"/>
      <c r="C4795" s="2"/>
      <c r="D4795" s="2"/>
      <c r="I4795" s="9"/>
      <c r="J4795" s="2"/>
      <c r="L4795" s="9"/>
      <c r="M4795" s="2"/>
      <c r="N4795" s="9"/>
      <c r="P4795" s="3">
        <v>-686.36949200000004</v>
      </c>
      <c r="S4795" s="9"/>
      <c r="T4795" s="2"/>
      <c r="U4795" s="9"/>
    </row>
    <row r="4796" spans="2:21" x14ac:dyDescent="0.35">
      <c r="B4796" s="9"/>
      <c r="C4796" s="2"/>
      <c r="D4796" s="2"/>
      <c r="I4796" s="9"/>
      <c r="J4796" s="2"/>
      <c r="L4796" s="9"/>
      <c r="M4796" s="2"/>
      <c r="N4796" s="9"/>
      <c r="P4796" s="3">
        <v>-1121.129492</v>
      </c>
      <c r="S4796" s="9"/>
      <c r="T4796" s="2"/>
      <c r="U4796" s="9"/>
    </row>
    <row r="4797" spans="2:21" x14ac:dyDescent="0.35">
      <c r="B4797" s="9"/>
      <c r="C4797" s="2"/>
      <c r="D4797" s="2"/>
      <c r="I4797" s="9"/>
      <c r="J4797" s="2"/>
      <c r="L4797" s="9"/>
      <c r="M4797" s="2"/>
      <c r="N4797" s="9"/>
      <c r="P4797" s="3">
        <v>-1555.889492</v>
      </c>
      <c r="S4797" s="9"/>
      <c r="T4797" s="2"/>
      <c r="U4797" s="9"/>
    </row>
    <row r="4798" spans="2:21" x14ac:dyDescent="0.35">
      <c r="B4798" s="9"/>
      <c r="C4798" s="2"/>
      <c r="D4798" s="2"/>
      <c r="I4798" s="9"/>
      <c r="J4798" s="2"/>
      <c r="L4798" s="9"/>
      <c r="M4798" s="2"/>
      <c r="N4798" s="9"/>
      <c r="P4798" s="3">
        <v>-1990.649492</v>
      </c>
      <c r="S4798" s="9"/>
      <c r="T4798" s="2"/>
      <c r="U4798" s="9"/>
    </row>
    <row r="4799" spans="2:21" x14ac:dyDescent="0.35">
      <c r="B4799" s="9"/>
      <c r="C4799" s="2"/>
      <c r="D4799" s="2"/>
      <c r="I4799" s="9"/>
      <c r="J4799" s="2"/>
      <c r="L4799" s="9"/>
      <c r="M4799" s="2"/>
      <c r="N4799" s="9"/>
      <c r="P4799" s="3">
        <v>-2425.4094919999998</v>
      </c>
      <c r="S4799" s="9"/>
      <c r="T4799" s="2"/>
      <c r="U4799" s="9"/>
    </row>
    <row r="4800" spans="2:21" x14ac:dyDescent="0.35">
      <c r="B4800" s="9"/>
      <c r="C4800" s="2"/>
      <c r="D4800" s="2"/>
      <c r="I4800" s="9"/>
      <c r="J4800" s="2"/>
      <c r="L4800" s="9"/>
      <c r="M4800" s="2"/>
      <c r="N4800" s="9"/>
      <c r="P4800" s="3">
        <v>-2860.169492</v>
      </c>
      <c r="S4800" s="9"/>
      <c r="T4800" s="2"/>
      <c r="U4800" s="9"/>
    </row>
    <row r="4801" spans="2:21" x14ac:dyDescent="0.35">
      <c r="B4801" s="9"/>
      <c r="C4801" s="2"/>
      <c r="D4801" s="2"/>
      <c r="I4801" s="9"/>
      <c r="J4801" s="2"/>
      <c r="L4801" s="9"/>
      <c r="M4801" s="2"/>
      <c r="N4801" s="9"/>
      <c r="P4801" s="3">
        <v>-2860.169492</v>
      </c>
      <c r="S4801" s="9"/>
      <c r="T4801" s="2"/>
      <c r="U4801" s="9"/>
    </row>
    <row r="4802" spans="2:21" x14ac:dyDescent="0.35">
      <c r="B4802" s="9"/>
      <c r="C4802" s="2"/>
      <c r="D4802" s="2"/>
      <c r="I4802" s="9"/>
      <c r="J4802" s="2"/>
      <c r="L4802" s="9"/>
      <c r="M4802" s="2"/>
      <c r="N4802" s="9"/>
      <c r="P4802" s="3">
        <v>-2860.169492</v>
      </c>
      <c r="S4802" s="9"/>
      <c r="T4802" s="2"/>
      <c r="U4802" s="9"/>
    </row>
    <row r="4803" spans="2:21" x14ac:dyDescent="0.35">
      <c r="B4803" s="9"/>
      <c r="C4803" s="2"/>
      <c r="D4803" s="2"/>
      <c r="I4803" s="9"/>
      <c r="J4803" s="2"/>
      <c r="L4803" s="9"/>
      <c r="M4803" s="2"/>
      <c r="N4803" s="9"/>
      <c r="P4803" s="3">
        <v>-2860.169492</v>
      </c>
      <c r="S4803" s="9"/>
      <c r="T4803" s="2"/>
      <c r="U4803" s="9"/>
    </row>
    <row r="4804" spans="2:21" x14ac:dyDescent="0.35">
      <c r="B4804" s="9"/>
      <c r="C4804" s="2"/>
      <c r="D4804" s="2"/>
      <c r="I4804" s="9"/>
      <c r="J4804" s="2"/>
      <c r="L4804" s="9"/>
      <c r="M4804" s="2"/>
      <c r="N4804" s="9"/>
      <c r="P4804" s="3">
        <v>-2613.9622488599998</v>
      </c>
      <c r="S4804" s="9"/>
      <c r="T4804" s="2"/>
      <c r="U4804" s="9"/>
    </row>
    <row r="4805" spans="2:21" x14ac:dyDescent="0.35">
      <c r="B4805" s="9"/>
      <c r="C4805" s="2"/>
      <c r="D4805" s="2"/>
      <c r="I4805" s="9"/>
      <c r="J4805" s="2"/>
      <c r="L4805" s="9"/>
      <c r="M4805" s="2"/>
      <c r="N4805" s="9"/>
      <c r="P4805" s="3">
        <v>-2285.8506588599998</v>
      </c>
      <c r="S4805" s="9"/>
      <c r="T4805" s="2"/>
      <c r="U4805" s="9"/>
    </row>
    <row r="4806" spans="2:21" x14ac:dyDescent="0.35">
      <c r="B4806" s="9"/>
      <c r="C4806" s="2"/>
      <c r="D4806" s="2"/>
      <c r="I4806" s="9"/>
      <c r="J4806" s="2"/>
      <c r="L4806" s="9"/>
      <c r="M4806" s="2"/>
      <c r="N4806" s="9"/>
      <c r="P4806" s="3">
        <v>-1851.0906588600001</v>
      </c>
      <c r="S4806" s="9"/>
      <c r="T4806" s="2"/>
      <c r="U4806" s="9"/>
    </row>
    <row r="4807" spans="2:21" x14ac:dyDescent="0.35">
      <c r="B4807" s="9"/>
      <c r="C4807" s="2"/>
      <c r="D4807" s="2"/>
      <c r="I4807" s="9"/>
      <c r="J4807" s="2"/>
      <c r="L4807" s="9"/>
      <c r="M4807" s="2"/>
      <c r="N4807" s="9"/>
      <c r="P4807" s="3">
        <v>-1416.3306588600001</v>
      </c>
      <c r="S4807" s="9"/>
      <c r="T4807" s="2"/>
      <c r="U4807" s="9"/>
    </row>
    <row r="4808" spans="2:21" x14ac:dyDescent="0.35">
      <c r="B4808" s="9"/>
      <c r="C4808" s="2"/>
      <c r="D4808" s="2"/>
      <c r="I4808" s="9"/>
      <c r="J4808" s="2"/>
      <c r="L4808" s="9"/>
      <c r="M4808" s="2"/>
      <c r="N4808" s="9"/>
      <c r="P4808" s="3">
        <v>-1059.4889588599999</v>
      </c>
      <c r="S4808" s="9"/>
      <c r="T4808" s="2"/>
      <c r="U4808" s="9"/>
    </row>
    <row r="4809" spans="2:21" x14ac:dyDescent="0.35">
      <c r="B4809" s="9"/>
      <c r="C4809" s="2"/>
      <c r="D4809" s="2"/>
      <c r="I4809" s="9"/>
      <c r="J4809" s="2"/>
      <c r="L4809" s="9"/>
      <c r="M4809" s="2"/>
      <c r="N4809" s="9"/>
      <c r="P4809" s="3">
        <v>-794.61990886000001</v>
      </c>
      <c r="S4809" s="9"/>
      <c r="T4809" s="2"/>
      <c r="U4809" s="9"/>
    </row>
    <row r="4810" spans="2:21" x14ac:dyDescent="0.35">
      <c r="B4810" s="9"/>
      <c r="C4810" s="2"/>
      <c r="D4810" s="2"/>
      <c r="I4810" s="9"/>
      <c r="J4810" s="2"/>
      <c r="L4810" s="9"/>
      <c r="M4810" s="2"/>
      <c r="N4810" s="9"/>
      <c r="P4810" s="3">
        <v>-500.28727886000001</v>
      </c>
      <c r="S4810" s="9"/>
      <c r="T4810" s="2"/>
      <c r="U4810" s="9"/>
    </row>
    <row r="4811" spans="2:21" x14ac:dyDescent="0.35">
      <c r="B4811" s="9"/>
      <c r="C4811" s="2"/>
      <c r="D4811" s="2"/>
      <c r="I4811" s="9"/>
      <c r="J4811" s="2"/>
      <c r="L4811" s="9"/>
      <c r="M4811" s="2"/>
      <c r="N4811" s="9"/>
      <c r="P4811" s="3">
        <v>-321.81680238000001</v>
      </c>
      <c r="S4811" s="9"/>
      <c r="T4811" s="2"/>
      <c r="U4811" s="9"/>
    </row>
    <row r="4812" spans="2:21" x14ac:dyDescent="0.35">
      <c r="B4812" s="9"/>
      <c r="C4812" s="2"/>
      <c r="D4812" s="2"/>
      <c r="I4812" s="9"/>
      <c r="J4812" s="2"/>
      <c r="L4812" s="9"/>
      <c r="M4812" s="2"/>
      <c r="N4812" s="9"/>
      <c r="P4812" s="3">
        <v>-168.8005359</v>
      </c>
      <c r="S4812" s="9"/>
      <c r="T4812" s="2"/>
      <c r="U4812" s="9"/>
    </row>
    <row r="4813" spans="2:21" x14ac:dyDescent="0.35">
      <c r="B4813" s="9"/>
      <c r="C4813" s="2"/>
      <c r="D4813" s="2"/>
      <c r="I4813" s="9"/>
      <c r="J4813" s="2"/>
      <c r="L4813" s="9"/>
      <c r="M4813" s="2"/>
      <c r="N4813" s="9"/>
      <c r="P4813" s="3">
        <v>-526.70908344999998</v>
      </c>
      <c r="S4813" s="9"/>
      <c r="T4813" s="2"/>
      <c r="U4813" s="9"/>
    </row>
    <row r="4814" spans="2:21" x14ac:dyDescent="0.35">
      <c r="B4814" s="9"/>
      <c r="C4814" s="2"/>
      <c r="D4814" s="2"/>
      <c r="I4814" s="9"/>
      <c r="J4814" s="2"/>
      <c r="L4814" s="9"/>
      <c r="M4814" s="2"/>
      <c r="N4814" s="9"/>
      <c r="P4814" s="3">
        <v>-961.46908344999997</v>
      </c>
      <c r="S4814" s="9"/>
      <c r="T4814" s="2"/>
      <c r="U4814" s="9"/>
    </row>
    <row r="4815" spans="2:21" x14ac:dyDescent="0.35">
      <c r="B4815" s="9"/>
      <c r="C4815" s="2"/>
      <c r="D4815" s="2"/>
      <c r="I4815" s="9"/>
      <c r="J4815" s="2"/>
      <c r="L4815" s="9"/>
      <c r="M4815" s="2"/>
      <c r="N4815" s="9"/>
      <c r="P4815" s="3">
        <v>-526.70908344999998</v>
      </c>
      <c r="S4815" s="9"/>
      <c r="T4815" s="2"/>
      <c r="U4815" s="9"/>
    </row>
    <row r="4816" spans="2:21" x14ac:dyDescent="0.35">
      <c r="B4816" s="9"/>
      <c r="C4816" s="2"/>
      <c r="D4816" s="2"/>
      <c r="I4816" s="9"/>
      <c r="J4816" s="2"/>
      <c r="L4816" s="9"/>
      <c r="M4816" s="2"/>
      <c r="N4816" s="9"/>
      <c r="P4816" s="3">
        <v>-91.949083450000003</v>
      </c>
      <c r="S4816" s="9"/>
      <c r="T4816" s="2"/>
      <c r="U4816" s="9"/>
    </row>
    <row r="4817" spans="2:21" x14ac:dyDescent="0.35">
      <c r="B4817" s="9"/>
      <c r="C4817" s="2"/>
      <c r="D4817" s="2"/>
      <c r="I4817" s="9"/>
      <c r="J4817" s="2"/>
      <c r="L4817" s="9"/>
      <c r="M4817" s="2"/>
      <c r="N4817" s="9"/>
      <c r="P4817" s="3">
        <v>0</v>
      </c>
      <c r="S4817" s="9"/>
      <c r="T4817" s="2"/>
      <c r="U4817" s="9"/>
    </row>
    <row r="4818" spans="2:21" x14ac:dyDescent="0.35">
      <c r="B4818" s="9"/>
      <c r="C4818" s="2"/>
      <c r="D4818" s="2"/>
      <c r="I4818" s="9"/>
      <c r="J4818" s="2"/>
      <c r="L4818" s="9"/>
      <c r="M4818" s="2"/>
      <c r="N4818" s="9"/>
      <c r="P4818" s="3">
        <v>0</v>
      </c>
      <c r="S4818" s="9"/>
      <c r="T4818" s="2"/>
      <c r="U4818" s="9"/>
    </row>
    <row r="4819" spans="2:21" x14ac:dyDescent="0.35">
      <c r="B4819" s="9"/>
      <c r="C4819" s="2"/>
      <c r="D4819" s="2"/>
      <c r="I4819" s="9"/>
      <c r="J4819" s="2"/>
      <c r="L4819" s="9"/>
      <c r="M4819" s="2"/>
      <c r="N4819" s="9"/>
      <c r="P4819" s="3">
        <v>0</v>
      </c>
      <c r="S4819" s="9"/>
      <c r="T4819" s="2"/>
      <c r="U4819" s="9"/>
    </row>
    <row r="4820" spans="2:21" x14ac:dyDescent="0.35">
      <c r="B4820" s="9"/>
      <c r="C4820" s="2"/>
      <c r="D4820" s="2"/>
      <c r="I4820" s="9"/>
      <c r="J4820" s="2"/>
      <c r="L4820" s="9"/>
      <c r="M4820" s="2"/>
      <c r="N4820" s="9"/>
      <c r="P4820" s="3">
        <v>-432.17078772999997</v>
      </c>
      <c r="S4820" s="9"/>
      <c r="T4820" s="2"/>
      <c r="U4820" s="9"/>
    </row>
    <row r="4821" spans="2:21" x14ac:dyDescent="0.35">
      <c r="B4821" s="9"/>
      <c r="C4821" s="2"/>
      <c r="D4821" s="2"/>
      <c r="I4821" s="9"/>
      <c r="J4821" s="2"/>
      <c r="L4821" s="9"/>
      <c r="M4821" s="2"/>
      <c r="N4821" s="9"/>
      <c r="P4821" s="3">
        <v>-866.93078773000002</v>
      </c>
      <c r="S4821" s="9"/>
      <c r="T4821" s="2"/>
      <c r="U4821" s="9"/>
    </row>
    <row r="4822" spans="2:21" x14ac:dyDescent="0.35">
      <c r="B4822" s="9"/>
      <c r="C4822" s="2"/>
      <c r="D4822" s="2"/>
      <c r="I4822" s="9"/>
      <c r="J4822" s="2"/>
      <c r="L4822" s="9"/>
      <c r="M4822" s="2"/>
      <c r="N4822" s="9"/>
      <c r="P4822" s="3">
        <v>-1301.69078773</v>
      </c>
      <c r="S4822" s="9"/>
      <c r="T4822" s="2"/>
      <c r="U4822" s="9"/>
    </row>
    <row r="4823" spans="2:21" x14ac:dyDescent="0.35">
      <c r="B4823" s="9"/>
      <c r="C4823" s="2"/>
      <c r="D4823" s="2"/>
      <c r="I4823" s="9"/>
      <c r="J4823" s="2"/>
      <c r="L4823" s="9"/>
      <c r="M4823" s="2"/>
      <c r="N4823" s="9"/>
      <c r="P4823" s="3">
        <v>-1736.45078773</v>
      </c>
      <c r="S4823" s="9"/>
      <c r="T4823" s="2"/>
      <c r="U4823" s="9"/>
    </row>
    <row r="4824" spans="2:21" x14ac:dyDescent="0.35">
      <c r="B4824" s="9"/>
      <c r="C4824" s="2"/>
      <c r="D4824" s="2"/>
      <c r="I4824" s="9"/>
      <c r="J4824" s="2"/>
      <c r="L4824" s="9"/>
      <c r="M4824" s="2"/>
      <c r="N4824" s="9"/>
      <c r="P4824" s="3">
        <v>-2171.21078773</v>
      </c>
      <c r="S4824" s="9"/>
      <c r="T4824" s="2"/>
      <c r="U4824" s="9"/>
    </row>
    <row r="4825" spans="2:21" x14ac:dyDescent="0.35">
      <c r="B4825" s="9"/>
      <c r="C4825" s="2"/>
      <c r="D4825" s="2"/>
      <c r="I4825" s="9"/>
      <c r="J4825" s="2"/>
      <c r="L4825" s="9"/>
      <c r="M4825" s="2"/>
      <c r="N4825" s="9"/>
      <c r="P4825" s="3">
        <v>-1736.45078773</v>
      </c>
      <c r="S4825" s="9"/>
      <c r="T4825" s="2"/>
      <c r="U4825" s="9"/>
    </row>
    <row r="4826" spans="2:21" x14ac:dyDescent="0.35">
      <c r="B4826" s="9"/>
      <c r="C4826" s="2"/>
      <c r="D4826" s="2"/>
      <c r="I4826" s="9"/>
      <c r="J4826" s="2"/>
      <c r="L4826" s="9"/>
      <c r="M4826" s="2"/>
      <c r="N4826" s="9"/>
      <c r="P4826" s="3">
        <v>-1429.49739823</v>
      </c>
      <c r="S4826" s="9"/>
      <c r="T4826" s="2"/>
      <c r="U4826" s="9"/>
    </row>
    <row r="4827" spans="2:21" x14ac:dyDescent="0.35">
      <c r="B4827" s="9"/>
      <c r="C4827" s="2"/>
      <c r="D4827" s="2"/>
      <c r="I4827" s="9"/>
      <c r="J4827" s="2"/>
      <c r="L4827" s="9"/>
      <c r="M4827" s="2"/>
      <c r="N4827" s="9"/>
      <c r="P4827" s="3">
        <v>-1380.3016485999999</v>
      </c>
      <c r="S4827" s="9"/>
      <c r="T4827" s="2"/>
      <c r="U4827" s="9"/>
    </row>
    <row r="4828" spans="2:21" x14ac:dyDescent="0.35">
      <c r="B4828" s="9"/>
      <c r="C4828" s="2"/>
      <c r="D4828" s="2"/>
      <c r="I4828" s="9"/>
      <c r="J4828" s="2"/>
      <c r="L4828" s="9"/>
      <c r="M4828" s="2"/>
      <c r="N4828" s="9"/>
      <c r="P4828" s="3">
        <v>-990.73397885999998</v>
      </c>
      <c r="S4828" s="9"/>
      <c r="T4828" s="2"/>
      <c r="U4828" s="9"/>
    </row>
    <row r="4829" spans="2:21" x14ac:dyDescent="0.35">
      <c r="B4829" s="9"/>
      <c r="C4829" s="2"/>
      <c r="D4829" s="2"/>
      <c r="I4829" s="9"/>
      <c r="J4829" s="2"/>
      <c r="L4829" s="9"/>
      <c r="M4829" s="2"/>
      <c r="N4829" s="9"/>
      <c r="P4829" s="3">
        <v>-826.35761886</v>
      </c>
      <c r="S4829" s="9"/>
      <c r="T4829" s="2"/>
      <c r="U4829" s="9"/>
    </row>
    <row r="4830" spans="2:21" x14ac:dyDescent="0.35">
      <c r="B4830" s="9"/>
      <c r="C4830" s="2"/>
      <c r="D4830" s="2"/>
      <c r="I4830" s="9"/>
      <c r="J4830" s="2"/>
      <c r="L4830" s="9"/>
      <c r="M4830" s="2"/>
      <c r="N4830" s="9"/>
      <c r="P4830" s="3">
        <v>-428.63800838999998</v>
      </c>
      <c r="S4830" s="9"/>
      <c r="T4830" s="2"/>
      <c r="U4830" s="9"/>
    </row>
    <row r="4831" spans="2:21" x14ac:dyDescent="0.35">
      <c r="B4831" s="9"/>
      <c r="C4831" s="2"/>
      <c r="D4831" s="2"/>
      <c r="I4831" s="9"/>
      <c r="J4831" s="2"/>
      <c r="L4831" s="9"/>
      <c r="M4831" s="2"/>
      <c r="N4831" s="9"/>
      <c r="P4831" s="3">
        <v>-290.72050839000002</v>
      </c>
      <c r="S4831" s="9"/>
      <c r="T4831" s="2"/>
      <c r="U4831" s="9"/>
    </row>
    <row r="4832" spans="2:21" x14ac:dyDescent="0.35">
      <c r="B4832" s="9"/>
      <c r="C4832" s="2"/>
      <c r="D4832" s="2"/>
      <c r="I4832" s="9"/>
      <c r="J4832" s="2"/>
      <c r="L4832" s="9"/>
      <c r="M4832" s="2"/>
      <c r="N4832" s="9"/>
      <c r="P4832" s="3">
        <v>-98.406358389999994</v>
      </c>
      <c r="S4832" s="9"/>
      <c r="T4832" s="2"/>
      <c r="U4832" s="9"/>
    </row>
    <row r="4833" spans="2:21" x14ac:dyDescent="0.35">
      <c r="B4833" s="9"/>
      <c r="C4833" s="2"/>
      <c r="D4833" s="2"/>
      <c r="I4833" s="9"/>
      <c r="J4833" s="2"/>
      <c r="L4833" s="9"/>
      <c r="M4833" s="2"/>
      <c r="N4833" s="9"/>
      <c r="P4833" s="3">
        <v>131.16788160999999</v>
      </c>
      <c r="S4833" s="9"/>
      <c r="T4833" s="2"/>
      <c r="U4833" s="9"/>
    </row>
    <row r="4834" spans="2:21" x14ac:dyDescent="0.35">
      <c r="B4834" s="9"/>
      <c r="C4834" s="2"/>
      <c r="D4834" s="2"/>
      <c r="I4834" s="9"/>
      <c r="J4834" s="2"/>
      <c r="L4834" s="9"/>
      <c r="M4834" s="2"/>
      <c r="N4834" s="9"/>
      <c r="P4834" s="3">
        <v>298.09598161000002</v>
      </c>
      <c r="S4834" s="9"/>
      <c r="T4834" s="2"/>
      <c r="U4834" s="9"/>
    </row>
    <row r="4835" spans="2:21" x14ac:dyDescent="0.35">
      <c r="B4835" s="9"/>
      <c r="C4835" s="2"/>
      <c r="D4835" s="2"/>
      <c r="I4835" s="9"/>
      <c r="J4835" s="2"/>
      <c r="L4835" s="9"/>
      <c r="M4835" s="2"/>
      <c r="N4835" s="9"/>
      <c r="P4835" s="3">
        <v>414.51113161000001</v>
      </c>
      <c r="S4835" s="9"/>
      <c r="T4835" s="2"/>
      <c r="U4835" s="9"/>
    </row>
    <row r="4836" spans="2:21" x14ac:dyDescent="0.35">
      <c r="B4836" s="9"/>
      <c r="C4836" s="2"/>
      <c r="D4836" s="2"/>
      <c r="I4836" s="9"/>
      <c r="J4836" s="2"/>
      <c r="L4836" s="9"/>
      <c r="M4836" s="2"/>
      <c r="N4836" s="9"/>
      <c r="P4836" s="3">
        <v>459.23190161000002</v>
      </c>
      <c r="S4836" s="9"/>
      <c r="T4836" s="2"/>
      <c r="U4836" s="9"/>
    </row>
    <row r="4837" spans="2:21" x14ac:dyDescent="0.35">
      <c r="B4837" s="9"/>
      <c r="C4837" s="2"/>
      <c r="D4837" s="2"/>
      <c r="I4837" s="9"/>
      <c r="J4837" s="2"/>
      <c r="L4837" s="9"/>
      <c r="M4837" s="2"/>
      <c r="N4837" s="9"/>
      <c r="P4837" s="3">
        <v>24.47190161</v>
      </c>
      <c r="S4837" s="9"/>
      <c r="T4837" s="2"/>
      <c r="U4837" s="9"/>
    </row>
    <row r="4838" spans="2:21" x14ac:dyDescent="0.35">
      <c r="B4838" s="9"/>
      <c r="C4838" s="2"/>
      <c r="D4838" s="2"/>
      <c r="I4838" s="9"/>
      <c r="J4838" s="2"/>
      <c r="L4838" s="9"/>
      <c r="M4838" s="2"/>
      <c r="N4838" s="9"/>
      <c r="P4838" s="3">
        <v>-410.28809839000002</v>
      </c>
      <c r="S4838" s="9"/>
      <c r="T4838" s="2"/>
      <c r="U4838" s="9"/>
    </row>
    <row r="4839" spans="2:21" x14ac:dyDescent="0.35">
      <c r="B4839" s="9"/>
      <c r="C4839" s="2"/>
      <c r="D4839" s="2"/>
      <c r="I4839" s="9"/>
      <c r="J4839" s="2"/>
      <c r="L4839" s="9"/>
      <c r="M4839" s="2"/>
      <c r="N4839" s="9"/>
      <c r="P4839" s="3">
        <v>-845.04809838999995</v>
      </c>
      <c r="S4839" s="9"/>
      <c r="T4839" s="2"/>
      <c r="U4839" s="9"/>
    </row>
    <row r="4840" spans="2:21" x14ac:dyDescent="0.35">
      <c r="B4840" s="9"/>
      <c r="C4840" s="2"/>
      <c r="D4840" s="2"/>
      <c r="I4840" s="9"/>
      <c r="J4840" s="2"/>
      <c r="L4840" s="9"/>
      <c r="M4840" s="2"/>
      <c r="N4840" s="9"/>
      <c r="P4840" s="3">
        <v>-410.28809839000002</v>
      </c>
      <c r="S4840" s="9"/>
      <c r="T4840" s="2"/>
      <c r="U4840" s="9"/>
    </row>
    <row r="4841" spans="2:21" x14ac:dyDescent="0.35">
      <c r="B4841" s="9"/>
      <c r="C4841" s="2"/>
      <c r="D4841" s="2"/>
      <c r="I4841" s="9"/>
      <c r="J4841" s="2"/>
      <c r="L4841" s="9"/>
      <c r="M4841" s="2"/>
      <c r="N4841" s="9"/>
      <c r="P4841" s="3">
        <v>0</v>
      </c>
      <c r="S4841" s="9"/>
      <c r="T4841" s="2"/>
      <c r="U4841" s="9"/>
    </row>
    <row r="4842" spans="2:21" x14ac:dyDescent="0.35">
      <c r="B4842" s="9"/>
      <c r="C4842" s="2"/>
      <c r="D4842" s="2"/>
      <c r="I4842" s="9"/>
      <c r="J4842" s="2"/>
      <c r="L4842" s="9"/>
      <c r="M4842" s="2"/>
      <c r="N4842" s="9"/>
      <c r="P4842" s="3">
        <v>0</v>
      </c>
      <c r="S4842" s="9"/>
      <c r="T4842" s="2"/>
      <c r="U4842" s="9"/>
    </row>
    <row r="4843" spans="2:21" x14ac:dyDescent="0.35">
      <c r="B4843" s="9"/>
      <c r="C4843" s="2"/>
      <c r="D4843" s="2"/>
      <c r="I4843" s="9"/>
      <c r="J4843" s="2"/>
      <c r="L4843" s="9"/>
      <c r="M4843" s="2"/>
      <c r="N4843" s="9"/>
      <c r="P4843" s="3">
        <v>0</v>
      </c>
      <c r="S4843" s="9"/>
      <c r="T4843" s="2"/>
      <c r="U4843" s="9"/>
    </row>
    <row r="4844" spans="2:21" x14ac:dyDescent="0.35">
      <c r="B4844" s="9"/>
      <c r="C4844" s="2"/>
      <c r="D4844" s="2"/>
      <c r="I4844" s="9"/>
      <c r="J4844" s="2"/>
      <c r="L4844" s="9"/>
      <c r="M4844" s="2"/>
      <c r="N4844" s="9"/>
      <c r="P4844" s="3">
        <v>0</v>
      </c>
      <c r="S4844" s="9"/>
      <c r="T4844" s="2"/>
      <c r="U4844" s="9"/>
    </row>
    <row r="4845" spans="2:21" x14ac:dyDescent="0.35">
      <c r="B4845" s="9"/>
      <c r="C4845" s="2"/>
      <c r="D4845" s="2"/>
      <c r="I4845" s="9"/>
      <c r="J4845" s="2"/>
      <c r="L4845" s="9"/>
      <c r="M4845" s="2"/>
      <c r="N4845" s="9"/>
      <c r="P4845" s="3">
        <v>0</v>
      </c>
      <c r="S4845" s="9"/>
      <c r="T4845" s="2"/>
      <c r="U4845" s="9"/>
    </row>
    <row r="4846" spans="2:21" x14ac:dyDescent="0.35">
      <c r="B4846" s="9"/>
      <c r="C4846" s="2"/>
      <c r="D4846" s="2"/>
      <c r="I4846" s="9"/>
      <c r="J4846" s="2"/>
      <c r="L4846" s="9"/>
      <c r="M4846" s="2"/>
      <c r="N4846" s="9"/>
      <c r="P4846" s="3">
        <v>0</v>
      </c>
      <c r="S4846" s="9"/>
      <c r="T4846" s="2"/>
      <c r="U4846" s="9"/>
    </row>
    <row r="4847" spans="2:21" x14ac:dyDescent="0.35">
      <c r="B4847" s="9"/>
      <c r="C4847" s="2"/>
      <c r="D4847" s="2"/>
      <c r="I4847" s="9"/>
      <c r="J4847" s="2"/>
      <c r="L4847" s="9"/>
      <c r="M4847" s="2"/>
      <c r="N4847" s="9"/>
      <c r="P4847" s="3">
        <v>-139.81783838999999</v>
      </c>
      <c r="S4847" s="9"/>
      <c r="T4847" s="2"/>
      <c r="U4847" s="9"/>
    </row>
    <row r="4848" spans="2:21" x14ac:dyDescent="0.35">
      <c r="B4848" s="9"/>
      <c r="C4848" s="2"/>
      <c r="D4848" s="2"/>
      <c r="I4848" s="9"/>
      <c r="J4848" s="2"/>
      <c r="L4848" s="9"/>
      <c r="M4848" s="2"/>
      <c r="N4848" s="9"/>
      <c r="P4848" s="3">
        <v>-574.57783839000001</v>
      </c>
      <c r="S4848" s="9"/>
      <c r="T4848" s="2"/>
      <c r="U4848" s="9"/>
    </row>
    <row r="4849" spans="2:21" x14ac:dyDescent="0.35">
      <c r="B4849" s="9"/>
      <c r="C4849" s="2"/>
      <c r="D4849" s="2"/>
      <c r="I4849" s="9"/>
      <c r="J4849" s="2"/>
      <c r="L4849" s="9"/>
      <c r="M4849" s="2"/>
      <c r="N4849" s="9"/>
      <c r="P4849" s="3">
        <v>-139.81783838999999</v>
      </c>
      <c r="S4849" s="9"/>
      <c r="T4849" s="2"/>
      <c r="U4849" s="9"/>
    </row>
    <row r="4850" spans="2:21" x14ac:dyDescent="0.35">
      <c r="B4850" s="9"/>
      <c r="C4850" s="2"/>
      <c r="D4850" s="2"/>
      <c r="I4850" s="9"/>
      <c r="J4850" s="2"/>
      <c r="L4850" s="9"/>
      <c r="M4850" s="2"/>
      <c r="N4850" s="9"/>
      <c r="P4850" s="3">
        <v>294.94216161000003</v>
      </c>
      <c r="S4850" s="9"/>
      <c r="T4850" s="2"/>
      <c r="U4850" s="9"/>
    </row>
    <row r="4851" spans="2:21" x14ac:dyDescent="0.35">
      <c r="B4851" s="9"/>
      <c r="C4851" s="2"/>
      <c r="D4851" s="2"/>
      <c r="I4851" s="9"/>
      <c r="J4851" s="2"/>
      <c r="L4851" s="9"/>
      <c r="M4851" s="2"/>
      <c r="N4851" s="9"/>
      <c r="P4851" s="3">
        <v>395.17712160999997</v>
      </c>
      <c r="S4851" s="9"/>
      <c r="T4851" s="2"/>
      <c r="U4851" s="9"/>
    </row>
    <row r="4852" spans="2:21" x14ac:dyDescent="0.35">
      <c r="B4852" s="9"/>
      <c r="C4852" s="2"/>
      <c r="D4852" s="2"/>
      <c r="I4852" s="9"/>
      <c r="J4852" s="2"/>
      <c r="L4852" s="9"/>
      <c r="M4852" s="2"/>
      <c r="N4852" s="9"/>
      <c r="P4852" s="3">
        <v>554.92002161000005</v>
      </c>
      <c r="S4852" s="9"/>
      <c r="T4852" s="2"/>
      <c r="U4852" s="9"/>
    </row>
    <row r="4853" spans="2:21" x14ac:dyDescent="0.35">
      <c r="B4853" s="9"/>
      <c r="C4853" s="2"/>
      <c r="D4853" s="2"/>
      <c r="I4853" s="9"/>
      <c r="J4853" s="2"/>
      <c r="L4853" s="9"/>
      <c r="M4853" s="2"/>
      <c r="N4853" s="9"/>
      <c r="P4853" s="3">
        <v>555.69889161000003</v>
      </c>
      <c r="S4853" s="9"/>
      <c r="T4853" s="2"/>
      <c r="U4853" s="9"/>
    </row>
    <row r="4854" spans="2:21" x14ac:dyDescent="0.35">
      <c r="B4854" s="9"/>
      <c r="C4854" s="2"/>
      <c r="D4854" s="2"/>
      <c r="I4854" s="9"/>
      <c r="J4854" s="2"/>
      <c r="L4854" s="9"/>
      <c r="M4854" s="2"/>
      <c r="N4854" s="9"/>
      <c r="P4854" s="3">
        <v>549.31102161000001</v>
      </c>
      <c r="S4854" s="9"/>
      <c r="T4854" s="2"/>
      <c r="U4854" s="9"/>
    </row>
    <row r="4855" spans="2:21" x14ac:dyDescent="0.35">
      <c r="B4855" s="9"/>
      <c r="C4855" s="2"/>
      <c r="D4855" s="2"/>
      <c r="I4855" s="9"/>
      <c r="J4855" s="2"/>
      <c r="L4855" s="9"/>
      <c r="M4855" s="2"/>
      <c r="N4855" s="9"/>
      <c r="P4855" s="3">
        <v>641.82757160999995</v>
      </c>
      <c r="S4855" s="9"/>
      <c r="T4855" s="2"/>
      <c r="U4855" s="9"/>
    </row>
    <row r="4856" spans="2:21" x14ac:dyDescent="0.35">
      <c r="B4856" s="9"/>
      <c r="C4856" s="2"/>
      <c r="D4856" s="2"/>
      <c r="I4856" s="9"/>
      <c r="J4856" s="2"/>
      <c r="L4856" s="9"/>
      <c r="M4856" s="2"/>
      <c r="N4856" s="9"/>
      <c r="P4856" s="3">
        <v>753.63056160999997</v>
      </c>
      <c r="S4856" s="9"/>
      <c r="T4856" s="2"/>
      <c r="U4856" s="9"/>
    </row>
    <row r="4857" spans="2:21" x14ac:dyDescent="0.35">
      <c r="B4857" s="9"/>
      <c r="C4857" s="2"/>
      <c r="D4857" s="2"/>
      <c r="I4857" s="9"/>
      <c r="J4857" s="2"/>
      <c r="L4857" s="9"/>
      <c r="M4857" s="2"/>
      <c r="N4857" s="9"/>
      <c r="P4857" s="3">
        <v>839.66339160999996</v>
      </c>
      <c r="S4857" s="9"/>
      <c r="T4857" s="2"/>
      <c r="U4857" s="9"/>
    </row>
    <row r="4858" spans="2:21" x14ac:dyDescent="0.35">
      <c r="B4858" s="9"/>
      <c r="C4858" s="2"/>
      <c r="D4858" s="2"/>
      <c r="I4858" s="9"/>
      <c r="J4858" s="2"/>
      <c r="L4858" s="9"/>
      <c r="M4858" s="2"/>
      <c r="N4858" s="9"/>
      <c r="P4858" s="3">
        <v>862.53320160999999</v>
      </c>
      <c r="S4858" s="9"/>
      <c r="T4858" s="2"/>
      <c r="U4858" s="9"/>
    </row>
    <row r="4859" spans="2:21" x14ac:dyDescent="0.35">
      <c r="B4859" s="9"/>
      <c r="C4859" s="2"/>
      <c r="D4859" s="2"/>
      <c r="I4859" s="9"/>
      <c r="J4859" s="2"/>
      <c r="L4859" s="9"/>
      <c r="M4859" s="2"/>
      <c r="N4859" s="9"/>
      <c r="P4859" s="3">
        <v>864.71077161000005</v>
      </c>
      <c r="S4859" s="9"/>
      <c r="T4859" s="2"/>
      <c r="U4859" s="9"/>
    </row>
    <row r="4860" spans="2:21" x14ac:dyDescent="0.35">
      <c r="B4860" s="9"/>
      <c r="C4860" s="2"/>
      <c r="D4860" s="2"/>
      <c r="I4860" s="9"/>
      <c r="J4860" s="2"/>
      <c r="L4860" s="9"/>
      <c r="M4860" s="2"/>
      <c r="N4860" s="9"/>
      <c r="P4860" s="3">
        <v>785.36188160999995</v>
      </c>
      <c r="S4860" s="9"/>
      <c r="T4860" s="2"/>
      <c r="U4860" s="9"/>
    </row>
    <row r="4861" spans="2:21" x14ac:dyDescent="0.35">
      <c r="B4861" s="9"/>
      <c r="C4861" s="2"/>
      <c r="D4861" s="2"/>
      <c r="I4861" s="9"/>
      <c r="J4861" s="2"/>
      <c r="L4861" s="9"/>
      <c r="M4861" s="2"/>
      <c r="N4861" s="9"/>
      <c r="P4861" s="3">
        <v>350.60188161000002</v>
      </c>
      <c r="S4861" s="9"/>
      <c r="T4861" s="2"/>
      <c r="U4861" s="9"/>
    </row>
    <row r="4862" spans="2:21" x14ac:dyDescent="0.35">
      <c r="B4862" s="9"/>
      <c r="C4862" s="2"/>
      <c r="D4862" s="2"/>
      <c r="I4862" s="9"/>
      <c r="J4862" s="2"/>
      <c r="L4862" s="9"/>
      <c r="M4862" s="2"/>
      <c r="N4862" s="9"/>
      <c r="P4862" s="3">
        <v>-84.158118389999998</v>
      </c>
      <c r="S4862" s="9"/>
      <c r="T4862" s="2"/>
      <c r="U4862" s="9"/>
    </row>
    <row r="4863" spans="2:21" x14ac:dyDescent="0.35">
      <c r="B4863" s="9"/>
      <c r="C4863" s="2"/>
      <c r="D4863" s="2"/>
      <c r="I4863" s="9"/>
      <c r="J4863" s="2"/>
      <c r="L4863" s="9"/>
      <c r="M4863" s="2"/>
      <c r="N4863" s="9"/>
      <c r="P4863" s="3">
        <v>-518.91811839000002</v>
      </c>
      <c r="S4863" s="9"/>
      <c r="T4863" s="2"/>
      <c r="U4863" s="9"/>
    </row>
    <row r="4864" spans="2:21" x14ac:dyDescent="0.35">
      <c r="B4864" s="9"/>
      <c r="C4864" s="2"/>
      <c r="D4864" s="2"/>
      <c r="I4864" s="9"/>
      <c r="J4864" s="2"/>
      <c r="L4864" s="9"/>
      <c r="M4864" s="2"/>
      <c r="N4864" s="9"/>
      <c r="P4864" s="3">
        <v>-84.158118389999998</v>
      </c>
      <c r="S4864" s="9"/>
      <c r="T4864" s="2"/>
      <c r="U4864" s="9"/>
    </row>
    <row r="4865" spans="2:21" x14ac:dyDescent="0.35">
      <c r="B4865" s="9"/>
      <c r="C4865" s="2"/>
      <c r="D4865" s="2"/>
      <c r="I4865" s="9"/>
      <c r="J4865" s="2"/>
      <c r="L4865" s="9"/>
      <c r="M4865" s="2"/>
      <c r="N4865" s="9"/>
      <c r="P4865" s="3">
        <v>0</v>
      </c>
      <c r="S4865" s="9"/>
      <c r="T4865" s="2"/>
      <c r="U4865" s="9"/>
    </row>
    <row r="4866" spans="2:21" x14ac:dyDescent="0.35">
      <c r="B4866" s="9"/>
      <c r="C4866" s="2"/>
      <c r="D4866" s="2"/>
      <c r="I4866" s="9"/>
      <c r="J4866" s="2"/>
      <c r="L4866" s="9"/>
      <c r="M4866" s="2"/>
      <c r="N4866" s="9"/>
      <c r="P4866" s="3">
        <v>0</v>
      </c>
      <c r="S4866" s="9"/>
      <c r="T4866" s="2"/>
      <c r="U4866" s="9"/>
    </row>
    <row r="4867" spans="2:21" x14ac:dyDescent="0.35">
      <c r="B4867" s="9"/>
      <c r="C4867" s="2"/>
      <c r="D4867" s="2"/>
      <c r="I4867" s="9"/>
      <c r="J4867" s="2"/>
      <c r="L4867" s="9"/>
      <c r="M4867" s="2"/>
      <c r="N4867" s="9"/>
      <c r="P4867" s="3">
        <v>0</v>
      </c>
      <c r="S4867" s="9"/>
      <c r="T4867" s="2"/>
      <c r="U4867" s="9"/>
    </row>
    <row r="4868" spans="2:21" x14ac:dyDescent="0.35">
      <c r="B4868" s="9"/>
      <c r="C4868" s="2"/>
      <c r="D4868" s="2"/>
      <c r="I4868" s="9"/>
      <c r="J4868" s="2"/>
      <c r="L4868" s="9"/>
      <c r="M4868" s="2"/>
      <c r="N4868" s="9"/>
      <c r="P4868" s="3">
        <v>0</v>
      </c>
      <c r="S4868" s="9"/>
      <c r="T4868" s="2"/>
      <c r="U4868" s="9"/>
    </row>
    <row r="4869" spans="2:21" x14ac:dyDescent="0.35">
      <c r="B4869" s="9"/>
      <c r="C4869" s="2"/>
      <c r="D4869" s="2"/>
      <c r="I4869" s="9"/>
      <c r="J4869" s="2"/>
      <c r="L4869" s="9"/>
      <c r="M4869" s="2"/>
      <c r="N4869" s="9"/>
      <c r="P4869" s="3">
        <v>-158.25227838999999</v>
      </c>
      <c r="S4869" s="9"/>
      <c r="T4869" s="2"/>
      <c r="U4869" s="9"/>
    </row>
    <row r="4870" spans="2:21" x14ac:dyDescent="0.35">
      <c r="B4870" s="9"/>
      <c r="C4870" s="2"/>
      <c r="D4870" s="2"/>
      <c r="I4870" s="9"/>
      <c r="J4870" s="2"/>
      <c r="L4870" s="9"/>
      <c r="M4870" s="2"/>
      <c r="N4870" s="9"/>
      <c r="P4870" s="3">
        <v>-593.01227839000001</v>
      </c>
      <c r="S4870" s="9"/>
      <c r="T4870" s="2"/>
      <c r="U4870" s="9"/>
    </row>
    <row r="4871" spans="2:21" x14ac:dyDescent="0.35">
      <c r="B4871" s="9"/>
      <c r="C4871" s="2"/>
      <c r="D4871" s="2"/>
      <c r="I4871" s="9"/>
      <c r="J4871" s="2"/>
      <c r="L4871" s="9"/>
      <c r="M4871" s="2"/>
      <c r="N4871" s="9"/>
      <c r="P4871" s="3">
        <v>-1027.7722783900001</v>
      </c>
      <c r="S4871" s="9"/>
      <c r="T4871" s="2"/>
      <c r="U4871" s="9"/>
    </row>
    <row r="4872" spans="2:21" x14ac:dyDescent="0.35">
      <c r="B4872" s="9"/>
      <c r="C4872" s="2"/>
      <c r="D4872" s="2"/>
      <c r="I4872" s="9"/>
      <c r="J4872" s="2"/>
      <c r="L4872" s="9"/>
      <c r="M4872" s="2"/>
      <c r="N4872" s="9"/>
      <c r="P4872" s="3">
        <v>-593.01227839000001</v>
      </c>
      <c r="S4872" s="9"/>
      <c r="T4872" s="2"/>
      <c r="U4872" s="9"/>
    </row>
    <row r="4873" spans="2:21" x14ac:dyDescent="0.35">
      <c r="B4873" s="9"/>
      <c r="C4873" s="2"/>
      <c r="D4873" s="2"/>
      <c r="I4873" s="9"/>
      <c r="J4873" s="2"/>
      <c r="L4873" s="9"/>
      <c r="M4873" s="2"/>
      <c r="N4873" s="9"/>
      <c r="P4873" s="3">
        <v>-158.25227838999999</v>
      </c>
      <c r="S4873" s="9"/>
      <c r="T4873" s="2"/>
      <c r="U4873" s="9"/>
    </row>
    <row r="4874" spans="2:21" x14ac:dyDescent="0.35">
      <c r="B4874" s="9"/>
      <c r="C4874" s="2"/>
      <c r="D4874" s="2"/>
      <c r="I4874" s="9"/>
      <c r="J4874" s="2"/>
      <c r="L4874" s="9"/>
      <c r="M4874" s="2"/>
      <c r="N4874" s="9"/>
      <c r="P4874" s="3">
        <v>276.50772160999998</v>
      </c>
      <c r="S4874" s="9"/>
      <c r="T4874" s="2"/>
      <c r="U4874" s="9"/>
    </row>
    <row r="4875" spans="2:21" x14ac:dyDescent="0.35">
      <c r="B4875" s="9"/>
      <c r="C4875" s="2"/>
      <c r="D4875" s="2"/>
      <c r="I4875" s="9"/>
      <c r="J4875" s="2"/>
      <c r="L4875" s="9"/>
      <c r="M4875" s="2"/>
      <c r="N4875" s="9"/>
      <c r="P4875" s="3">
        <v>478.21588161</v>
      </c>
      <c r="S4875" s="9"/>
      <c r="T4875" s="2"/>
      <c r="U4875" s="9"/>
    </row>
    <row r="4876" spans="2:21" x14ac:dyDescent="0.35">
      <c r="B4876" s="9"/>
      <c r="C4876" s="2"/>
      <c r="D4876" s="2"/>
      <c r="I4876" s="9"/>
      <c r="J4876" s="2"/>
      <c r="L4876" s="9"/>
      <c r="M4876" s="2"/>
      <c r="N4876" s="9"/>
      <c r="P4876" s="3">
        <v>686.13157161000004</v>
      </c>
      <c r="S4876" s="9"/>
      <c r="T4876" s="2"/>
      <c r="U4876" s="9"/>
    </row>
    <row r="4877" spans="2:21" x14ac:dyDescent="0.35">
      <c r="B4877" s="9"/>
      <c r="C4877" s="2"/>
      <c r="D4877" s="2"/>
      <c r="I4877" s="9"/>
      <c r="J4877" s="2"/>
      <c r="L4877" s="9"/>
      <c r="M4877" s="2"/>
      <c r="N4877" s="9"/>
      <c r="P4877" s="3">
        <v>768.04285160999996</v>
      </c>
      <c r="S4877" s="9"/>
      <c r="T4877" s="2"/>
      <c r="U4877" s="9"/>
    </row>
    <row r="4878" spans="2:21" x14ac:dyDescent="0.35">
      <c r="B4878" s="9"/>
      <c r="C4878" s="2"/>
      <c r="D4878" s="2"/>
      <c r="I4878" s="9"/>
      <c r="J4878" s="2"/>
      <c r="L4878" s="9"/>
      <c r="M4878" s="2"/>
      <c r="N4878" s="9"/>
      <c r="P4878" s="3">
        <v>552.49433113999999</v>
      </c>
      <c r="S4878" s="9"/>
      <c r="T4878" s="2"/>
      <c r="U4878" s="9"/>
    </row>
    <row r="4879" spans="2:21" x14ac:dyDescent="0.35">
      <c r="B4879" s="9"/>
      <c r="C4879" s="2"/>
      <c r="D4879" s="2"/>
      <c r="I4879" s="9"/>
      <c r="J4879" s="2"/>
      <c r="L4879" s="9"/>
      <c r="M4879" s="2"/>
      <c r="N4879" s="9"/>
      <c r="P4879" s="3">
        <v>628.40469113999995</v>
      </c>
      <c r="S4879" s="9"/>
      <c r="T4879" s="2"/>
      <c r="U4879" s="9"/>
    </row>
    <row r="4880" spans="2:21" x14ac:dyDescent="0.35">
      <c r="B4880" s="9"/>
      <c r="C4880" s="2"/>
      <c r="D4880" s="2"/>
      <c r="I4880" s="9"/>
      <c r="J4880" s="2"/>
      <c r="L4880" s="9"/>
      <c r="M4880" s="2"/>
      <c r="N4880" s="9"/>
      <c r="P4880" s="3">
        <v>672.77472114</v>
      </c>
      <c r="S4880" s="9"/>
      <c r="T4880" s="2"/>
      <c r="U4880" s="9"/>
    </row>
    <row r="4881" spans="2:21" x14ac:dyDescent="0.35">
      <c r="B4881" s="9"/>
      <c r="C4881" s="2"/>
      <c r="D4881" s="2"/>
      <c r="I4881" s="9"/>
      <c r="J4881" s="2"/>
      <c r="L4881" s="9"/>
      <c r="M4881" s="2"/>
      <c r="N4881" s="9"/>
      <c r="P4881" s="3">
        <v>669.06000114000005</v>
      </c>
      <c r="S4881" s="9"/>
      <c r="T4881" s="2"/>
      <c r="U4881" s="9"/>
    </row>
    <row r="4882" spans="2:21" x14ac:dyDescent="0.35">
      <c r="B4882" s="9"/>
      <c r="C4882" s="2"/>
      <c r="D4882" s="2"/>
      <c r="I4882" s="9"/>
      <c r="J4882" s="2"/>
      <c r="L4882" s="9"/>
      <c r="M4882" s="2"/>
      <c r="N4882" s="9"/>
      <c r="P4882" s="3">
        <v>627.35744113999999</v>
      </c>
      <c r="S4882" s="9"/>
      <c r="T4882" s="2"/>
      <c r="U4882" s="9"/>
    </row>
    <row r="4883" spans="2:21" x14ac:dyDescent="0.35">
      <c r="B4883" s="9"/>
      <c r="C4883" s="2"/>
      <c r="D4883" s="2"/>
      <c r="I4883" s="9"/>
      <c r="J4883" s="2"/>
      <c r="L4883" s="9"/>
      <c r="M4883" s="2"/>
      <c r="N4883" s="9"/>
      <c r="P4883" s="3">
        <v>699.91295762000004</v>
      </c>
      <c r="S4883" s="9"/>
      <c r="T4883" s="2"/>
      <c r="U4883" s="9"/>
    </row>
    <row r="4884" spans="2:21" x14ac:dyDescent="0.35">
      <c r="B4884" s="9"/>
      <c r="C4884" s="2"/>
      <c r="D4884" s="2"/>
      <c r="I4884" s="9"/>
      <c r="J4884" s="2"/>
      <c r="L4884" s="9"/>
      <c r="M4884" s="2"/>
      <c r="N4884" s="9"/>
      <c r="P4884" s="3">
        <v>780.9345141</v>
      </c>
      <c r="S4884" s="9"/>
      <c r="T4884" s="2"/>
      <c r="U4884" s="9"/>
    </row>
    <row r="4885" spans="2:21" x14ac:dyDescent="0.35">
      <c r="B4885" s="9"/>
      <c r="C4885" s="2"/>
      <c r="D4885" s="2"/>
      <c r="I4885" s="9"/>
      <c r="J4885" s="2"/>
      <c r="L4885" s="9"/>
      <c r="M4885" s="2"/>
      <c r="N4885" s="9"/>
      <c r="P4885" s="3">
        <v>388.28353655000001</v>
      </c>
      <c r="S4885" s="9"/>
      <c r="T4885" s="2"/>
      <c r="U4885" s="9"/>
    </row>
    <row r="4886" spans="2:21" x14ac:dyDescent="0.35">
      <c r="B4886" s="9"/>
      <c r="C4886" s="2"/>
      <c r="D4886" s="2"/>
      <c r="I4886" s="9"/>
      <c r="J4886" s="2"/>
      <c r="L4886" s="9"/>
      <c r="M4886" s="2"/>
      <c r="N4886" s="9"/>
      <c r="P4886" s="3">
        <v>-46.476463449999997</v>
      </c>
      <c r="S4886" s="9"/>
      <c r="T4886" s="2"/>
      <c r="U4886" s="9"/>
    </row>
    <row r="4887" spans="2:21" x14ac:dyDescent="0.35">
      <c r="B4887" s="9"/>
      <c r="C4887" s="2"/>
      <c r="D4887" s="2"/>
      <c r="I4887" s="9"/>
      <c r="J4887" s="2"/>
      <c r="L4887" s="9"/>
      <c r="M4887" s="2"/>
      <c r="N4887" s="9"/>
      <c r="P4887" s="3">
        <v>-481.23646344999997</v>
      </c>
      <c r="S4887" s="9"/>
      <c r="T4887" s="2"/>
      <c r="U4887" s="9"/>
    </row>
    <row r="4888" spans="2:21" x14ac:dyDescent="0.35">
      <c r="B4888" s="9"/>
      <c r="C4888" s="2"/>
      <c r="D4888" s="2"/>
      <c r="I4888" s="9"/>
      <c r="J4888" s="2"/>
      <c r="L4888" s="9"/>
      <c r="M4888" s="2"/>
      <c r="N4888" s="9"/>
      <c r="P4888" s="3">
        <v>-915.99646344999996</v>
      </c>
      <c r="S4888" s="9"/>
      <c r="T4888" s="2"/>
      <c r="U4888" s="9"/>
    </row>
    <row r="4889" spans="2:21" x14ac:dyDescent="0.35">
      <c r="B4889" s="9"/>
      <c r="C4889" s="2"/>
      <c r="D4889" s="2"/>
      <c r="I4889" s="9"/>
      <c r="J4889" s="2"/>
      <c r="L4889" s="9"/>
      <c r="M4889" s="2"/>
      <c r="N4889" s="9"/>
      <c r="P4889" s="3">
        <v>-481.23646344999997</v>
      </c>
      <c r="S4889" s="9"/>
      <c r="T4889" s="2"/>
      <c r="U4889" s="9"/>
    </row>
    <row r="4890" spans="2:21" x14ac:dyDescent="0.35">
      <c r="B4890" s="9"/>
      <c r="C4890" s="2"/>
      <c r="D4890" s="2"/>
      <c r="I4890" s="9"/>
      <c r="J4890" s="2"/>
      <c r="L4890" s="9"/>
      <c r="M4890" s="2"/>
      <c r="N4890" s="9"/>
      <c r="P4890" s="3">
        <v>-46.476463449999997</v>
      </c>
      <c r="S4890" s="9"/>
      <c r="T4890" s="2"/>
      <c r="U4890" s="9"/>
    </row>
    <row r="4891" spans="2:21" x14ac:dyDescent="0.35">
      <c r="B4891" s="9"/>
      <c r="C4891" s="2"/>
      <c r="D4891" s="2"/>
      <c r="I4891" s="9"/>
      <c r="J4891" s="2"/>
      <c r="L4891" s="9"/>
      <c r="M4891" s="2"/>
      <c r="N4891" s="9"/>
      <c r="P4891" s="3">
        <v>-351.77204823</v>
      </c>
      <c r="S4891" s="9"/>
      <c r="T4891" s="2"/>
      <c r="U4891" s="9"/>
    </row>
    <row r="4892" spans="2:21" x14ac:dyDescent="0.35">
      <c r="B4892" s="9"/>
      <c r="C4892" s="2"/>
      <c r="D4892" s="2"/>
      <c r="I4892" s="9"/>
      <c r="J4892" s="2"/>
      <c r="L4892" s="9"/>
      <c r="M4892" s="2"/>
      <c r="N4892" s="9"/>
      <c r="P4892" s="3">
        <v>-786.53204822999999</v>
      </c>
      <c r="S4892" s="9"/>
      <c r="T4892" s="2"/>
      <c r="U4892" s="9"/>
    </row>
    <row r="4893" spans="2:21" x14ac:dyDescent="0.35">
      <c r="B4893" s="9"/>
      <c r="C4893" s="2"/>
      <c r="D4893" s="2"/>
      <c r="I4893" s="9"/>
      <c r="J4893" s="2"/>
      <c r="L4893" s="9"/>
      <c r="M4893" s="2"/>
      <c r="N4893" s="9"/>
      <c r="P4893" s="3">
        <v>-1221.2920482300001</v>
      </c>
      <c r="S4893" s="9"/>
      <c r="T4893" s="2"/>
      <c r="U4893" s="9"/>
    </row>
    <row r="4894" spans="2:21" x14ac:dyDescent="0.35">
      <c r="B4894" s="9"/>
      <c r="C4894" s="2"/>
      <c r="D4894" s="2"/>
      <c r="I4894" s="9"/>
      <c r="J4894" s="2"/>
      <c r="L4894" s="9"/>
      <c r="M4894" s="2"/>
      <c r="N4894" s="9"/>
      <c r="P4894" s="3">
        <v>-1656.0520482300001</v>
      </c>
      <c r="S4894" s="9"/>
      <c r="T4894" s="2"/>
      <c r="U4894" s="9"/>
    </row>
    <row r="4895" spans="2:21" x14ac:dyDescent="0.35">
      <c r="B4895" s="9"/>
      <c r="C4895" s="2"/>
      <c r="D4895" s="2"/>
      <c r="I4895" s="9"/>
      <c r="J4895" s="2"/>
      <c r="L4895" s="9"/>
      <c r="M4895" s="2"/>
      <c r="N4895" s="9"/>
      <c r="P4895" s="3">
        <v>-2090.8120482300001</v>
      </c>
      <c r="S4895" s="9"/>
      <c r="T4895" s="2"/>
      <c r="U4895" s="9"/>
    </row>
    <row r="4896" spans="2:21" x14ac:dyDescent="0.35">
      <c r="B4896" s="9"/>
      <c r="C4896" s="2"/>
      <c r="D4896" s="2"/>
      <c r="I4896" s="9"/>
      <c r="J4896" s="2"/>
      <c r="L4896" s="9"/>
      <c r="M4896" s="2"/>
      <c r="N4896" s="9"/>
      <c r="P4896" s="3">
        <v>-1656.0520482300001</v>
      </c>
      <c r="S4896" s="9"/>
      <c r="T4896" s="2"/>
      <c r="U4896" s="9"/>
    </row>
    <row r="4897" spans="2:21" x14ac:dyDescent="0.35">
      <c r="B4897" s="9"/>
      <c r="C4897" s="2"/>
      <c r="D4897" s="2"/>
      <c r="I4897" s="9"/>
      <c r="J4897" s="2"/>
      <c r="L4897" s="9"/>
      <c r="M4897" s="2"/>
      <c r="N4897" s="9"/>
      <c r="P4897" s="3">
        <v>-1221.2920482300001</v>
      </c>
      <c r="S4897" s="9"/>
      <c r="T4897" s="2"/>
      <c r="U4897" s="9"/>
    </row>
    <row r="4898" spans="2:21" x14ac:dyDescent="0.35">
      <c r="B4898" s="9"/>
      <c r="C4898" s="2"/>
      <c r="D4898" s="2"/>
      <c r="I4898" s="9"/>
      <c r="J4898" s="2"/>
      <c r="L4898" s="9"/>
      <c r="M4898" s="2"/>
      <c r="N4898" s="9"/>
      <c r="P4898" s="3">
        <v>-786.53204822999999</v>
      </c>
      <c r="S4898" s="9"/>
      <c r="T4898" s="2"/>
      <c r="U4898" s="9"/>
    </row>
    <row r="4899" spans="2:21" x14ac:dyDescent="0.35">
      <c r="B4899" s="9"/>
      <c r="C4899" s="2"/>
      <c r="D4899" s="2"/>
      <c r="I4899" s="9"/>
      <c r="J4899" s="2"/>
      <c r="L4899" s="9"/>
      <c r="M4899" s="2"/>
      <c r="N4899" s="9"/>
      <c r="P4899" s="3">
        <v>-728.28734859999997</v>
      </c>
      <c r="S4899" s="9"/>
      <c r="T4899" s="2"/>
      <c r="U4899" s="9"/>
    </row>
    <row r="4900" spans="2:21" x14ac:dyDescent="0.35">
      <c r="B4900" s="9"/>
      <c r="C4900" s="2"/>
      <c r="D4900" s="2"/>
      <c r="I4900" s="9"/>
      <c r="J4900" s="2"/>
      <c r="L4900" s="9"/>
      <c r="M4900" s="2"/>
      <c r="N4900" s="9"/>
      <c r="P4900" s="3">
        <v>-499.43172886000002</v>
      </c>
      <c r="S4900" s="9"/>
      <c r="T4900" s="2"/>
      <c r="U4900" s="9"/>
    </row>
    <row r="4901" spans="2:21" x14ac:dyDescent="0.35">
      <c r="B4901" s="9"/>
      <c r="C4901" s="2"/>
      <c r="D4901" s="2"/>
      <c r="I4901" s="9"/>
      <c r="J4901" s="2"/>
      <c r="L4901" s="9"/>
      <c r="M4901" s="2"/>
      <c r="N4901" s="9"/>
      <c r="P4901" s="3">
        <v>-549.34259885999995</v>
      </c>
      <c r="S4901" s="9"/>
      <c r="T4901" s="2"/>
      <c r="U4901" s="9"/>
    </row>
    <row r="4902" spans="2:21" x14ac:dyDescent="0.35">
      <c r="B4902" s="9"/>
      <c r="C4902" s="2"/>
      <c r="D4902" s="2"/>
      <c r="I4902" s="9"/>
      <c r="J4902" s="2"/>
      <c r="L4902" s="9"/>
      <c r="M4902" s="2"/>
      <c r="N4902" s="9"/>
      <c r="P4902" s="3">
        <v>-647.46956885999998</v>
      </c>
      <c r="S4902" s="9"/>
      <c r="T4902" s="2"/>
      <c r="U4902" s="9"/>
    </row>
    <row r="4903" spans="2:21" x14ac:dyDescent="0.35">
      <c r="B4903" s="9"/>
      <c r="C4903" s="2"/>
      <c r="D4903" s="2"/>
      <c r="I4903" s="9"/>
      <c r="J4903" s="2"/>
      <c r="L4903" s="9"/>
      <c r="M4903" s="2"/>
      <c r="N4903" s="9"/>
      <c r="P4903" s="3">
        <v>-729.66413885999998</v>
      </c>
      <c r="S4903" s="9"/>
      <c r="T4903" s="2"/>
      <c r="U4903" s="9"/>
    </row>
    <row r="4904" spans="2:21" x14ac:dyDescent="0.35">
      <c r="B4904" s="9"/>
      <c r="C4904" s="2"/>
      <c r="D4904" s="2"/>
      <c r="I4904" s="9"/>
      <c r="J4904" s="2"/>
      <c r="L4904" s="9"/>
      <c r="M4904" s="2"/>
      <c r="N4904" s="9"/>
      <c r="P4904" s="3">
        <v>-826.23975886000005</v>
      </c>
      <c r="S4904" s="9"/>
      <c r="T4904" s="2"/>
      <c r="U4904" s="9"/>
    </row>
    <row r="4905" spans="2:21" x14ac:dyDescent="0.35">
      <c r="B4905" s="9"/>
      <c r="C4905" s="2"/>
      <c r="D4905" s="2"/>
      <c r="I4905" s="9"/>
      <c r="J4905" s="2"/>
      <c r="L4905" s="9"/>
      <c r="M4905" s="2"/>
      <c r="N4905" s="9"/>
      <c r="P4905" s="3">
        <v>-878.36724886000002</v>
      </c>
      <c r="S4905" s="9"/>
      <c r="T4905" s="2"/>
      <c r="U4905" s="9"/>
    </row>
    <row r="4906" spans="2:21" x14ac:dyDescent="0.35">
      <c r="B4906" s="9"/>
      <c r="C4906" s="2"/>
      <c r="D4906" s="2"/>
      <c r="I4906" s="9"/>
      <c r="J4906" s="2"/>
      <c r="L4906" s="9"/>
      <c r="M4906" s="2"/>
      <c r="N4906" s="9"/>
      <c r="P4906" s="3">
        <v>-871.54272886000001</v>
      </c>
      <c r="S4906" s="9"/>
      <c r="T4906" s="2"/>
      <c r="U4906" s="9"/>
    </row>
    <row r="4907" spans="2:21" x14ac:dyDescent="0.35">
      <c r="B4907" s="9"/>
      <c r="C4907" s="2"/>
      <c r="D4907" s="2"/>
      <c r="I4907" s="9"/>
      <c r="J4907" s="2"/>
      <c r="L4907" s="9"/>
      <c r="M4907" s="2"/>
      <c r="N4907" s="9"/>
      <c r="P4907" s="3">
        <v>-720.31921237999995</v>
      </c>
      <c r="S4907" s="9"/>
      <c r="T4907" s="2"/>
      <c r="U4907" s="9"/>
    </row>
    <row r="4908" spans="2:21" x14ac:dyDescent="0.35">
      <c r="B4908" s="9"/>
      <c r="C4908" s="2"/>
      <c r="D4908" s="2"/>
      <c r="I4908" s="9"/>
      <c r="J4908" s="2"/>
      <c r="L4908" s="9"/>
      <c r="M4908" s="2"/>
      <c r="N4908" s="9"/>
      <c r="P4908" s="3">
        <v>-621.02012590000004</v>
      </c>
      <c r="S4908" s="9"/>
      <c r="T4908" s="2"/>
      <c r="U4908" s="9"/>
    </row>
    <row r="4909" spans="2:21" x14ac:dyDescent="0.35">
      <c r="B4909" s="9"/>
      <c r="C4909" s="2"/>
      <c r="D4909" s="2"/>
      <c r="I4909" s="9"/>
      <c r="J4909" s="2"/>
      <c r="L4909" s="9"/>
      <c r="M4909" s="2"/>
      <c r="N4909" s="9"/>
      <c r="P4909" s="3">
        <v>-1034.7566834500001</v>
      </c>
      <c r="S4909" s="9"/>
      <c r="T4909" s="2"/>
      <c r="U4909" s="9"/>
    </row>
    <row r="4910" spans="2:21" x14ac:dyDescent="0.35">
      <c r="B4910" s="9"/>
      <c r="C4910" s="2"/>
      <c r="D4910" s="2"/>
      <c r="I4910" s="9"/>
      <c r="J4910" s="2"/>
      <c r="L4910" s="9"/>
      <c r="M4910" s="2"/>
      <c r="N4910" s="9"/>
      <c r="P4910" s="3">
        <v>-1469.5166834500001</v>
      </c>
      <c r="S4910" s="9"/>
      <c r="T4910" s="2"/>
      <c r="U4910" s="9"/>
    </row>
    <row r="4911" spans="2:21" x14ac:dyDescent="0.35">
      <c r="B4911" s="9"/>
      <c r="C4911" s="2"/>
      <c r="D4911" s="2"/>
      <c r="I4911" s="9"/>
      <c r="J4911" s="2"/>
      <c r="L4911" s="9"/>
      <c r="M4911" s="2"/>
      <c r="N4911" s="9"/>
      <c r="P4911" s="3">
        <v>-1904.2766834500001</v>
      </c>
      <c r="S4911" s="9"/>
      <c r="T4911" s="2"/>
      <c r="U4911" s="9"/>
    </row>
    <row r="4912" spans="2:21" x14ac:dyDescent="0.35">
      <c r="B4912" s="9"/>
      <c r="C4912" s="2"/>
      <c r="D4912" s="2"/>
      <c r="I4912" s="9"/>
      <c r="J4912" s="2"/>
      <c r="L4912" s="9"/>
      <c r="M4912" s="2"/>
      <c r="N4912" s="9"/>
      <c r="P4912" s="3">
        <v>-2339.0366834500001</v>
      </c>
      <c r="S4912" s="9"/>
      <c r="T4912" s="2"/>
      <c r="U4912" s="9"/>
    </row>
    <row r="4913" spans="2:21" x14ac:dyDescent="0.35">
      <c r="B4913" s="9"/>
      <c r="C4913" s="2"/>
      <c r="D4913" s="2"/>
      <c r="I4913" s="9"/>
      <c r="J4913" s="2"/>
      <c r="L4913" s="9"/>
      <c r="M4913" s="2"/>
      <c r="N4913" s="9"/>
      <c r="P4913" s="3">
        <v>-1904.2766834500001</v>
      </c>
      <c r="S4913" s="9"/>
      <c r="T4913" s="2"/>
      <c r="U4913" s="9"/>
    </row>
    <row r="4914" spans="2:21" x14ac:dyDescent="0.35">
      <c r="B4914" s="9"/>
      <c r="C4914" s="2"/>
      <c r="D4914" s="2"/>
      <c r="I4914" s="9"/>
      <c r="J4914" s="2"/>
      <c r="L4914" s="9"/>
      <c r="M4914" s="2"/>
      <c r="N4914" s="9"/>
      <c r="P4914" s="3">
        <v>-1469.5166834500001</v>
      </c>
      <c r="S4914" s="9"/>
      <c r="T4914" s="2"/>
      <c r="U4914" s="9"/>
    </row>
    <row r="4915" spans="2:21" x14ac:dyDescent="0.35">
      <c r="B4915" s="9"/>
      <c r="C4915" s="2"/>
      <c r="D4915" s="2"/>
      <c r="I4915" s="9"/>
      <c r="J4915" s="2"/>
      <c r="L4915" s="9"/>
      <c r="M4915" s="2"/>
      <c r="N4915" s="9"/>
      <c r="P4915" s="3">
        <v>-1034.7566834500001</v>
      </c>
      <c r="S4915" s="9"/>
      <c r="T4915" s="2"/>
      <c r="U4915" s="9"/>
    </row>
    <row r="4916" spans="2:21" x14ac:dyDescent="0.35">
      <c r="B4916" s="9"/>
      <c r="C4916" s="2"/>
      <c r="D4916" s="2"/>
      <c r="I4916" s="9"/>
      <c r="J4916" s="2"/>
      <c r="L4916" s="9"/>
      <c r="M4916" s="2"/>
      <c r="N4916" s="9"/>
      <c r="P4916" s="3">
        <v>-1121.129492</v>
      </c>
      <c r="S4916" s="9"/>
      <c r="T4916" s="2"/>
      <c r="U4916" s="9"/>
    </row>
    <row r="4917" spans="2:21" x14ac:dyDescent="0.35">
      <c r="B4917" s="9"/>
      <c r="C4917" s="2"/>
      <c r="D4917" s="2"/>
      <c r="I4917" s="9"/>
      <c r="J4917" s="2"/>
      <c r="L4917" s="9"/>
      <c r="M4917" s="2"/>
      <c r="N4917" s="9"/>
      <c r="P4917" s="3">
        <v>-1555.889492</v>
      </c>
      <c r="S4917" s="9"/>
      <c r="T4917" s="2"/>
      <c r="U4917" s="9"/>
    </row>
    <row r="4918" spans="2:21" x14ac:dyDescent="0.35">
      <c r="B4918" s="9"/>
      <c r="C4918" s="2"/>
      <c r="D4918" s="2"/>
      <c r="I4918" s="9"/>
      <c r="J4918" s="2"/>
      <c r="L4918" s="9"/>
      <c r="M4918" s="2"/>
      <c r="N4918" s="9"/>
      <c r="P4918" s="3">
        <v>-1990.649492</v>
      </c>
      <c r="S4918" s="9"/>
      <c r="T4918" s="2"/>
      <c r="U4918" s="9"/>
    </row>
    <row r="4919" spans="2:21" x14ac:dyDescent="0.35">
      <c r="B4919" s="9"/>
      <c r="C4919" s="2"/>
      <c r="D4919" s="2"/>
      <c r="I4919" s="9"/>
      <c r="J4919" s="2"/>
      <c r="L4919" s="9"/>
      <c r="M4919" s="2"/>
      <c r="N4919" s="9"/>
      <c r="P4919" s="3">
        <v>-2425.4094919999998</v>
      </c>
      <c r="S4919" s="9"/>
      <c r="T4919" s="2"/>
      <c r="U4919" s="9"/>
    </row>
    <row r="4920" spans="2:21" x14ac:dyDescent="0.35">
      <c r="B4920" s="9"/>
      <c r="C4920" s="2"/>
      <c r="D4920" s="2"/>
      <c r="I4920" s="9"/>
      <c r="J4920" s="2"/>
      <c r="L4920" s="9"/>
      <c r="M4920" s="2"/>
      <c r="N4920" s="9"/>
      <c r="P4920" s="3">
        <v>-2860.169492</v>
      </c>
      <c r="S4920" s="9"/>
      <c r="T4920" s="2"/>
      <c r="U4920" s="9"/>
    </row>
    <row r="4921" spans="2:21" x14ac:dyDescent="0.35">
      <c r="B4921" s="9"/>
      <c r="C4921" s="2"/>
      <c r="D4921" s="2"/>
      <c r="I4921" s="9"/>
      <c r="J4921" s="2"/>
      <c r="L4921" s="9"/>
      <c r="M4921" s="2"/>
      <c r="N4921" s="9"/>
      <c r="P4921" s="3">
        <v>-2860.169492</v>
      </c>
      <c r="S4921" s="9"/>
      <c r="T4921" s="2"/>
      <c r="U4921" s="9"/>
    </row>
    <row r="4922" spans="2:21" x14ac:dyDescent="0.35">
      <c r="B4922" s="9"/>
      <c r="C4922" s="2"/>
      <c r="D4922" s="2"/>
      <c r="I4922" s="9"/>
      <c r="J4922" s="2"/>
      <c r="L4922" s="9"/>
      <c r="M4922" s="2"/>
      <c r="N4922" s="9"/>
      <c r="P4922" s="3">
        <v>-2860.169492</v>
      </c>
      <c r="S4922" s="9"/>
      <c r="T4922" s="2"/>
      <c r="U4922" s="9"/>
    </row>
    <row r="4923" spans="2:21" x14ac:dyDescent="0.35">
      <c r="B4923" s="9"/>
      <c r="C4923" s="2"/>
      <c r="D4923" s="2"/>
      <c r="I4923" s="9"/>
      <c r="J4923" s="2"/>
      <c r="L4923" s="9"/>
      <c r="M4923" s="2"/>
      <c r="N4923" s="9"/>
      <c r="P4923" s="3">
        <v>-2860.169492</v>
      </c>
      <c r="S4923" s="9"/>
      <c r="T4923" s="2"/>
      <c r="U4923" s="9"/>
    </row>
    <row r="4924" spans="2:21" x14ac:dyDescent="0.35">
      <c r="B4924" s="9"/>
      <c r="C4924" s="2"/>
      <c r="D4924" s="2"/>
      <c r="I4924" s="9"/>
      <c r="J4924" s="2"/>
      <c r="L4924" s="9"/>
      <c r="M4924" s="2"/>
      <c r="N4924" s="9"/>
      <c r="P4924" s="3">
        <v>-2860.169492</v>
      </c>
      <c r="S4924" s="9"/>
      <c r="T4924" s="2"/>
      <c r="U4924" s="9"/>
    </row>
    <row r="4925" spans="2:21" x14ac:dyDescent="0.35">
      <c r="B4925" s="9"/>
      <c r="C4925" s="2"/>
      <c r="D4925" s="2"/>
      <c r="I4925" s="9"/>
      <c r="J4925" s="2"/>
      <c r="L4925" s="9"/>
      <c r="M4925" s="2"/>
      <c r="N4925" s="9"/>
      <c r="P4925" s="3">
        <v>-2860.169492</v>
      </c>
      <c r="S4925" s="9"/>
      <c r="T4925" s="2"/>
      <c r="U4925" s="9"/>
    </row>
    <row r="4926" spans="2:21" x14ac:dyDescent="0.35">
      <c r="B4926" s="9"/>
      <c r="C4926" s="2"/>
      <c r="D4926" s="2"/>
      <c r="I4926" s="9"/>
      <c r="J4926" s="2"/>
      <c r="L4926" s="9"/>
      <c r="M4926" s="2"/>
      <c r="N4926" s="9"/>
      <c r="P4926" s="3">
        <v>-2860.169492</v>
      </c>
      <c r="S4926" s="9"/>
      <c r="T4926" s="2"/>
      <c r="U4926" s="9"/>
    </row>
    <row r="4927" spans="2:21" x14ac:dyDescent="0.35">
      <c r="B4927" s="9"/>
      <c r="C4927" s="2"/>
      <c r="D4927" s="2"/>
      <c r="I4927" s="9"/>
      <c r="J4927" s="2"/>
      <c r="L4927" s="9"/>
      <c r="M4927" s="2"/>
      <c r="N4927" s="9"/>
      <c r="P4927" s="3">
        <v>-2860.169492</v>
      </c>
      <c r="S4927" s="9"/>
      <c r="T4927" s="2"/>
      <c r="U4927" s="9"/>
    </row>
    <row r="4928" spans="2:21" x14ac:dyDescent="0.35">
      <c r="B4928" s="9"/>
      <c r="C4928" s="2"/>
      <c r="D4928" s="2"/>
      <c r="I4928" s="9"/>
      <c r="J4928" s="2"/>
      <c r="L4928" s="9"/>
      <c r="M4928" s="2"/>
      <c r="N4928" s="9"/>
      <c r="P4928" s="3">
        <v>-2860.169492</v>
      </c>
      <c r="S4928" s="9"/>
      <c r="T4928" s="2"/>
      <c r="U4928" s="9"/>
    </row>
    <row r="4929" spans="2:21" x14ac:dyDescent="0.35">
      <c r="B4929" s="9"/>
      <c r="C4929" s="2"/>
      <c r="D4929" s="2"/>
      <c r="I4929" s="9"/>
      <c r="J4929" s="2"/>
      <c r="L4929" s="9"/>
      <c r="M4929" s="2"/>
      <c r="N4929" s="9"/>
      <c r="P4929" s="3">
        <v>-2860.169492</v>
      </c>
      <c r="S4929" s="9"/>
      <c r="T4929" s="2"/>
      <c r="U4929" s="9"/>
    </row>
    <row r="4930" spans="2:21" x14ac:dyDescent="0.35">
      <c r="B4930" s="9"/>
      <c r="C4930" s="2"/>
      <c r="D4930" s="2"/>
      <c r="I4930" s="9"/>
      <c r="J4930" s="2"/>
      <c r="L4930" s="9"/>
      <c r="M4930" s="2"/>
      <c r="N4930" s="9"/>
      <c r="P4930" s="3">
        <v>-2860.169492</v>
      </c>
      <c r="S4930" s="9"/>
      <c r="T4930" s="2"/>
      <c r="U4930" s="9"/>
    </row>
    <row r="4931" spans="2:21" x14ac:dyDescent="0.35">
      <c r="B4931" s="9"/>
      <c r="C4931" s="2"/>
      <c r="D4931" s="2"/>
      <c r="I4931" s="9"/>
      <c r="J4931" s="2"/>
      <c r="L4931" s="9"/>
      <c r="M4931" s="2"/>
      <c r="N4931" s="9"/>
      <c r="P4931" s="3">
        <v>-2860.169492</v>
      </c>
      <c r="S4931" s="9"/>
      <c r="T4931" s="2"/>
      <c r="U4931" s="9"/>
    </row>
    <row r="4932" spans="2:21" x14ac:dyDescent="0.35">
      <c r="B4932" s="9"/>
      <c r="C4932" s="2"/>
      <c r="D4932" s="2"/>
      <c r="I4932" s="9"/>
      <c r="J4932" s="2"/>
      <c r="L4932" s="9"/>
      <c r="M4932" s="2"/>
      <c r="N4932" s="9"/>
      <c r="P4932" s="3">
        <v>-2860.169492</v>
      </c>
      <c r="S4932" s="9"/>
      <c r="T4932" s="2"/>
      <c r="U4932" s="9"/>
    </row>
    <row r="4933" spans="2:21" x14ac:dyDescent="0.35">
      <c r="B4933" s="9"/>
      <c r="C4933" s="2"/>
      <c r="D4933" s="2"/>
      <c r="I4933" s="9"/>
      <c r="J4933" s="2"/>
      <c r="L4933" s="9"/>
      <c r="M4933" s="2"/>
      <c r="N4933" s="9"/>
      <c r="P4933" s="3">
        <v>-2860.169492</v>
      </c>
      <c r="S4933" s="9"/>
      <c r="T4933" s="2"/>
      <c r="U4933" s="9"/>
    </row>
    <row r="4934" spans="2:21" x14ac:dyDescent="0.35">
      <c r="B4934" s="9"/>
      <c r="C4934" s="2"/>
      <c r="D4934" s="2"/>
      <c r="I4934" s="9"/>
      <c r="J4934" s="2"/>
      <c r="L4934" s="9"/>
      <c r="M4934" s="2"/>
      <c r="N4934" s="9"/>
      <c r="P4934" s="3">
        <v>-2860.169492</v>
      </c>
      <c r="S4934" s="9"/>
      <c r="T4934" s="2"/>
      <c r="U4934" s="9"/>
    </row>
    <row r="4935" spans="2:21" x14ac:dyDescent="0.35">
      <c r="B4935" s="9"/>
      <c r="C4935" s="2"/>
      <c r="D4935" s="2"/>
      <c r="I4935" s="9"/>
      <c r="J4935" s="2"/>
      <c r="L4935" s="9"/>
      <c r="M4935" s="2"/>
      <c r="N4935" s="9"/>
      <c r="P4935" s="3">
        <v>-2860.169492</v>
      </c>
      <c r="S4935" s="9"/>
      <c r="T4935" s="2"/>
      <c r="U4935" s="9"/>
    </row>
    <row r="4936" spans="2:21" x14ac:dyDescent="0.35">
      <c r="B4936" s="9"/>
      <c r="C4936" s="2"/>
      <c r="D4936" s="2"/>
      <c r="I4936" s="9"/>
      <c r="J4936" s="2"/>
      <c r="L4936" s="9"/>
      <c r="M4936" s="2"/>
      <c r="N4936" s="9"/>
      <c r="P4936" s="3">
        <v>-2860.169492</v>
      </c>
      <c r="S4936" s="9"/>
      <c r="T4936" s="2"/>
      <c r="U4936" s="9"/>
    </row>
    <row r="4937" spans="2:21" x14ac:dyDescent="0.35">
      <c r="B4937" s="9"/>
      <c r="C4937" s="2"/>
      <c r="D4937" s="2"/>
      <c r="I4937" s="9"/>
      <c r="J4937" s="2"/>
      <c r="L4937" s="9"/>
      <c r="M4937" s="2"/>
      <c r="N4937" s="9"/>
      <c r="P4937" s="3">
        <v>-2425.4094919999998</v>
      </c>
      <c r="S4937" s="9"/>
      <c r="T4937" s="2"/>
      <c r="U4937" s="9"/>
    </row>
    <row r="4938" spans="2:21" x14ac:dyDescent="0.35">
      <c r="B4938" s="9"/>
      <c r="C4938" s="2"/>
      <c r="D4938" s="2"/>
      <c r="I4938" s="9"/>
      <c r="J4938" s="2"/>
      <c r="L4938" s="9"/>
      <c r="M4938" s="2"/>
      <c r="N4938" s="9"/>
      <c r="P4938" s="3">
        <v>-1990.649492</v>
      </c>
      <c r="S4938" s="9"/>
      <c r="T4938" s="2"/>
      <c r="U4938" s="9"/>
    </row>
    <row r="4939" spans="2:21" x14ac:dyDescent="0.35">
      <c r="B4939" s="9"/>
      <c r="C4939" s="2"/>
      <c r="D4939" s="2"/>
      <c r="I4939" s="9"/>
      <c r="J4939" s="2"/>
      <c r="L4939" s="9"/>
      <c r="M4939" s="2"/>
      <c r="N4939" s="9"/>
      <c r="P4939" s="3">
        <v>-1555.889492</v>
      </c>
      <c r="S4939" s="9"/>
      <c r="T4939" s="2"/>
      <c r="U4939" s="9"/>
    </row>
    <row r="4940" spans="2:21" x14ac:dyDescent="0.35">
      <c r="B4940" s="9"/>
      <c r="C4940" s="2"/>
      <c r="D4940" s="2"/>
      <c r="I4940" s="9"/>
      <c r="J4940" s="2"/>
      <c r="L4940" s="9"/>
      <c r="M4940" s="2"/>
      <c r="N4940" s="9"/>
      <c r="P4940" s="3">
        <v>-1121.129492</v>
      </c>
      <c r="S4940" s="9"/>
      <c r="T4940" s="2"/>
      <c r="U4940" s="9"/>
    </row>
    <row r="4941" spans="2:21" x14ac:dyDescent="0.35">
      <c r="B4941" s="9"/>
      <c r="C4941" s="2"/>
      <c r="D4941" s="2"/>
      <c r="I4941" s="9"/>
      <c r="J4941" s="2"/>
      <c r="L4941" s="9"/>
      <c r="M4941" s="2"/>
      <c r="N4941" s="9"/>
      <c r="P4941" s="3">
        <v>-1555.889492</v>
      </c>
      <c r="S4941" s="9"/>
      <c r="T4941" s="2"/>
      <c r="U4941" s="9"/>
    </row>
    <row r="4942" spans="2:21" x14ac:dyDescent="0.35">
      <c r="B4942" s="9"/>
      <c r="C4942" s="2"/>
      <c r="D4942" s="2"/>
      <c r="I4942" s="9"/>
      <c r="J4942" s="2"/>
      <c r="L4942" s="9"/>
      <c r="M4942" s="2"/>
      <c r="N4942" s="9"/>
      <c r="P4942" s="3">
        <v>-1990.649492</v>
      </c>
      <c r="S4942" s="9"/>
      <c r="T4942" s="2"/>
      <c r="U4942" s="9"/>
    </row>
    <row r="4943" spans="2:21" x14ac:dyDescent="0.35">
      <c r="B4943" s="9"/>
      <c r="C4943" s="2"/>
      <c r="D4943" s="2"/>
      <c r="I4943" s="9"/>
      <c r="J4943" s="2"/>
      <c r="L4943" s="9"/>
      <c r="M4943" s="2"/>
      <c r="N4943" s="9"/>
      <c r="P4943" s="3">
        <v>-2425.4094919999998</v>
      </c>
      <c r="S4943" s="9"/>
      <c r="T4943" s="2"/>
      <c r="U4943" s="9"/>
    </row>
    <row r="4944" spans="2:21" x14ac:dyDescent="0.35">
      <c r="B4944" s="9"/>
      <c r="C4944" s="2"/>
      <c r="D4944" s="2"/>
      <c r="I4944" s="9"/>
      <c r="J4944" s="2"/>
      <c r="L4944" s="9"/>
      <c r="M4944" s="2"/>
      <c r="N4944" s="9"/>
      <c r="P4944" s="3">
        <v>-2860.169492</v>
      </c>
      <c r="S4944" s="9"/>
      <c r="T4944" s="2"/>
      <c r="U4944" s="9"/>
    </row>
    <row r="4945" spans="2:21" x14ac:dyDescent="0.35">
      <c r="B4945" s="9"/>
      <c r="C4945" s="2"/>
      <c r="D4945" s="2"/>
      <c r="I4945" s="9"/>
      <c r="J4945" s="2"/>
      <c r="L4945" s="9"/>
      <c r="M4945" s="2"/>
      <c r="N4945" s="9"/>
      <c r="P4945" s="3">
        <v>-2860.169492</v>
      </c>
      <c r="S4945" s="9"/>
      <c r="T4945" s="2"/>
      <c r="U4945" s="9"/>
    </row>
    <row r="4946" spans="2:21" x14ac:dyDescent="0.35">
      <c r="B4946" s="9"/>
      <c r="C4946" s="2"/>
      <c r="D4946" s="2"/>
      <c r="I4946" s="9"/>
      <c r="J4946" s="2"/>
      <c r="L4946" s="9"/>
      <c r="M4946" s="2"/>
      <c r="N4946" s="9"/>
      <c r="P4946" s="3">
        <v>-2860.169492</v>
      </c>
      <c r="S4946" s="9"/>
      <c r="T4946" s="2"/>
      <c r="U4946" s="9"/>
    </row>
    <row r="4947" spans="2:21" x14ac:dyDescent="0.35">
      <c r="B4947" s="9"/>
      <c r="C4947" s="2"/>
      <c r="D4947" s="2"/>
      <c r="I4947" s="9"/>
      <c r="J4947" s="2"/>
      <c r="L4947" s="9"/>
      <c r="M4947" s="2"/>
      <c r="N4947" s="9"/>
      <c r="P4947" s="3">
        <v>-2860.169492</v>
      </c>
      <c r="S4947" s="9"/>
      <c r="T4947" s="2"/>
      <c r="U4947" s="9"/>
    </row>
    <row r="4948" spans="2:21" x14ac:dyDescent="0.35">
      <c r="B4948" s="9"/>
      <c r="C4948" s="2"/>
      <c r="D4948" s="2"/>
      <c r="I4948" s="9"/>
      <c r="J4948" s="2"/>
      <c r="L4948" s="9"/>
      <c r="M4948" s="2"/>
      <c r="N4948" s="9"/>
      <c r="P4948" s="3">
        <v>-2860.169492</v>
      </c>
      <c r="S4948" s="9"/>
      <c r="T4948" s="2"/>
      <c r="U4948" s="9"/>
    </row>
    <row r="4949" spans="2:21" x14ac:dyDescent="0.35">
      <c r="B4949" s="9"/>
      <c r="C4949" s="2"/>
      <c r="D4949" s="2"/>
      <c r="I4949" s="9"/>
      <c r="J4949" s="2"/>
      <c r="L4949" s="9"/>
      <c r="M4949" s="2"/>
      <c r="N4949" s="9"/>
      <c r="P4949" s="3">
        <v>-2860.169492</v>
      </c>
      <c r="S4949" s="9"/>
      <c r="T4949" s="2"/>
      <c r="U4949" s="9"/>
    </row>
    <row r="4950" spans="2:21" x14ac:dyDescent="0.35">
      <c r="B4950" s="9"/>
      <c r="C4950" s="2"/>
      <c r="D4950" s="2"/>
      <c r="I4950" s="9"/>
      <c r="J4950" s="2"/>
      <c r="L4950" s="9"/>
      <c r="M4950" s="2"/>
      <c r="N4950" s="9"/>
      <c r="P4950" s="3">
        <v>-2860.169492</v>
      </c>
      <c r="S4950" s="9"/>
      <c r="T4950" s="2"/>
      <c r="U4950" s="9"/>
    </row>
    <row r="4951" spans="2:21" x14ac:dyDescent="0.35">
      <c r="B4951" s="9"/>
      <c r="C4951" s="2"/>
      <c r="D4951" s="2"/>
      <c r="I4951" s="9"/>
      <c r="J4951" s="2"/>
      <c r="L4951" s="9"/>
      <c r="M4951" s="2"/>
      <c r="N4951" s="9"/>
      <c r="P4951" s="3">
        <v>-2860.169492</v>
      </c>
      <c r="S4951" s="9"/>
      <c r="T4951" s="2"/>
      <c r="U4951" s="9"/>
    </row>
    <row r="4952" spans="2:21" x14ac:dyDescent="0.35">
      <c r="B4952" s="9"/>
      <c r="C4952" s="2"/>
      <c r="D4952" s="2"/>
      <c r="I4952" s="9"/>
      <c r="J4952" s="2"/>
      <c r="L4952" s="9"/>
      <c r="M4952" s="2"/>
      <c r="N4952" s="9"/>
      <c r="P4952" s="3">
        <v>-2860.169492</v>
      </c>
      <c r="S4952" s="9"/>
      <c r="T4952" s="2"/>
      <c r="U4952" s="9"/>
    </row>
    <row r="4953" spans="2:21" x14ac:dyDescent="0.35">
      <c r="B4953" s="9"/>
      <c r="C4953" s="2"/>
      <c r="D4953" s="2"/>
      <c r="I4953" s="9"/>
      <c r="J4953" s="2"/>
      <c r="L4953" s="9"/>
      <c r="M4953" s="2"/>
      <c r="N4953" s="9"/>
      <c r="P4953" s="3">
        <v>-2860.169492</v>
      </c>
      <c r="S4953" s="9"/>
      <c r="T4953" s="2"/>
      <c r="U4953" s="9"/>
    </row>
    <row r="4954" spans="2:21" x14ac:dyDescent="0.35">
      <c r="B4954" s="9"/>
      <c r="C4954" s="2"/>
      <c r="D4954" s="2"/>
      <c r="I4954" s="9"/>
      <c r="J4954" s="2"/>
      <c r="L4954" s="9"/>
      <c r="M4954" s="2"/>
      <c r="N4954" s="9"/>
      <c r="P4954" s="3">
        <v>-2860.169492</v>
      </c>
      <c r="S4954" s="9"/>
      <c r="T4954" s="2"/>
      <c r="U4954" s="9"/>
    </row>
    <row r="4955" spans="2:21" x14ac:dyDescent="0.35">
      <c r="B4955" s="9"/>
      <c r="C4955" s="2"/>
      <c r="D4955" s="2"/>
      <c r="I4955" s="9"/>
      <c r="J4955" s="2"/>
      <c r="L4955" s="9"/>
      <c r="M4955" s="2"/>
      <c r="N4955" s="9"/>
      <c r="P4955" s="3">
        <v>-2860.169492</v>
      </c>
      <c r="S4955" s="9"/>
      <c r="T4955" s="2"/>
      <c r="U4955" s="9"/>
    </row>
    <row r="4956" spans="2:21" x14ac:dyDescent="0.35">
      <c r="B4956" s="9"/>
      <c r="C4956" s="2"/>
      <c r="D4956" s="2"/>
      <c r="I4956" s="9"/>
      <c r="J4956" s="2"/>
      <c r="L4956" s="9"/>
      <c r="M4956" s="2"/>
      <c r="N4956" s="9"/>
      <c r="P4956" s="3">
        <v>-2694.8577058999999</v>
      </c>
      <c r="S4956" s="9"/>
      <c r="T4956" s="2"/>
      <c r="U4956" s="9"/>
    </row>
    <row r="4957" spans="2:21" x14ac:dyDescent="0.35">
      <c r="B4957" s="9"/>
      <c r="C4957" s="2"/>
      <c r="D4957" s="2"/>
      <c r="I4957" s="9"/>
      <c r="J4957" s="2"/>
      <c r="L4957" s="9"/>
      <c r="M4957" s="2"/>
      <c r="N4957" s="9"/>
      <c r="P4957" s="3">
        <v>-2756.1034034499999</v>
      </c>
      <c r="S4957" s="9"/>
      <c r="T4957" s="2"/>
      <c r="U4957" s="9"/>
    </row>
    <row r="4958" spans="2:21" x14ac:dyDescent="0.35">
      <c r="B4958" s="9"/>
      <c r="C4958" s="2"/>
      <c r="D4958" s="2"/>
      <c r="I4958" s="9"/>
      <c r="J4958" s="2"/>
      <c r="L4958" s="9"/>
      <c r="M4958" s="2"/>
      <c r="N4958" s="9"/>
      <c r="P4958" s="3">
        <v>-2860.169492</v>
      </c>
      <c r="S4958" s="9"/>
      <c r="T4958" s="2"/>
      <c r="U4958" s="9"/>
    </row>
    <row r="4959" spans="2:21" x14ac:dyDescent="0.35">
      <c r="B4959" s="9"/>
      <c r="C4959" s="2"/>
      <c r="D4959" s="2"/>
      <c r="I4959" s="9"/>
      <c r="J4959" s="2"/>
      <c r="L4959" s="9"/>
      <c r="M4959" s="2"/>
      <c r="N4959" s="9"/>
      <c r="P4959" s="3">
        <v>-2860.169492</v>
      </c>
      <c r="S4959" s="9"/>
      <c r="T4959" s="2"/>
      <c r="U4959" s="9"/>
    </row>
    <row r="4960" spans="2:21" x14ac:dyDescent="0.35">
      <c r="B4960" s="9"/>
      <c r="C4960" s="2"/>
      <c r="D4960" s="2"/>
      <c r="I4960" s="9"/>
      <c r="J4960" s="2"/>
      <c r="L4960" s="9"/>
      <c r="M4960" s="2"/>
      <c r="N4960" s="9"/>
      <c r="P4960" s="3">
        <v>-2425.4094919999998</v>
      </c>
      <c r="S4960" s="9"/>
      <c r="T4960" s="2"/>
      <c r="U4960" s="9"/>
    </row>
    <row r="4961" spans="2:21" x14ac:dyDescent="0.35">
      <c r="B4961" s="9"/>
      <c r="C4961" s="2"/>
      <c r="D4961" s="2"/>
      <c r="I4961" s="9"/>
      <c r="J4961" s="2"/>
      <c r="L4961" s="9"/>
      <c r="M4961" s="2"/>
      <c r="N4961" s="9"/>
      <c r="P4961" s="3">
        <v>-1990.649492</v>
      </c>
      <c r="S4961" s="9"/>
      <c r="T4961" s="2"/>
      <c r="U4961" s="9"/>
    </row>
    <row r="4962" spans="2:21" x14ac:dyDescent="0.35">
      <c r="B4962" s="9"/>
      <c r="C4962" s="2"/>
      <c r="D4962" s="2"/>
      <c r="I4962" s="9"/>
      <c r="J4962" s="2"/>
      <c r="L4962" s="9"/>
      <c r="M4962" s="2"/>
      <c r="N4962" s="9"/>
      <c r="P4962" s="3">
        <v>-1555.889492</v>
      </c>
      <c r="S4962" s="9"/>
      <c r="T4962" s="2"/>
      <c r="U4962" s="9"/>
    </row>
    <row r="4963" spans="2:21" x14ac:dyDescent="0.35">
      <c r="B4963" s="9"/>
      <c r="C4963" s="2"/>
      <c r="D4963" s="2"/>
      <c r="I4963" s="9"/>
      <c r="J4963" s="2"/>
      <c r="L4963" s="9"/>
      <c r="M4963" s="2"/>
      <c r="N4963" s="9"/>
      <c r="P4963" s="3">
        <v>-1121.129492</v>
      </c>
      <c r="S4963" s="9"/>
      <c r="T4963" s="2"/>
      <c r="U4963" s="9"/>
    </row>
    <row r="4964" spans="2:21" x14ac:dyDescent="0.35">
      <c r="B4964" s="9"/>
      <c r="C4964" s="2"/>
      <c r="D4964" s="2"/>
      <c r="I4964" s="9"/>
      <c r="J4964" s="2"/>
      <c r="L4964" s="9"/>
      <c r="M4964" s="2"/>
      <c r="N4964" s="9"/>
      <c r="P4964" s="3">
        <v>-1121.129492</v>
      </c>
      <c r="S4964" s="9"/>
      <c r="T4964" s="2"/>
      <c r="U4964" s="9"/>
    </row>
    <row r="4965" spans="2:21" x14ac:dyDescent="0.35">
      <c r="B4965" s="9"/>
      <c r="C4965" s="2"/>
      <c r="D4965" s="2"/>
      <c r="I4965" s="9"/>
      <c r="J4965" s="2"/>
      <c r="L4965" s="9"/>
      <c r="M4965" s="2"/>
      <c r="N4965" s="9"/>
      <c r="P4965" s="3">
        <v>-1555.889492</v>
      </c>
      <c r="S4965" s="9"/>
      <c r="T4965" s="2"/>
      <c r="U4965" s="9"/>
    </row>
    <row r="4966" spans="2:21" x14ac:dyDescent="0.35">
      <c r="B4966" s="9"/>
      <c r="C4966" s="2"/>
      <c r="D4966" s="2"/>
      <c r="I4966" s="9"/>
      <c r="J4966" s="2"/>
      <c r="L4966" s="9"/>
      <c r="M4966" s="2"/>
      <c r="N4966" s="9"/>
      <c r="P4966" s="3">
        <v>-1990.649492</v>
      </c>
      <c r="S4966" s="9"/>
      <c r="T4966" s="2"/>
      <c r="U4966" s="9"/>
    </row>
    <row r="4967" spans="2:21" x14ac:dyDescent="0.35">
      <c r="B4967" s="9"/>
      <c r="C4967" s="2"/>
      <c r="D4967" s="2"/>
      <c r="I4967" s="9"/>
      <c r="J4967" s="2"/>
      <c r="L4967" s="9"/>
      <c r="M4967" s="2"/>
      <c r="N4967" s="9"/>
      <c r="P4967" s="3">
        <v>-2425.4094919999998</v>
      </c>
      <c r="S4967" s="9"/>
      <c r="T4967" s="2"/>
      <c r="U4967" s="9"/>
    </row>
    <row r="4968" spans="2:21" x14ac:dyDescent="0.35">
      <c r="B4968" s="9"/>
      <c r="C4968" s="2"/>
      <c r="D4968" s="2"/>
      <c r="I4968" s="9"/>
      <c r="J4968" s="2"/>
      <c r="L4968" s="9"/>
      <c r="M4968" s="2"/>
      <c r="N4968" s="9"/>
      <c r="P4968" s="3">
        <v>-2860.169492</v>
      </c>
      <c r="S4968" s="9"/>
      <c r="T4968" s="2"/>
      <c r="U4968" s="9"/>
    </row>
    <row r="4969" spans="2:21" x14ac:dyDescent="0.35">
      <c r="B4969" s="9"/>
      <c r="C4969" s="2"/>
      <c r="D4969" s="2"/>
      <c r="I4969" s="9"/>
      <c r="J4969" s="2"/>
      <c r="L4969" s="9"/>
      <c r="M4969" s="2"/>
      <c r="N4969" s="9"/>
      <c r="P4969" s="3">
        <v>-2860.169492</v>
      </c>
      <c r="S4969" s="9"/>
      <c r="T4969" s="2"/>
      <c r="U4969" s="9"/>
    </row>
    <row r="4970" spans="2:21" x14ac:dyDescent="0.35">
      <c r="B4970" s="9"/>
      <c r="C4970" s="2"/>
      <c r="D4970" s="2"/>
      <c r="I4970" s="9"/>
      <c r="J4970" s="2"/>
      <c r="L4970" s="9"/>
      <c r="M4970" s="2"/>
      <c r="N4970" s="9"/>
      <c r="P4970" s="3">
        <v>-2860.169492</v>
      </c>
      <c r="S4970" s="9"/>
      <c r="T4970" s="2"/>
      <c r="U4970" s="9"/>
    </row>
    <row r="4971" spans="2:21" x14ac:dyDescent="0.35">
      <c r="B4971" s="9"/>
      <c r="C4971" s="2"/>
      <c r="D4971" s="2"/>
      <c r="I4971" s="9"/>
      <c r="J4971" s="2"/>
      <c r="L4971" s="9"/>
      <c r="M4971" s="2"/>
      <c r="N4971" s="9"/>
      <c r="P4971" s="3">
        <v>-2860.169492</v>
      </c>
      <c r="S4971" s="9"/>
      <c r="T4971" s="2"/>
      <c r="U4971" s="9"/>
    </row>
    <row r="4972" spans="2:21" x14ac:dyDescent="0.35">
      <c r="B4972" s="9"/>
      <c r="C4972" s="2"/>
      <c r="D4972" s="2"/>
      <c r="I4972" s="9"/>
      <c r="J4972" s="2"/>
      <c r="L4972" s="9"/>
      <c r="M4972" s="2"/>
      <c r="N4972" s="9"/>
      <c r="P4972" s="3">
        <v>-2860.169492</v>
      </c>
      <c r="S4972" s="9"/>
      <c r="T4972" s="2"/>
      <c r="U4972" s="9"/>
    </row>
    <row r="4973" spans="2:21" x14ac:dyDescent="0.35">
      <c r="B4973" s="9"/>
      <c r="C4973" s="2"/>
      <c r="D4973" s="2"/>
      <c r="I4973" s="9"/>
      <c r="J4973" s="2"/>
      <c r="L4973" s="9"/>
      <c r="M4973" s="2"/>
      <c r="N4973" s="9"/>
      <c r="P4973" s="3">
        <v>-2860.169492</v>
      </c>
      <c r="S4973" s="9"/>
      <c r="T4973" s="2"/>
      <c r="U4973" s="9"/>
    </row>
    <row r="4974" spans="2:21" x14ac:dyDescent="0.35">
      <c r="B4974" s="9"/>
      <c r="C4974" s="2"/>
      <c r="D4974" s="2"/>
      <c r="I4974" s="9"/>
      <c r="J4974" s="2"/>
      <c r="L4974" s="9"/>
      <c r="M4974" s="2"/>
      <c r="N4974" s="9"/>
      <c r="P4974" s="3">
        <v>-2798.82636886</v>
      </c>
      <c r="S4974" s="9"/>
      <c r="T4974" s="2"/>
      <c r="U4974" s="9"/>
    </row>
    <row r="4975" spans="2:21" x14ac:dyDescent="0.35">
      <c r="B4975" s="9"/>
      <c r="C4975" s="2"/>
      <c r="D4975" s="2"/>
      <c r="I4975" s="9"/>
      <c r="J4975" s="2"/>
      <c r="L4975" s="9"/>
      <c r="M4975" s="2"/>
      <c r="N4975" s="9"/>
      <c r="P4975" s="3">
        <v>-2559.95822886</v>
      </c>
      <c r="S4975" s="9"/>
      <c r="T4975" s="2"/>
      <c r="U4975" s="9"/>
    </row>
    <row r="4976" spans="2:21" x14ac:dyDescent="0.35">
      <c r="B4976" s="9"/>
      <c r="C4976" s="2"/>
      <c r="D4976" s="2"/>
      <c r="I4976" s="9"/>
      <c r="J4976" s="2"/>
      <c r="L4976" s="9"/>
      <c r="M4976" s="2"/>
      <c r="N4976" s="9"/>
      <c r="P4976" s="3">
        <v>-2351.2231988600001</v>
      </c>
      <c r="S4976" s="9"/>
      <c r="T4976" s="2"/>
      <c r="U4976" s="9"/>
    </row>
    <row r="4977" spans="2:21" x14ac:dyDescent="0.35">
      <c r="B4977" s="9"/>
      <c r="C4977" s="2"/>
      <c r="D4977" s="2"/>
      <c r="I4977" s="9"/>
      <c r="J4977" s="2"/>
      <c r="L4977" s="9"/>
      <c r="M4977" s="2"/>
      <c r="N4977" s="9"/>
      <c r="P4977" s="3">
        <v>-2179.1049988599998</v>
      </c>
      <c r="S4977" s="9"/>
      <c r="T4977" s="2"/>
      <c r="U4977" s="9"/>
    </row>
    <row r="4978" spans="2:21" x14ac:dyDescent="0.35">
      <c r="B4978" s="9"/>
      <c r="C4978" s="2"/>
      <c r="D4978" s="2"/>
      <c r="I4978" s="9"/>
      <c r="J4978" s="2"/>
      <c r="L4978" s="9"/>
      <c r="M4978" s="2"/>
      <c r="N4978" s="9"/>
      <c r="P4978" s="3">
        <v>-1883.62642886</v>
      </c>
      <c r="S4978" s="9"/>
      <c r="T4978" s="2"/>
      <c r="U4978" s="9"/>
    </row>
    <row r="4979" spans="2:21" x14ac:dyDescent="0.35">
      <c r="B4979" s="9"/>
      <c r="C4979" s="2"/>
      <c r="D4979" s="2"/>
      <c r="I4979" s="9"/>
      <c r="J4979" s="2"/>
      <c r="L4979" s="9"/>
      <c r="M4979" s="2"/>
      <c r="N4979" s="9"/>
      <c r="P4979" s="3">
        <v>-1487.86826238</v>
      </c>
      <c r="S4979" s="9"/>
      <c r="T4979" s="2"/>
      <c r="U4979" s="9"/>
    </row>
    <row r="4980" spans="2:21" x14ac:dyDescent="0.35">
      <c r="B4980" s="9"/>
      <c r="C4980" s="2"/>
      <c r="D4980" s="2"/>
      <c r="I4980" s="9"/>
      <c r="J4980" s="2"/>
      <c r="L4980" s="9"/>
      <c r="M4980" s="2"/>
      <c r="N4980" s="9"/>
      <c r="P4980" s="3">
        <v>-1167.9331259000001</v>
      </c>
      <c r="S4980" s="9"/>
      <c r="T4980" s="2"/>
      <c r="U4980" s="9"/>
    </row>
    <row r="4981" spans="2:21" x14ac:dyDescent="0.35">
      <c r="B4981" s="9"/>
      <c r="C4981" s="2"/>
      <c r="D4981" s="2"/>
      <c r="I4981" s="9"/>
      <c r="J4981" s="2"/>
      <c r="L4981" s="9"/>
      <c r="M4981" s="2"/>
      <c r="N4981" s="9"/>
      <c r="P4981" s="3">
        <v>-1410.5831134499999</v>
      </c>
      <c r="S4981" s="9"/>
      <c r="T4981" s="2"/>
      <c r="U4981" s="9"/>
    </row>
    <row r="4982" spans="2:21" x14ac:dyDescent="0.35">
      <c r="B4982" s="9"/>
      <c r="C4982" s="2"/>
      <c r="D4982" s="2"/>
      <c r="I4982" s="9"/>
      <c r="J4982" s="2"/>
      <c r="L4982" s="9"/>
      <c r="M4982" s="2"/>
      <c r="N4982" s="9"/>
      <c r="P4982" s="3">
        <v>-1845.3431134499999</v>
      </c>
      <c r="S4982" s="9"/>
      <c r="T4982" s="2"/>
      <c r="U4982" s="9"/>
    </row>
    <row r="4983" spans="2:21" x14ac:dyDescent="0.35">
      <c r="B4983" s="9"/>
      <c r="C4983" s="2"/>
      <c r="D4983" s="2"/>
      <c r="I4983" s="9"/>
      <c r="J4983" s="2"/>
      <c r="L4983" s="9"/>
      <c r="M4983" s="2"/>
      <c r="N4983" s="9"/>
      <c r="P4983" s="3">
        <v>-1410.5831134499999</v>
      </c>
      <c r="S4983" s="9"/>
      <c r="T4983" s="2"/>
      <c r="U4983" s="9"/>
    </row>
    <row r="4984" spans="2:21" x14ac:dyDescent="0.35">
      <c r="B4984" s="9"/>
      <c r="C4984" s="2"/>
      <c r="D4984" s="2"/>
      <c r="I4984" s="9"/>
      <c r="J4984" s="2"/>
      <c r="L4984" s="9"/>
      <c r="M4984" s="2"/>
      <c r="N4984" s="9"/>
      <c r="P4984" s="3">
        <v>-975.82311345000005</v>
      </c>
      <c r="S4984" s="9"/>
      <c r="T4984" s="2"/>
      <c r="U4984" s="9"/>
    </row>
    <row r="4985" spans="2:21" x14ac:dyDescent="0.35">
      <c r="B4985" s="9"/>
      <c r="C4985" s="2"/>
      <c r="D4985" s="2"/>
      <c r="I4985" s="9"/>
      <c r="J4985" s="2"/>
      <c r="L4985" s="9"/>
      <c r="M4985" s="2"/>
      <c r="N4985" s="9"/>
      <c r="P4985" s="3">
        <v>-541.06311344999995</v>
      </c>
      <c r="S4985" s="9"/>
      <c r="T4985" s="2"/>
      <c r="U4985" s="9"/>
    </row>
    <row r="4986" spans="2:21" x14ac:dyDescent="0.35">
      <c r="B4986" s="9"/>
      <c r="C4986" s="2"/>
      <c r="D4986" s="2"/>
      <c r="I4986" s="9"/>
      <c r="J4986" s="2"/>
      <c r="L4986" s="9"/>
      <c r="M4986" s="2"/>
      <c r="N4986" s="9"/>
      <c r="P4986" s="3">
        <v>-251.60949199999999</v>
      </c>
      <c r="S4986" s="9"/>
      <c r="T4986" s="2"/>
      <c r="U4986" s="9"/>
    </row>
    <row r="4987" spans="2:21" x14ac:dyDescent="0.35">
      <c r="B4987" s="9"/>
      <c r="C4987" s="2"/>
      <c r="D4987" s="2"/>
      <c r="I4987" s="9"/>
      <c r="J4987" s="2"/>
      <c r="L4987" s="9"/>
      <c r="M4987" s="2"/>
      <c r="N4987" s="9"/>
      <c r="P4987" s="3">
        <v>-686.36949200000004</v>
      </c>
      <c r="S4987" s="9"/>
      <c r="T4987" s="2"/>
      <c r="U4987" s="9"/>
    </row>
    <row r="4988" spans="2:21" x14ac:dyDescent="0.35">
      <c r="B4988" s="9"/>
      <c r="C4988" s="2"/>
      <c r="D4988" s="2"/>
      <c r="I4988" s="9"/>
      <c r="J4988" s="2"/>
      <c r="L4988" s="9"/>
      <c r="M4988" s="2"/>
      <c r="N4988" s="9"/>
      <c r="P4988" s="3">
        <v>-1121.129492</v>
      </c>
      <c r="S4988" s="9"/>
      <c r="T4988" s="2"/>
      <c r="U4988" s="9"/>
    </row>
    <row r="4989" spans="2:21" x14ac:dyDescent="0.35">
      <c r="B4989" s="9"/>
      <c r="C4989" s="2"/>
      <c r="D4989" s="2"/>
      <c r="I4989" s="9"/>
      <c r="J4989" s="2"/>
      <c r="L4989" s="9"/>
      <c r="M4989" s="2"/>
      <c r="N4989" s="9"/>
      <c r="P4989" s="3">
        <v>-1555.889492</v>
      </c>
      <c r="S4989" s="9"/>
      <c r="T4989" s="2"/>
      <c r="U4989" s="9"/>
    </row>
    <row r="4990" spans="2:21" x14ac:dyDescent="0.35">
      <c r="B4990" s="9"/>
      <c r="C4990" s="2"/>
      <c r="D4990" s="2"/>
      <c r="I4990" s="9"/>
      <c r="J4990" s="2"/>
      <c r="L4990" s="9"/>
      <c r="M4990" s="2"/>
      <c r="N4990" s="9"/>
      <c r="P4990" s="3">
        <v>-1990.649492</v>
      </c>
      <c r="S4990" s="9"/>
      <c r="T4990" s="2"/>
      <c r="U4990" s="9"/>
    </row>
    <row r="4991" spans="2:21" x14ac:dyDescent="0.35">
      <c r="B4991" s="9"/>
      <c r="C4991" s="2"/>
      <c r="D4991" s="2"/>
      <c r="I4991" s="9"/>
      <c r="J4991" s="2"/>
      <c r="L4991" s="9"/>
      <c r="M4991" s="2"/>
      <c r="N4991" s="9"/>
      <c r="P4991" s="3">
        <v>-2425.4094919999998</v>
      </c>
      <c r="S4991" s="9"/>
      <c r="T4991" s="2"/>
      <c r="U4991" s="9"/>
    </row>
    <row r="4992" spans="2:21" x14ac:dyDescent="0.35">
      <c r="B4992" s="9"/>
      <c r="C4992" s="2"/>
      <c r="D4992" s="2"/>
      <c r="I4992" s="9"/>
      <c r="J4992" s="2"/>
      <c r="L4992" s="9"/>
      <c r="M4992" s="2"/>
      <c r="N4992" s="9"/>
      <c r="P4992" s="3">
        <v>-2860.169492</v>
      </c>
      <c r="S4992" s="9"/>
      <c r="T4992" s="2"/>
      <c r="U4992" s="9"/>
    </row>
    <row r="4993" spans="2:21" x14ac:dyDescent="0.35">
      <c r="B4993" s="9"/>
      <c r="C4993" s="2"/>
      <c r="D4993" s="2"/>
      <c r="I4993" s="9"/>
      <c r="J4993" s="2"/>
      <c r="L4993" s="9"/>
      <c r="M4993" s="2"/>
      <c r="N4993" s="9"/>
      <c r="P4993" s="3">
        <v>-2860.169492</v>
      </c>
      <c r="S4993" s="9"/>
      <c r="T4993" s="2"/>
      <c r="U4993" s="9"/>
    </row>
    <row r="4994" spans="2:21" x14ac:dyDescent="0.35">
      <c r="B4994" s="9"/>
      <c r="C4994" s="2"/>
      <c r="D4994" s="2"/>
      <c r="I4994" s="9"/>
      <c r="J4994" s="2"/>
      <c r="L4994" s="9"/>
      <c r="M4994" s="2"/>
      <c r="N4994" s="9"/>
      <c r="P4994" s="3">
        <v>-2740.5635182300002</v>
      </c>
      <c r="S4994" s="9"/>
      <c r="T4994" s="2"/>
      <c r="U4994" s="9"/>
    </row>
    <row r="4995" spans="2:21" x14ac:dyDescent="0.35">
      <c r="B4995" s="9"/>
      <c r="C4995" s="2"/>
      <c r="D4995" s="2"/>
      <c r="I4995" s="9"/>
      <c r="J4995" s="2"/>
      <c r="L4995" s="9"/>
      <c r="M4995" s="2"/>
      <c r="N4995" s="9"/>
      <c r="P4995" s="3">
        <v>-2669.9797285999998</v>
      </c>
      <c r="S4995" s="9"/>
      <c r="T4995" s="2"/>
      <c r="U4995" s="9"/>
    </row>
    <row r="4996" spans="2:21" x14ac:dyDescent="0.35">
      <c r="B4996" s="9"/>
      <c r="C4996" s="2"/>
      <c r="D4996" s="2"/>
      <c r="I4996" s="9"/>
      <c r="J4996" s="2"/>
      <c r="L4996" s="9"/>
      <c r="M4996" s="2"/>
      <c r="N4996" s="9"/>
      <c r="P4996" s="3">
        <v>-2346.5187388600002</v>
      </c>
      <c r="S4996" s="9"/>
      <c r="T4996" s="2"/>
      <c r="U4996" s="9"/>
    </row>
    <row r="4997" spans="2:21" x14ac:dyDescent="0.35">
      <c r="B4997" s="9"/>
      <c r="C4997" s="2"/>
      <c r="D4997" s="2"/>
      <c r="I4997" s="9"/>
      <c r="J4997" s="2"/>
      <c r="L4997" s="9"/>
      <c r="M4997" s="2"/>
      <c r="N4997" s="9"/>
      <c r="P4997" s="3">
        <v>-2180.3521583900001</v>
      </c>
      <c r="S4997" s="9"/>
      <c r="T4997" s="2"/>
      <c r="U4997" s="9"/>
    </row>
    <row r="4998" spans="2:21" x14ac:dyDescent="0.35">
      <c r="B4998" s="9"/>
      <c r="C4998" s="2"/>
      <c r="D4998" s="2"/>
      <c r="I4998" s="9"/>
      <c r="J4998" s="2"/>
      <c r="L4998" s="9"/>
      <c r="M4998" s="2"/>
      <c r="N4998" s="9"/>
      <c r="P4998" s="3">
        <v>-1745.5921583899999</v>
      </c>
      <c r="S4998" s="9"/>
      <c r="T4998" s="2"/>
      <c r="U4998" s="9"/>
    </row>
    <row r="4999" spans="2:21" x14ac:dyDescent="0.35">
      <c r="B4999" s="9"/>
      <c r="C4999" s="2"/>
      <c r="D4999" s="2"/>
      <c r="I4999" s="9"/>
      <c r="J4999" s="2"/>
      <c r="L4999" s="9"/>
      <c r="M4999" s="2"/>
      <c r="N4999" s="9"/>
      <c r="P4999" s="3">
        <v>-1495.4492183899999</v>
      </c>
      <c r="S4999" s="9"/>
      <c r="T4999" s="2"/>
      <c r="U4999" s="9"/>
    </row>
    <row r="5000" spans="2:21" x14ac:dyDescent="0.35">
      <c r="B5000" s="9"/>
      <c r="C5000" s="2"/>
      <c r="D5000" s="2"/>
      <c r="I5000" s="9"/>
      <c r="J5000" s="2"/>
      <c r="L5000" s="9"/>
      <c r="M5000" s="2"/>
      <c r="N5000" s="9"/>
      <c r="P5000" s="3">
        <v>-1245.18912839</v>
      </c>
      <c r="S5000" s="9"/>
      <c r="T5000" s="2"/>
      <c r="U5000" s="9"/>
    </row>
    <row r="5001" spans="2:21" x14ac:dyDescent="0.35">
      <c r="B5001" s="9"/>
      <c r="C5001" s="2"/>
      <c r="D5001" s="2"/>
      <c r="I5001" s="9"/>
      <c r="J5001" s="2"/>
      <c r="L5001" s="9"/>
      <c r="M5001" s="2"/>
      <c r="N5001" s="9"/>
      <c r="P5001" s="3">
        <v>-1055.81366839</v>
      </c>
      <c r="S5001" s="9"/>
      <c r="T5001" s="2"/>
      <c r="U5001" s="9"/>
    </row>
    <row r="5002" spans="2:21" x14ac:dyDescent="0.35">
      <c r="B5002" s="9"/>
      <c r="C5002" s="2"/>
      <c r="D5002" s="2"/>
      <c r="I5002" s="9"/>
      <c r="J5002" s="2"/>
      <c r="L5002" s="9"/>
      <c r="M5002" s="2"/>
      <c r="N5002" s="9"/>
      <c r="P5002" s="3">
        <v>-884.69443838999996</v>
      </c>
      <c r="S5002" s="9"/>
      <c r="T5002" s="2"/>
      <c r="U5002" s="9"/>
    </row>
    <row r="5003" spans="2:21" x14ac:dyDescent="0.35">
      <c r="B5003" s="9"/>
      <c r="C5003" s="2"/>
      <c r="D5003" s="2"/>
      <c r="I5003" s="9"/>
      <c r="J5003" s="2"/>
      <c r="L5003" s="9"/>
      <c r="M5003" s="2"/>
      <c r="N5003" s="9"/>
      <c r="P5003" s="3">
        <v>-737.33180838999999</v>
      </c>
      <c r="S5003" s="9"/>
      <c r="T5003" s="2"/>
      <c r="U5003" s="9"/>
    </row>
    <row r="5004" spans="2:21" x14ac:dyDescent="0.35">
      <c r="B5004" s="9"/>
      <c r="C5004" s="2"/>
      <c r="D5004" s="2"/>
      <c r="I5004" s="9"/>
      <c r="J5004" s="2"/>
      <c r="L5004" s="9"/>
      <c r="M5004" s="2"/>
      <c r="N5004" s="9"/>
      <c r="P5004" s="3">
        <v>-621.23757838999995</v>
      </c>
      <c r="S5004" s="9"/>
      <c r="T5004" s="2"/>
      <c r="U5004" s="9"/>
    </row>
    <row r="5005" spans="2:21" x14ac:dyDescent="0.35">
      <c r="B5005" s="9"/>
      <c r="C5005" s="2"/>
      <c r="D5005" s="2"/>
      <c r="I5005" s="9"/>
      <c r="J5005" s="2"/>
      <c r="L5005" s="9"/>
      <c r="M5005" s="2"/>
      <c r="N5005" s="9"/>
      <c r="P5005" s="3">
        <v>-1022.0027583900001</v>
      </c>
      <c r="S5005" s="9"/>
      <c r="T5005" s="2"/>
      <c r="U5005" s="9"/>
    </row>
    <row r="5006" spans="2:21" x14ac:dyDescent="0.35">
      <c r="B5006" s="9"/>
      <c r="C5006" s="2"/>
      <c r="D5006" s="2"/>
      <c r="I5006" s="9"/>
      <c r="J5006" s="2"/>
      <c r="L5006" s="9"/>
      <c r="M5006" s="2"/>
      <c r="N5006" s="9"/>
      <c r="P5006" s="3">
        <v>-1456.76275839</v>
      </c>
      <c r="S5006" s="9"/>
      <c r="T5006" s="2"/>
      <c r="U5006" s="9"/>
    </row>
    <row r="5007" spans="2:21" x14ac:dyDescent="0.35">
      <c r="B5007" s="9"/>
      <c r="C5007" s="2"/>
      <c r="D5007" s="2"/>
      <c r="I5007" s="9"/>
      <c r="J5007" s="2"/>
      <c r="L5007" s="9"/>
      <c r="M5007" s="2"/>
      <c r="N5007" s="9"/>
      <c r="P5007" s="3">
        <v>-1022.0027583900001</v>
      </c>
      <c r="S5007" s="9"/>
      <c r="T5007" s="2"/>
      <c r="U5007" s="9"/>
    </row>
    <row r="5008" spans="2:21" x14ac:dyDescent="0.35">
      <c r="B5008" s="9"/>
      <c r="C5008" s="2"/>
      <c r="D5008" s="2"/>
      <c r="I5008" s="9"/>
      <c r="J5008" s="2"/>
      <c r="L5008" s="9"/>
      <c r="M5008" s="2"/>
      <c r="N5008" s="9"/>
      <c r="P5008" s="3">
        <v>-587.24275838999995</v>
      </c>
      <c r="S5008" s="9"/>
      <c r="T5008" s="2"/>
      <c r="U5008" s="9"/>
    </row>
    <row r="5009" spans="2:21" x14ac:dyDescent="0.35">
      <c r="B5009" s="9"/>
      <c r="C5009" s="2"/>
      <c r="D5009" s="2"/>
      <c r="I5009" s="9"/>
      <c r="J5009" s="2"/>
      <c r="L5009" s="9"/>
      <c r="M5009" s="2"/>
      <c r="N5009" s="9"/>
      <c r="P5009" s="3">
        <v>-152.48275838999999</v>
      </c>
      <c r="S5009" s="9"/>
      <c r="T5009" s="2"/>
      <c r="U5009" s="9"/>
    </row>
    <row r="5010" spans="2:21" x14ac:dyDescent="0.35">
      <c r="B5010" s="9"/>
      <c r="C5010" s="2"/>
      <c r="D5010" s="2"/>
      <c r="I5010" s="9"/>
      <c r="J5010" s="2"/>
      <c r="L5010" s="9"/>
      <c r="M5010" s="2"/>
      <c r="N5010" s="9"/>
      <c r="P5010" s="3">
        <v>0</v>
      </c>
      <c r="S5010" s="9"/>
      <c r="T5010" s="2"/>
      <c r="U5010" s="9"/>
    </row>
    <row r="5011" spans="2:21" x14ac:dyDescent="0.35">
      <c r="B5011" s="9"/>
      <c r="C5011" s="2"/>
      <c r="D5011" s="2"/>
      <c r="I5011" s="9"/>
      <c r="J5011" s="2"/>
      <c r="L5011" s="9"/>
      <c r="M5011" s="2"/>
      <c r="N5011" s="9"/>
      <c r="P5011" s="3">
        <v>0</v>
      </c>
      <c r="S5011" s="9"/>
      <c r="T5011" s="2"/>
      <c r="U5011" s="9"/>
    </row>
    <row r="5012" spans="2:21" x14ac:dyDescent="0.35">
      <c r="B5012" s="9"/>
      <c r="C5012" s="2"/>
      <c r="D5012" s="2"/>
      <c r="I5012" s="9"/>
      <c r="J5012" s="2"/>
      <c r="L5012" s="9"/>
      <c r="M5012" s="2"/>
      <c r="N5012" s="9"/>
      <c r="P5012" s="3">
        <v>0</v>
      </c>
      <c r="S5012" s="9"/>
      <c r="T5012" s="2"/>
      <c r="U5012" s="9"/>
    </row>
    <row r="5013" spans="2:21" x14ac:dyDescent="0.35">
      <c r="B5013" s="9"/>
      <c r="C5013" s="2"/>
      <c r="D5013" s="2"/>
      <c r="I5013" s="9"/>
      <c r="J5013" s="2"/>
      <c r="L5013" s="9"/>
      <c r="M5013" s="2"/>
      <c r="N5013" s="9"/>
      <c r="P5013" s="3">
        <v>0</v>
      </c>
      <c r="S5013" s="9"/>
      <c r="T5013" s="2"/>
      <c r="U5013" s="9"/>
    </row>
    <row r="5014" spans="2:21" x14ac:dyDescent="0.35">
      <c r="B5014" s="9"/>
      <c r="C5014" s="2"/>
      <c r="D5014" s="2"/>
      <c r="I5014" s="9"/>
      <c r="J5014" s="2"/>
      <c r="L5014" s="9"/>
      <c r="M5014" s="2"/>
      <c r="N5014" s="9"/>
      <c r="P5014" s="3">
        <v>-148.50608839</v>
      </c>
      <c r="S5014" s="9"/>
      <c r="T5014" s="2"/>
      <c r="U5014" s="9"/>
    </row>
    <row r="5015" spans="2:21" x14ac:dyDescent="0.35">
      <c r="B5015" s="9"/>
      <c r="C5015" s="2"/>
      <c r="D5015" s="2"/>
      <c r="I5015" s="9"/>
      <c r="J5015" s="2"/>
      <c r="L5015" s="9"/>
      <c r="M5015" s="2"/>
      <c r="N5015" s="9"/>
      <c r="P5015" s="3">
        <v>-583.26608839000005</v>
      </c>
      <c r="S5015" s="9"/>
      <c r="T5015" s="2"/>
      <c r="U5015" s="9"/>
    </row>
    <row r="5016" spans="2:21" x14ac:dyDescent="0.35">
      <c r="B5016" s="9"/>
      <c r="C5016" s="2"/>
      <c r="D5016" s="2"/>
      <c r="I5016" s="9"/>
      <c r="J5016" s="2"/>
      <c r="L5016" s="9"/>
      <c r="M5016" s="2"/>
      <c r="N5016" s="9"/>
      <c r="P5016" s="3">
        <v>-1018.02608839</v>
      </c>
      <c r="S5016" s="9"/>
      <c r="T5016" s="2"/>
      <c r="U5016" s="9"/>
    </row>
    <row r="5017" spans="2:21" x14ac:dyDescent="0.35">
      <c r="B5017" s="9"/>
      <c r="C5017" s="2"/>
      <c r="D5017" s="2"/>
      <c r="I5017" s="9"/>
      <c r="J5017" s="2"/>
      <c r="L5017" s="9"/>
      <c r="M5017" s="2"/>
      <c r="N5017" s="9"/>
      <c r="P5017" s="3">
        <v>-583.26608839000005</v>
      </c>
      <c r="S5017" s="9"/>
      <c r="T5017" s="2"/>
      <c r="U5017" s="9"/>
    </row>
    <row r="5018" spans="2:21" x14ac:dyDescent="0.35">
      <c r="B5018" s="9"/>
      <c r="C5018" s="2"/>
      <c r="D5018" s="2"/>
      <c r="I5018" s="9"/>
      <c r="J5018" s="2"/>
      <c r="L5018" s="9"/>
      <c r="M5018" s="2"/>
      <c r="N5018" s="9"/>
      <c r="P5018" s="3">
        <v>-148.50608839</v>
      </c>
      <c r="S5018" s="9"/>
      <c r="T5018" s="2"/>
      <c r="U5018" s="9"/>
    </row>
    <row r="5019" spans="2:21" x14ac:dyDescent="0.35">
      <c r="B5019" s="9"/>
      <c r="C5019" s="2"/>
      <c r="D5019" s="2"/>
      <c r="I5019" s="9"/>
      <c r="J5019" s="2"/>
      <c r="L5019" s="9"/>
      <c r="M5019" s="2"/>
      <c r="N5019" s="9"/>
      <c r="P5019" s="3">
        <v>27.722301609999999</v>
      </c>
      <c r="S5019" s="9"/>
      <c r="T5019" s="2"/>
      <c r="U5019" s="9"/>
    </row>
    <row r="5020" spans="2:21" x14ac:dyDescent="0.35">
      <c r="B5020" s="9"/>
      <c r="C5020" s="2"/>
      <c r="D5020" s="2"/>
      <c r="I5020" s="9"/>
      <c r="J5020" s="2"/>
      <c r="L5020" s="9"/>
      <c r="M5020" s="2"/>
      <c r="N5020" s="9"/>
      <c r="P5020" s="3">
        <v>243.17819161</v>
      </c>
      <c r="S5020" s="9"/>
      <c r="T5020" s="2"/>
      <c r="U5020" s="9"/>
    </row>
    <row r="5021" spans="2:21" x14ac:dyDescent="0.35">
      <c r="B5021" s="9"/>
      <c r="C5021" s="2"/>
      <c r="D5021" s="2"/>
      <c r="I5021" s="9"/>
      <c r="J5021" s="2"/>
      <c r="L5021" s="9"/>
      <c r="M5021" s="2"/>
      <c r="N5021" s="9"/>
      <c r="P5021" s="3">
        <v>321.27890160999999</v>
      </c>
      <c r="S5021" s="9"/>
      <c r="T5021" s="2"/>
      <c r="U5021" s="9"/>
    </row>
    <row r="5022" spans="2:21" x14ac:dyDescent="0.35">
      <c r="B5022" s="9"/>
      <c r="C5022" s="2"/>
      <c r="D5022" s="2"/>
      <c r="I5022" s="9"/>
      <c r="J5022" s="2"/>
      <c r="L5022" s="9"/>
      <c r="M5022" s="2"/>
      <c r="N5022" s="9"/>
      <c r="P5022" s="3">
        <v>405.85126160999999</v>
      </c>
      <c r="S5022" s="9"/>
      <c r="T5022" s="2"/>
      <c r="U5022" s="9"/>
    </row>
    <row r="5023" spans="2:21" x14ac:dyDescent="0.35">
      <c r="B5023" s="9"/>
      <c r="C5023" s="2"/>
      <c r="D5023" s="2"/>
      <c r="I5023" s="9"/>
      <c r="J5023" s="2"/>
      <c r="L5023" s="9"/>
      <c r="M5023" s="2"/>
      <c r="N5023" s="9"/>
      <c r="P5023" s="3">
        <v>507.44942161</v>
      </c>
      <c r="S5023" s="9"/>
      <c r="T5023" s="2"/>
      <c r="U5023" s="9"/>
    </row>
    <row r="5024" spans="2:21" x14ac:dyDescent="0.35">
      <c r="B5024" s="9"/>
      <c r="C5024" s="2"/>
      <c r="D5024" s="2"/>
      <c r="I5024" s="9"/>
      <c r="J5024" s="2"/>
      <c r="L5024" s="9"/>
      <c r="M5024" s="2"/>
      <c r="N5024" s="9"/>
      <c r="P5024" s="3">
        <v>604.66830160999996</v>
      </c>
      <c r="S5024" s="9"/>
      <c r="T5024" s="2"/>
      <c r="U5024" s="9"/>
    </row>
    <row r="5025" spans="2:21" x14ac:dyDescent="0.35">
      <c r="B5025" s="9"/>
      <c r="C5025" s="2"/>
      <c r="D5025" s="2"/>
      <c r="I5025" s="9"/>
      <c r="J5025" s="2"/>
      <c r="L5025" s="9"/>
      <c r="M5025" s="2"/>
      <c r="N5025" s="9"/>
      <c r="P5025" s="3">
        <v>657.36024161</v>
      </c>
      <c r="S5025" s="9"/>
      <c r="T5025" s="2"/>
      <c r="U5025" s="9"/>
    </row>
    <row r="5026" spans="2:21" x14ac:dyDescent="0.35">
      <c r="B5026" s="9"/>
      <c r="C5026" s="2"/>
      <c r="D5026" s="2"/>
      <c r="I5026" s="9"/>
      <c r="J5026" s="2"/>
      <c r="L5026" s="9"/>
      <c r="M5026" s="2"/>
      <c r="N5026" s="9"/>
      <c r="P5026" s="3">
        <v>707.05172160999996</v>
      </c>
      <c r="S5026" s="9"/>
      <c r="T5026" s="2"/>
      <c r="U5026" s="9"/>
    </row>
    <row r="5027" spans="2:21" x14ac:dyDescent="0.35">
      <c r="B5027" s="9"/>
      <c r="C5027" s="2"/>
      <c r="D5027" s="2"/>
      <c r="I5027" s="9"/>
      <c r="J5027" s="2"/>
      <c r="L5027" s="9"/>
      <c r="M5027" s="2"/>
      <c r="N5027" s="9"/>
      <c r="P5027" s="3">
        <v>768.92680160999998</v>
      </c>
      <c r="S5027" s="9"/>
      <c r="T5027" s="2"/>
      <c r="U5027" s="9"/>
    </row>
    <row r="5028" spans="2:21" x14ac:dyDescent="0.35">
      <c r="B5028" s="9"/>
      <c r="C5028" s="2"/>
      <c r="D5028" s="2"/>
      <c r="I5028" s="9"/>
      <c r="J5028" s="2"/>
      <c r="L5028" s="9"/>
      <c r="M5028" s="2"/>
      <c r="N5028" s="9"/>
      <c r="P5028" s="3">
        <v>807.85681161000002</v>
      </c>
      <c r="S5028" s="9"/>
      <c r="T5028" s="2"/>
      <c r="U5028" s="9"/>
    </row>
    <row r="5029" spans="2:21" x14ac:dyDescent="0.35">
      <c r="B5029" s="9"/>
      <c r="C5029" s="2"/>
      <c r="D5029" s="2"/>
      <c r="I5029" s="9"/>
      <c r="J5029" s="2"/>
      <c r="L5029" s="9"/>
      <c r="M5029" s="2"/>
      <c r="N5029" s="9"/>
      <c r="P5029" s="3">
        <v>373.09681160999997</v>
      </c>
      <c r="S5029" s="9"/>
      <c r="T5029" s="2"/>
      <c r="U5029" s="9"/>
    </row>
    <row r="5030" spans="2:21" x14ac:dyDescent="0.35">
      <c r="B5030" s="9"/>
      <c r="C5030" s="2"/>
      <c r="D5030" s="2"/>
      <c r="I5030" s="9"/>
      <c r="J5030" s="2"/>
      <c r="L5030" s="9"/>
      <c r="M5030" s="2"/>
      <c r="N5030" s="9"/>
      <c r="P5030" s="3">
        <v>-61.663188390000002</v>
      </c>
      <c r="S5030" s="9"/>
      <c r="T5030" s="2"/>
      <c r="U5030" s="9"/>
    </row>
    <row r="5031" spans="2:21" x14ac:dyDescent="0.35">
      <c r="B5031" s="9"/>
      <c r="C5031" s="2"/>
      <c r="D5031" s="2"/>
      <c r="I5031" s="9"/>
      <c r="J5031" s="2"/>
      <c r="L5031" s="9"/>
      <c r="M5031" s="2"/>
      <c r="N5031" s="9"/>
      <c r="P5031" s="3">
        <v>0</v>
      </c>
      <c r="S5031" s="9"/>
      <c r="T5031" s="2"/>
      <c r="U5031" s="9"/>
    </row>
    <row r="5032" spans="2:21" x14ac:dyDescent="0.35">
      <c r="B5032" s="9"/>
      <c r="C5032" s="2"/>
      <c r="D5032" s="2"/>
      <c r="I5032" s="9"/>
      <c r="J5032" s="2"/>
      <c r="L5032" s="9"/>
      <c r="M5032" s="2"/>
      <c r="N5032" s="9"/>
      <c r="P5032" s="3">
        <v>0</v>
      </c>
      <c r="S5032" s="9"/>
      <c r="T5032" s="2"/>
      <c r="U5032" s="9"/>
    </row>
    <row r="5033" spans="2:21" x14ac:dyDescent="0.35">
      <c r="B5033" s="9"/>
      <c r="C5033" s="2"/>
      <c r="D5033" s="2"/>
      <c r="I5033" s="9"/>
      <c r="J5033" s="2"/>
      <c r="L5033" s="9"/>
      <c r="M5033" s="2"/>
      <c r="N5033" s="9"/>
      <c r="P5033" s="3">
        <v>0</v>
      </c>
      <c r="S5033" s="9"/>
      <c r="T5033" s="2"/>
      <c r="U5033" s="9"/>
    </row>
    <row r="5034" spans="2:21" x14ac:dyDescent="0.35">
      <c r="B5034" s="9"/>
      <c r="C5034" s="2"/>
      <c r="D5034" s="2"/>
      <c r="I5034" s="9"/>
      <c r="J5034" s="2"/>
      <c r="L5034" s="9"/>
      <c r="M5034" s="2"/>
      <c r="N5034" s="9"/>
      <c r="P5034" s="3">
        <v>0</v>
      </c>
      <c r="S5034" s="9"/>
      <c r="T5034" s="2"/>
      <c r="U5034" s="9"/>
    </row>
    <row r="5035" spans="2:21" x14ac:dyDescent="0.35">
      <c r="B5035" s="9"/>
      <c r="C5035" s="2"/>
      <c r="D5035" s="2"/>
      <c r="I5035" s="9"/>
      <c r="J5035" s="2"/>
      <c r="L5035" s="9"/>
      <c r="M5035" s="2"/>
      <c r="N5035" s="9"/>
      <c r="P5035" s="3">
        <v>0</v>
      </c>
      <c r="S5035" s="9"/>
      <c r="T5035" s="2"/>
      <c r="U5035" s="9"/>
    </row>
    <row r="5036" spans="2:21" x14ac:dyDescent="0.35">
      <c r="B5036" s="9"/>
      <c r="C5036" s="2"/>
      <c r="D5036" s="2"/>
      <c r="I5036" s="9"/>
      <c r="J5036" s="2"/>
      <c r="L5036" s="9"/>
      <c r="M5036" s="2"/>
      <c r="N5036" s="9"/>
      <c r="P5036" s="3">
        <v>0</v>
      </c>
      <c r="S5036" s="9"/>
      <c r="T5036" s="2"/>
      <c r="U5036" s="9"/>
    </row>
    <row r="5037" spans="2:21" x14ac:dyDescent="0.35">
      <c r="B5037" s="9"/>
      <c r="C5037" s="2"/>
      <c r="D5037" s="2"/>
      <c r="I5037" s="9"/>
      <c r="J5037" s="2"/>
      <c r="L5037" s="9"/>
      <c r="M5037" s="2"/>
      <c r="N5037" s="9"/>
      <c r="P5037" s="3">
        <v>0</v>
      </c>
      <c r="S5037" s="9"/>
      <c r="T5037" s="2"/>
      <c r="U5037" s="9"/>
    </row>
    <row r="5038" spans="2:21" x14ac:dyDescent="0.35">
      <c r="B5038" s="9"/>
      <c r="C5038" s="2"/>
      <c r="D5038" s="2"/>
      <c r="I5038" s="9"/>
      <c r="J5038" s="2"/>
      <c r="L5038" s="9"/>
      <c r="M5038" s="2"/>
      <c r="N5038" s="9"/>
      <c r="P5038" s="3">
        <v>0</v>
      </c>
      <c r="S5038" s="9"/>
      <c r="T5038" s="2"/>
      <c r="U5038" s="9"/>
    </row>
    <row r="5039" spans="2:21" x14ac:dyDescent="0.35">
      <c r="B5039" s="9"/>
      <c r="C5039" s="2"/>
      <c r="D5039" s="2"/>
      <c r="I5039" s="9"/>
      <c r="J5039" s="2"/>
      <c r="L5039" s="9"/>
      <c r="M5039" s="2"/>
      <c r="N5039" s="9"/>
      <c r="P5039" s="3">
        <v>0</v>
      </c>
      <c r="S5039" s="9"/>
      <c r="T5039" s="2"/>
      <c r="U5039" s="9"/>
    </row>
    <row r="5040" spans="2:21" x14ac:dyDescent="0.35">
      <c r="B5040" s="9"/>
      <c r="C5040" s="2"/>
      <c r="D5040" s="2"/>
      <c r="I5040" s="9"/>
      <c r="J5040" s="2"/>
      <c r="L5040" s="9"/>
      <c r="M5040" s="2"/>
      <c r="N5040" s="9"/>
      <c r="P5040" s="3">
        <v>-257.15245838999999</v>
      </c>
      <c r="S5040" s="9"/>
      <c r="T5040" s="2"/>
      <c r="U5040" s="9"/>
    </row>
    <row r="5041" spans="2:21" x14ac:dyDescent="0.35">
      <c r="B5041" s="9"/>
      <c r="C5041" s="2"/>
      <c r="D5041" s="2"/>
      <c r="I5041" s="9"/>
      <c r="J5041" s="2"/>
      <c r="L5041" s="9"/>
      <c r="M5041" s="2"/>
      <c r="N5041" s="9"/>
      <c r="P5041" s="3">
        <v>177.60754161</v>
      </c>
      <c r="S5041" s="9"/>
      <c r="T5041" s="2"/>
      <c r="U5041" s="9"/>
    </row>
    <row r="5042" spans="2:21" x14ac:dyDescent="0.35">
      <c r="B5042" s="9"/>
      <c r="C5042" s="2"/>
      <c r="D5042" s="2"/>
      <c r="I5042" s="9"/>
      <c r="J5042" s="2"/>
      <c r="L5042" s="9"/>
      <c r="M5042" s="2"/>
      <c r="N5042" s="9"/>
      <c r="P5042" s="3">
        <v>612.36754160999999</v>
      </c>
      <c r="S5042" s="9"/>
      <c r="T5042" s="2"/>
      <c r="U5042" s="9"/>
    </row>
    <row r="5043" spans="2:21" x14ac:dyDescent="0.35">
      <c r="B5043" s="9"/>
      <c r="C5043" s="2"/>
      <c r="D5043" s="2"/>
      <c r="I5043" s="9"/>
      <c r="J5043" s="2"/>
      <c r="L5043" s="9"/>
      <c r="M5043" s="2"/>
      <c r="N5043" s="9"/>
      <c r="P5043" s="3">
        <v>806.38569160999998</v>
      </c>
      <c r="S5043" s="9"/>
      <c r="T5043" s="2"/>
      <c r="U5043" s="9"/>
    </row>
    <row r="5044" spans="2:21" x14ac:dyDescent="0.35">
      <c r="B5044" s="9"/>
      <c r="C5044" s="2"/>
      <c r="D5044" s="2"/>
      <c r="I5044" s="9"/>
      <c r="J5044" s="2"/>
      <c r="L5044" s="9"/>
      <c r="M5044" s="2"/>
      <c r="N5044" s="9"/>
      <c r="P5044" s="3">
        <v>892.45970161000002</v>
      </c>
      <c r="S5044" s="9"/>
      <c r="T5044" s="2"/>
      <c r="U5044" s="9"/>
    </row>
    <row r="5045" spans="2:21" x14ac:dyDescent="0.35">
      <c r="B5045" s="9"/>
      <c r="C5045" s="2"/>
      <c r="D5045" s="2"/>
      <c r="I5045" s="9"/>
      <c r="J5045" s="2"/>
      <c r="L5045" s="9"/>
      <c r="M5045" s="2"/>
      <c r="N5045" s="9"/>
      <c r="P5045" s="3">
        <v>933.46859160999998</v>
      </c>
      <c r="S5045" s="9"/>
      <c r="T5045" s="2"/>
      <c r="U5045" s="9"/>
    </row>
    <row r="5046" spans="2:21" x14ac:dyDescent="0.35">
      <c r="B5046" s="9"/>
      <c r="C5046" s="2"/>
      <c r="D5046" s="2"/>
      <c r="I5046" s="9"/>
      <c r="J5046" s="2"/>
      <c r="L5046" s="9"/>
      <c r="M5046" s="2"/>
      <c r="N5046" s="9"/>
      <c r="P5046" s="3">
        <v>687.65916114000004</v>
      </c>
      <c r="S5046" s="9"/>
      <c r="T5046" s="2"/>
      <c r="U5046" s="9"/>
    </row>
    <row r="5047" spans="2:21" x14ac:dyDescent="0.35">
      <c r="B5047" s="9"/>
      <c r="C5047" s="2"/>
      <c r="D5047" s="2"/>
      <c r="I5047" s="9"/>
      <c r="J5047" s="2"/>
      <c r="L5047" s="9"/>
      <c r="M5047" s="2"/>
      <c r="N5047" s="9"/>
      <c r="P5047" s="3">
        <v>716.76703113999997</v>
      </c>
      <c r="S5047" s="9"/>
      <c r="T5047" s="2"/>
      <c r="U5047" s="9"/>
    </row>
    <row r="5048" spans="2:21" x14ac:dyDescent="0.35">
      <c r="B5048" s="9"/>
      <c r="C5048" s="2"/>
      <c r="D5048" s="2"/>
      <c r="I5048" s="9"/>
      <c r="J5048" s="2"/>
      <c r="L5048" s="9"/>
      <c r="M5048" s="2"/>
      <c r="N5048" s="9"/>
      <c r="P5048" s="3">
        <v>740.69758114000001</v>
      </c>
      <c r="S5048" s="9"/>
      <c r="T5048" s="2"/>
      <c r="U5048" s="9"/>
    </row>
    <row r="5049" spans="2:21" x14ac:dyDescent="0.35">
      <c r="B5049" s="9"/>
      <c r="C5049" s="2"/>
      <c r="D5049" s="2"/>
      <c r="I5049" s="9"/>
      <c r="J5049" s="2"/>
      <c r="L5049" s="9"/>
      <c r="M5049" s="2"/>
      <c r="N5049" s="9"/>
      <c r="P5049" s="3">
        <v>757.36412113999995</v>
      </c>
      <c r="S5049" s="9"/>
      <c r="T5049" s="2"/>
      <c r="U5049" s="9"/>
    </row>
    <row r="5050" spans="2:21" x14ac:dyDescent="0.35">
      <c r="B5050" s="9"/>
      <c r="C5050" s="2"/>
      <c r="D5050" s="2"/>
      <c r="I5050" s="9"/>
      <c r="J5050" s="2"/>
      <c r="L5050" s="9"/>
      <c r="M5050" s="2"/>
      <c r="N5050" s="9"/>
      <c r="P5050" s="3">
        <v>772.91383113999996</v>
      </c>
      <c r="S5050" s="9"/>
      <c r="T5050" s="2"/>
      <c r="U5050" s="9"/>
    </row>
    <row r="5051" spans="2:21" x14ac:dyDescent="0.35">
      <c r="B5051" s="9"/>
      <c r="C5051" s="2"/>
      <c r="D5051" s="2"/>
      <c r="I5051" s="9"/>
      <c r="J5051" s="2"/>
      <c r="L5051" s="9"/>
      <c r="M5051" s="2"/>
      <c r="N5051" s="9"/>
      <c r="P5051" s="3">
        <v>887.11936762000005</v>
      </c>
      <c r="S5051" s="9"/>
      <c r="T5051" s="2"/>
      <c r="U5051" s="9"/>
    </row>
    <row r="5052" spans="2:21" x14ac:dyDescent="0.35">
      <c r="B5052" s="9"/>
      <c r="C5052" s="2"/>
      <c r="D5052" s="2"/>
      <c r="I5052" s="9"/>
      <c r="J5052" s="2"/>
      <c r="L5052" s="9"/>
      <c r="M5052" s="2"/>
      <c r="N5052" s="9"/>
      <c r="P5052" s="3">
        <v>963.84329409999998</v>
      </c>
      <c r="S5052" s="9"/>
      <c r="T5052" s="2"/>
      <c r="U5052" s="9"/>
    </row>
    <row r="5053" spans="2:21" x14ac:dyDescent="0.35">
      <c r="B5053" s="9"/>
      <c r="C5053" s="2"/>
      <c r="D5053" s="2"/>
      <c r="I5053" s="9"/>
      <c r="J5053" s="2"/>
      <c r="L5053" s="9"/>
      <c r="M5053" s="2"/>
      <c r="N5053" s="9"/>
      <c r="P5053" s="3">
        <v>577.38564655000005</v>
      </c>
      <c r="S5053" s="9"/>
      <c r="T5053" s="2"/>
      <c r="U5053" s="9"/>
    </row>
    <row r="5054" spans="2:21" x14ac:dyDescent="0.35">
      <c r="B5054" s="9"/>
      <c r="C5054" s="2"/>
      <c r="D5054" s="2"/>
      <c r="I5054" s="9"/>
      <c r="J5054" s="2"/>
      <c r="L5054" s="9"/>
      <c r="M5054" s="2"/>
      <c r="N5054" s="9"/>
      <c r="P5054" s="3">
        <v>142.62564655</v>
      </c>
      <c r="S5054" s="9"/>
      <c r="T5054" s="2"/>
      <c r="U5054" s="9"/>
    </row>
    <row r="5055" spans="2:21" x14ac:dyDescent="0.35">
      <c r="B5055" s="9"/>
      <c r="C5055" s="2"/>
      <c r="D5055" s="2"/>
      <c r="I5055" s="9"/>
      <c r="J5055" s="2"/>
      <c r="L5055" s="9"/>
      <c r="M5055" s="2"/>
      <c r="N5055" s="9"/>
      <c r="P5055" s="3">
        <v>-292.13435344999999</v>
      </c>
      <c r="S5055" s="9"/>
      <c r="T5055" s="2"/>
      <c r="U5055" s="9"/>
    </row>
    <row r="5056" spans="2:21" x14ac:dyDescent="0.35">
      <c r="B5056" s="9"/>
      <c r="C5056" s="2"/>
      <c r="D5056" s="2"/>
      <c r="I5056" s="9"/>
      <c r="J5056" s="2"/>
      <c r="L5056" s="9"/>
      <c r="M5056" s="2"/>
      <c r="N5056" s="9"/>
      <c r="P5056" s="3">
        <v>0</v>
      </c>
      <c r="S5056" s="9"/>
      <c r="T5056" s="2"/>
      <c r="U5056" s="9"/>
    </row>
    <row r="5057" spans="2:21" x14ac:dyDescent="0.35">
      <c r="B5057" s="9"/>
      <c r="C5057" s="2"/>
      <c r="D5057" s="2"/>
      <c r="I5057" s="9"/>
      <c r="J5057" s="2"/>
      <c r="L5057" s="9"/>
      <c r="M5057" s="2"/>
      <c r="N5057" s="9"/>
      <c r="P5057" s="3">
        <v>0</v>
      </c>
      <c r="S5057" s="9"/>
      <c r="T5057" s="2"/>
      <c r="U5057" s="9"/>
    </row>
    <row r="5058" spans="2:21" x14ac:dyDescent="0.35">
      <c r="B5058" s="9"/>
      <c r="C5058" s="2"/>
      <c r="D5058" s="2"/>
      <c r="I5058" s="9"/>
      <c r="J5058" s="2"/>
      <c r="L5058" s="9"/>
      <c r="M5058" s="2"/>
      <c r="N5058" s="9"/>
      <c r="P5058" s="3">
        <v>0</v>
      </c>
      <c r="S5058" s="9"/>
      <c r="T5058" s="2"/>
      <c r="U5058" s="9"/>
    </row>
    <row r="5059" spans="2:21" x14ac:dyDescent="0.35">
      <c r="B5059" s="9"/>
      <c r="C5059" s="2"/>
      <c r="D5059" s="2"/>
      <c r="I5059" s="9"/>
      <c r="J5059" s="2"/>
      <c r="L5059" s="9"/>
      <c r="M5059" s="2"/>
      <c r="N5059" s="9"/>
      <c r="P5059" s="3">
        <v>0</v>
      </c>
      <c r="S5059" s="9"/>
      <c r="T5059" s="2"/>
      <c r="U5059" s="9"/>
    </row>
    <row r="5060" spans="2:21" x14ac:dyDescent="0.35">
      <c r="B5060" s="9"/>
      <c r="C5060" s="2"/>
      <c r="D5060" s="2"/>
      <c r="I5060" s="9"/>
      <c r="J5060" s="2"/>
      <c r="L5060" s="9"/>
      <c r="M5060" s="2"/>
      <c r="N5060" s="9"/>
      <c r="P5060" s="3">
        <v>0</v>
      </c>
      <c r="S5060" s="9"/>
      <c r="T5060" s="2"/>
      <c r="U5060" s="9"/>
    </row>
    <row r="5061" spans="2:21" x14ac:dyDescent="0.35">
      <c r="B5061" s="9"/>
      <c r="C5061" s="2"/>
      <c r="D5061" s="2"/>
      <c r="I5061" s="9"/>
      <c r="J5061" s="2"/>
      <c r="L5061" s="9"/>
      <c r="M5061" s="2"/>
      <c r="N5061" s="9"/>
      <c r="P5061" s="3">
        <v>0</v>
      </c>
      <c r="S5061" s="9"/>
      <c r="T5061" s="2"/>
      <c r="U5061" s="9"/>
    </row>
    <row r="5062" spans="2:21" x14ac:dyDescent="0.35">
      <c r="B5062" s="9"/>
      <c r="C5062" s="2"/>
      <c r="D5062" s="2"/>
      <c r="I5062" s="9"/>
      <c r="J5062" s="2"/>
      <c r="L5062" s="9"/>
      <c r="M5062" s="2"/>
      <c r="N5062" s="9"/>
      <c r="P5062" s="3">
        <v>-309.15413773</v>
      </c>
      <c r="S5062" s="9"/>
      <c r="T5062" s="2"/>
      <c r="U5062" s="9"/>
    </row>
    <row r="5063" spans="2:21" x14ac:dyDescent="0.35">
      <c r="B5063" s="9"/>
      <c r="C5063" s="2"/>
      <c r="D5063" s="2"/>
      <c r="I5063" s="9"/>
      <c r="J5063" s="2"/>
      <c r="L5063" s="9"/>
      <c r="M5063" s="2"/>
      <c r="N5063" s="9"/>
      <c r="P5063" s="3">
        <v>-743.91413772999999</v>
      </c>
      <c r="S5063" s="9"/>
      <c r="T5063" s="2"/>
      <c r="U5063" s="9"/>
    </row>
    <row r="5064" spans="2:21" x14ac:dyDescent="0.35">
      <c r="B5064" s="9"/>
      <c r="C5064" s="2"/>
      <c r="D5064" s="2"/>
      <c r="I5064" s="9"/>
      <c r="J5064" s="2"/>
      <c r="L5064" s="9"/>
      <c r="M5064" s="2"/>
      <c r="N5064" s="9"/>
      <c r="P5064" s="3">
        <v>-309.15413773</v>
      </c>
      <c r="S5064" s="9"/>
      <c r="T5064" s="2"/>
      <c r="U5064" s="9"/>
    </row>
    <row r="5065" spans="2:21" x14ac:dyDescent="0.35">
      <c r="B5065" s="9"/>
      <c r="C5065" s="2"/>
      <c r="D5065" s="2"/>
      <c r="I5065" s="9"/>
      <c r="J5065" s="2"/>
      <c r="L5065" s="9"/>
      <c r="M5065" s="2"/>
      <c r="N5065" s="9"/>
      <c r="P5065" s="3">
        <v>125.60586227</v>
      </c>
      <c r="S5065" s="9"/>
      <c r="T5065" s="2"/>
      <c r="U5065" s="9"/>
    </row>
    <row r="5066" spans="2:21" x14ac:dyDescent="0.35">
      <c r="B5066" s="9"/>
      <c r="C5066" s="2"/>
      <c r="D5066" s="2"/>
      <c r="I5066" s="9"/>
      <c r="J5066" s="2"/>
      <c r="L5066" s="9"/>
      <c r="M5066" s="2"/>
      <c r="N5066" s="9"/>
      <c r="P5066" s="3">
        <v>551.26344176999999</v>
      </c>
      <c r="S5066" s="9"/>
      <c r="T5066" s="2"/>
      <c r="U5066" s="9"/>
    </row>
    <row r="5067" spans="2:21" x14ac:dyDescent="0.35">
      <c r="B5067" s="9"/>
      <c r="C5067" s="2"/>
      <c r="D5067" s="2"/>
      <c r="I5067" s="9"/>
      <c r="J5067" s="2"/>
      <c r="L5067" s="9"/>
      <c r="M5067" s="2"/>
      <c r="N5067" s="9"/>
      <c r="P5067" s="3">
        <v>562.75393140000006</v>
      </c>
      <c r="S5067" s="9"/>
      <c r="T5067" s="2"/>
      <c r="U5067" s="9"/>
    </row>
    <row r="5068" spans="2:21" x14ac:dyDescent="0.35">
      <c r="B5068" s="9"/>
      <c r="C5068" s="2"/>
      <c r="D5068" s="2"/>
      <c r="I5068" s="9"/>
      <c r="J5068" s="2"/>
      <c r="L5068" s="9"/>
      <c r="M5068" s="2"/>
      <c r="N5068" s="9"/>
      <c r="P5068" s="3">
        <v>555.71489113999996</v>
      </c>
      <c r="S5068" s="9"/>
      <c r="T5068" s="2"/>
      <c r="U5068" s="9"/>
    </row>
    <row r="5069" spans="2:21" x14ac:dyDescent="0.35">
      <c r="B5069" s="9"/>
      <c r="C5069" s="2"/>
      <c r="D5069" s="2"/>
      <c r="I5069" s="9"/>
      <c r="J5069" s="2"/>
      <c r="L5069" s="9"/>
      <c r="M5069" s="2"/>
      <c r="N5069" s="9"/>
      <c r="P5069" s="3">
        <v>563.59447114</v>
      </c>
      <c r="S5069" s="9"/>
      <c r="T5069" s="2"/>
      <c r="U5069" s="9"/>
    </row>
    <row r="5070" spans="2:21" x14ac:dyDescent="0.35">
      <c r="B5070" s="9"/>
      <c r="C5070" s="2"/>
      <c r="D5070" s="2"/>
      <c r="I5070" s="9"/>
      <c r="J5070" s="2"/>
      <c r="L5070" s="9"/>
      <c r="M5070" s="2"/>
      <c r="N5070" s="9"/>
      <c r="P5070" s="3">
        <v>560.80701113999999</v>
      </c>
      <c r="S5070" s="9"/>
      <c r="T5070" s="2"/>
      <c r="U5070" s="9"/>
    </row>
    <row r="5071" spans="2:21" x14ac:dyDescent="0.35">
      <c r="B5071" s="9"/>
      <c r="C5071" s="2"/>
      <c r="D5071" s="2"/>
      <c r="I5071" s="9"/>
      <c r="J5071" s="2"/>
      <c r="L5071" s="9"/>
      <c r="M5071" s="2"/>
      <c r="N5071" s="9"/>
      <c r="P5071" s="3">
        <v>533.23061113999995</v>
      </c>
      <c r="S5071" s="9"/>
      <c r="T5071" s="2"/>
      <c r="U5071" s="9"/>
    </row>
    <row r="5072" spans="2:21" x14ac:dyDescent="0.35">
      <c r="B5072" s="9"/>
      <c r="C5072" s="2"/>
      <c r="D5072" s="2"/>
      <c r="I5072" s="9"/>
      <c r="J5072" s="2"/>
      <c r="L5072" s="9"/>
      <c r="M5072" s="2"/>
      <c r="N5072" s="9"/>
      <c r="P5072" s="3">
        <v>499.81801114000001</v>
      </c>
      <c r="S5072" s="9"/>
      <c r="T5072" s="2"/>
      <c r="U5072" s="9"/>
    </row>
    <row r="5073" spans="2:21" x14ac:dyDescent="0.35">
      <c r="B5073" s="9"/>
      <c r="C5073" s="2"/>
      <c r="D5073" s="2"/>
      <c r="I5073" s="9"/>
      <c r="J5073" s="2"/>
      <c r="L5073" s="9"/>
      <c r="M5073" s="2"/>
      <c r="N5073" s="9"/>
      <c r="P5073" s="3">
        <v>461.21105114</v>
      </c>
      <c r="S5073" s="9"/>
      <c r="T5073" s="2"/>
      <c r="U5073" s="9"/>
    </row>
    <row r="5074" spans="2:21" x14ac:dyDescent="0.35">
      <c r="B5074" s="9"/>
      <c r="C5074" s="2"/>
      <c r="D5074" s="2"/>
      <c r="I5074" s="9"/>
      <c r="J5074" s="2"/>
      <c r="L5074" s="9"/>
      <c r="M5074" s="2"/>
      <c r="N5074" s="9"/>
      <c r="P5074" s="3">
        <v>445.97374114000002</v>
      </c>
      <c r="S5074" s="9"/>
      <c r="T5074" s="2"/>
      <c r="U5074" s="9"/>
    </row>
    <row r="5075" spans="2:21" x14ac:dyDescent="0.35">
      <c r="B5075" s="9"/>
      <c r="C5075" s="2"/>
      <c r="D5075" s="2"/>
      <c r="I5075" s="9"/>
      <c r="J5075" s="2"/>
      <c r="L5075" s="9"/>
      <c r="M5075" s="2"/>
      <c r="N5075" s="9"/>
      <c r="P5075" s="3">
        <v>576.34313761999999</v>
      </c>
      <c r="S5075" s="9"/>
      <c r="T5075" s="2"/>
      <c r="U5075" s="9"/>
    </row>
    <row r="5076" spans="2:21" x14ac:dyDescent="0.35">
      <c r="B5076" s="9"/>
      <c r="C5076" s="2"/>
      <c r="D5076" s="2"/>
      <c r="I5076" s="9"/>
      <c r="J5076" s="2"/>
      <c r="L5076" s="9"/>
      <c r="M5076" s="2"/>
      <c r="N5076" s="9"/>
      <c r="P5076" s="3">
        <v>700.9402341</v>
      </c>
      <c r="S5076" s="9"/>
      <c r="T5076" s="2"/>
      <c r="U5076" s="9"/>
    </row>
    <row r="5077" spans="2:21" x14ac:dyDescent="0.35">
      <c r="B5077" s="9"/>
      <c r="C5077" s="2"/>
      <c r="D5077" s="2"/>
      <c r="I5077" s="9"/>
      <c r="J5077" s="2"/>
      <c r="L5077" s="9"/>
      <c r="M5077" s="2"/>
      <c r="N5077" s="9"/>
      <c r="P5077" s="3">
        <v>406.32108655000002</v>
      </c>
      <c r="S5077" s="9"/>
      <c r="T5077" s="2"/>
      <c r="U5077" s="9"/>
    </row>
    <row r="5078" spans="2:21" x14ac:dyDescent="0.35">
      <c r="B5078" s="9"/>
      <c r="C5078" s="2"/>
      <c r="D5078" s="2"/>
      <c r="I5078" s="9"/>
      <c r="J5078" s="2"/>
      <c r="L5078" s="9"/>
      <c r="M5078" s="2"/>
      <c r="N5078" s="9"/>
      <c r="P5078" s="3">
        <v>-28.438913450000001</v>
      </c>
      <c r="S5078" s="9"/>
      <c r="T5078" s="2"/>
      <c r="U5078" s="9"/>
    </row>
    <row r="5079" spans="2:21" x14ac:dyDescent="0.35">
      <c r="B5079" s="9"/>
      <c r="C5079" s="2"/>
      <c r="D5079" s="2"/>
      <c r="I5079" s="9"/>
      <c r="J5079" s="2"/>
      <c r="L5079" s="9"/>
      <c r="M5079" s="2"/>
      <c r="N5079" s="9"/>
      <c r="P5079" s="3">
        <v>-463.19891345000002</v>
      </c>
      <c r="S5079" s="9"/>
      <c r="T5079" s="2"/>
      <c r="U5079" s="9"/>
    </row>
    <row r="5080" spans="2:21" x14ac:dyDescent="0.35">
      <c r="B5080" s="9"/>
      <c r="C5080" s="2"/>
      <c r="D5080" s="2"/>
      <c r="I5080" s="9"/>
      <c r="J5080" s="2"/>
      <c r="L5080" s="9"/>
      <c r="M5080" s="2"/>
      <c r="N5080" s="9"/>
      <c r="P5080" s="3">
        <v>-28.438913450000001</v>
      </c>
      <c r="S5080" s="9"/>
      <c r="T5080" s="2"/>
      <c r="U5080" s="9"/>
    </row>
    <row r="5081" spans="2:21" x14ac:dyDescent="0.35">
      <c r="B5081" s="9"/>
      <c r="C5081" s="2"/>
      <c r="D5081" s="2"/>
      <c r="I5081" s="9"/>
      <c r="J5081" s="2"/>
      <c r="L5081" s="9"/>
      <c r="M5081" s="2"/>
      <c r="N5081" s="9"/>
      <c r="P5081" s="3">
        <v>0</v>
      </c>
      <c r="S5081" s="9"/>
      <c r="T5081" s="2"/>
      <c r="U5081" s="9"/>
    </row>
    <row r="5082" spans="2:21" x14ac:dyDescent="0.35">
      <c r="B5082" s="9"/>
      <c r="C5082" s="2"/>
      <c r="D5082" s="2"/>
      <c r="I5082" s="9"/>
      <c r="J5082" s="2"/>
      <c r="L5082" s="9"/>
      <c r="M5082" s="2"/>
      <c r="N5082" s="9"/>
      <c r="P5082" s="3">
        <v>0</v>
      </c>
      <c r="S5082" s="9"/>
      <c r="T5082" s="2"/>
      <c r="U5082" s="9"/>
    </row>
    <row r="5083" spans="2:21" x14ac:dyDescent="0.35">
      <c r="B5083" s="9"/>
      <c r="C5083" s="2"/>
      <c r="D5083" s="2"/>
      <c r="I5083" s="9"/>
      <c r="J5083" s="2"/>
      <c r="L5083" s="9"/>
      <c r="M5083" s="2"/>
      <c r="N5083" s="9"/>
      <c r="P5083" s="3">
        <v>0</v>
      </c>
      <c r="S5083" s="9"/>
      <c r="T5083" s="2"/>
      <c r="U5083" s="9"/>
    </row>
    <row r="5084" spans="2:21" x14ac:dyDescent="0.35">
      <c r="B5084" s="9"/>
      <c r="C5084" s="2"/>
      <c r="D5084" s="2"/>
      <c r="I5084" s="9"/>
      <c r="J5084" s="2"/>
      <c r="L5084" s="9"/>
      <c r="M5084" s="2"/>
      <c r="N5084" s="9"/>
      <c r="P5084" s="3">
        <v>0</v>
      </c>
      <c r="S5084" s="9"/>
      <c r="T5084" s="2"/>
      <c r="U5084" s="9"/>
    </row>
    <row r="5085" spans="2:21" x14ac:dyDescent="0.35">
      <c r="B5085" s="9"/>
      <c r="C5085" s="2"/>
      <c r="D5085" s="2"/>
      <c r="I5085" s="9"/>
      <c r="J5085" s="2"/>
      <c r="L5085" s="9"/>
      <c r="M5085" s="2"/>
      <c r="N5085" s="9"/>
      <c r="P5085" s="3">
        <v>0</v>
      </c>
      <c r="S5085" s="9"/>
      <c r="T5085" s="2"/>
      <c r="U5085" s="9"/>
    </row>
    <row r="5086" spans="2:21" x14ac:dyDescent="0.35">
      <c r="B5086" s="9"/>
      <c r="C5086" s="2"/>
      <c r="D5086" s="2"/>
      <c r="I5086" s="9"/>
      <c r="J5086" s="2"/>
      <c r="L5086" s="9"/>
      <c r="M5086" s="2"/>
      <c r="N5086" s="9"/>
      <c r="P5086" s="3">
        <v>0</v>
      </c>
      <c r="S5086" s="9"/>
      <c r="T5086" s="2"/>
      <c r="U5086" s="9"/>
    </row>
    <row r="5087" spans="2:21" x14ac:dyDescent="0.35">
      <c r="B5087" s="9"/>
      <c r="C5087" s="2"/>
      <c r="D5087" s="2"/>
      <c r="I5087" s="9"/>
      <c r="J5087" s="2"/>
      <c r="L5087" s="9"/>
      <c r="M5087" s="2"/>
      <c r="N5087" s="9"/>
      <c r="P5087" s="3">
        <v>-266.32500822999998</v>
      </c>
      <c r="S5087" s="9"/>
      <c r="T5087" s="2"/>
      <c r="U5087" s="9"/>
    </row>
    <row r="5088" spans="2:21" x14ac:dyDescent="0.35">
      <c r="B5088" s="9"/>
      <c r="C5088" s="2"/>
      <c r="D5088" s="2"/>
      <c r="I5088" s="9"/>
      <c r="J5088" s="2"/>
      <c r="L5088" s="9"/>
      <c r="M5088" s="2"/>
      <c r="N5088" s="9"/>
      <c r="P5088" s="3">
        <v>-701.08500822999997</v>
      </c>
      <c r="S5088" s="9"/>
      <c r="T5088" s="2"/>
      <c r="U5088" s="9"/>
    </row>
    <row r="5089" spans="2:21" x14ac:dyDescent="0.35">
      <c r="B5089" s="9"/>
      <c r="C5089" s="2"/>
      <c r="D5089" s="2"/>
      <c r="I5089" s="9"/>
      <c r="J5089" s="2"/>
      <c r="L5089" s="9"/>
      <c r="M5089" s="2"/>
      <c r="N5089" s="9"/>
      <c r="P5089" s="3">
        <v>-266.32500822999998</v>
      </c>
      <c r="S5089" s="9"/>
      <c r="T5089" s="2"/>
      <c r="U5089" s="9"/>
    </row>
    <row r="5090" spans="2:21" x14ac:dyDescent="0.35">
      <c r="B5090" s="9"/>
      <c r="C5090" s="2"/>
      <c r="D5090" s="2"/>
      <c r="I5090" s="9"/>
      <c r="J5090" s="2"/>
      <c r="L5090" s="9"/>
      <c r="M5090" s="2"/>
      <c r="N5090" s="9"/>
      <c r="P5090" s="3">
        <v>168.43499177000001</v>
      </c>
      <c r="S5090" s="9"/>
      <c r="T5090" s="2"/>
      <c r="U5090" s="9"/>
    </row>
    <row r="5091" spans="2:21" x14ac:dyDescent="0.35">
      <c r="B5091" s="9"/>
      <c r="C5091" s="2"/>
      <c r="D5091" s="2"/>
      <c r="I5091" s="9"/>
      <c r="J5091" s="2"/>
      <c r="L5091" s="9"/>
      <c r="M5091" s="2"/>
      <c r="N5091" s="9"/>
      <c r="P5091" s="3">
        <v>243.3441014</v>
      </c>
      <c r="S5091" s="9"/>
      <c r="T5091" s="2"/>
      <c r="U5091" s="9"/>
    </row>
    <row r="5092" spans="2:21" x14ac:dyDescent="0.35">
      <c r="B5092" s="9"/>
      <c r="C5092" s="2"/>
      <c r="D5092" s="2"/>
      <c r="I5092" s="9"/>
      <c r="J5092" s="2"/>
      <c r="L5092" s="9"/>
      <c r="M5092" s="2"/>
      <c r="N5092" s="9"/>
      <c r="P5092" s="3">
        <v>325.26309113999997</v>
      </c>
      <c r="S5092" s="9"/>
      <c r="T5092" s="2"/>
      <c r="U5092" s="9"/>
    </row>
    <row r="5093" spans="2:21" x14ac:dyDescent="0.35">
      <c r="B5093" s="9"/>
      <c r="C5093" s="2"/>
      <c r="D5093" s="2"/>
      <c r="I5093" s="9"/>
      <c r="J5093" s="2"/>
      <c r="L5093" s="9"/>
      <c r="M5093" s="2"/>
      <c r="N5093" s="9"/>
      <c r="P5093" s="3">
        <v>361.55616113999997</v>
      </c>
      <c r="S5093" s="9"/>
      <c r="T5093" s="2"/>
      <c r="U5093" s="9"/>
    </row>
    <row r="5094" spans="2:21" x14ac:dyDescent="0.35">
      <c r="B5094" s="9"/>
      <c r="C5094" s="2"/>
      <c r="D5094" s="2"/>
      <c r="I5094" s="9"/>
      <c r="J5094" s="2"/>
      <c r="L5094" s="9"/>
      <c r="M5094" s="2"/>
      <c r="N5094" s="9"/>
      <c r="P5094" s="3">
        <v>437.12856113999999</v>
      </c>
      <c r="S5094" s="9"/>
      <c r="T5094" s="2"/>
      <c r="U5094" s="9"/>
    </row>
    <row r="5095" spans="2:21" x14ac:dyDescent="0.35">
      <c r="B5095" s="9"/>
      <c r="C5095" s="2"/>
      <c r="D5095" s="2"/>
      <c r="I5095" s="9"/>
      <c r="J5095" s="2"/>
      <c r="L5095" s="9"/>
      <c r="M5095" s="2"/>
      <c r="N5095" s="9"/>
      <c r="P5095" s="3">
        <v>423.19481114000001</v>
      </c>
      <c r="S5095" s="9"/>
      <c r="T5095" s="2"/>
      <c r="U5095" s="9"/>
    </row>
    <row r="5096" spans="2:21" x14ac:dyDescent="0.35">
      <c r="B5096" s="9"/>
      <c r="C5096" s="2"/>
      <c r="D5096" s="2"/>
      <c r="I5096" s="9"/>
      <c r="J5096" s="2"/>
      <c r="L5096" s="9"/>
      <c r="M5096" s="2"/>
      <c r="N5096" s="9"/>
      <c r="P5096" s="3">
        <v>403.15861114</v>
      </c>
      <c r="S5096" s="9"/>
      <c r="T5096" s="2"/>
      <c r="U5096" s="9"/>
    </row>
    <row r="5097" spans="2:21" x14ac:dyDescent="0.35">
      <c r="B5097" s="9"/>
      <c r="C5097" s="2"/>
      <c r="D5097" s="2"/>
      <c r="I5097" s="9"/>
      <c r="J5097" s="2"/>
      <c r="L5097" s="9"/>
      <c r="M5097" s="2"/>
      <c r="N5097" s="9"/>
      <c r="P5097" s="3">
        <v>391.25972114000001</v>
      </c>
      <c r="S5097" s="9"/>
      <c r="T5097" s="2"/>
      <c r="U5097" s="9"/>
    </row>
    <row r="5098" spans="2:21" x14ac:dyDescent="0.35">
      <c r="B5098" s="9"/>
      <c r="C5098" s="2"/>
      <c r="D5098" s="2"/>
      <c r="I5098" s="9"/>
      <c r="J5098" s="2"/>
      <c r="L5098" s="9"/>
      <c r="M5098" s="2"/>
      <c r="N5098" s="9"/>
      <c r="P5098" s="3">
        <v>344.92441114000002</v>
      </c>
      <c r="S5098" s="9"/>
      <c r="T5098" s="2"/>
      <c r="U5098" s="9"/>
    </row>
    <row r="5099" spans="2:21" x14ac:dyDescent="0.35">
      <c r="B5099" s="9"/>
      <c r="C5099" s="2"/>
      <c r="D5099" s="2"/>
      <c r="I5099" s="9"/>
      <c r="J5099" s="2"/>
      <c r="L5099" s="9"/>
      <c r="M5099" s="2"/>
      <c r="N5099" s="9"/>
      <c r="P5099" s="3">
        <v>403.14076762000002</v>
      </c>
      <c r="S5099" s="9"/>
      <c r="T5099" s="2"/>
      <c r="U5099" s="9"/>
    </row>
    <row r="5100" spans="2:21" x14ac:dyDescent="0.35">
      <c r="B5100" s="9"/>
      <c r="C5100" s="2"/>
      <c r="D5100" s="2"/>
      <c r="I5100" s="9"/>
      <c r="J5100" s="2"/>
      <c r="L5100" s="9"/>
      <c r="M5100" s="2"/>
      <c r="N5100" s="9"/>
      <c r="P5100" s="3">
        <v>410.9350541</v>
      </c>
      <c r="S5100" s="9"/>
      <c r="T5100" s="2"/>
      <c r="U5100" s="9"/>
    </row>
    <row r="5101" spans="2:21" x14ac:dyDescent="0.35">
      <c r="B5101" s="9"/>
      <c r="C5101" s="2"/>
      <c r="D5101" s="2"/>
      <c r="I5101" s="9"/>
      <c r="J5101" s="2"/>
      <c r="L5101" s="9"/>
      <c r="M5101" s="2"/>
      <c r="N5101" s="9"/>
      <c r="P5101" s="3">
        <v>-23.824945899999999</v>
      </c>
      <c r="S5101" s="9"/>
      <c r="T5101" s="2"/>
      <c r="U5101" s="9"/>
    </row>
    <row r="5102" spans="2:21" x14ac:dyDescent="0.35">
      <c r="B5102" s="9"/>
      <c r="C5102" s="2"/>
      <c r="D5102" s="2"/>
      <c r="I5102" s="9"/>
      <c r="J5102" s="2"/>
      <c r="L5102" s="9"/>
      <c r="M5102" s="2"/>
      <c r="N5102" s="9"/>
      <c r="P5102" s="3">
        <v>-458.58494589999998</v>
      </c>
      <c r="S5102" s="9"/>
      <c r="T5102" s="2"/>
      <c r="U5102" s="9"/>
    </row>
    <row r="5103" spans="2:21" x14ac:dyDescent="0.35">
      <c r="B5103" s="9"/>
      <c r="C5103" s="2"/>
      <c r="D5103" s="2"/>
      <c r="I5103" s="9"/>
      <c r="J5103" s="2"/>
      <c r="L5103" s="9"/>
      <c r="M5103" s="2"/>
      <c r="N5103" s="9"/>
      <c r="P5103" s="3">
        <v>-23.824945899999999</v>
      </c>
      <c r="S5103" s="9"/>
      <c r="T5103" s="2"/>
      <c r="U5103" s="9"/>
    </row>
    <row r="5104" spans="2:21" x14ac:dyDescent="0.35">
      <c r="B5104" s="9"/>
      <c r="C5104" s="2"/>
      <c r="D5104" s="2"/>
      <c r="I5104" s="9"/>
      <c r="J5104" s="2"/>
      <c r="L5104" s="9"/>
      <c r="M5104" s="2"/>
      <c r="N5104" s="9"/>
      <c r="P5104" s="3">
        <v>0</v>
      </c>
      <c r="S5104" s="9"/>
      <c r="T5104" s="2"/>
      <c r="U5104" s="9"/>
    </row>
    <row r="5105" spans="2:21" x14ac:dyDescent="0.35">
      <c r="B5105" s="9"/>
      <c r="C5105" s="2"/>
      <c r="D5105" s="2"/>
      <c r="I5105" s="9"/>
      <c r="J5105" s="2"/>
      <c r="L5105" s="9"/>
      <c r="M5105" s="2"/>
      <c r="N5105" s="9"/>
      <c r="P5105" s="3">
        <v>0</v>
      </c>
      <c r="S5105" s="9"/>
      <c r="T5105" s="2"/>
      <c r="U5105" s="9"/>
    </row>
    <row r="5106" spans="2:21" x14ac:dyDescent="0.35">
      <c r="B5106" s="9"/>
      <c r="C5106" s="2"/>
      <c r="D5106" s="2"/>
      <c r="I5106" s="9"/>
      <c r="J5106" s="2"/>
      <c r="L5106" s="9"/>
      <c r="M5106" s="2"/>
      <c r="N5106" s="9"/>
      <c r="P5106" s="3">
        <v>0</v>
      </c>
      <c r="S5106" s="9"/>
      <c r="T5106" s="2"/>
      <c r="U5106" s="9"/>
    </row>
    <row r="5107" spans="2:21" x14ac:dyDescent="0.35">
      <c r="B5107" s="9"/>
      <c r="C5107" s="2"/>
      <c r="D5107" s="2"/>
      <c r="I5107" s="9"/>
      <c r="J5107" s="2"/>
      <c r="L5107" s="9"/>
      <c r="M5107" s="2"/>
      <c r="N5107" s="9"/>
      <c r="P5107" s="3">
        <v>0</v>
      </c>
      <c r="S5107" s="9"/>
      <c r="T5107" s="2"/>
      <c r="U5107" s="9"/>
    </row>
    <row r="5108" spans="2:21" x14ac:dyDescent="0.35">
      <c r="B5108" s="9"/>
      <c r="C5108" s="2"/>
      <c r="D5108" s="2"/>
      <c r="I5108" s="9"/>
      <c r="J5108" s="2"/>
      <c r="L5108" s="9"/>
      <c r="M5108" s="2"/>
      <c r="N5108" s="9"/>
      <c r="P5108" s="3">
        <v>-251.60949199999999</v>
      </c>
      <c r="S5108" s="9"/>
      <c r="T5108" s="2"/>
      <c r="U5108" s="9"/>
    </row>
    <row r="5109" spans="2:21" x14ac:dyDescent="0.35">
      <c r="B5109" s="9"/>
      <c r="C5109" s="2"/>
      <c r="D5109" s="2"/>
      <c r="I5109" s="9"/>
      <c r="J5109" s="2"/>
      <c r="L5109" s="9"/>
      <c r="M5109" s="2"/>
      <c r="N5109" s="9"/>
      <c r="P5109" s="3">
        <v>-686.36949200000004</v>
      </c>
      <c r="S5109" s="9"/>
      <c r="T5109" s="2"/>
      <c r="U5109" s="9"/>
    </row>
    <row r="5110" spans="2:21" x14ac:dyDescent="0.35">
      <c r="B5110" s="9"/>
      <c r="C5110" s="2"/>
      <c r="D5110" s="2"/>
      <c r="I5110" s="9"/>
      <c r="J5110" s="2"/>
      <c r="L5110" s="9"/>
      <c r="M5110" s="2"/>
      <c r="N5110" s="9"/>
      <c r="P5110" s="3">
        <v>-1121.129492</v>
      </c>
      <c r="S5110" s="9"/>
      <c r="T5110" s="2"/>
      <c r="U5110" s="9"/>
    </row>
    <row r="5111" spans="2:21" x14ac:dyDescent="0.35">
      <c r="B5111" s="9"/>
      <c r="C5111" s="2"/>
      <c r="D5111" s="2"/>
      <c r="I5111" s="9"/>
      <c r="J5111" s="2"/>
      <c r="L5111" s="9"/>
      <c r="M5111" s="2"/>
      <c r="N5111" s="9"/>
      <c r="P5111" s="3">
        <v>-1555.889492</v>
      </c>
      <c r="S5111" s="9"/>
      <c r="T5111" s="2"/>
      <c r="U5111" s="9"/>
    </row>
    <row r="5112" spans="2:21" x14ac:dyDescent="0.35">
      <c r="B5112" s="9"/>
      <c r="C5112" s="2"/>
      <c r="D5112" s="2"/>
      <c r="I5112" s="9"/>
      <c r="J5112" s="2"/>
      <c r="L5112" s="9"/>
      <c r="M5112" s="2"/>
      <c r="N5112" s="9"/>
      <c r="P5112" s="3">
        <v>-1990.649492</v>
      </c>
      <c r="S5112" s="9"/>
      <c r="T5112" s="2"/>
      <c r="U5112" s="9"/>
    </row>
    <row r="5113" spans="2:21" x14ac:dyDescent="0.35">
      <c r="B5113" s="9"/>
      <c r="C5113" s="2"/>
      <c r="D5113" s="2"/>
      <c r="I5113" s="9"/>
      <c r="J5113" s="2"/>
      <c r="L5113" s="9"/>
      <c r="M5113" s="2"/>
      <c r="N5113" s="9"/>
      <c r="P5113" s="3">
        <v>-2425.4094919999998</v>
      </c>
      <c r="S5113" s="9"/>
      <c r="T5113" s="2"/>
      <c r="U5113" s="9"/>
    </row>
    <row r="5114" spans="2:21" x14ac:dyDescent="0.35">
      <c r="B5114" s="9"/>
      <c r="C5114" s="2"/>
      <c r="D5114" s="2"/>
      <c r="I5114" s="9"/>
      <c r="J5114" s="2"/>
      <c r="L5114" s="9"/>
      <c r="M5114" s="2"/>
      <c r="N5114" s="9"/>
      <c r="P5114" s="3">
        <v>-2860.169492</v>
      </c>
      <c r="S5114" s="9"/>
      <c r="T5114" s="2"/>
      <c r="U5114" s="9"/>
    </row>
    <row r="5115" spans="2:21" x14ac:dyDescent="0.35">
      <c r="B5115" s="9"/>
      <c r="C5115" s="2"/>
      <c r="D5115" s="2"/>
      <c r="I5115" s="9"/>
      <c r="J5115" s="2"/>
      <c r="L5115" s="9"/>
      <c r="M5115" s="2"/>
      <c r="N5115" s="9"/>
      <c r="P5115" s="3">
        <v>-2860.169492</v>
      </c>
      <c r="S5115" s="9"/>
      <c r="T5115" s="2"/>
      <c r="U5115" s="9"/>
    </row>
    <row r="5116" spans="2:21" x14ac:dyDescent="0.35">
      <c r="B5116" s="9"/>
      <c r="C5116" s="2"/>
      <c r="D5116" s="2"/>
      <c r="I5116" s="9"/>
      <c r="J5116" s="2"/>
      <c r="L5116" s="9"/>
      <c r="M5116" s="2"/>
      <c r="N5116" s="9"/>
      <c r="P5116" s="3">
        <v>-2860.169492</v>
      </c>
      <c r="S5116" s="9"/>
      <c r="T5116" s="2"/>
      <c r="U5116" s="9"/>
    </row>
    <row r="5117" spans="2:21" x14ac:dyDescent="0.35">
      <c r="B5117" s="9"/>
      <c r="C5117" s="2"/>
      <c r="D5117" s="2"/>
      <c r="I5117" s="9"/>
      <c r="J5117" s="2"/>
      <c r="L5117" s="9"/>
      <c r="M5117" s="2"/>
      <c r="N5117" s="9"/>
      <c r="P5117" s="3">
        <v>-2860.169492</v>
      </c>
      <c r="S5117" s="9"/>
      <c r="T5117" s="2"/>
      <c r="U5117" s="9"/>
    </row>
    <row r="5118" spans="2:21" x14ac:dyDescent="0.35">
      <c r="B5118" s="9"/>
      <c r="C5118" s="2"/>
      <c r="D5118" s="2"/>
      <c r="I5118" s="9"/>
      <c r="J5118" s="2"/>
      <c r="L5118" s="9"/>
      <c r="M5118" s="2"/>
      <c r="N5118" s="9"/>
      <c r="P5118" s="3">
        <v>-2860.169492</v>
      </c>
      <c r="S5118" s="9"/>
      <c r="T5118" s="2"/>
      <c r="U5118" s="9"/>
    </row>
    <row r="5119" spans="2:21" x14ac:dyDescent="0.35">
      <c r="B5119" s="9"/>
      <c r="C5119" s="2"/>
      <c r="D5119" s="2"/>
      <c r="I5119" s="9"/>
      <c r="J5119" s="2"/>
      <c r="L5119" s="9"/>
      <c r="M5119" s="2"/>
      <c r="N5119" s="9"/>
      <c r="P5119" s="3">
        <v>-2860.169492</v>
      </c>
      <c r="S5119" s="9"/>
      <c r="T5119" s="2"/>
      <c r="U5119" s="9"/>
    </row>
    <row r="5120" spans="2:21" x14ac:dyDescent="0.35">
      <c r="B5120" s="9"/>
      <c r="C5120" s="2"/>
      <c r="D5120" s="2"/>
      <c r="I5120" s="9"/>
      <c r="J5120" s="2"/>
      <c r="L5120" s="9"/>
      <c r="M5120" s="2"/>
      <c r="N5120" s="9"/>
      <c r="P5120" s="3">
        <v>-2860.169492</v>
      </c>
      <c r="S5120" s="9"/>
      <c r="T5120" s="2"/>
      <c r="U5120" s="9"/>
    </row>
    <row r="5121" spans="2:21" x14ac:dyDescent="0.35">
      <c r="B5121" s="9"/>
      <c r="C5121" s="2"/>
      <c r="D5121" s="2"/>
      <c r="I5121" s="9"/>
      <c r="J5121" s="2"/>
      <c r="L5121" s="9"/>
      <c r="M5121" s="2"/>
      <c r="N5121" s="9"/>
      <c r="P5121" s="3">
        <v>-2860.169492</v>
      </c>
      <c r="S5121" s="9"/>
      <c r="T5121" s="2"/>
      <c r="U5121" s="9"/>
    </row>
    <row r="5122" spans="2:21" x14ac:dyDescent="0.35">
      <c r="B5122" s="9"/>
      <c r="C5122" s="2"/>
      <c r="D5122" s="2"/>
      <c r="I5122" s="9"/>
      <c r="J5122" s="2"/>
      <c r="L5122" s="9"/>
      <c r="M5122" s="2"/>
      <c r="N5122" s="9"/>
      <c r="P5122" s="3">
        <v>-2860.169492</v>
      </c>
      <c r="S5122" s="9"/>
      <c r="T5122" s="2"/>
      <c r="U5122" s="9"/>
    </row>
    <row r="5123" spans="2:21" x14ac:dyDescent="0.35">
      <c r="B5123" s="9"/>
      <c r="C5123" s="2"/>
      <c r="D5123" s="2"/>
      <c r="I5123" s="9"/>
      <c r="J5123" s="2"/>
      <c r="L5123" s="9"/>
      <c r="M5123" s="2"/>
      <c r="N5123" s="9"/>
      <c r="P5123" s="3">
        <v>-2860.169492</v>
      </c>
      <c r="S5123" s="9"/>
      <c r="T5123" s="2"/>
      <c r="U5123" s="9"/>
    </row>
    <row r="5124" spans="2:21" x14ac:dyDescent="0.35">
      <c r="B5124" s="9"/>
      <c r="C5124" s="2"/>
      <c r="D5124" s="2"/>
      <c r="I5124" s="9"/>
      <c r="J5124" s="2"/>
      <c r="L5124" s="9"/>
      <c r="M5124" s="2"/>
      <c r="N5124" s="9"/>
      <c r="P5124" s="3">
        <v>-2860.169492</v>
      </c>
      <c r="S5124" s="9"/>
      <c r="T5124" s="2"/>
      <c r="U5124" s="9"/>
    </row>
    <row r="5125" spans="2:21" x14ac:dyDescent="0.35">
      <c r="B5125" s="9"/>
      <c r="C5125" s="2"/>
      <c r="D5125" s="2"/>
      <c r="I5125" s="9"/>
      <c r="J5125" s="2"/>
      <c r="L5125" s="9"/>
      <c r="M5125" s="2"/>
      <c r="N5125" s="9"/>
      <c r="P5125" s="3">
        <v>-2860.169492</v>
      </c>
      <c r="S5125" s="9"/>
      <c r="T5125" s="2"/>
      <c r="U5125" s="9"/>
    </row>
    <row r="5126" spans="2:21" x14ac:dyDescent="0.35">
      <c r="B5126" s="9"/>
      <c r="C5126" s="2"/>
      <c r="D5126" s="2"/>
      <c r="I5126" s="9"/>
      <c r="J5126" s="2"/>
      <c r="L5126" s="9"/>
      <c r="M5126" s="2"/>
      <c r="N5126" s="9"/>
      <c r="P5126" s="3">
        <v>-2425.4094919999998</v>
      </c>
      <c r="S5126" s="9"/>
      <c r="T5126" s="2"/>
      <c r="U5126" s="9"/>
    </row>
    <row r="5127" spans="2:21" x14ac:dyDescent="0.35">
      <c r="B5127" s="9"/>
      <c r="C5127" s="2"/>
      <c r="D5127" s="2"/>
      <c r="I5127" s="9"/>
      <c r="J5127" s="2"/>
      <c r="L5127" s="9"/>
      <c r="M5127" s="2"/>
      <c r="N5127" s="9"/>
      <c r="P5127" s="3">
        <v>-1990.649492</v>
      </c>
      <c r="S5127" s="9"/>
      <c r="T5127" s="2"/>
      <c r="U5127" s="9"/>
    </row>
    <row r="5128" spans="2:21" x14ac:dyDescent="0.35">
      <c r="B5128" s="9"/>
      <c r="C5128" s="2"/>
      <c r="D5128" s="2"/>
      <c r="I5128" s="9"/>
      <c r="J5128" s="2"/>
      <c r="L5128" s="9"/>
      <c r="M5128" s="2"/>
      <c r="N5128" s="9"/>
      <c r="P5128" s="3">
        <v>-1555.889492</v>
      </c>
      <c r="S5128" s="9"/>
      <c r="T5128" s="2"/>
      <c r="U5128" s="9"/>
    </row>
    <row r="5129" spans="2:21" x14ac:dyDescent="0.35">
      <c r="B5129" s="9"/>
      <c r="C5129" s="2"/>
      <c r="D5129" s="2"/>
      <c r="I5129" s="9"/>
      <c r="J5129" s="2"/>
      <c r="L5129" s="9"/>
      <c r="M5129" s="2"/>
      <c r="N5129" s="9"/>
      <c r="P5129" s="3">
        <v>-1121.129492</v>
      </c>
      <c r="S5129" s="9"/>
      <c r="T5129" s="2"/>
      <c r="U5129" s="9"/>
    </row>
    <row r="5130" spans="2:21" x14ac:dyDescent="0.35">
      <c r="B5130" s="9"/>
      <c r="C5130" s="2"/>
      <c r="D5130" s="2"/>
      <c r="I5130" s="9"/>
      <c r="J5130" s="2"/>
      <c r="L5130" s="9"/>
      <c r="M5130" s="2"/>
      <c r="N5130" s="9"/>
      <c r="P5130" s="3">
        <v>-686.36949200000004</v>
      </c>
      <c r="S5130" s="9"/>
      <c r="T5130" s="2"/>
      <c r="U5130" s="9"/>
    </row>
    <row r="5131" spans="2:21" x14ac:dyDescent="0.35">
      <c r="B5131" s="9"/>
      <c r="C5131" s="2"/>
      <c r="D5131" s="2"/>
      <c r="I5131" s="9"/>
      <c r="J5131" s="2"/>
      <c r="L5131" s="9"/>
      <c r="M5131" s="2"/>
      <c r="N5131" s="9"/>
      <c r="P5131" s="3">
        <v>-251.60949199999999</v>
      </c>
      <c r="S5131" s="9"/>
      <c r="T5131" s="2"/>
      <c r="U5131" s="9"/>
    </row>
    <row r="5132" spans="2:21" x14ac:dyDescent="0.35">
      <c r="B5132" s="9"/>
      <c r="C5132" s="2"/>
      <c r="D5132" s="2"/>
      <c r="I5132" s="9"/>
      <c r="J5132" s="2"/>
      <c r="L5132" s="9"/>
      <c r="M5132" s="2"/>
      <c r="N5132" s="9"/>
      <c r="P5132" s="3">
        <v>0</v>
      </c>
      <c r="S5132" s="9"/>
      <c r="T5132" s="2"/>
      <c r="U5132" s="9"/>
    </row>
    <row r="5133" spans="2:21" x14ac:dyDescent="0.35">
      <c r="B5133" s="9"/>
      <c r="C5133" s="2"/>
      <c r="D5133" s="2"/>
      <c r="I5133" s="9"/>
      <c r="J5133" s="2"/>
      <c r="L5133" s="9"/>
      <c r="M5133" s="2"/>
      <c r="N5133" s="9"/>
      <c r="P5133" s="3">
        <v>0</v>
      </c>
      <c r="S5133" s="9"/>
      <c r="T5133" s="2"/>
      <c r="U5133" s="9"/>
    </row>
    <row r="5134" spans="2:21" x14ac:dyDescent="0.35">
      <c r="B5134" s="9"/>
      <c r="C5134" s="2"/>
      <c r="D5134" s="2"/>
      <c r="I5134" s="9"/>
      <c r="J5134" s="2"/>
      <c r="L5134" s="9"/>
      <c r="M5134" s="2"/>
      <c r="N5134" s="9"/>
      <c r="P5134" s="3">
        <v>0</v>
      </c>
      <c r="S5134" s="9"/>
      <c r="T5134" s="2"/>
      <c r="U5134" s="9"/>
    </row>
    <row r="5135" spans="2:21" x14ac:dyDescent="0.35">
      <c r="B5135" s="9"/>
      <c r="C5135" s="2"/>
      <c r="D5135" s="2"/>
      <c r="I5135" s="9"/>
      <c r="J5135" s="2"/>
      <c r="L5135" s="9"/>
      <c r="M5135" s="2"/>
      <c r="N5135" s="9"/>
      <c r="P5135" s="3">
        <v>0</v>
      </c>
      <c r="S5135" s="9"/>
      <c r="T5135" s="2"/>
      <c r="U5135" s="9"/>
    </row>
    <row r="5136" spans="2:21" x14ac:dyDescent="0.35">
      <c r="B5136" s="9"/>
      <c r="C5136" s="2"/>
      <c r="D5136" s="2"/>
      <c r="I5136" s="9"/>
      <c r="J5136" s="2"/>
      <c r="L5136" s="9"/>
      <c r="M5136" s="2"/>
      <c r="N5136" s="9"/>
      <c r="P5136" s="3">
        <v>0</v>
      </c>
      <c r="S5136" s="9"/>
      <c r="T5136" s="2"/>
      <c r="U5136" s="9"/>
    </row>
    <row r="5137" spans="2:21" x14ac:dyDescent="0.35">
      <c r="B5137" s="9"/>
      <c r="C5137" s="2"/>
      <c r="D5137" s="2"/>
      <c r="I5137" s="9"/>
      <c r="J5137" s="2"/>
      <c r="L5137" s="9"/>
      <c r="M5137" s="2"/>
      <c r="N5137" s="9"/>
      <c r="P5137" s="3">
        <v>-207.19107715999999</v>
      </c>
      <c r="S5137" s="9"/>
      <c r="T5137" s="2"/>
      <c r="U5137" s="9"/>
    </row>
    <row r="5138" spans="2:21" x14ac:dyDescent="0.35">
      <c r="B5138" s="9"/>
      <c r="C5138" s="2"/>
      <c r="D5138" s="2"/>
      <c r="I5138" s="9"/>
      <c r="J5138" s="2"/>
      <c r="L5138" s="9"/>
      <c r="M5138" s="2"/>
      <c r="N5138" s="9"/>
      <c r="P5138" s="3">
        <v>0</v>
      </c>
      <c r="S5138" s="9"/>
      <c r="T5138" s="2"/>
      <c r="U5138" s="9"/>
    </row>
    <row r="5139" spans="2:21" x14ac:dyDescent="0.35">
      <c r="B5139" s="9"/>
      <c r="C5139" s="2"/>
      <c r="D5139" s="2"/>
      <c r="I5139" s="9"/>
      <c r="J5139" s="2"/>
      <c r="L5139" s="9"/>
      <c r="M5139" s="2"/>
      <c r="N5139" s="9"/>
      <c r="P5139" s="3">
        <v>-129.63125350000001</v>
      </c>
      <c r="S5139" s="9"/>
      <c r="T5139" s="2"/>
      <c r="U5139" s="9"/>
    </row>
    <row r="5140" spans="2:21" x14ac:dyDescent="0.35">
      <c r="B5140" s="9"/>
      <c r="C5140" s="2"/>
      <c r="D5140" s="2"/>
      <c r="I5140" s="9"/>
      <c r="J5140" s="2"/>
      <c r="L5140" s="9"/>
      <c r="M5140" s="2"/>
      <c r="N5140" s="9"/>
      <c r="P5140" s="3">
        <v>-564.39125349999995</v>
      </c>
      <c r="S5140" s="9"/>
      <c r="T5140" s="2"/>
      <c r="U5140" s="9"/>
    </row>
    <row r="5141" spans="2:21" x14ac:dyDescent="0.35">
      <c r="B5141" s="9"/>
      <c r="C5141" s="2"/>
      <c r="D5141" s="2"/>
      <c r="I5141" s="9"/>
      <c r="J5141" s="2"/>
      <c r="L5141" s="9"/>
      <c r="M5141" s="2"/>
      <c r="N5141" s="9"/>
      <c r="P5141" s="3">
        <v>-999.15125350000005</v>
      </c>
      <c r="S5141" s="9"/>
      <c r="T5141" s="2"/>
      <c r="U5141" s="9"/>
    </row>
    <row r="5142" spans="2:21" x14ac:dyDescent="0.35">
      <c r="B5142" s="9"/>
      <c r="C5142" s="2"/>
      <c r="D5142" s="2"/>
      <c r="I5142" s="9"/>
      <c r="J5142" s="2"/>
      <c r="L5142" s="9"/>
      <c r="M5142" s="2"/>
      <c r="N5142" s="9"/>
      <c r="P5142" s="3">
        <v>-1433.9112534999999</v>
      </c>
      <c r="S5142" s="9"/>
      <c r="T5142" s="2"/>
      <c r="U5142" s="9"/>
    </row>
    <row r="5143" spans="2:21" x14ac:dyDescent="0.35">
      <c r="B5143" s="9"/>
      <c r="C5143" s="2"/>
      <c r="D5143" s="2"/>
      <c r="I5143" s="9"/>
      <c r="J5143" s="2"/>
      <c r="L5143" s="9"/>
      <c r="M5143" s="2"/>
      <c r="N5143" s="9"/>
      <c r="P5143" s="3">
        <v>-999.15125350000005</v>
      </c>
      <c r="S5143" s="9"/>
      <c r="T5143" s="2"/>
      <c r="U5143" s="9"/>
    </row>
    <row r="5144" spans="2:21" x14ac:dyDescent="0.35">
      <c r="B5144" s="9"/>
      <c r="C5144" s="2"/>
      <c r="D5144" s="2"/>
      <c r="I5144" s="9"/>
      <c r="J5144" s="2"/>
      <c r="L5144" s="9"/>
      <c r="M5144" s="2"/>
      <c r="N5144" s="9"/>
      <c r="P5144" s="3">
        <v>-958.19657160999998</v>
      </c>
      <c r="S5144" s="9"/>
      <c r="T5144" s="2"/>
      <c r="U5144" s="9"/>
    </row>
    <row r="5145" spans="2:21" x14ac:dyDescent="0.35">
      <c r="B5145" s="9"/>
      <c r="C5145" s="2"/>
      <c r="D5145" s="2"/>
      <c r="I5145" s="9"/>
      <c r="J5145" s="2"/>
      <c r="L5145" s="9"/>
      <c r="M5145" s="2"/>
      <c r="N5145" s="9"/>
      <c r="P5145" s="3">
        <v>-1304.28</v>
      </c>
      <c r="S5145" s="9"/>
      <c r="T5145" s="2"/>
      <c r="U5145" s="9"/>
    </row>
    <row r="5146" spans="2:21" x14ac:dyDescent="0.35">
      <c r="B5146" s="9"/>
      <c r="C5146" s="2"/>
      <c r="D5146" s="2"/>
      <c r="I5146" s="9"/>
      <c r="J5146" s="2"/>
      <c r="L5146" s="9"/>
      <c r="M5146" s="2"/>
      <c r="N5146" s="9"/>
      <c r="P5146" s="3">
        <v>-869.52</v>
      </c>
      <c r="S5146" s="9"/>
      <c r="T5146" s="2"/>
      <c r="U5146" s="9"/>
    </row>
    <row r="5147" spans="2:21" x14ac:dyDescent="0.35">
      <c r="B5147" s="9"/>
      <c r="C5147" s="2"/>
      <c r="D5147" s="2"/>
      <c r="I5147" s="9"/>
      <c r="J5147" s="2"/>
      <c r="L5147" s="9"/>
      <c r="M5147" s="2"/>
      <c r="N5147" s="9"/>
      <c r="P5147" s="3">
        <v>-434.76</v>
      </c>
      <c r="S5147" s="9"/>
      <c r="T5147" s="2"/>
      <c r="U5147" s="9"/>
    </row>
    <row r="5148" spans="2:21" x14ac:dyDescent="0.35">
      <c r="B5148" s="9"/>
      <c r="C5148" s="2"/>
      <c r="D5148" s="2"/>
      <c r="I5148" s="9"/>
      <c r="J5148" s="2"/>
      <c r="L5148" s="9"/>
      <c r="M5148" s="2"/>
      <c r="N5148" s="9"/>
      <c r="P5148" s="3">
        <v>0</v>
      </c>
      <c r="S5148" s="9"/>
      <c r="T5148" s="2"/>
      <c r="U5148" s="9"/>
    </row>
    <row r="5149" spans="2:21" x14ac:dyDescent="0.35">
      <c r="B5149" s="9"/>
      <c r="C5149" s="2"/>
      <c r="D5149" s="2"/>
      <c r="I5149" s="9"/>
      <c r="J5149" s="2"/>
      <c r="L5149" s="9"/>
      <c r="M5149" s="2"/>
      <c r="N5149" s="9"/>
      <c r="P5149" s="3">
        <v>0</v>
      </c>
      <c r="S5149" s="9"/>
      <c r="T5149" s="2"/>
      <c r="U5149" s="9"/>
    </row>
    <row r="5150" spans="2:21" x14ac:dyDescent="0.35">
      <c r="B5150" s="9"/>
      <c r="C5150" s="2"/>
      <c r="D5150" s="2"/>
      <c r="I5150" s="9"/>
      <c r="J5150" s="2"/>
      <c r="L5150" s="9"/>
      <c r="M5150" s="2"/>
      <c r="N5150" s="9"/>
      <c r="P5150" s="3">
        <v>0</v>
      </c>
      <c r="S5150" s="9"/>
      <c r="T5150" s="2"/>
      <c r="U5150" s="9"/>
    </row>
    <row r="5151" spans="2:21" x14ac:dyDescent="0.35">
      <c r="B5151" s="9"/>
      <c r="C5151" s="2"/>
      <c r="D5151" s="2"/>
      <c r="I5151" s="9"/>
      <c r="J5151" s="2"/>
      <c r="L5151" s="9"/>
      <c r="M5151" s="2"/>
      <c r="N5151" s="9"/>
      <c r="P5151" s="3">
        <v>0</v>
      </c>
      <c r="S5151" s="9"/>
      <c r="T5151" s="2"/>
      <c r="U5151" s="9"/>
    </row>
    <row r="5152" spans="2:21" x14ac:dyDescent="0.35">
      <c r="B5152" s="9"/>
      <c r="C5152" s="2"/>
      <c r="D5152" s="2"/>
      <c r="I5152" s="9"/>
      <c r="J5152" s="2"/>
      <c r="L5152" s="9"/>
      <c r="M5152" s="2"/>
      <c r="N5152" s="9"/>
      <c r="P5152" s="3">
        <v>0</v>
      </c>
      <c r="S5152" s="9"/>
      <c r="T5152" s="2"/>
      <c r="U5152" s="9"/>
    </row>
    <row r="5153" spans="2:21" x14ac:dyDescent="0.35">
      <c r="B5153" s="9"/>
      <c r="C5153" s="2"/>
      <c r="D5153" s="2"/>
      <c r="I5153" s="9"/>
      <c r="J5153" s="2"/>
      <c r="L5153" s="9"/>
      <c r="M5153" s="2"/>
      <c r="N5153" s="9"/>
      <c r="P5153" s="3">
        <v>0</v>
      </c>
      <c r="S5153" s="9"/>
      <c r="T5153" s="2"/>
      <c r="U5153" s="9"/>
    </row>
    <row r="5154" spans="2:21" x14ac:dyDescent="0.35">
      <c r="B5154" s="9"/>
      <c r="C5154" s="2"/>
      <c r="D5154" s="2"/>
      <c r="I5154" s="9"/>
      <c r="J5154" s="2"/>
      <c r="L5154" s="9"/>
      <c r="M5154" s="2"/>
      <c r="N5154" s="9"/>
      <c r="P5154" s="3">
        <v>0</v>
      </c>
      <c r="S5154" s="9"/>
      <c r="T5154" s="2"/>
      <c r="U5154" s="9"/>
    </row>
    <row r="5155" spans="2:21" x14ac:dyDescent="0.35">
      <c r="B5155" s="9"/>
      <c r="C5155" s="2"/>
      <c r="D5155" s="2"/>
      <c r="I5155" s="9"/>
      <c r="J5155" s="2"/>
      <c r="L5155" s="9"/>
      <c r="M5155" s="2"/>
      <c r="N5155" s="9"/>
      <c r="P5155" s="3">
        <v>-251.60949199999999</v>
      </c>
      <c r="S5155" s="9"/>
      <c r="T5155" s="2"/>
      <c r="U5155" s="9"/>
    </row>
    <row r="5156" spans="2:21" x14ac:dyDescent="0.35">
      <c r="B5156" s="9"/>
      <c r="C5156" s="2"/>
      <c r="D5156" s="2"/>
      <c r="I5156" s="9"/>
      <c r="J5156" s="2"/>
      <c r="L5156" s="9"/>
      <c r="M5156" s="2"/>
      <c r="N5156" s="9"/>
      <c r="P5156" s="3">
        <v>-686.36949200000004</v>
      </c>
      <c r="S5156" s="9"/>
      <c r="T5156" s="2"/>
      <c r="U5156" s="9"/>
    </row>
    <row r="5157" spans="2:21" x14ac:dyDescent="0.35">
      <c r="B5157" s="9"/>
      <c r="C5157" s="2"/>
      <c r="D5157" s="2"/>
      <c r="I5157" s="9"/>
      <c r="J5157" s="2"/>
      <c r="L5157" s="9"/>
      <c r="M5157" s="2"/>
      <c r="N5157" s="9"/>
      <c r="P5157" s="3">
        <v>-1121.129492</v>
      </c>
      <c r="S5157" s="9"/>
      <c r="T5157" s="2"/>
      <c r="U5157" s="9"/>
    </row>
    <row r="5158" spans="2:21" x14ac:dyDescent="0.35">
      <c r="B5158" s="9"/>
      <c r="C5158" s="2"/>
      <c r="D5158" s="2"/>
      <c r="I5158" s="9"/>
      <c r="J5158" s="2"/>
      <c r="L5158" s="9"/>
      <c r="M5158" s="2"/>
      <c r="N5158" s="9"/>
      <c r="P5158" s="3">
        <v>-1555.889492</v>
      </c>
      <c r="S5158" s="9"/>
      <c r="T5158" s="2"/>
      <c r="U5158" s="9"/>
    </row>
    <row r="5159" spans="2:21" x14ac:dyDescent="0.35">
      <c r="B5159" s="9"/>
      <c r="C5159" s="2"/>
      <c r="D5159" s="2"/>
      <c r="I5159" s="9"/>
      <c r="J5159" s="2"/>
      <c r="L5159" s="9"/>
      <c r="M5159" s="2"/>
      <c r="N5159" s="9"/>
      <c r="P5159" s="3">
        <v>-1990.649492</v>
      </c>
      <c r="S5159" s="9"/>
      <c r="T5159" s="2"/>
      <c r="U5159" s="9"/>
    </row>
    <row r="5160" spans="2:21" x14ac:dyDescent="0.35">
      <c r="B5160" s="9"/>
      <c r="C5160" s="2"/>
      <c r="D5160" s="2"/>
      <c r="I5160" s="9"/>
      <c r="J5160" s="2"/>
      <c r="L5160" s="9"/>
      <c r="M5160" s="2"/>
      <c r="N5160" s="9"/>
      <c r="P5160" s="3">
        <v>-2425.4094919999998</v>
      </c>
      <c r="S5160" s="9"/>
      <c r="T5160" s="2"/>
      <c r="U5160" s="9"/>
    </row>
    <row r="5161" spans="2:21" x14ac:dyDescent="0.35">
      <c r="B5161" s="9"/>
      <c r="C5161" s="2"/>
      <c r="D5161" s="2"/>
      <c r="I5161" s="9"/>
      <c r="J5161" s="2"/>
      <c r="L5161" s="9"/>
      <c r="M5161" s="2"/>
      <c r="N5161" s="9"/>
      <c r="P5161" s="3">
        <v>-2860.169492</v>
      </c>
      <c r="S5161" s="9"/>
      <c r="T5161" s="2"/>
      <c r="U5161" s="9"/>
    </row>
    <row r="5162" spans="2:21" x14ac:dyDescent="0.35">
      <c r="B5162" s="9"/>
      <c r="C5162" s="2"/>
      <c r="D5162" s="2"/>
      <c r="I5162" s="9"/>
      <c r="J5162" s="2"/>
      <c r="L5162" s="9"/>
      <c r="M5162" s="2"/>
      <c r="N5162" s="9"/>
      <c r="P5162" s="3">
        <v>-2860.169492</v>
      </c>
      <c r="S5162" s="9"/>
      <c r="T5162" s="2"/>
      <c r="U5162" s="9"/>
    </row>
    <row r="5163" spans="2:21" x14ac:dyDescent="0.35">
      <c r="B5163" s="9"/>
      <c r="C5163" s="2"/>
      <c r="D5163" s="2"/>
      <c r="I5163" s="9"/>
      <c r="J5163" s="2"/>
      <c r="L5163" s="9"/>
      <c r="M5163" s="2"/>
      <c r="N5163" s="9"/>
      <c r="P5163" s="3">
        <v>-2860.169492</v>
      </c>
      <c r="S5163" s="9"/>
      <c r="T5163" s="2"/>
      <c r="U5163" s="9"/>
    </row>
    <row r="5164" spans="2:21" x14ac:dyDescent="0.35">
      <c r="B5164" s="9"/>
      <c r="C5164" s="2"/>
      <c r="D5164" s="2"/>
      <c r="I5164" s="9"/>
      <c r="J5164" s="2"/>
      <c r="L5164" s="9"/>
      <c r="M5164" s="2"/>
      <c r="N5164" s="9"/>
      <c r="P5164" s="3">
        <v>-2823.0657688599999</v>
      </c>
      <c r="S5164" s="9"/>
      <c r="T5164" s="2"/>
      <c r="U5164" s="9"/>
    </row>
    <row r="5165" spans="2:21" x14ac:dyDescent="0.35">
      <c r="B5165" s="9"/>
      <c r="C5165" s="2"/>
      <c r="D5165" s="2"/>
      <c r="I5165" s="9"/>
      <c r="J5165" s="2"/>
      <c r="L5165" s="9"/>
      <c r="M5165" s="2"/>
      <c r="N5165" s="9"/>
      <c r="P5165" s="3">
        <v>-2672.1169288599999</v>
      </c>
      <c r="S5165" s="9"/>
      <c r="T5165" s="2"/>
      <c r="U5165" s="9"/>
    </row>
    <row r="5166" spans="2:21" x14ac:dyDescent="0.35">
      <c r="B5166" s="9"/>
      <c r="C5166" s="2"/>
      <c r="D5166" s="2"/>
      <c r="I5166" s="9"/>
      <c r="J5166" s="2"/>
      <c r="L5166" s="9"/>
      <c r="M5166" s="2"/>
      <c r="N5166" s="9"/>
      <c r="P5166" s="3">
        <v>-2237.3569288600002</v>
      </c>
      <c r="S5166" s="9"/>
      <c r="T5166" s="2"/>
      <c r="U5166" s="9"/>
    </row>
    <row r="5167" spans="2:21" x14ac:dyDescent="0.35">
      <c r="B5167" s="9"/>
      <c r="C5167" s="2"/>
      <c r="D5167" s="2"/>
      <c r="I5167" s="9"/>
      <c r="J5167" s="2"/>
      <c r="L5167" s="9"/>
      <c r="M5167" s="2"/>
      <c r="N5167" s="9"/>
      <c r="P5167" s="3">
        <v>-1863.6885883899999</v>
      </c>
      <c r="S5167" s="9"/>
      <c r="T5167" s="2"/>
      <c r="U5167" s="9"/>
    </row>
    <row r="5168" spans="2:21" x14ac:dyDescent="0.35">
      <c r="B5168" s="9"/>
      <c r="C5168" s="2"/>
      <c r="D5168" s="2"/>
      <c r="I5168" s="9"/>
      <c r="J5168" s="2"/>
      <c r="L5168" s="9"/>
      <c r="M5168" s="2"/>
      <c r="N5168" s="9"/>
      <c r="P5168" s="3">
        <v>-1646.18576839</v>
      </c>
      <c r="S5168" s="9"/>
      <c r="T5168" s="2"/>
      <c r="U5168" s="9"/>
    </row>
    <row r="5169" spans="2:21" x14ac:dyDescent="0.35">
      <c r="B5169" s="9"/>
      <c r="C5169" s="2"/>
      <c r="D5169" s="2"/>
      <c r="I5169" s="9"/>
      <c r="J5169" s="2"/>
      <c r="L5169" s="9"/>
      <c r="M5169" s="2"/>
      <c r="N5169" s="9"/>
      <c r="P5169" s="3">
        <v>-1320.32203839</v>
      </c>
      <c r="S5169" s="9"/>
      <c r="T5169" s="2"/>
      <c r="U5169" s="9"/>
    </row>
    <row r="5170" spans="2:21" x14ac:dyDescent="0.35">
      <c r="B5170" s="9"/>
      <c r="C5170" s="2"/>
      <c r="D5170" s="2"/>
      <c r="I5170" s="9"/>
      <c r="J5170" s="2"/>
      <c r="L5170" s="9"/>
      <c r="M5170" s="2"/>
      <c r="N5170" s="9"/>
      <c r="P5170" s="3">
        <v>-1089.9376883899999</v>
      </c>
      <c r="S5170" s="9"/>
      <c r="T5170" s="2"/>
      <c r="U5170" s="9"/>
    </row>
    <row r="5171" spans="2:21" x14ac:dyDescent="0.35">
      <c r="B5171" s="9"/>
      <c r="C5171" s="2"/>
      <c r="D5171" s="2"/>
      <c r="I5171" s="9"/>
      <c r="J5171" s="2"/>
      <c r="L5171" s="9"/>
      <c r="M5171" s="2"/>
      <c r="N5171" s="9"/>
      <c r="P5171" s="3">
        <v>-931.88174838999998</v>
      </c>
      <c r="S5171" s="9"/>
      <c r="T5171" s="2"/>
      <c r="U5171" s="9"/>
    </row>
    <row r="5172" spans="2:21" x14ac:dyDescent="0.35">
      <c r="B5172" s="9"/>
      <c r="C5172" s="2"/>
      <c r="D5172" s="2"/>
      <c r="I5172" s="9"/>
      <c r="J5172" s="2"/>
      <c r="L5172" s="9"/>
      <c r="M5172" s="2"/>
      <c r="N5172" s="9"/>
      <c r="P5172" s="3">
        <v>-842.83567839</v>
      </c>
      <c r="S5172" s="9"/>
      <c r="T5172" s="2"/>
      <c r="U5172" s="9"/>
    </row>
    <row r="5173" spans="2:21" x14ac:dyDescent="0.35">
      <c r="B5173" s="9"/>
      <c r="C5173" s="2"/>
      <c r="D5173" s="2"/>
      <c r="I5173" s="9"/>
      <c r="J5173" s="2"/>
      <c r="L5173" s="9"/>
      <c r="M5173" s="2"/>
      <c r="N5173" s="9"/>
      <c r="P5173" s="3">
        <v>-1240.23403839</v>
      </c>
      <c r="S5173" s="9"/>
      <c r="T5173" s="2"/>
      <c r="U5173" s="9"/>
    </row>
    <row r="5174" spans="2:21" x14ac:dyDescent="0.35">
      <c r="B5174" s="9"/>
      <c r="C5174" s="2"/>
      <c r="D5174" s="2"/>
      <c r="I5174" s="9"/>
      <c r="J5174" s="2"/>
      <c r="L5174" s="9"/>
      <c r="M5174" s="2"/>
      <c r="N5174" s="9"/>
      <c r="P5174" s="3">
        <v>-1674.99403839</v>
      </c>
      <c r="S5174" s="9"/>
      <c r="T5174" s="2"/>
      <c r="U5174" s="9"/>
    </row>
    <row r="5175" spans="2:21" x14ac:dyDescent="0.35">
      <c r="B5175" s="9"/>
      <c r="C5175" s="2"/>
      <c r="D5175" s="2"/>
      <c r="I5175" s="9"/>
      <c r="J5175" s="2"/>
      <c r="L5175" s="9"/>
      <c r="M5175" s="2"/>
      <c r="N5175" s="9"/>
      <c r="P5175" s="3">
        <v>-1240.23403839</v>
      </c>
      <c r="S5175" s="9"/>
      <c r="T5175" s="2"/>
      <c r="U5175" s="9"/>
    </row>
    <row r="5176" spans="2:21" x14ac:dyDescent="0.35">
      <c r="B5176" s="9"/>
      <c r="C5176" s="2"/>
      <c r="D5176" s="2"/>
      <c r="I5176" s="9"/>
      <c r="J5176" s="2"/>
      <c r="L5176" s="9"/>
      <c r="M5176" s="2"/>
      <c r="N5176" s="9"/>
      <c r="P5176" s="3">
        <v>-805.47403839000003</v>
      </c>
      <c r="S5176" s="9"/>
      <c r="T5176" s="2"/>
      <c r="U5176" s="9"/>
    </row>
    <row r="5177" spans="2:21" x14ac:dyDescent="0.35">
      <c r="B5177" s="9"/>
      <c r="C5177" s="2"/>
      <c r="D5177" s="2"/>
      <c r="I5177" s="9"/>
      <c r="J5177" s="2"/>
      <c r="L5177" s="9"/>
      <c r="M5177" s="2"/>
      <c r="N5177" s="9"/>
      <c r="P5177" s="3">
        <v>-370.71403838999998</v>
      </c>
      <c r="S5177" s="9"/>
      <c r="T5177" s="2"/>
      <c r="U5177" s="9"/>
    </row>
    <row r="5178" spans="2:21" x14ac:dyDescent="0.35">
      <c r="B5178" s="9"/>
      <c r="C5178" s="2"/>
      <c r="D5178" s="2"/>
      <c r="I5178" s="9"/>
      <c r="J5178" s="2"/>
      <c r="L5178" s="9"/>
      <c r="M5178" s="2"/>
      <c r="N5178" s="9"/>
      <c r="P5178" s="3">
        <v>0</v>
      </c>
      <c r="S5178" s="9"/>
      <c r="T5178" s="2"/>
      <c r="U5178" s="9"/>
    </row>
    <row r="5179" spans="2:21" x14ac:dyDescent="0.35">
      <c r="B5179" s="9"/>
      <c r="C5179" s="2"/>
      <c r="D5179" s="2"/>
      <c r="I5179" s="9"/>
      <c r="J5179" s="2"/>
      <c r="L5179" s="9"/>
      <c r="M5179" s="2"/>
      <c r="N5179" s="9"/>
      <c r="P5179" s="3">
        <v>0</v>
      </c>
      <c r="S5179" s="9"/>
      <c r="T5179" s="2"/>
      <c r="U5179" s="9"/>
    </row>
    <row r="5180" spans="2:21" x14ac:dyDescent="0.35">
      <c r="B5180" s="9"/>
      <c r="C5180" s="2"/>
      <c r="D5180" s="2"/>
      <c r="I5180" s="9"/>
      <c r="J5180" s="2"/>
      <c r="L5180" s="9"/>
      <c r="M5180" s="2"/>
      <c r="N5180" s="9"/>
      <c r="P5180" s="3">
        <v>-370.96815565000003</v>
      </c>
      <c r="S5180" s="9"/>
      <c r="T5180" s="2"/>
      <c r="U5180" s="9"/>
    </row>
    <row r="5181" spans="2:21" x14ac:dyDescent="0.35">
      <c r="B5181" s="9"/>
      <c r="C5181" s="2"/>
      <c r="D5181" s="2"/>
      <c r="I5181" s="9"/>
      <c r="J5181" s="2"/>
      <c r="L5181" s="9"/>
      <c r="M5181" s="2"/>
      <c r="N5181" s="9"/>
      <c r="P5181" s="3">
        <v>-805.72815564999996</v>
      </c>
      <c r="S5181" s="9"/>
      <c r="T5181" s="2"/>
      <c r="U5181" s="9"/>
    </row>
    <row r="5182" spans="2:21" x14ac:dyDescent="0.35">
      <c r="B5182" s="9"/>
      <c r="C5182" s="2"/>
      <c r="D5182" s="2"/>
      <c r="I5182" s="9"/>
      <c r="J5182" s="2"/>
      <c r="L5182" s="9"/>
      <c r="M5182" s="2"/>
      <c r="N5182" s="9"/>
      <c r="P5182" s="3">
        <v>-1240.48815565</v>
      </c>
      <c r="S5182" s="9"/>
      <c r="T5182" s="2"/>
      <c r="U5182" s="9"/>
    </row>
    <row r="5183" spans="2:21" x14ac:dyDescent="0.35">
      <c r="B5183" s="9"/>
      <c r="C5183" s="2"/>
      <c r="D5183" s="2"/>
      <c r="I5183" s="9"/>
      <c r="J5183" s="2"/>
      <c r="L5183" s="9"/>
      <c r="M5183" s="2"/>
      <c r="N5183" s="9"/>
      <c r="P5183" s="3">
        <v>-1675.2481556499999</v>
      </c>
      <c r="S5183" s="9"/>
      <c r="T5183" s="2"/>
      <c r="U5183" s="9"/>
    </row>
    <row r="5184" spans="2:21" x14ac:dyDescent="0.35">
      <c r="B5184" s="9"/>
      <c r="C5184" s="2"/>
      <c r="D5184" s="2"/>
      <c r="I5184" s="9"/>
      <c r="J5184" s="2"/>
      <c r="L5184" s="9"/>
      <c r="M5184" s="2"/>
      <c r="N5184" s="9"/>
      <c r="P5184" s="3">
        <v>-1444.55645839</v>
      </c>
      <c r="S5184" s="9"/>
      <c r="T5184" s="2"/>
      <c r="U5184" s="9"/>
    </row>
    <row r="5185" spans="2:21" x14ac:dyDescent="0.35">
      <c r="B5185" s="9"/>
      <c r="C5185" s="2"/>
      <c r="D5185" s="2"/>
      <c r="I5185" s="9"/>
      <c r="J5185" s="2"/>
      <c r="L5185" s="9"/>
      <c r="M5185" s="2"/>
      <c r="N5185" s="9"/>
      <c r="P5185" s="3">
        <v>-1009.79645839</v>
      </c>
      <c r="S5185" s="9"/>
      <c r="T5185" s="2"/>
      <c r="U5185" s="9"/>
    </row>
    <row r="5186" spans="2:21" x14ac:dyDescent="0.35">
      <c r="B5186" s="9"/>
      <c r="C5186" s="2"/>
      <c r="D5186" s="2"/>
      <c r="I5186" s="9"/>
      <c r="J5186" s="2"/>
      <c r="L5186" s="9"/>
      <c r="M5186" s="2"/>
      <c r="N5186" s="9"/>
      <c r="P5186" s="3">
        <v>-575.03645839000001</v>
      </c>
      <c r="S5186" s="9"/>
      <c r="T5186" s="2"/>
      <c r="U5186" s="9"/>
    </row>
    <row r="5187" spans="2:21" x14ac:dyDescent="0.35">
      <c r="B5187" s="9"/>
      <c r="C5187" s="2"/>
      <c r="D5187" s="2"/>
      <c r="I5187" s="9"/>
      <c r="J5187" s="2"/>
      <c r="L5187" s="9"/>
      <c r="M5187" s="2"/>
      <c r="N5187" s="9"/>
      <c r="P5187" s="3">
        <v>-386.84598839</v>
      </c>
      <c r="S5187" s="9"/>
      <c r="T5187" s="2"/>
      <c r="U5187" s="9"/>
    </row>
    <row r="5188" spans="2:21" x14ac:dyDescent="0.35">
      <c r="B5188" s="9"/>
      <c r="C5188" s="2"/>
      <c r="D5188" s="2"/>
      <c r="I5188" s="9"/>
      <c r="J5188" s="2"/>
      <c r="L5188" s="9"/>
      <c r="M5188" s="2"/>
      <c r="N5188" s="9"/>
      <c r="P5188" s="3">
        <v>-38.681868389999998</v>
      </c>
      <c r="S5188" s="9"/>
      <c r="T5188" s="2"/>
      <c r="U5188" s="9"/>
    </row>
    <row r="5189" spans="2:21" x14ac:dyDescent="0.35">
      <c r="B5189" s="9"/>
      <c r="C5189" s="2"/>
      <c r="D5189" s="2"/>
      <c r="I5189" s="9"/>
      <c r="J5189" s="2"/>
      <c r="L5189" s="9"/>
      <c r="M5189" s="2"/>
      <c r="N5189" s="9"/>
      <c r="P5189" s="3">
        <v>78.896971609999994</v>
      </c>
      <c r="S5189" s="9"/>
      <c r="T5189" s="2"/>
      <c r="U5189" s="9"/>
    </row>
    <row r="5190" spans="2:21" x14ac:dyDescent="0.35">
      <c r="B5190" s="9"/>
      <c r="C5190" s="2"/>
      <c r="D5190" s="2"/>
      <c r="I5190" s="9"/>
      <c r="J5190" s="2"/>
      <c r="L5190" s="9"/>
      <c r="M5190" s="2"/>
      <c r="N5190" s="9"/>
      <c r="P5190" s="3">
        <v>211.99073161000001</v>
      </c>
      <c r="S5190" s="9"/>
      <c r="T5190" s="2"/>
      <c r="U5190" s="9"/>
    </row>
    <row r="5191" spans="2:21" x14ac:dyDescent="0.35">
      <c r="B5191" s="9"/>
      <c r="C5191" s="2"/>
      <c r="D5191" s="2"/>
      <c r="I5191" s="9"/>
      <c r="J5191" s="2"/>
      <c r="L5191" s="9"/>
      <c r="M5191" s="2"/>
      <c r="N5191" s="9"/>
      <c r="P5191" s="3">
        <v>386.00889160999998</v>
      </c>
      <c r="S5191" s="9"/>
      <c r="T5191" s="2"/>
      <c r="U5191" s="9"/>
    </row>
    <row r="5192" spans="2:21" x14ac:dyDescent="0.35">
      <c r="B5192" s="9"/>
      <c r="C5192" s="2"/>
      <c r="D5192" s="2"/>
      <c r="I5192" s="9"/>
      <c r="J5192" s="2"/>
      <c r="L5192" s="9"/>
      <c r="M5192" s="2"/>
      <c r="N5192" s="9"/>
      <c r="P5192" s="3">
        <v>551.13856161000001</v>
      </c>
      <c r="S5192" s="9"/>
      <c r="T5192" s="2"/>
      <c r="U5192" s="9"/>
    </row>
    <row r="5193" spans="2:21" x14ac:dyDescent="0.35">
      <c r="B5193" s="9"/>
      <c r="C5193" s="2"/>
      <c r="D5193" s="2"/>
      <c r="I5193" s="9"/>
      <c r="J5193" s="2"/>
      <c r="L5193" s="9"/>
      <c r="M5193" s="2"/>
      <c r="N5193" s="9"/>
      <c r="P5193" s="3">
        <v>671.25778161000005</v>
      </c>
      <c r="S5193" s="9"/>
      <c r="T5193" s="2"/>
      <c r="U5193" s="9"/>
    </row>
    <row r="5194" spans="2:21" x14ac:dyDescent="0.35">
      <c r="B5194" s="9"/>
      <c r="C5194" s="2"/>
      <c r="D5194" s="2"/>
      <c r="I5194" s="9"/>
      <c r="J5194" s="2"/>
      <c r="L5194" s="9"/>
      <c r="M5194" s="2"/>
      <c r="N5194" s="9"/>
      <c r="P5194" s="3">
        <v>721.93474160999995</v>
      </c>
      <c r="S5194" s="9"/>
      <c r="T5194" s="2"/>
      <c r="U5194" s="9"/>
    </row>
    <row r="5195" spans="2:21" x14ac:dyDescent="0.35">
      <c r="B5195" s="9"/>
      <c r="C5195" s="2"/>
      <c r="D5195" s="2"/>
      <c r="I5195" s="9"/>
      <c r="J5195" s="2"/>
      <c r="L5195" s="9"/>
      <c r="M5195" s="2"/>
      <c r="N5195" s="9"/>
      <c r="P5195" s="3">
        <v>726.68109160999995</v>
      </c>
      <c r="S5195" s="9"/>
      <c r="T5195" s="2"/>
      <c r="U5195" s="9"/>
    </row>
    <row r="5196" spans="2:21" x14ac:dyDescent="0.35">
      <c r="B5196" s="9"/>
      <c r="C5196" s="2"/>
      <c r="D5196" s="2"/>
      <c r="I5196" s="9"/>
      <c r="J5196" s="2"/>
      <c r="L5196" s="9"/>
      <c r="M5196" s="2"/>
      <c r="N5196" s="9"/>
      <c r="P5196" s="3">
        <v>706.80677161000006</v>
      </c>
      <c r="S5196" s="9"/>
      <c r="T5196" s="2"/>
      <c r="U5196" s="9"/>
    </row>
    <row r="5197" spans="2:21" x14ac:dyDescent="0.35">
      <c r="B5197" s="9"/>
      <c r="C5197" s="2"/>
      <c r="D5197" s="2"/>
      <c r="I5197" s="9"/>
      <c r="J5197" s="2"/>
      <c r="L5197" s="9"/>
      <c r="M5197" s="2"/>
      <c r="N5197" s="9"/>
      <c r="P5197" s="3">
        <v>272.04677161000001</v>
      </c>
      <c r="S5197" s="9"/>
      <c r="T5197" s="2"/>
      <c r="U5197" s="9"/>
    </row>
    <row r="5198" spans="2:21" x14ac:dyDescent="0.35">
      <c r="B5198" s="9"/>
      <c r="C5198" s="2"/>
      <c r="D5198" s="2"/>
      <c r="I5198" s="9"/>
      <c r="J5198" s="2"/>
      <c r="L5198" s="9"/>
      <c r="M5198" s="2"/>
      <c r="N5198" s="9"/>
      <c r="P5198" s="3">
        <v>-162.71322839000001</v>
      </c>
      <c r="S5198" s="9"/>
      <c r="T5198" s="2"/>
      <c r="U5198" s="9"/>
    </row>
    <row r="5199" spans="2:21" x14ac:dyDescent="0.35">
      <c r="B5199" s="9"/>
      <c r="C5199" s="2"/>
      <c r="D5199" s="2"/>
      <c r="I5199" s="9"/>
      <c r="J5199" s="2"/>
      <c r="L5199" s="9"/>
      <c r="M5199" s="2"/>
      <c r="N5199" s="9"/>
      <c r="P5199" s="3">
        <v>-597.47322839000003</v>
      </c>
      <c r="S5199" s="9"/>
      <c r="T5199" s="2"/>
      <c r="U5199" s="9"/>
    </row>
    <row r="5200" spans="2:21" x14ac:dyDescent="0.35">
      <c r="B5200" s="9"/>
      <c r="C5200" s="2"/>
      <c r="D5200" s="2"/>
      <c r="I5200" s="9"/>
      <c r="J5200" s="2"/>
      <c r="L5200" s="9"/>
      <c r="M5200" s="2"/>
      <c r="N5200" s="9"/>
      <c r="P5200" s="3">
        <v>-162.71322839000001</v>
      </c>
      <c r="S5200" s="9"/>
      <c r="T5200" s="2"/>
      <c r="U5200" s="9"/>
    </row>
    <row r="5201" spans="2:21" x14ac:dyDescent="0.35">
      <c r="B5201" s="9"/>
      <c r="C5201" s="2"/>
      <c r="D5201" s="2"/>
      <c r="I5201" s="9"/>
      <c r="J5201" s="2"/>
      <c r="L5201" s="9"/>
      <c r="M5201" s="2"/>
      <c r="N5201" s="9"/>
      <c r="P5201" s="3">
        <v>0</v>
      </c>
      <c r="S5201" s="9"/>
      <c r="T5201" s="2"/>
      <c r="U5201" s="9"/>
    </row>
    <row r="5202" spans="2:21" x14ac:dyDescent="0.35">
      <c r="B5202" s="9"/>
      <c r="C5202" s="2"/>
      <c r="D5202" s="2"/>
      <c r="I5202" s="9"/>
      <c r="J5202" s="2"/>
      <c r="L5202" s="9"/>
      <c r="M5202" s="2"/>
      <c r="N5202" s="9"/>
      <c r="P5202" s="3">
        <v>0</v>
      </c>
      <c r="S5202" s="9"/>
      <c r="T5202" s="2"/>
      <c r="U5202" s="9"/>
    </row>
    <row r="5203" spans="2:21" x14ac:dyDescent="0.35">
      <c r="B5203" s="9"/>
      <c r="C5203" s="2"/>
      <c r="D5203" s="2"/>
      <c r="I5203" s="9"/>
      <c r="J5203" s="2"/>
      <c r="L5203" s="9"/>
      <c r="M5203" s="2"/>
      <c r="N5203" s="9"/>
      <c r="P5203" s="3">
        <v>0</v>
      </c>
      <c r="S5203" s="9"/>
      <c r="T5203" s="2"/>
      <c r="U5203" s="9"/>
    </row>
    <row r="5204" spans="2:21" x14ac:dyDescent="0.35">
      <c r="B5204" s="9"/>
      <c r="C5204" s="2"/>
      <c r="D5204" s="2"/>
      <c r="I5204" s="9"/>
      <c r="J5204" s="2"/>
      <c r="L5204" s="9"/>
      <c r="M5204" s="2"/>
      <c r="N5204" s="9"/>
      <c r="P5204" s="3">
        <v>0</v>
      </c>
      <c r="S5204" s="9"/>
      <c r="T5204" s="2"/>
      <c r="U5204" s="9"/>
    </row>
    <row r="5205" spans="2:21" x14ac:dyDescent="0.35">
      <c r="B5205" s="9"/>
      <c r="C5205" s="2"/>
      <c r="D5205" s="2"/>
      <c r="I5205" s="9"/>
      <c r="J5205" s="2"/>
      <c r="L5205" s="9"/>
      <c r="M5205" s="2"/>
      <c r="N5205" s="9"/>
      <c r="P5205" s="3">
        <v>-46.382488389999999</v>
      </c>
      <c r="S5205" s="9"/>
      <c r="T5205" s="2"/>
      <c r="U5205" s="9"/>
    </row>
    <row r="5206" spans="2:21" x14ac:dyDescent="0.35">
      <c r="B5206" s="9"/>
      <c r="C5206" s="2"/>
      <c r="D5206" s="2"/>
      <c r="I5206" s="9"/>
      <c r="J5206" s="2"/>
      <c r="L5206" s="9"/>
      <c r="M5206" s="2"/>
      <c r="N5206" s="9"/>
      <c r="P5206" s="3">
        <v>-481.14248838999998</v>
      </c>
      <c r="S5206" s="9"/>
      <c r="T5206" s="2"/>
      <c r="U5206" s="9"/>
    </row>
    <row r="5207" spans="2:21" x14ac:dyDescent="0.35">
      <c r="B5207" s="9"/>
      <c r="C5207" s="2"/>
      <c r="D5207" s="2"/>
      <c r="I5207" s="9"/>
      <c r="J5207" s="2"/>
      <c r="L5207" s="9"/>
      <c r="M5207" s="2"/>
      <c r="N5207" s="9"/>
      <c r="P5207" s="3">
        <v>-915.90248839000003</v>
      </c>
      <c r="S5207" s="9"/>
      <c r="T5207" s="2"/>
      <c r="U5207" s="9"/>
    </row>
    <row r="5208" spans="2:21" x14ac:dyDescent="0.35">
      <c r="B5208" s="9"/>
      <c r="C5208" s="2"/>
      <c r="D5208" s="2"/>
      <c r="I5208" s="9"/>
      <c r="J5208" s="2"/>
      <c r="L5208" s="9"/>
      <c r="M5208" s="2"/>
      <c r="N5208" s="9"/>
      <c r="P5208" s="3">
        <v>-1350.6624883899999</v>
      </c>
      <c r="S5208" s="9"/>
      <c r="T5208" s="2"/>
      <c r="U5208" s="9"/>
    </row>
    <row r="5209" spans="2:21" x14ac:dyDescent="0.35">
      <c r="B5209" s="9"/>
      <c r="C5209" s="2"/>
      <c r="D5209" s="2"/>
      <c r="I5209" s="9"/>
      <c r="J5209" s="2"/>
      <c r="L5209" s="9"/>
      <c r="M5209" s="2"/>
      <c r="N5209" s="9"/>
      <c r="P5209" s="3">
        <v>-915.90248839000003</v>
      </c>
      <c r="S5209" s="9"/>
      <c r="T5209" s="2"/>
      <c r="U5209" s="9"/>
    </row>
    <row r="5210" spans="2:21" x14ac:dyDescent="0.35">
      <c r="B5210" s="9"/>
      <c r="C5210" s="2"/>
      <c r="D5210" s="2"/>
      <c r="I5210" s="9"/>
      <c r="J5210" s="2"/>
      <c r="L5210" s="9"/>
      <c r="M5210" s="2"/>
      <c r="N5210" s="9"/>
      <c r="P5210" s="3">
        <v>-620.83855839</v>
      </c>
      <c r="S5210" s="9"/>
      <c r="T5210" s="2"/>
      <c r="U5210" s="9"/>
    </row>
    <row r="5211" spans="2:21" x14ac:dyDescent="0.35">
      <c r="B5211" s="9"/>
      <c r="C5211" s="2"/>
      <c r="D5211" s="2"/>
      <c r="I5211" s="9"/>
      <c r="J5211" s="2"/>
      <c r="L5211" s="9"/>
      <c r="M5211" s="2"/>
      <c r="N5211" s="9"/>
      <c r="P5211" s="3">
        <v>-683.62314838999998</v>
      </c>
      <c r="S5211" s="9"/>
      <c r="T5211" s="2"/>
      <c r="U5211" s="9"/>
    </row>
    <row r="5212" spans="2:21" x14ac:dyDescent="0.35">
      <c r="B5212" s="9"/>
      <c r="C5212" s="2"/>
      <c r="D5212" s="2"/>
      <c r="I5212" s="9"/>
      <c r="J5212" s="2"/>
      <c r="L5212" s="9"/>
      <c r="M5212" s="2"/>
      <c r="N5212" s="9"/>
      <c r="P5212" s="3">
        <v>-502.33742839000001</v>
      </c>
      <c r="S5212" s="9"/>
      <c r="T5212" s="2"/>
      <c r="U5212" s="9"/>
    </row>
    <row r="5213" spans="2:21" x14ac:dyDescent="0.35">
      <c r="B5213" s="9"/>
      <c r="C5213" s="2"/>
      <c r="D5213" s="2"/>
      <c r="I5213" s="9"/>
      <c r="J5213" s="2"/>
      <c r="L5213" s="9"/>
      <c r="M5213" s="2"/>
      <c r="N5213" s="9"/>
      <c r="P5213" s="3">
        <v>-641.25673839000001</v>
      </c>
      <c r="S5213" s="9"/>
      <c r="T5213" s="2"/>
      <c r="U5213" s="9"/>
    </row>
    <row r="5214" spans="2:21" x14ac:dyDescent="0.35">
      <c r="B5214" s="9"/>
      <c r="C5214" s="2"/>
      <c r="D5214" s="2"/>
      <c r="I5214" s="9"/>
      <c r="J5214" s="2"/>
      <c r="L5214" s="9"/>
      <c r="M5214" s="2"/>
      <c r="N5214" s="9"/>
      <c r="P5214" s="3">
        <v>-1056.03693886</v>
      </c>
      <c r="S5214" s="9"/>
      <c r="T5214" s="2"/>
      <c r="U5214" s="9"/>
    </row>
    <row r="5215" spans="2:21" x14ac:dyDescent="0.35">
      <c r="B5215" s="9"/>
      <c r="C5215" s="2"/>
      <c r="D5215" s="2"/>
      <c r="I5215" s="9"/>
      <c r="J5215" s="2"/>
      <c r="L5215" s="9"/>
      <c r="M5215" s="2"/>
      <c r="N5215" s="9"/>
      <c r="P5215" s="3">
        <v>-1099.9220388599999</v>
      </c>
      <c r="S5215" s="9"/>
      <c r="T5215" s="2"/>
      <c r="U5215" s="9"/>
    </row>
    <row r="5216" spans="2:21" x14ac:dyDescent="0.35">
      <c r="B5216" s="9"/>
      <c r="C5216" s="2"/>
      <c r="D5216" s="2"/>
      <c r="I5216" s="9"/>
      <c r="J5216" s="2"/>
      <c r="L5216" s="9"/>
      <c r="M5216" s="2"/>
      <c r="N5216" s="9"/>
      <c r="P5216" s="3">
        <v>-1240.6859288600001</v>
      </c>
      <c r="S5216" s="9"/>
      <c r="T5216" s="2"/>
      <c r="U5216" s="9"/>
    </row>
    <row r="5217" spans="2:21" x14ac:dyDescent="0.35">
      <c r="B5217" s="9"/>
      <c r="C5217" s="2"/>
      <c r="D5217" s="2"/>
      <c r="I5217" s="9"/>
      <c r="J5217" s="2"/>
      <c r="L5217" s="9"/>
      <c r="M5217" s="2"/>
      <c r="N5217" s="9"/>
      <c r="P5217" s="3">
        <v>-1362.9443788599999</v>
      </c>
      <c r="S5217" s="9"/>
      <c r="T5217" s="2"/>
      <c r="U5217" s="9"/>
    </row>
    <row r="5218" spans="2:21" x14ac:dyDescent="0.35">
      <c r="B5218" s="9"/>
      <c r="C5218" s="2"/>
      <c r="D5218" s="2"/>
      <c r="I5218" s="9"/>
      <c r="J5218" s="2"/>
      <c r="L5218" s="9"/>
      <c r="M5218" s="2"/>
      <c r="N5218" s="9"/>
      <c r="P5218" s="3">
        <v>-1449.5963288600001</v>
      </c>
      <c r="S5218" s="9"/>
      <c r="T5218" s="2"/>
      <c r="U5218" s="9"/>
    </row>
    <row r="5219" spans="2:21" x14ac:dyDescent="0.35">
      <c r="B5219" s="9"/>
      <c r="C5219" s="2"/>
      <c r="D5219" s="2"/>
      <c r="I5219" s="9"/>
      <c r="J5219" s="2"/>
      <c r="L5219" s="9"/>
      <c r="M5219" s="2"/>
      <c r="N5219" s="9"/>
      <c r="P5219" s="3">
        <v>-1468.31912238</v>
      </c>
      <c r="S5219" s="9"/>
      <c r="T5219" s="2"/>
      <c r="U5219" s="9"/>
    </row>
    <row r="5220" spans="2:21" x14ac:dyDescent="0.35">
      <c r="B5220" s="9"/>
      <c r="C5220" s="2"/>
      <c r="D5220" s="2"/>
      <c r="I5220" s="9"/>
      <c r="J5220" s="2"/>
      <c r="L5220" s="9"/>
      <c r="M5220" s="2"/>
      <c r="N5220" s="9"/>
      <c r="P5220" s="3">
        <v>-1465.4330659</v>
      </c>
      <c r="S5220" s="9"/>
      <c r="T5220" s="2"/>
      <c r="U5220" s="9"/>
    </row>
    <row r="5221" spans="2:21" x14ac:dyDescent="0.35">
      <c r="B5221" s="9"/>
      <c r="C5221" s="2"/>
      <c r="D5221" s="2"/>
      <c r="I5221" s="9"/>
      <c r="J5221" s="2"/>
      <c r="L5221" s="9"/>
      <c r="M5221" s="2"/>
      <c r="N5221" s="9"/>
      <c r="P5221" s="3">
        <v>-1900.1930659</v>
      </c>
      <c r="S5221" s="9"/>
      <c r="T5221" s="2"/>
      <c r="U5221" s="9"/>
    </row>
    <row r="5222" spans="2:21" x14ac:dyDescent="0.35">
      <c r="B5222" s="9"/>
      <c r="C5222" s="2"/>
      <c r="D5222" s="2"/>
      <c r="I5222" s="9"/>
      <c r="J5222" s="2"/>
      <c r="L5222" s="9"/>
      <c r="M5222" s="2"/>
      <c r="N5222" s="9"/>
      <c r="P5222" s="3">
        <v>-2334.9530659000002</v>
      </c>
      <c r="S5222" s="9"/>
      <c r="T5222" s="2"/>
      <c r="U5222" s="9"/>
    </row>
    <row r="5223" spans="2:21" x14ac:dyDescent="0.35">
      <c r="B5223" s="9"/>
      <c r="C5223" s="2"/>
      <c r="D5223" s="2"/>
      <c r="I5223" s="9"/>
      <c r="J5223" s="2"/>
      <c r="L5223" s="9"/>
      <c r="M5223" s="2"/>
      <c r="N5223" s="9"/>
      <c r="P5223" s="3">
        <v>-2769.7130658999999</v>
      </c>
      <c r="S5223" s="9"/>
      <c r="T5223" s="2"/>
      <c r="U5223" s="9"/>
    </row>
    <row r="5224" spans="2:21" x14ac:dyDescent="0.35">
      <c r="B5224" s="9"/>
      <c r="C5224" s="2"/>
      <c r="D5224" s="2"/>
      <c r="I5224" s="9"/>
      <c r="J5224" s="2"/>
      <c r="L5224" s="9"/>
      <c r="M5224" s="2"/>
      <c r="N5224" s="9"/>
      <c r="P5224" s="3">
        <v>-2334.9530659000002</v>
      </c>
      <c r="S5224" s="9"/>
      <c r="T5224" s="2"/>
      <c r="U5224" s="9"/>
    </row>
    <row r="5225" spans="2:21" x14ac:dyDescent="0.35">
      <c r="B5225" s="9"/>
      <c r="C5225" s="2"/>
      <c r="D5225" s="2"/>
      <c r="I5225" s="9"/>
      <c r="J5225" s="2"/>
      <c r="L5225" s="9"/>
      <c r="M5225" s="2"/>
      <c r="N5225" s="9"/>
      <c r="P5225" s="3">
        <v>-1900.1930659</v>
      </c>
      <c r="S5225" s="9"/>
      <c r="T5225" s="2"/>
      <c r="U5225" s="9"/>
    </row>
    <row r="5226" spans="2:21" x14ac:dyDescent="0.35">
      <c r="B5226" s="9"/>
      <c r="C5226" s="2"/>
      <c r="D5226" s="2"/>
      <c r="I5226" s="9"/>
      <c r="J5226" s="2"/>
      <c r="L5226" s="9"/>
      <c r="M5226" s="2"/>
      <c r="N5226" s="9"/>
      <c r="P5226" s="3">
        <v>-1465.4330659</v>
      </c>
      <c r="S5226" s="9"/>
      <c r="T5226" s="2"/>
      <c r="U5226" s="9"/>
    </row>
    <row r="5227" spans="2:21" x14ac:dyDescent="0.35">
      <c r="B5227" s="9"/>
      <c r="C5227" s="2"/>
      <c r="D5227" s="2"/>
      <c r="I5227" s="9"/>
      <c r="J5227" s="2"/>
      <c r="L5227" s="9"/>
      <c r="M5227" s="2"/>
      <c r="N5227" s="9"/>
      <c r="P5227" s="3">
        <v>-1030.6730659</v>
      </c>
      <c r="S5227" s="9"/>
      <c r="T5227" s="2"/>
      <c r="U5227" s="9"/>
    </row>
    <row r="5228" spans="2:21" x14ac:dyDescent="0.35">
      <c r="B5228" s="9"/>
      <c r="C5228" s="2"/>
      <c r="D5228" s="2"/>
      <c r="I5228" s="9"/>
      <c r="J5228" s="2"/>
      <c r="L5228" s="9"/>
      <c r="M5228" s="2"/>
      <c r="N5228" s="9"/>
      <c r="P5228" s="3">
        <v>-686.36949200000004</v>
      </c>
      <c r="S5228" s="9"/>
      <c r="T5228" s="2"/>
      <c r="U5228" s="9"/>
    </row>
    <row r="5229" spans="2:21" x14ac:dyDescent="0.35">
      <c r="B5229" s="9"/>
      <c r="C5229" s="2"/>
      <c r="D5229" s="2"/>
      <c r="I5229" s="9"/>
      <c r="J5229" s="2"/>
      <c r="L5229" s="9"/>
      <c r="M5229" s="2"/>
      <c r="N5229" s="9"/>
      <c r="P5229" s="3">
        <v>-1121.129492</v>
      </c>
      <c r="S5229" s="9"/>
      <c r="T5229" s="2"/>
      <c r="U5229" s="9"/>
    </row>
    <row r="5230" spans="2:21" x14ac:dyDescent="0.35">
      <c r="B5230" s="9"/>
      <c r="C5230" s="2"/>
      <c r="D5230" s="2"/>
      <c r="I5230" s="9"/>
      <c r="J5230" s="2"/>
      <c r="L5230" s="9"/>
      <c r="M5230" s="2"/>
      <c r="N5230" s="9"/>
      <c r="P5230" s="3">
        <v>-1555.889492</v>
      </c>
      <c r="S5230" s="9"/>
      <c r="T5230" s="2"/>
      <c r="U5230" s="9"/>
    </row>
    <row r="5231" spans="2:21" x14ac:dyDescent="0.35">
      <c r="B5231" s="9"/>
      <c r="C5231" s="2"/>
      <c r="D5231" s="2"/>
      <c r="I5231" s="9"/>
      <c r="J5231" s="2"/>
      <c r="L5231" s="9"/>
      <c r="M5231" s="2"/>
      <c r="N5231" s="9"/>
      <c r="P5231" s="3">
        <v>-1990.649492</v>
      </c>
      <c r="S5231" s="9"/>
      <c r="T5231" s="2"/>
      <c r="U5231" s="9"/>
    </row>
    <row r="5232" spans="2:21" x14ac:dyDescent="0.35">
      <c r="B5232" s="9"/>
      <c r="C5232" s="2"/>
      <c r="D5232" s="2"/>
      <c r="I5232" s="9"/>
      <c r="J5232" s="2"/>
      <c r="L5232" s="9"/>
      <c r="M5232" s="2"/>
      <c r="N5232" s="9"/>
      <c r="P5232" s="3">
        <v>-2425.4094919999998</v>
      </c>
      <c r="S5232" s="9"/>
      <c r="T5232" s="2"/>
      <c r="U5232" s="9"/>
    </row>
    <row r="5233" spans="2:21" x14ac:dyDescent="0.35">
      <c r="B5233" s="9"/>
      <c r="C5233" s="2"/>
      <c r="D5233" s="2"/>
      <c r="I5233" s="9"/>
      <c r="J5233" s="2"/>
      <c r="L5233" s="9"/>
      <c r="M5233" s="2"/>
      <c r="N5233" s="9"/>
      <c r="P5233" s="3">
        <v>-2860.169492</v>
      </c>
      <c r="S5233" s="9"/>
      <c r="T5233" s="2"/>
      <c r="U5233" s="9"/>
    </row>
    <row r="5234" spans="2:21" x14ac:dyDescent="0.35">
      <c r="B5234" s="9"/>
      <c r="C5234" s="2"/>
      <c r="D5234" s="2"/>
      <c r="I5234" s="9"/>
      <c r="J5234" s="2"/>
      <c r="L5234" s="9"/>
      <c r="M5234" s="2"/>
      <c r="N5234" s="9"/>
      <c r="P5234" s="3">
        <v>-2860.169492</v>
      </c>
      <c r="S5234" s="9"/>
      <c r="T5234" s="2"/>
      <c r="U5234" s="9"/>
    </row>
    <row r="5235" spans="2:21" x14ac:dyDescent="0.35">
      <c r="B5235" s="9"/>
      <c r="C5235" s="2"/>
      <c r="D5235" s="2"/>
      <c r="I5235" s="9"/>
      <c r="J5235" s="2"/>
      <c r="L5235" s="9"/>
      <c r="M5235" s="2"/>
      <c r="N5235" s="9"/>
      <c r="P5235" s="3">
        <v>-2860.169492</v>
      </c>
      <c r="S5235" s="9"/>
      <c r="T5235" s="2"/>
      <c r="U5235" s="9"/>
    </row>
    <row r="5236" spans="2:21" x14ac:dyDescent="0.35">
      <c r="B5236" s="9"/>
      <c r="C5236" s="2"/>
      <c r="D5236" s="2"/>
      <c r="I5236" s="9"/>
      <c r="J5236" s="2"/>
      <c r="L5236" s="9"/>
      <c r="M5236" s="2"/>
      <c r="N5236" s="9"/>
      <c r="P5236" s="3">
        <v>-2860.169492</v>
      </c>
      <c r="S5236" s="9"/>
      <c r="T5236" s="2"/>
      <c r="U5236" s="9"/>
    </row>
    <row r="5237" spans="2:21" x14ac:dyDescent="0.35">
      <c r="B5237" s="9"/>
      <c r="C5237" s="2"/>
      <c r="D5237" s="2"/>
      <c r="I5237" s="9"/>
      <c r="J5237" s="2"/>
      <c r="L5237" s="9"/>
      <c r="M5237" s="2"/>
      <c r="N5237" s="9"/>
      <c r="P5237" s="3">
        <v>-2860.169492</v>
      </c>
      <c r="S5237" s="9"/>
      <c r="T5237" s="2"/>
      <c r="U5237" s="9"/>
    </row>
    <row r="5238" spans="2:21" x14ac:dyDescent="0.35">
      <c r="B5238" s="9"/>
      <c r="C5238" s="2"/>
      <c r="D5238" s="2"/>
      <c r="I5238" s="9"/>
      <c r="J5238" s="2"/>
      <c r="L5238" s="9"/>
      <c r="M5238" s="2"/>
      <c r="N5238" s="9"/>
      <c r="P5238" s="3">
        <v>-2860.169492</v>
      </c>
      <c r="S5238" s="9"/>
      <c r="T5238" s="2"/>
      <c r="U5238" s="9"/>
    </row>
    <row r="5239" spans="2:21" x14ac:dyDescent="0.35">
      <c r="B5239" s="9"/>
      <c r="C5239" s="2"/>
      <c r="D5239" s="2"/>
      <c r="I5239" s="9"/>
      <c r="J5239" s="2"/>
      <c r="L5239" s="9"/>
      <c r="M5239" s="2"/>
      <c r="N5239" s="9"/>
      <c r="P5239" s="3">
        <v>-2860.169492</v>
      </c>
      <c r="S5239" s="9"/>
      <c r="T5239" s="2"/>
      <c r="U5239" s="9"/>
    </row>
    <row r="5240" spans="2:21" x14ac:dyDescent="0.35">
      <c r="B5240" s="9"/>
      <c r="C5240" s="2"/>
      <c r="D5240" s="2"/>
      <c r="I5240" s="9"/>
      <c r="J5240" s="2"/>
      <c r="L5240" s="9"/>
      <c r="M5240" s="2"/>
      <c r="N5240" s="9"/>
      <c r="P5240" s="3">
        <v>-2860.169492</v>
      </c>
      <c r="S5240" s="9"/>
      <c r="T5240" s="2"/>
      <c r="U5240" s="9"/>
    </row>
    <row r="5241" spans="2:21" x14ac:dyDescent="0.35">
      <c r="B5241" s="9"/>
      <c r="C5241" s="2"/>
      <c r="D5241" s="2"/>
      <c r="I5241" s="9"/>
      <c r="J5241" s="2"/>
      <c r="L5241" s="9"/>
      <c r="M5241" s="2"/>
      <c r="N5241" s="9"/>
      <c r="P5241" s="3">
        <v>-2860.169492</v>
      </c>
      <c r="S5241" s="9"/>
      <c r="T5241" s="2"/>
      <c r="U5241" s="9"/>
    </row>
    <row r="5242" spans="2:21" x14ac:dyDescent="0.35">
      <c r="B5242" s="9"/>
      <c r="C5242" s="2"/>
      <c r="D5242" s="2"/>
      <c r="I5242" s="9"/>
      <c r="J5242" s="2"/>
      <c r="L5242" s="9"/>
      <c r="M5242" s="2"/>
      <c r="N5242" s="9"/>
      <c r="P5242" s="3">
        <v>-2860.169492</v>
      </c>
      <c r="S5242" s="9"/>
      <c r="T5242" s="2"/>
      <c r="U5242" s="9"/>
    </row>
    <row r="5243" spans="2:21" x14ac:dyDescent="0.35">
      <c r="B5243" s="9"/>
      <c r="C5243" s="2"/>
      <c r="D5243" s="2"/>
      <c r="I5243" s="9"/>
      <c r="J5243" s="2"/>
      <c r="L5243" s="9"/>
      <c r="M5243" s="2"/>
      <c r="N5243" s="9"/>
      <c r="P5243" s="3">
        <v>-2860.169492</v>
      </c>
      <c r="S5243" s="9"/>
      <c r="T5243" s="2"/>
      <c r="U5243" s="9"/>
    </row>
    <row r="5244" spans="2:21" x14ac:dyDescent="0.35">
      <c r="B5244" s="9"/>
      <c r="C5244" s="2"/>
      <c r="D5244" s="2"/>
      <c r="I5244" s="9"/>
      <c r="J5244" s="2"/>
      <c r="L5244" s="9"/>
      <c r="M5244" s="2"/>
      <c r="N5244" s="9"/>
      <c r="P5244" s="3">
        <v>-2860.169492</v>
      </c>
      <c r="S5244" s="9"/>
      <c r="T5244" s="2"/>
      <c r="U5244" s="9"/>
    </row>
    <row r="5245" spans="2:21" x14ac:dyDescent="0.35">
      <c r="B5245" s="9"/>
      <c r="C5245" s="2"/>
      <c r="D5245" s="2"/>
      <c r="I5245" s="9"/>
      <c r="J5245" s="2"/>
      <c r="L5245" s="9"/>
      <c r="M5245" s="2"/>
      <c r="N5245" s="9"/>
      <c r="P5245" s="3">
        <v>-2860.169492</v>
      </c>
      <c r="S5245" s="9"/>
      <c r="T5245" s="2"/>
      <c r="U5245" s="9"/>
    </row>
    <row r="5246" spans="2:21" x14ac:dyDescent="0.35">
      <c r="B5246" s="9"/>
      <c r="C5246" s="2"/>
      <c r="D5246" s="2"/>
      <c r="I5246" s="9"/>
      <c r="J5246" s="2"/>
      <c r="L5246" s="9"/>
      <c r="M5246" s="2"/>
      <c r="N5246" s="9"/>
      <c r="P5246" s="3">
        <v>-2860.169492</v>
      </c>
      <c r="S5246" s="9"/>
      <c r="T5246" s="2"/>
      <c r="U5246" s="9"/>
    </row>
    <row r="5247" spans="2:21" x14ac:dyDescent="0.35">
      <c r="B5247" s="9"/>
      <c r="C5247" s="2"/>
      <c r="D5247" s="2"/>
      <c r="I5247" s="9"/>
      <c r="J5247" s="2"/>
      <c r="L5247" s="9"/>
      <c r="M5247" s="2"/>
      <c r="N5247" s="9"/>
      <c r="P5247" s="3">
        <v>-2761.4537083599998</v>
      </c>
      <c r="S5247" s="9"/>
      <c r="T5247" s="2"/>
      <c r="U5247" s="9"/>
    </row>
    <row r="5248" spans="2:21" x14ac:dyDescent="0.35">
      <c r="B5248" s="9"/>
      <c r="C5248" s="2"/>
      <c r="D5248" s="2"/>
      <c r="I5248" s="9"/>
      <c r="J5248" s="2"/>
      <c r="L5248" s="9"/>
      <c r="M5248" s="2"/>
      <c r="N5248" s="9"/>
      <c r="P5248" s="3">
        <v>-2326.6937083600001</v>
      </c>
      <c r="S5248" s="9"/>
      <c r="T5248" s="2"/>
      <c r="U5248" s="9"/>
    </row>
    <row r="5249" spans="2:21" x14ac:dyDescent="0.35">
      <c r="B5249" s="9"/>
      <c r="C5249" s="2"/>
      <c r="D5249" s="2"/>
      <c r="I5249" s="9"/>
      <c r="J5249" s="2"/>
      <c r="L5249" s="9"/>
      <c r="M5249" s="2"/>
      <c r="N5249" s="9"/>
      <c r="P5249" s="3">
        <v>-1891.9337083600001</v>
      </c>
      <c r="S5249" s="9"/>
      <c r="T5249" s="2"/>
      <c r="U5249" s="9"/>
    </row>
    <row r="5250" spans="2:21" x14ac:dyDescent="0.35">
      <c r="B5250" s="9"/>
      <c r="C5250" s="2"/>
      <c r="D5250" s="2"/>
      <c r="I5250" s="9"/>
      <c r="J5250" s="2"/>
      <c r="L5250" s="9"/>
      <c r="M5250" s="2"/>
      <c r="N5250" s="9"/>
      <c r="P5250" s="3">
        <v>-1457.1737083600001</v>
      </c>
      <c r="S5250" s="9"/>
      <c r="T5250" s="2"/>
      <c r="U5250" s="9"/>
    </row>
    <row r="5251" spans="2:21" x14ac:dyDescent="0.35">
      <c r="B5251" s="9"/>
      <c r="C5251" s="2"/>
      <c r="D5251" s="2"/>
      <c r="I5251" s="9"/>
      <c r="J5251" s="2"/>
      <c r="L5251" s="9"/>
      <c r="M5251" s="2"/>
      <c r="N5251" s="9"/>
      <c r="P5251" s="3">
        <v>-1022.41370836</v>
      </c>
      <c r="S5251" s="9"/>
      <c r="T5251" s="2"/>
      <c r="U5251" s="9"/>
    </row>
    <row r="5252" spans="2:21" x14ac:dyDescent="0.35">
      <c r="B5252" s="9"/>
      <c r="C5252" s="2"/>
      <c r="D5252" s="2"/>
      <c r="I5252" s="9"/>
      <c r="J5252" s="2"/>
      <c r="L5252" s="9"/>
      <c r="M5252" s="2"/>
      <c r="N5252" s="9"/>
      <c r="P5252" s="3">
        <v>-686.36949200000004</v>
      </c>
      <c r="S5252" s="9"/>
      <c r="T5252" s="2"/>
      <c r="U5252" s="9"/>
    </row>
    <row r="5253" spans="2:21" x14ac:dyDescent="0.35">
      <c r="B5253" s="9"/>
      <c r="C5253" s="2"/>
      <c r="D5253" s="2"/>
      <c r="I5253" s="9"/>
      <c r="J5253" s="2"/>
      <c r="L5253" s="9"/>
      <c r="M5253" s="2"/>
      <c r="N5253" s="9"/>
      <c r="P5253" s="3">
        <v>-1121.129492</v>
      </c>
      <c r="S5253" s="9"/>
      <c r="T5253" s="2"/>
      <c r="U5253" s="9"/>
    </row>
    <row r="5254" spans="2:21" x14ac:dyDescent="0.35">
      <c r="B5254" s="9"/>
      <c r="C5254" s="2"/>
      <c r="D5254" s="2"/>
      <c r="I5254" s="9"/>
      <c r="J5254" s="2"/>
      <c r="L5254" s="9"/>
      <c r="M5254" s="2"/>
      <c r="N5254" s="9"/>
      <c r="P5254" s="3">
        <v>-1555.889492</v>
      </c>
      <c r="S5254" s="9"/>
      <c r="T5254" s="2"/>
      <c r="U5254" s="9"/>
    </row>
    <row r="5255" spans="2:21" x14ac:dyDescent="0.35">
      <c r="B5255" s="9"/>
      <c r="C5255" s="2"/>
      <c r="D5255" s="2"/>
      <c r="I5255" s="9"/>
      <c r="J5255" s="2"/>
      <c r="L5255" s="9"/>
      <c r="M5255" s="2"/>
      <c r="N5255" s="9"/>
      <c r="P5255" s="3">
        <v>-1990.649492</v>
      </c>
      <c r="S5255" s="9"/>
      <c r="T5255" s="2"/>
      <c r="U5255" s="9"/>
    </row>
    <row r="5256" spans="2:21" x14ac:dyDescent="0.35">
      <c r="B5256" s="9"/>
      <c r="C5256" s="2"/>
      <c r="D5256" s="2"/>
      <c r="I5256" s="9"/>
      <c r="J5256" s="2"/>
      <c r="L5256" s="9"/>
      <c r="M5256" s="2"/>
      <c r="N5256" s="9"/>
      <c r="P5256" s="3">
        <v>-2425.4094919999998</v>
      </c>
      <c r="S5256" s="9"/>
      <c r="T5256" s="2"/>
      <c r="U5256" s="9"/>
    </row>
    <row r="5257" spans="2:21" x14ac:dyDescent="0.35">
      <c r="B5257" s="9"/>
      <c r="C5257" s="2"/>
      <c r="D5257" s="2"/>
      <c r="I5257" s="9"/>
      <c r="J5257" s="2"/>
      <c r="L5257" s="9"/>
      <c r="M5257" s="2"/>
      <c r="N5257" s="9"/>
      <c r="P5257" s="3">
        <v>-2860.169492</v>
      </c>
      <c r="S5257" s="9"/>
      <c r="T5257" s="2"/>
      <c r="U5257" s="9"/>
    </row>
    <row r="5258" spans="2:21" x14ac:dyDescent="0.35">
      <c r="B5258" s="9"/>
      <c r="C5258" s="2"/>
      <c r="D5258" s="2"/>
      <c r="I5258" s="9"/>
      <c r="J5258" s="2"/>
      <c r="L5258" s="9"/>
      <c r="M5258" s="2"/>
      <c r="N5258" s="9"/>
      <c r="P5258" s="3">
        <v>-2860.169492</v>
      </c>
      <c r="S5258" s="9"/>
      <c r="T5258" s="2"/>
      <c r="U5258" s="9"/>
    </row>
    <row r="5259" spans="2:21" x14ac:dyDescent="0.35">
      <c r="B5259" s="9"/>
      <c r="C5259" s="2"/>
      <c r="D5259" s="2"/>
      <c r="I5259" s="9"/>
      <c r="J5259" s="2"/>
      <c r="L5259" s="9"/>
      <c r="M5259" s="2"/>
      <c r="N5259" s="9"/>
      <c r="P5259" s="3">
        <v>-2860.169492</v>
      </c>
      <c r="S5259" s="9"/>
      <c r="T5259" s="2"/>
      <c r="U5259" s="9"/>
    </row>
    <row r="5260" spans="2:21" x14ac:dyDescent="0.35">
      <c r="B5260" s="9"/>
      <c r="C5260" s="2"/>
      <c r="D5260" s="2"/>
      <c r="I5260" s="9"/>
      <c r="J5260" s="2"/>
      <c r="L5260" s="9"/>
      <c r="M5260" s="2"/>
      <c r="N5260" s="9"/>
      <c r="P5260" s="3">
        <v>-2860.169492</v>
      </c>
      <c r="S5260" s="9"/>
      <c r="T5260" s="2"/>
      <c r="U5260" s="9"/>
    </row>
    <row r="5261" spans="2:21" x14ac:dyDescent="0.35">
      <c r="B5261" s="9"/>
      <c r="C5261" s="2"/>
      <c r="D5261" s="2"/>
      <c r="I5261" s="9"/>
      <c r="J5261" s="2"/>
      <c r="L5261" s="9"/>
      <c r="M5261" s="2"/>
      <c r="N5261" s="9"/>
      <c r="P5261" s="3">
        <v>-2860.169492</v>
      </c>
      <c r="S5261" s="9"/>
      <c r="T5261" s="2"/>
      <c r="U5261" s="9"/>
    </row>
    <row r="5262" spans="2:21" x14ac:dyDescent="0.35">
      <c r="B5262" s="9"/>
      <c r="C5262" s="2"/>
      <c r="D5262" s="2"/>
      <c r="I5262" s="9"/>
      <c r="J5262" s="2"/>
      <c r="L5262" s="9"/>
      <c r="M5262" s="2"/>
      <c r="N5262" s="9"/>
      <c r="P5262" s="3">
        <v>-2860.169492</v>
      </c>
      <c r="S5262" s="9"/>
      <c r="T5262" s="2"/>
      <c r="U5262" s="9"/>
    </row>
    <row r="5263" spans="2:21" x14ac:dyDescent="0.35">
      <c r="B5263" s="9"/>
      <c r="C5263" s="2"/>
      <c r="D5263" s="2"/>
      <c r="I5263" s="9"/>
      <c r="J5263" s="2"/>
      <c r="L5263" s="9"/>
      <c r="M5263" s="2"/>
      <c r="N5263" s="9"/>
      <c r="P5263" s="3">
        <v>-2860.169492</v>
      </c>
      <c r="S5263" s="9"/>
      <c r="T5263" s="2"/>
      <c r="U5263" s="9"/>
    </row>
    <row r="5264" spans="2:21" x14ac:dyDescent="0.35">
      <c r="B5264" s="9"/>
      <c r="C5264" s="2"/>
      <c r="D5264" s="2"/>
      <c r="I5264" s="9"/>
      <c r="J5264" s="2"/>
      <c r="L5264" s="9"/>
      <c r="M5264" s="2"/>
      <c r="N5264" s="9"/>
      <c r="P5264" s="3">
        <v>-2860.169492</v>
      </c>
      <c r="S5264" s="9"/>
      <c r="T5264" s="2"/>
      <c r="U5264" s="9"/>
    </row>
    <row r="5265" spans="2:21" x14ac:dyDescent="0.35">
      <c r="B5265" s="9"/>
      <c r="C5265" s="2"/>
      <c r="D5265" s="2"/>
      <c r="I5265" s="9"/>
      <c r="J5265" s="2"/>
      <c r="L5265" s="9"/>
      <c r="M5265" s="2"/>
      <c r="N5265" s="9"/>
      <c r="P5265" s="3">
        <v>-2860.169492</v>
      </c>
      <c r="S5265" s="9"/>
      <c r="T5265" s="2"/>
      <c r="U5265" s="9"/>
    </row>
    <row r="5266" spans="2:21" x14ac:dyDescent="0.35">
      <c r="B5266" s="9"/>
      <c r="C5266" s="2"/>
      <c r="D5266" s="2"/>
      <c r="I5266" s="9"/>
      <c r="J5266" s="2"/>
      <c r="L5266" s="9"/>
      <c r="M5266" s="2"/>
      <c r="N5266" s="9"/>
      <c r="P5266" s="3">
        <v>-2860.169492</v>
      </c>
      <c r="S5266" s="9"/>
      <c r="T5266" s="2"/>
      <c r="U5266" s="9"/>
    </row>
    <row r="5267" spans="2:21" x14ac:dyDescent="0.35">
      <c r="B5267" s="9"/>
      <c r="C5267" s="2"/>
      <c r="D5267" s="2"/>
      <c r="I5267" s="9"/>
      <c r="J5267" s="2"/>
      <c r="L5267" s="9"/>
      <c r="M5267" s="2"/>
      <c r="N5267" s="9"/>
      <c r="P5267" s="3">
        <v>-2860.169492</v>
      </c>
      <c r="S5267" s="9"/>
      <c r="T5267" s="2"/>
      <c r="U5267" s="9"/>
    </row>
    <row r="5268" spans="2:21" x14ac:dyDescent="0.35">
      <c r="B5268" s="9"/>
      <c r="C5268" s="2"/>
      <c r="D5268" s="2"/>
      <c r="I5268" s="9"/>
      <c r="J5268" s="2"/>
      <c r="L5268" s="9"/>
      <c r="M5268" s="2"/>
      <c r="N5268" s="9"/>
      <c r="P5268" s="3">
        <v>-2860.169492</v>
      </c>
      <c r="S5268" s="9"/>
      <c r="T5268" s="2"/>
      <c r="U5268" s="9"/>
    </row>
    <row r="5269" spans="2:21" x14ac:dyDescent="0.35">
      <c r="B5269" s="9"/>
      <c r="C5269" s="2"/>
      <c r="D5269" s="2"/>
      <c r="I5269" s="9"/>
      <c r="J5269" s="2"/>
      <c r="L5269" s="9"/>
      <c r="M5269" s="2"/>
      <c r="N5269" s="9"/>
      <c r="P5269" s="3">
        <v>-2860.169492</v>
      </c>
      <c r="S5269" s="9"/>
      <c r="T5269" s="2"/>
      <c r="U5269" s="9"/>
    </row>
    <row r="5270" spans="2:21" x14ac:dyDescent="0.35">
      <c r="B5270" s="9"/>
      <c r="C5270" s="2"/>
      <c r="D5270" s="2"/>
      <c r="I5270" s="9"/>
      <c r="J5270" s="2"/>
      <c r="L5270" s="9"/>
      <c r="M5270" s="2"/>
      <c r="N5270" s="9"/>
      <c r="P5270" s="3">
        <v>-2425.4094919999998</v>
      </c>
      <c r="S5270" s="9"/>
      <c r="T5270" s="2"/>
      <c r="U5270" s="9"/>
    </row>
    <row r="5271" spans="2:21" x14ac:dyDescent="0.35">
      <c r="B5271" s="9"/>
      <c r="C5271" s="2"/>
      <c r="D5271" s="2"/>
      <c r="I5271" s="9"/>
      <c r="J5271" s="2"/>
      <c r="L5271" s="9"/>
      <c r="M5271" s="2"/>
      <c r="N5271" s="9"/>
      <c r="P5271" s="3">
        <v>-1990.649492</v>
      </c>
      <c r="S5271" s="9"/>
      <c r="T5271" s="2"/>
      <c r="U5271" s="9"/>
    </row>
    <row r="5272" spans="2:21" x14ac:dyDescent="0.35">
      <c r="B5272" s="9"/>
      <c r="C5272" s="2"/>
      <c r="D5272" s="2"/>
      <c r="I5272" s="9"/>
      <c r="J5272" s="2"/>
      <c r="L5272" s="9"/>
      <c r="M5272" s="2"/>
      <c r="N5272" s="9"/>
      <c r="P5272" s="3">
        <v>-1555.889492</v>
      </c>
      <c r="S5272" s="9"/>
      <c r="T5272" s="2"/>
      <c r="U5272" s="9"/>
    </row>
    <row r="5273" spans="2:21" x14ac:dyDescent="0.35">
      <c r="B5273" s="9"/>
      <c r="C5273" s="2"/>
      <c r="D5273" s="2"/>
      <c r="I5273" s="9"/>
      <c r="J5273" s="2"/>
      <c r="L5273" s="9"/>
      <c r="M5273" s="2"/>
      <c r="N5273" s="9"/>
      <c r="P5273" s="3">
        <v>-1121.129492</v>
      </c>
      <c r="S5273" s="9"/>
      <c r="T5273" s="2"/>
      <c r="U5273" s="9"/>
    </row>
    <row r="5274" spans="2:21" x14ac:dyDescent="0.35">
      <c r="B5274" s="9"/>
      <c r="C5274" s="2"/>
      <c r="D5274" s="2"/>
      <c r="I5274" s="9"/>
      <c r="J5274" s="2"/>
      <c r="L5274" s="9"/>
      <c r="M5274" s="2"/>
      <c r="N5274" s="9"/>
      <c r="P5274" s="3">
        <v>-686.36949200000004</v>
      </c>
      <c r="S5274" s="9"/>
      <c r="T5274" s="2"/>
      <c r="U5274" s="9"/>
    </row>
    <row r="5275" spans="2:21" x14ac:dyDescent="0.35">
      <c r="B5275" s="9"/>
      <c r="C5275" s="2"/>
      <c r="D5275" s="2"/>
      <c r="I5275" s="9"/>
      <c r="J5275" s="2"/>
      <c r="L5275" s="9"/>
      <c r="M5275" s="2"/>
      <c r="N5275" s="9"/>
      <c r="P5275" s="3">
        <v>-251.60949199999999</v>
      </c>
      <c r="S5275" s="9"/>
      <c r="T5275" s="2"/>
      <c r="U5275" s="9"/>
    </row>
    <row r="5276" spans="2:21" x14ac:dyDescent="0.35">
      <c r="B5276" s="9"/>
      <c r="C5276" s="2"/>
      <c r="D5276" s="2"/>
      <c r="I5276" s="9"/>
      <c r="J5276" s="2"/>
      <c r="L5276" s="9"/>
      <c r="M5276" s="2"/>
      <c r="N5276" s="9"/>
      <c r="P5276" s="3">
        <v>-686.36949200000004</v>
      </c>
      <c r="S5276" s="9"/>
      <c r="T5276" s="2"/>
      <c r="U5276" s="9"/>
    </row>
    <row r="5277" spans="2:21" x14ac:dyDescent="0.35">
      <c r="B5277" s="9"/>
      <c r="C5277" s="2"/>
      <c r="D5277" s="2"/>
      <c r="I5277" s="9"/>
      <c r="J5277" s="2"/>
      <c r="L5277" s="9"/>
      <c r="M5277" s="2"/>
      <c r="N5277" s="9"/>
      <c r="P5277" s="3">
        <v>-1121.129492</v>
      </c>
      <c r="S5277" s="9"/>
      <c r="T5277" s="2"/>
      <c r="U5277" s="9"/>
    </row>
    <row r="5278" spans="2:21" x14ac:dyDescent="0.35">
      <c r="B5278" s="9"/>
      <c r="C5278" s="2"/>
      <c r="D5278" s="2"/>
      <c r="I5278" s="9"/>
      <c r="J5278" s="2"/>
      <c r="L5278" s="9"/>
      <c r="M5278" s="2"/>
      <c r="N5278" s="9"/>
      <c r="P5278" s="3">
        <v>-1555.889492</v>
      </c>
      <c r="S5278" s="9"/>
      <c r="T5278" s="2"/>
      <c r="U5278" s="9"/>
    </row>
    <row r="5279" spans="2:21" x14ac:dyDescent="0.35">
      <c r="B5279" s="9"/>
      <c r="C5279" s="2"/>
      <c r="D5279" s="2"/>
      <c r="I5279" s="9"/>
      <c r="J5279" s="2"/>
      <c r="L5279" s="9"/>
      <c r="M5279" s="2"/>
      <c r="N5279" s="9"/>
      <c r="P5279" s="3">
        <v>-1990.649492</v>
      </c>
      <c r="S5279" s="9"/>
      <c r="T5279" s="2"/>
      <c r="U5279" s="9"/>
    </row>
    <row r="5280" spans="2:21" x14ac:dyDescent="0.35">
      <c r="B5280" s="9"/>
      <c r="C5280" s="2"/>
      <c r="D5280" s="2"/>
      <c r="I5280" s="9"/>
      <c r="J5280" s="2"/>
      <c r="L5280" s="9"/>
      <c r="M5280" s="2"/>
      <c r="N5280" s="9"/>
      <c r="P5280" s="3">
        <v>-2425.4094919999998</v>
      </c>
      <c r="S5280" s="9"/>
      <c r="T5280" s="2"/>
      <c r="U5280" s="9"/>
    </row>
    <row r="5281" spans="2:21" x14ac:dyDescent="0.35">
      <c r="B5281" s="9"/>
      <c r="C5281" s="2"/>
      <c r="D5281" s="2"/>
      <c r="I5281" s="9"/>
      <c r="J5281" s="2"/>
      <c r="L5281" s="9"/>
      <c r="M5281" s="2"/>
      <c r="N5281" s="9"/>
      <c r="P5281" s="3">
        <v>-2860.169492</v>
      </c>
      <c r="S5281" s="9"/>
      <c r="T5281" s="2"/>
      <c r="U5281" s="9"/>
    </row>
    <row r="5282" spans="2:21" x14ac:dyDescent="0.35">
      <c r="B5282" s="9"/>
      <c r="C5282" s="2"/>
      <c r="D5282" s="2"/>
      <c r="I5282" s="9"/>
      <c r="J5282" s="2"/>
      <c r="L5282" s="9"/>
      <c r="M5282" s="2"/>
      <c r="N5282" s="9"/>
      <c r="P5282" s="3">
        <v>-2860.169492</v>
      </c>
      <c r="S5282" s="9"/>
      <c r="T5282" s="2"/>
      <c r="U5282" s="9"/>
    </row>
    <row r="5283" spans="2:21" x14ac:dyDescent="0.35">
      <c r="B5283" s="9"/>
      <c r="C5283" s="2"/>
      <c r="D5283" s="2"/>
      <c r="I5283" s="9"/>
      <c r="J5283" s="2"/>
      <c r="L5283" s="9"/>
      <c r="M5283" s="2"/>
      <c r="N5283" s="9"/>
      <c r="P5283" s="3">
        <v>-2860.169492</v>
      </c>
      <c r="S5283" s="9"/>
      <c r="T5283" s="2"/>
      <c r="U5283" s="9"/>
    </row>
    <row r="5284" spans="2:21" x14ac:dyDescent="0.35">
      <c r="B5284" s="9"/>
      <c r="C5284" s="2"/>
      <c r="D5284" s="2"/>
      <c r="I5284" s="9"/>
      <c r="J5284" s="2"/>
      <c r="L5284" s="9"/>
      <c r="M5284" s="2"/>
      <c r="N5284" s="9"/>
      <c r="P5284" s="3">
        <v>-2860.169492</v>
      </c>
      <c r="S5284" s="9"/>
      <c r="T5284" s="2"/>
      <c r="U5284" s="9"/>
    </row>
    <row r="5285" spans="2:21" x14ac:dyDescent="0.35">
      <c r="B5285" s="9"/>
      <c r="C5285" s="2"/>
      <c r="D5285" s="2"/>
      <c r="I5285" s="9"/>
      <c r="J5285" s="2"/>
      <c r="L5285" s="9"/>
      <c r="M5285" s="2"/>
      <c r="N5285" s="9"/>
      <c r="P5285" s="3">
        <v>-2860.169492</v>
      </c>
      <c r="S5285" s="9"/>
      <c r="T5285" s="2"/>
      <c r="U5285" s="9"/>
    </row>
    <row r="5286" spans="2:21" x14ac:dyDescent="0.35">
      <c r="B5286" s="9"/>
      <c r="C5286" s="2"/>
      <c r="D5286" s="2"/>
      <c r="I5286" s="9"/>
      <c r="J5286" s="2"/>
      <c r="L5286" s="9"/>
      <c r="M5286" s="2"/>
      <c r="N5286" s="9"/>
      <c r="P5286" s="3">
        <v>-2860.169492</v>
      </c>
      <c r="S5286" s="9"/>
      <c r="T5286" s="2"/>
      <c r="U5286" s="9"/>
    </row>
    <row r="5287" spans="2:21" x14ac:dyDescent="0.35">
      <c r="B5287" s="9"/>
      <c r="C5287" s="2"/>
      <c r="D5287" s="2"/>
      <c r="I5287" s="9"/>
      <c r="J5287" s="2"/>
      <c r="L5287" s="9"/>
      <c r="M5287" s="2"/>
      <c r="N5287" s="9"/>
      <c r="P5287" s="3">
        <v>-2860.169492</v>
      </c>
      <c r="S5287" s="9"/>
      <c r="T5287" s="2"/>
      <c r="U5287" s="9"/>
    </row>
    <row r="5288" spans="2:21" x14ac:dyDescent="0.35">
      <c r="B5288" s="9"/>
      <c r="C5288" s="2"/>
      <c r="D5288" s="2"/>
      <c r="I5288" s="9"/>
      <c r="J5288" s="2"/>
      <c r="L5288" s="9"/>
      <c r="M5288" s="2"/>
      <c r="N5288" s="9"/>
      <c r="P5288" s="3">
        <v>-2860.169492</v>
      </c>
      <c r="S5288" s="9"/>
      <c r="T5288" s="2"/>
      <c r="U5288" s="9"/>
    </row>
    <row r="5289" spans="2:21" x14ac:dyDescent="0.35">
      <c r="B5289" s="9"/>
      <c r="C5289" s="2"/>
      <c r="D5289" s="2"/>
      <c r="I5289" s="9"/>
      <c r="J5289" s="2"/>
      <c r="L5289" s="9"/>
      <c r="M5289" s="2"/>
      <c r="N5289" s="9"/>
      <c r="P5289" s="3">
        <v>-2554.3118459000002</v>
      </c>
      <c r="S5289" s="9"/>
      <c r="T5289" s="2"/>
      <c r="U5289" s="9"/>
    </row>
    <row r="5290" spans="2:21" x14ac:dyDescent="0.35">
      <c r="B5290" s="9"/>
      <c r="C5290" s="2"/>
      <c r="D5290" s="2"/>
      <c r="I5290" s="9"/>
      <c r="J5290" s="2"/>
      <c r="L5290" s="9"/>
      <c r="M5290" s="2"/>
      <c r="N5290" s="9"/>
      <c r="P5290" s="3">
        <v>-2119.5518459</v>
      </c>
      <c r="S5290" s="9"/>
      <c r="T5290" s="2"/>
      <c r="U5290" s="9"/>
    </row>
    <row r="5291" spans="2:21" x14ac:dyDescent="0.35">
      <c r="B5291" s="9"/>
      <c r="C5291" s="2"/>
      <c r="D5291" s="2"/>
      <c r="I5291" s="9"/>
      <c r="J5291" s="2"/>
      <c r="L5291" s="9"/>
      <c r="M5291" s="2"/>
      <c r="N5291" s="9"/>
      <c r="P5291" s="3">
        <v>-1684.7918459</v>
      </c>
      <c r="S5291" s="9"/>
      <c r="T5291" s="2"/>
      <c r="U5291" s="9"/>
    </row>
    <row r="5292" spans="2:21" x14ac:dyDescent="0.35">
      <c r="B5292" s="9"/>
      <c r="C5292" s="2"/>
      <c r="D5292" s="2"/>
      <c r="I5292" s="9"/>
      <c r="J5292" s="2"/>
      <c r="L5292" s="9"/>
      <c r="M5292" s="2"/>
      <c r="N5292" s="9"/>
      <c r="P5292" s="3">
        <v>-1250.0318459</v>
      </c>
      <c r="S5292" s="9"/>
      <c r="T5292" s="2"/>
      <c r="U5292" s="9"/>
    </row>
    <row r="5293" spans="2:21" x14ac:dyDescent="0.35">
      <c r="B5293" s="9"/>
      <c r="C5293" s="2"/>
      <c r="D5293" s="2"/>
      <c r="I5293" s="9"/>
      <c r="J5293" s="2"/>
      <c r="L5293" s="9"/>
      <c r="M5293" s="2"/>
      <c r="N5293" s="9"/>
      <c r="P5293" s="3">
        <v>-1326.1030534500001</v>
      </c>
      <c r="S5293" s="9"/>
      <c r="T5293" s="2"/>
      <c r="U5293" s="9"/>
    </row>
    <row r="5294" spans="2:21" x14ac:dyDescent="0.35">
      <c r="B5294" s="9"/>
      <c r="C5294" s="2"/>
      <c r="D5294" s="2"/>
      <c r="I5294" s="9"/>
      <c r="J5294" s="2"/>
      <c r="L5294" s="9"/>
      <c r="M5294" s="2"/>
      <c r="N5294" s="9"/>
      <c r="P5294" s="3">
        <v>-1760.8630534500001</v>
      </c>
      <c r="S5294" s="9"/>
      <c r="T5294" s="2"/>
      <c r="U5294" s="9"/>
    </row>
    <row r="5295" spans="2:21" x14ac:dyDescent="0.35">
      <c r="B5295" s="9"/>
      <c r="C5295" s="2"/>
      <c r="D5295" s="2"/>
      <c r="I5295" s="9"/>
      <c r="J5295" s="2"/>
      <c r="L5295" s="9"/>
      <c r="M5295" s="2"/>
      <c r="N5295" s="9"/>
      <c r="P5295" s="3">
        <v>-2195.62305345</v>
      </c>
      <c r="S5295" s="9"/>
      <c r="T5295" s="2"/>
      <c r="U5295" s="9"/>
    </row>
    <row r="5296" spans="2:21" x14ac:dyDescent="0.35">
      <c r="B5296" s="9"/>
      <c r="C5296" s="2"/>
      <c r="D5296" s="2"/>
      <c r="I5296" s="9"/>
      <c r="J5296" s="2"/>
      <c r="L5296" s="9"/>
      <c r="M5296" s="2"/>
      <c r="N5296" s="9"/>
      <c r="P5296" s="3">
        <v>-1760.8630534500001</v>
      </c>
      <c r="S5296" s="9"/>
      <c r="T5296" s="2"/>
      <c r="U5296" s="9"/>
    </row>
    <row r="5297" spans="2:21" x14ac:dyDescent="0.35">
      <c r="B5297" s="9"/>
      <c r="C5297" s="2"/>
      <c r="D5297" s="2"/>
      <c r="I5297" s="9"/>
      <c r="J5297" s="2"/>
      <c r="L5297" s="9"/>
      <c r="M5297" s="2"/>
      <c r="N5297" s="9"/>
      <c r="P5297" s="3">
        <v>-1326.1030534500001</v>
      </c>
      <c r="S5297" s="9"/>
      <c r="T5297" s="2"/>
      <c r="U5297" s="9"/>
    </row>
    <row r="5298" spans="2:21" x14ac:dyDescent="0.35">
      <c r="B5298" s="9"/>
      <c r="C5298" s="2"/>
      <c r="D5298" s="2"/>
      <c r="I5298" s="9"/>
      <c r="J5298" s="2"/>
      <c r="L5298" s="9"/>
      <c r="M5298" s="2"/>
      <c r="N5298" s="9"/>
      <c r="P5298" s="3">
        <v>-891.34305344999996</v>
      </c>
      <c r="S5298" s="9"/>
      <c r="T5298" s="2"/>
      <c r="U5298" s="9"/>
    </row>
    <row r="5299" spans="2:21" x14ac:dyDescent="0.35">
      <c r="B5299" s="9"/>
      <c r="C5299" s="2"/>
      <c r="D5299" s="2"/>
      <c r="I5299" s="9"/>
      <c r="J5299" s="2"/>
      <c r="L5299" s="9"/>
      <c r="M5299" s="2"/>
      <c r="N5299" s="9"/>
      <c r="P5299" s="3">
        <v>-686.36949200000004</v>
      </c>
      <c r="S5299" s="9"/>
      <c r="T5299" s="2"/>
      <c r="U5299" s="9"/>
    </row>
    <row r="5300" spans="2:21" x14ac:dyDescent="0.35">
      <c r="B5300" s="9"/>
      <c r="C5300" s="2"/>
      <c r="D5300" s="2"/>
      <c r="I5300" s="9"/>
      <c r="J5300" s="2"/>
      <c r="L5300" s="9"/>
      <c r="M5300" s="2"/>
      <c r="N5300" s="9"/>
      <c r="P5300" s="3">
        <v>-1121.129492</v>
      </c>
      <c r="S5300" s="9"/>
      <c r="T5300" s="2"/>
      <c r="U5300" s="9"/>
    </row>
    <row r="5301" spans="2:21" x14ac:dyDescent="0.35">
      <c r="B5301" s="9"/>
      <c r="C5301" s="2"/>
      <c r="D5301" s="2"/>
      <c r="I5301" s="9"/>
      <c r="J5301" s="2"/>
      <c r="L5301" s="9"/>
      <c r="M5301" s="2"/>
      <c r="N5301" s="9"/>
      <c r="P5301" s="3">
        <v>-1555.889492</v>
      </c>
      <c r="S5301" s="9"/>
      <c r="T5301" s="2"/>
      <c r="U5301" s="9"/>
    </row>
    <row r="5302" spans="2:21" x14ac:dyDescent="0.35">
      <c r="B5302" s="9"/>
      <c r="C5302" s="2"/>
      <c r="D5302" s="2"/>
      <c r="I5302" s="9"/>
      <c r="J5302" s="2"/>
      <c r="L5302" s="9"/>
      <c r="M5302" s="2"/>
      <c r="N5302" s="9"/>
      <c r="P5302" s="3">
        <v>-1990.649492</v>
      </c>
      <c r="S5302" s="9"/>
      <c r="T5302" s="2"/>
      <c r="U5302" s="9"/>
    </row>
    <row r="5303" spans="2:21" x14ac:dyDescent="0.35">
      <c r="B5303" s="9"/>
      <c r="C5303" s="2"/>
      <c r="D5303" s="2"/>
      <c r="I5303" s="9"/>
      <c r="J5303" s="2"/>
      <c r="L5303" s="9"/>
      <c r="M5303" s="2"/>
      <c r="N5303" s="9"/>
      <c r="P5303" s="3">
        <v>-2425.4094919999998</v>
      </c>
      <c r="S5303" s="9"/>
      <c r="T5303" s="2"/>
      <c r="U5303" s="9"/>
    </row>
    <row r="5304" spans="2:21" x14ac:dyDescent="0.35">
      <c r="B5304" s="9"/>
      <c r="C5304" s="2"/>
      <c r="D5304" s="2"/>
      <c r="I5304" s="9"/>
      <c r="J5304" s="2"/>
      <c r="L5304" s="9"/>
      <c r="M5304" s="2"/>
      <c r="N5304" s="9"/>
      <c r="P5304" s="3">
        <v>-2860.169492</v>
      </c>
      <c r="S5304" s="9"/>
      <c r="T5304" s="2"/>
      <c r="U5304" s="9"/>
    </row>
    <row r="5305" spans="2:21" x14ac:dyDescent="0.35">
      <c r="B5305" s="9"/>
      <c r="C5305" s="2"/>
      <c r="D5305" s="2"/>
      <c r="I5305" s="9"/>
      <c r="J5305" s="2"/>
      <c r="L5305" s="9"/>
      <c r="M5305" s="2"/>
      <c r="N5305" s="9"/>
      <c r="P5305" s="3">
        <v>-2860.169492</v>
      </c>
      <c r="S5305" s="9"/>
      <c r="T5305" s="2"/>
      <c r="U5305" s="9"/>
    </row>
    <row r="5306" spans="2:21" x14ac:dyDescent="0.35">
      <c r="B5306" s="9"/>
      <c r="C5306" s="2"/>
      <c r="D5306" s="2"/>
      <c r="I5306" s="9"/>
      <c r="J5306" s="2"/>
      <c r="L5306" s="9"/>
      <c r="M5306" s="2"/>
      <c r="N5306" s="9"/>
      <c r="P5306" s="3">
        <v>-2860.169492</v>
      </c>
      <c r="S5306" s="9"/>
      <c r="T5306" s="2"/>
      <c r="U5306" s="9"/>
    </row>
    <row r="5307" spans="2:21" x14ac:dyDescent="0.35">
      <c r="B5307" s="9"/>
      <c r="C5307" s="2"/>
      <c r="D5307" s="2"/>
      <c r="I5307" s="9"/>
      <c r="J5307" s="2"/>
      <c r="L5307" s="9"/>
      <c r="M5307" s="2"/>
      <c r="N5307" s="9"/>
      <c r="P5307" s="3">
        <v>-2860.169492</v>
      </c>
      <c r="S5307" s="9"/>
      <c r="T5307" s="2"/>
      <c r="U5307" s="9"/>
    </row>
    <row r="5308" spans="2:21" x14ac:dyDescent="0.35">
      <c r="B5308" s="9"/>
      <c r="C5308" s="2"/>
      <c r="D5308" s="2"/>
      <c r="I5308" s="9"/>
      <c r="J5308" s="2"/>
      <c r="L5308" s="9"/>
      <c r="M5308" s="2"/>
      <c r="N5308" s="9"/>
      <c r="P5308" s="3">
        <v>-2860.169492</v>
      </c>
      <c r="S5308" s="9"/>
      <c r="T5308" s="2"/>
      <c r="U5308" s="9"/>
    </row>
    <row r="5309" spans="2:21" x14ac:dyDescent="0.35">
      <c r="B5309" s="9"/>
      <c r="C5309" s="2"/>
      <c r="D5309" s="2"/>
      <c r="I5309" s="9"/>
      <c r="J5309" s="2"/>
      <c r="L5309" s="9"/>
      <c r="M5309" s="2"/>
      <c r="N5309" s="9"/>
      <c r="P5309" s="3">
        <v>-2800.5211388600001</v>
      </c>
      <c r="S5309" s="9"/>
      <c r="T5309" s="2"/>
      <c r="U5309" s="9"/>
    </row>
    <row r="5310" spans="2:21" x14ac:dyDescent="0.35">
      <c r="B5310" s="9"/>
      <c r="C5310" s="2"/>
      <c r="D5310" s="2"/>
      <c r="I5310" s="9"/>
      <c r="J5310" s="2"/>
      <c r="L5310" s="9"/>
      <c r="M5310" s="2"/>
      <c r="N5310" s="9"/>
      <c r="P5310" s="3">
        <v>-2739.41001886</v>
      </c>
      <c r="S5310" s="9"/>
      <c r="T5310" s="2"/>
      <c r="U5310" s="9"/>
    </row>
    <row r="5311" spans="2:21" x14ac:dyDescent="0.35">
      <c r="B5311" s="9"/>
      <c r="C5311" s="2"/>
      <c r="D5311" s="2"/>
      <c r="I5311" s="9"/>
      <c r="J5311" s="2"/>
      <c r="L5311" s="9"/>
      <c r="M5311" s="2"/>
      <c r="N5311" s="9"/>
      <c r="P5311" s="3">
        <v>-2622.9529788599998</v>
      </c>
      <c r="S5311" s="9"/>
      <c r="T5311" s="2"/>
      <c r="U5311" s="9"/>
    </row>
    <row r="5312" spans="2:21" x14ac:dyDescent="0.35">
      <c r="B5312" s="9"/>
      <c r="C5312" s="2"/>
      <c r="D5312" s="2"/>
      <c r="I5312" s="9"/>
      <c r="J5312" s="2"/>
      <c r="L5312" s="9"/>
      <c r="M5312" s="2"/>
      <c r="N5312" s="9"/>
      <c r="P5312" s="3">
        <v>-2634.1077888599998</v>
      </c>
      <c r="S5312" s="9"/>
      <c r="T5312" s="2"/>
      <c r="U5312" s="9"/>
    </row>
    <row r="5313" spans="2:21" x14ac:dyDescent="0.35">
      <c r="B5313" s="9"/>
      <c r="C5313" s="2"/>
      <c r="D5313" s="2"/>
      <c r="I5313" s="9"/>
      <c r="J5313" s="2"/>
      <c r="L5313" s="9"/>
      <c r="M5313" s="2"/>
      <c r="N5313" s="9"/>
      <c r="P5313" s="3">
        <v>-2645.7560488600002</v>
      </c>
      <c r="S5313" s="9"/>
      <c r="T5313" s="2"/>
      <c r="U5313" s="9"/>
    </row>
    <row r="5314" spans="2:21" x14ac:dyDescent="0.35">
      <c r="B5314" s="9"/>
      <c r="C5314" s="2"/>
      <c r="D5314" s="2"/>
      <c r="I5314" s="9"/>
      <c r="J5314" s="2"/>
      <c r="L5314" s="9"/>
      <c r="M5314" s="2"/>
      <c r="N5314" s="9"/>
      <c r="P5314" s="3">
        <v>-2665.0744388600001</v>
      </c>
      <c r="S5314" s="9"/>
      <c r="T5314" s="2"/>
      <c r="U5314" s="9"/>
    </row>
    <row r="5315" spans="2:21" x14ac:dyDescent="0.35">
      <c r="B5315" s="9"/>
      <c r="C5315" s="2"/>
      <c r="D5315" s="2"/>
      <c r="I5315" s="9"/>
      <c r="J5315" s="2"/>
      <c r="L5315" s="9"/>
      <c r="M5315" s="2"/>
      <c r="N5315" s="9"/>
      <c r="P5315" s="3">
        <v>-2625.2932323800001</v>
      </c>
      <c r="S5315" s="9"/>
      <c r="T5315" s="2"/>
      <c r="U5315" s="9"/>
    </row>
    <row r="5316" spans="2:21" x14ac:dyDescent="0.35">
      <c r="B5316" s="9"/>
      <c r="C5316" s="2"/>
      <c r="D5316" s="2"/>
      <c r="I5316" s="9"/>
      <c r="J5316" s="2"/>
      <c r="L5316" s="9"/>
      <c r="M5316" s="2"/>
      <c r="N5316" s="9"/>
      <c r="P5316" s="3">
        <v>-2433.4435159</v>
      </c>
      <c r="S5316" s="9"/>
      <c r="T5316" s="2"/>
      <c r="U5316" s="9"/>
    </row>
    <row r="5317" spans="2:21" x14ac:dyDescent="0.35">
      <c r="B5317" s="9"/>
      <c r="C5317" s="2"/>
      <c r="D5317" s="2"/>
      <c r="I5317" s="9"/>
      <c r="J5317" s="2"/>
      <c r="L5317" s="9"/>
      <c r="M5317" s="2"/>
      <c r="N5317" s="9"/>
      <c r="P5317" s="3">
        <v>-2364.0442434500001</v>
      </c>
      <c r="S5317" s="9"/>
      <c r="T5317" s="2"/>
      <c r="U5317" s="9"/>
    </row>
    <row r="5318" spans="2:21" x14ac:dyDescent="0.35">
      <c r="B5318" s="9"/>
      <c r="C5318" s="2"/>
      <c r="D5318" s="2"/>
      <c r="I5318" s="9"/>
      <c r="J5318" s="2"/>
      <c r="L5318" s="9"/>
      <c r="M5318" s="2"/>
      <c r="N5318" s="9"/>
      <c r="P5318" s="3">
        <v>-2709.2108369699999</v>
      </c>
      <c r="S5318" s="9"/>
      <c r="T5318" s="2"/>
      <c r="U5318" s="9"/>
    </row>
    <row r="5319" spans="2:21" x14ac:dyDescent="0.35">
      <c r="B5319" s="9"/>
      <c r="C5319" s="2"/>
      <c r="D5319" s="2"/>
      <c r="I5319" s="9"/>
      <c r="J5319" s="2"/>
      <c r="L5319" s="9"/>
      <c r="M5319" s="2"/>
      <c r="N5319" s="9"/>
      <c r="P5319" s="3">
        <v>-2860.169492</v>
      </c>
      <c r="S5319" s="9"/>
      <c r="T5319" s="2"/>
      <c r="U5319" s="9"/>
    </row>
    <row r="5320" spans="2:21" x14ac:dyDescent="0.35">
      <c r="B5320" s="9"/>
      <c r="C5320" s="2"/>
      <c r="D5320" s="2"/>
      <c r="I5320" s="9"/>
      <c r="J5320" s="2"/>
      <c r="L5320" s="9"/>
      <c r="M5320" s="2"/>
      <c r="N5320" s="9"/>
      <c r="P5320" s="3">
        <v>-2425.4094919999998</v>
      </c>
      <c r="S5320" s="9"/>
      <c r="T5320" s="2"/>
      <c r="U5320" s="9"/>
    </row>
    <row r="5321" spans="2:21" x14ac:dyDescent="0.35">
      <c r="B5321" s="9"/>
      <c r="C5321" s="2"/>
      <c r="D5321" s="2"/>
      <c r="I5321" s="9"/>
      <c r="J5321" s="2"/>
      <c r="L5321" s="9"/>
      <c r="M5321" s="2"/>
      <c r="N5321" s="9"/>
      <c r="P5321" s="3">
        <v>-1990.649492</v>
      </c>
      <c r="S5321" s="9"/>
      <c r="T5321" s="2"/>
      <c r="U5321" s="9"/>
    </row>
    <row r="5322" spans="2:21" x14ac:dyDescent="0.35">
      <c r="B5322" s="9"/>
      <c r="C5322" s="2"/>
      <c r="D5322" s="2"/>
      <c r="I5322" s="9"/>
      <c r="J5322" s="2"/>
      <c r="L5322" s="9"/>
      <c r="M5322" s="2"/>
      <c r="N5322" s="9"/>
      <c r="P5322" s="3">
        <v>-1555.889492</v>
      </c>
      <c r="S5322" s="9"/>
      <c r="T5322" s="2"/>
      <c r="U5322" s="9"/>
    </row>
    <row r="5323" spans="2:21" x14ac:dyDescent="0.35">
      <c r="B5323" s="9"/>
      <c r="C5323" s="2"/>
      <c r="D5323" s="2"/>
      <c r="I5323" s="9"/>
      <c r="J5323" s="2"/>
      <c r="L5323" s="9"/>
      <c r="M5323" s="2"/>
      <c r="N5323" s="9"/>
      <c r="P5323" s="3">
        <v>-1121.129492</v>
      </c>
      <c r="S5323" s="9"/>
      <c r="T5323" s="2"/>
      <c r="U5323" s="9"/>
    </row>
    <row r="5324" spans="2:21" x14ac:dyDescent="0.35">
      <c r="B5324" s="9"/>
      <c r="C5324" s="2"/>
      <c r="D5324" s="2"/>
      <c r="I5324" s="9"/>
      <c r="J5324" s="2"/>
      <c r="L5324" s="9"/>
      <c r="M5324" s="2"/>
      <c r="N5324" s="9"/>
      <c r="P5324" s="3">
        <v>-686.36949200000004</v>
      </c>
      <c r="S5324" s="9"/>
      <c r="T5324" s="2"/>
      <c r="U5324" s="9"/>
    </row>
    <row r="5325" spans="2:21" x14ac:dyDescent="0.35">
      <c r="B5325" s="9"/>
      <c r="C5325" s="2"/>
      <c r="D5325" s="2"/>
      <c r="I5325" s="9"/>
      <c r="J5325" s="2"/>
      <c r="L5325" s="9"/>
      <c r="M5325" s="2"/>
      <c r="N5325" s="9"/>
      <c r="P5325" s="3">
        <v>-657.81657772999995</v>
      </c>
      <c r="S5325" s="9"/>
      <c r="T5325" s="2"/>
      <c r="U5325" s="9"/>
    </row>
    <row r="5326" spans="2:21" x14ac:dyDescent="0.35">
      <c r="B5326" s="9"/>
      <c r="C5326" s="2"/>
      <c r="D5326" s="2"/>
      <c r="I5326" s="9"/>
      <c r="J5326" s="2"/>
      <c r="L5326" s="9"/>
      <c r="M5326" s="2"/>
      <c r="N5326" s="9"/>
      <c r="P5326" s="3">
        <v>-1092.5765777300001</v>
      </c>
      <c r="S5326" s="9"/>
      <c r="T5326" s="2"/>
      <c r="U5326" s="9"/>
    </row>
    <row r="5327" spans="2:21" x14ac:dyDescent="0.35">
      <c r="B5327" s="9"/>
      <c r="C5327" s="2"/>
      <c r="D5327" s="2"/>
      <c r="I5327" s="9"/>
      <c r="J5327" s="2"/>
      <c r="L5327" s="9"/>
      <c r="M5327" s="2"/>
      <c r="N5327" s="9"/>
      <c r="P5327" s="3">
        <v>-1527.33657773</v>
      </c>
      <c r="S5327" s="9"/>
      <c r="T5327" s="2"/>
      <c r="U5327" s="9"/>
    </row>
    <row r="5328" spans="2:21" x14ac:dyDescent="0.35">
      <c r="B5328" s="9"/>
      <c r="C5328" s="2"/>
      <c r="D5328" s="2"/>
      <c r="I5328" s="9"/>
      <c r="J5328" s="2"/>
      <c r="L5328" s="9"/>
      <c r="M5328" s="2"/>
      <c r="N5328" s="9"/>
      <c r="P5328" s="3">
        <v>-1962.09657773</v>
      </c>
      <c r="S5328" s="9"/>
      <c r="T5328" s="2"/>
      <c r="U5328" s="9"/>
    </row>
    <row r="5329" spans="2:21" x14ac:dyDescent="0.35">
      <c r="B5329" s="9"/>
      <c r="C5329" s="2"/>
      <c r="D5329" s="2"/>
      <c r="I5329" s="9"/>
      <c r="J5329" s="2"/>
      <c r="L5329" s="9"/>
      <c r="M5329" s="2"/>
      <c r="N5329" s="9"/>
      <c r="P5329" s="3">
        <v>-2396.85657773</v>
      </c>
      <c r="S5329" s="9"/>
      <c r="T5329" s="2"/>
      <c r="U5329" s="9"/>
    </row>
    <row r="5330" spans="2:21" x14ac:dyDescent="0.35">
      <c r="B5330" s="9"/>
      <c r="C5330" s="2"/>
      <c r="D5330" s="2"/>
      <c r="I5330" s="9"/>
      <c r="J5330" s="2"/>
      <c r="L5330" s="9"/>
      <c r="M5330" s="2"/>
      <c r="N5330" s="9"/>
      <c r="P5330" s="3">
        <v>-2075.6243782299998</v>
      </c>
      <c r="S5330" s="9"/>
      <c r="T5330" s="2"/>
      <c r="U5330" s="9"/>
    </row>
    <row r="5331" spans="2:21" x14ac:dyDescent="0.35">
      <c r="B5331" s="9"/>
      <c r="C5331" s="2"/>
      <c r="D5331" s="2"/>
      <c r="I5331" s="9"/>
      <c r="J5331" s="2"/>
      <c r="L5331" s="9"/>
      <c r="M5331" s="2"/>
      <c r="N5331" s="9"/>
      <c r="P5331" s="3">
        <v>-1994.4850186000001</v>
      </c>
      <c r="S5331" s="9"/>
      <c r="T5331" s="2"/>
      <c r="U5331" s="9"/>
    </row>
    <row r="5332" spans="2:21" x14ac:dyDescent="0.35">
      <c r="B5332" s="9"/>
      <c r="C5332" s="2"/>
      <c r="D5332" s="2"/>
      <c r="I5332" s="9"/>
      <c r="J5332" s="2"/>
      <c r="L5332" s="9"/>
      <c r="M5332" s="2"/>
      <c r="N5332" s="9"/>
      <c r="P5332" s="3">
        <v>-1667.18505886</v>
      </c>
      <c r="S5332" s="9"/>
      <c r="T5332" s="2"/>
      <c r="U5332" s="9"/>
    </row>
    <row r="5333" spans="2:21" x14ac:dyDescent="0.35">
      <c r="B5333" s="9"/>
      <c r="C5333" s="2"/>
      <c r="D5333" s="2"/>
      <c r="I5333" s="9"/>
      <c r="J5333" s="2"/>
      <c r="L5333" s="9"/>
      <c r="M5333" s="2"/>
      <c r="N5333" s="9"/>
      <c r="P5333" s="3">
        <v>-1659.01934886</v>
      </c>
      <c r="S5333" s="9"/>
      <c r="T5333" s="2"/>
      <c r="U5333" s="9"/>
    </row>
    <row r="5334" spans="2:21" x14ac:dyDescent="0.35">
      <c r="B5334" s="9"/>
      <c r="C5334" s="2"/>
      <c r="D5334" s="2"/>
      <c r="I5334" s="9"/>
      <c r="J5334" s="2"/>
      <c r="L5334" s="9"/>
      <c r="M5334" s="2"/>
      <c r="N5334" s="9"/>
      <c r="P5334" s="3">
        <v>-1351.9915883900001</v>
      </c>
      <c r="S5334" s="9"/>
      <c r="T5334" s="2"/>
      <c r="U5334" s="9"/>
    </row>
    <row r="5335" spans="2:21" x14ac:dyDescent="0.35">
      <c r="B5335" s="9"/>
      <c r="C5335" s="2"/>
      <c r="D5335" s="2"/>
      <c r="I5335" s="9"/>
      <c r="J5335" s="2"/>
      <c r="L5335" s="9"/>
      <c r="M5335" s="2"/>
      <c r="N5335" s="9"/>
      <c r="P5335" s="3">
        <v>-1285.8934283900001</v>
      </c>
      <c r="S5335" s="9"/>
      <c r="T5335" s="2"/>
      <c r="U5335" s="9"/>
    </row>
    <row r="5336" spans="2:21" x14ac:dyDescent="0.35">
      <c r="B5336" s="9"/>
      <c r="C5336" s="2"/>
      <c r="D5336" s="2"/>
      <c r="I5336" s="9"/>
      <c r="J5336" s="2"/>
      <c r="L5336" s="9"/>
      <c r="M5336" s="2"/>
      <c r="N5336" s="9"/>
      <c r="P5336" s="3">
        <v>-1184.35490839</v>
      </c>
      <c r="S5336" s="9"/>
      <c r="T5336" s="2"/>
      <c r="U5336" s="9"/>
    </row>
    <row r="5337" spans="2:21" x14ac:dyDescent="0.35">
      <c r="B5337" s="9"/>
      <c r="C5337" s="2"/>
      <c r="D5337" s="2"/>
      <c r="I5337" s="9"/>
      <c r="J5337" s="2"/>
      <c r="L5337" s="9"/>
      <c r="M5337" s="2"/>
      <c r="N5337" s="9"/>
      <c r="P5337" s="3">
        <v>-1081.37011839</v>
      </c>
      <c r="S5337" s="9"/>
      <c r="T5337" s="2"/>
      <c r="U5337" s="9"/>
    </row>
    <row r="5338" spans="2:21" x14ac:dyDescent="0.35">
      <c r="B5338" s="9"/>
      <c r="C5338" s="2"/>
      <c r="D5338" s="2"/>
      <c r="I5338" s="9"/>
      <c r="J5338" s="2"/>
      <c r="L5338" s="9"/>
      <c r="M5338" s="2"/>
      <c r="N5338" s="9"/>
      <c r="P5338" s="3">
        <v>-982.47066839000001</v>
      </c>
      <c r="S5338" s="9"/>
      <c r="T5338" s="2"/>
      <c r="U5338" s="9"/>
    </row>
    <row r="5339" spans="2:21" x14ac:dyDescent="0.35">
      <c r="B5339" s="9"/>
      <c r="C5339" s="2"/>
      <c r="D5339" s="2"/>
      <c r="I5339" s="9"/>
      <c r="J5339" s="2"/>
      <c r="L5339" s="9"/>
      <c r="M5339" s="2"/>
      <c r="N5339" s="9"/>
      <c r="P5339" s="3">
        <v>-902.22007839000003</v>
      </c>
      <c r="S5339" s="9"/>
      <c r="T5339" s="2"/>
      <c r="U5339" s="9"/>
    </row>
    <row r="5340" spans="2:21" x14ac:dyDescent="0.35">
      <c r="B5340" s="9"/>
      <c r="C5340" s="2"/>
      <c r="D5340" s="2"/>
      <c r="I5340" s="9"/>
      <c r="J5340" s="2"/>
      <c r="L5340" s="9"/>
      <c r="M5340" s="2"/>
      <c r="N5340" s="9"/>
      <c r="P5340" s="3">
        <v>-854.77787838999996</v>
      </c>
      <c r="S5340" s="9"/>
      <c r="T5340" s="2"/>
      <c r="U5340" s="9"/>
    </row>
    <row r="5341" spans="2:21" x14ac:dyDescent="0.35">
      <c r="B5341" s="9"/>
      <c r="C5341" s="2"/>
      <c r="D5341" s="2"/>
      <c r="I5341" s="9"/>
      <c r="J5341" s="2"/>
      <c r="L5341" s="9"/>
      <c r="M5341" s="2"/>
      <c r="N5341" s="9"/>
      <c r="P5341" s="3">
        <v>-1171.5770383900001</v>
      </c>
      <c r="S5341" s="9"/>
      <c r="T5341" s="2"/>
      <c r="U5341" s="9"/>
    </row>
    <row r="5342" spans="2:21" x14ac:dyDescent="0.35">
      <c r="B5342" s="9"/>
      <c r="C5342" s="2"/>
      <c r="D5342" s="2"/>
      <c r="I5342" s="9"/>
      <c r="J5342" s="2"/>
      <c r="L5342" s="9"/>
      <c r="M5342" s="2"/>
      <c r="N5342" s="9"/>
      <c r="P5342" s="3">
        <v>-1606.3370383900001</v>
      </c>
      <c r="S5342" s="9"/>
      <c r="T5342" s="2"/>
      <c r="U5342" s="9"/>
    </row>
    <row r="5343" spans="2:21" x14ac:dyDescent="0.35">
      <c r="B5343" s="9"/>
      <c r="C5343" s="2"/>
      <c r="D5343" s="2"/>
      <c r="I5343" s="9"/>
      <c r="J5343" s="2"/>
      <c r="L5343" s="9"/>
      <c r="M5343" s="2"/>
      <c r="N5343" s="9"/>
      <c r="P5343" s="3">
        <v>-2041.0970383900001</v>
      </c>
      <c r="S5343" s="9"/>
      <c r="T5343" s="2"/>
      <c r="U5343" s="9"/>
    </row>
    <row r="5344" spans="2:21" x14ac:dyDescent="0.35">
      <c r="B5344" s="9"/>
      <c r="C5344" s="2"/>
      <c r="D5344" s="2"/>
      <c r="I5344" s="9"/>
      <c r="J5344" s="2"/>
      <c r="L5344" s="9"/>
      <c r="M5344" s="2"/>
      <c r="N5344" s="9"/>
      <c r="P5344" s="3">
        <v>-1606.3370383900001</v>
      </c>
      <c r="S5344" s="9"/>
      <c r="T5344" s="2"/>
      <c r="U5344" s="9"/>
    </row>
    <row r="5345" spans="2:21" x14ac:dyDescent="0.35">
      <c r="B5345" s="9"/>
      <c r="C5345" s="2"/>
      <c r="D5345" s="2"/>
      <c r="I5345" s="9"/>
      <c r="J5345" s="2"/>
      <c r="L5345" s="9"/>
      <c r="M5345" s="2"/>
      <c r="N5345" s="9"/>
      <c r="P5345" s="3">
        <v>-1171.5770383900001</v>
      </c>
      <c r="S5345" s="9"/>
      <c r="T5345" s="2"/>
      <c r="U5345" s="9"/>
    </row>
    <row r="5346" spans="2:21" x14ac:dyDescent="0.35">
      <c r="B5346" s="9"/>
      <c r="C5346" s="2"/>
      <c r="D5346" s="2"/>
      <c r="I5346" s="9"/>
      <c r="J5346" s="2"/>
      <c r="L5346" s="9"/>
      <c r="M5346" s="2"/>
      <c r="N5346" s="9"/>
      <c r="P5346" s="3">
        <v>-736.81703838999999</v>
      </c>
      <c r="S5346" s="9"/>
      <c r="T5346" s="2"/>
      <c r="U5346" s="9"/>
    </row>
    <row r="5347" spans="2:21" x14ac:dyDescent="0.35">
      <c r="B5347" s="9"/>
      <c r="C5347" s="2"/>
      <c r="D5347" s="2"/>
      <c r="I5347" s="9"/>
      <c r="J5347" s="2"/>
      <c r="L5347" s="9"/>
      <c r="M5347" s="2"/>
      <c r="N5347" s="9"/>
      <c r="P5347" s="3">
        <v>-686.36949200000004</v>
      </c>
      <c r="S5347" s="9"/>
      <c r="T5347" s="2"/>
      <c r="U5347" s="9"/>
    </row>
    <row r="5348" spans="2:21" x14ac:dyDescent="0.35">
      <c r="B5348" s="9"/>
      <c r="C5348" s="2"/>
      <c r="D5348" s="2"/>
      <c r="I5348" s="9"/>
      <c r="J5348" s="2"/>
      <c r="L5348" s="9"/>
      <c r="M5348" s="2"/>
      <c r="N5348" s="9"/>
      <c r="P5348" s="3">
        <v>-1121.129492</v>
      </c>
      <c r="S5348" s="9"/>
      <c r="T5348" s="2"/>
      <c r="U5348" s="9"/>
    </row>
    <row r="5349" spans="2:21" x14ac:dyDescent="0.35">
      <c r="B5349" s="9"/>
      <c r="C5349" s="2"/>
      <c r="D5349" s="2"/>
      <c r="I5349" s="9"/>
      <c r="J5349" s="2"/>
      <c r="L5349" s="9"/>
      <c r="M5349" s="2"/>
      <c r="N5349" s="9"/>
      <c r="P5349" s="3">
        <v>-1555.889492</v>
      </c>
      <c r="S5349" s="9"/>
      <c r="T5349" s="2"/>
      <c r="U5349" s="9"/>
    </row>
    <row r="5350" spans="2:21" x14ac:dyDescent="0.35">
      <c r="B5350" s="9"/>
      <c r="C5350" s="2"/>
      <c r="D5350" s="2"/>
      <c r="I5350" s="9"/>
      <c r="J5350" s="2"/>
      <c r="L5350" s="9"/>
      <c r="M5350" s="2"/>
      <c r="N5350" s="9"/>
      <c r="P5350" s="3">
        <v>-1990.649492</v>
      </c>
      <c r="S5350" s="9"/>
      <c r="T5350" s="2"/>
      <c r="U5350" s="9"/>
    </row>
    <row r="5351" spans="2:21" x14ac:dyDescent="0.35">
      <c r="B5351" s="9"/>
      <c r="C5351" s="2"/>
      <c r="D5351" s="2"/>
      <c r="I5351" s="9"/>
      <c r="J5351" s="2"/>
      <c r="L5351" s="9"/>
      <c r="M5351" s="2"/>
      <c r="N5351" s="9"/>
      <c r="P5351" s="3">
        <v>-2425.4094919999998</v>
      </c>
      <c r="S5351" s="9"/>
      <c r="T5351" s="2"/>
      <c r="U5351" s="9"/>
    </row>
    <row r="5352" spans="2:21" x14ac:dyDescent="0.35">
      <c r="B5352" s="9"/>
      <c r="C5352" s="2"/>
      <c r="D5352" s="2"/>
      <c r="I5352" s="9"/>
      <c r="J5352" s="2"/>
      <c r="L5352" s="9"/>
      <c r="M5352" s="2"/>
      <c r="N5352" s="9"/>
      <c r="P5352" s="3">
        <v>-2860.169492</v>
      </c>
      <c r="S5352" s="9"/>
      <c r="T5352" s="2"/>
      <c r="U5352" s="9"/>
    </row>
    <row r="5353" spans="2:21" x14ac:dyDescent="0.35">
      <c r="B5353" s="9"/>
      <c r="C5353" s="2"/>
      <c r="D5353" s="2"/>
      <c r="I5353" s="9"/>
      <c r="J5353" s="2"/>
      <c r="L5353" s="9"/>
      <c r="M5353" s="2"/>
      <c r="N5353" s="9"/>
      <c r="P5353" s="3">
        <v>-2860.169492</v>
      </c>
      <c r="S5353" s="9"/>
      <c r="T5353" s="2"/>
      <c r="U5353" s="9"/>
    </row>
    <row r="5354" spans="2:21" x14ac:dyDescent="0.35">
      <c r="B5354" s="9"/>
      <c r="C5354" s="2"/>
      <c r="D5354" s="2"/>
      <c r="I5354" s="9"/>
      <c r="J5354" s="2"/>
      <c r="L5354" s="9"/>
      <c r="M5354" s="2"/>
      <c r="N5354" s="9"/>
      <c r="P5354" s="3">
        <v>-2860.169492</v>
      </c>
      <c r="S5354" s="9"/>
      <c r="T5354" s="2"/>
      <c r="U5354" s="9"/>
    </row>
    <row r="5355" spans="2:21" x14ac:dyDescent="0.35">
      <c r="B5355" s="9"/>
      <c r="C5355" s="2"/>
      <c r="D5355" s="2"/>
      <c r="I5355" s="9"/>
      <c r="J5355" s="2"/>
      <c r="L5355" s="9"/>
      <c r="M5355" s="2"/>
      <c r="N5355" s="9"/>
      <c r="P5355" s="3">
        <v>-2860.169492</v>
      </c>
      <c r="S5355" s="9"/>
      <c r="T5355" s="2"/>
      <c r="U5355" s="9"/>
    </row>
    <row r="5356" spans="2:21" x14ac:dyDescent="0.35">
      <c r="B5356" s="9"/>
      <c r="C5356" s="2"/>
      <c r="D5356" s="2"/>
      <c r="I5356" s="9"/>
      <c r="J5356" s="2"/>
      <c r="L5356" s="9"/>
      <c r="M5356" s="2"/>
      <c r="N5356" s="9"/>
      <c r="P5356" s="3">
        <v>-2860.169492</v>
      </c>
      <c r="S5356" s="9"/>
      <c r="T5356" s="2"/>
      <c r="U5356" s="9"/>
    </row>
    <row r="5357" spans="2:21" x14ac:dyDescent="0.35">
      <c r="B5357" s="9"/>
      <c r="C5357" s="2"/>
      <c r="D5357" s="2"/>
      <c r="I5357" s="9"/>
      <c r="J5357" s="2"/>
      <c r="L5357" s="9"/>
      <c r="M5357" s="2"/>
      <c r="N5357" s="9"/>
      <c r="P5357" s="3">
        <v>-2860.169492</v>
      </c>
      <c r="S5357" s="9"/>
      <c r="T5357" s="2"/>
      <c r="U5357" s="9"/>
    </row>
    <row r="5358" spans="2:21" x14ac:dyDescent="0.35">
      <c r="B5358" s="9"/>
      <c r="C5358" s="2"/>
      <c r="D5358" s="2"/>
      <c r="I5358" s="9"/>
      <c r="J5358" s="2"/>
      <c r="L5358" s="9"/>
      <c r="M5358" s="2"/>
      <c r="N5358" s="9"/>
      <c r="P5358" s="3">
        <v>-2860.169492</v>
      </c>
      <c r="S5358" s="9"/>
      <c r="T5358" s="2"/>
      <c r="U5358" s="9"/>
    </row>
    <row r="5359" spans="2:21" x14ac:dyDescent="0.35">
      <c r="B5359" s="9"/>
      <c r="C5359" s="2"/>
      <c r="D5359" s="2"/>
      <c r="I5359" s="9"/>
      <c r="J5359" s="2"/>
      <c r="L5359" s="9"/>
      <c r="M5359" s="2"/>
      <c r="N5359" s="9"/>
      <c r="P5359" s="3">
        <v>-2860.169492</v>
      </c>
      <c r="S5359" s="9"/>
      <c r="T5359" s="2"/>
      <c r="U5359" s="9"/>
    </row>
    <row r="5360" spans="2:21" x14ac:dyDescent="0.35">
      <c r="B5360" s="9"/>
      <c r="C5360" s="2"/>
      <c r="D5360" s="2"/>
      <c r="I5360" s="9"/>
      <c r="J5360" s="2"/>
      <c r="L5360" s="9"/>
      <c r="M5360" s="2"/>
      <c r="N5360" s="9"/>
      <c r="P5360" s="3">
        <v>-2860.169492</v>
      </c>
      <c r="S5360" s="9"/>
      <c r="T5360" s="2"/>
      <c r="U5360" s="9"/>
    </row>
    <row r="5361" spans="2:21" x14ac:dyDescent="0.35">
      <c r="B5361" s="9"/>
      <c r="C5361" s="2"/>
      <c r="D5361" s="2"/>
      <c r="I5361" s="9"/>
      <c r="J5361" s="2"/>
      <c r="L5361" s="9"/>
      <c r="M5361" s="2"/>
      <c r="N5361" s="9"/>
      <c r="P5361" s="3">
        <v>-2860.169492</v>
      </c>
      <c r="S5361" s="9"/>
      <c r="T5361" s="2"/>
      <c r="U5361" s="9"/>
    </row>
    <row r="5362" spans="2:21" x14ac:dyDescent="0.35">
      <c r="B5362" s="9"/>
      <c r="C5362" s="2"/>
      <c r="D5362" s="2"/>
      <c r="I5362" s="9"/>
      <c r="J5362" s="2"/>
      <c r="L5362" s="9"/>
      <c r="M5362" s="2"/>
      <c r="N5362" s="9"/>
      <c r="P5362" s="3">
        <v>-2588.12714839</v>
      </c>
      <c r="S5362" s="9"/>
      <c r="T5362" s="2"/>
      <c r="U5362" s="9"/>
    </row>
    <row r="5363" spans="2:21" x14ac:dyDescent="0.35">
      <c r="B5363" s="9"/>
      <c r="C5363" s="2"/>
      <c r="D5363" s="2"/>
      <c r="I5363" s="9"/>
      <c r="J5363" s="2"/>
      <c r="L5363" s="9"/>
      <c r="M5363" s="2"/>
      <c r="N5363" s="9"/>
      <c r="P5363" s="3">
        <v>-2236.6068583900001</v>
      </c>
      <c r="S5363" s="9"/>
      <c r="T5363" s="2"/>
      <c r="U5363" s="9"/>
    </row>
    <row r="5364" spans="2:21" x14ac:dyDescent="0.35">
      <c r="B5364" s="9"/>
      <c r="C5364" s="2"/>
      <c r="D5364" s="2"/>
      <c r="I5364" s="9"/>
      <c r="J5364" s="2"/>
      <c r="L5364" s="9"/>
      <c r="M5364" s="2"/>
      <c r="N5364" s="9"/>
      <c r="P5364" s="3">
        <v>-1949.1740083899999</v>
      </c>
      <c r="S5364" s="9"/>
      <c r="T5364" s="2"/>
      <c r="U5364" s="9"/>
    </row>
    <row r="5365" spans="2:21" x14ac:dyDescent="0.35">
      <c r="B5365" s="9"/>
      <c r="C5365" s="2"/>
      <c r="D5365" s="2"/>
      <c r="I5365" s="9"/>
      <c r="J5365" s="2"/>
      <c r="L5365" s="9"/>
      <c r="M5365" s="2"/>
      <c r="N5365" s="9"/>
      <c r="P5365" s="3">
        <v>-2022.2074483900001</v>
      </c>
      <c r="S5365" s="9"/>
      <c r="T5365" s="2"/>
      <c r="U5365" s="9"/>
    </row>
    <row r="5366" spans="2:21" x14ac:dyDescent="0.35">
      <c r="B5366" s="9"/>
      <c r="C5366" s="2"/>
      <c r="D5366" s="2"/>
      <c r="I5366" s="9"/>
      <c r="J5366" s="2"/>
      <c r="L5366" s="9"/>
      <c r="M5366" s="2"/>
      <c r="N5366" s="9"/>
      <c r="P5366" s="3">
        <v>-2456.9674483899998</v>
      </c>
      <c r="S5366" s="9"/>
      <c r="T5366" s="2"/>
      <c r="U5366" s="9"/>
    </row>
    <row r="5367" spans="2:21" x14ac:dyDescent="0.35">
      <c r="B5367" s="9"/>
      <c r="C5367" s="2"/>
      <c r="D5367" s="2"/>
      <c r="I5367" s="9"/>
      <c r="J5367" s="2"/>
      <c r="L5367" s="9"/>
      <c r="M5367" s="2"/>
      <c r="N5367" s="9"/>
      <c r="P5367" s="3">
        <v>-2022.2074483900001</v>
      </c>
      <c r="S5367" s="9"/>
      <c r="T5367" s="2"/>
      <c r="U5367" s="9"/>
    </row>
    <row r="5368" spans="2:21" x14ac:dyDescent="0.35">
      <c r="B5368" s="9"/>
      <c r="C5368" s="2"/>
      <c r="D5368" s="2"/>
      <c r="I5368" s="9"/>
      <c r="J5368" s="2"/>
      <c r="L5368" s="9"/>
      <c r="M5368" s="2"/>
      <c r="N5368" s="9"/>
      <c r="P5368" s="3">
        <v>-1587.4474483900001</v>
      </c>
      <c r="S5368" s="9"/>
      <c r="T5368" s="2"/>
      <c r="U5368" s="9"/>
    </row>
    <row r="5369" spans="2:21" x14ac:dyDescent="0.35">
      <c r="B5369" s="9"/>
      <c r="C5369" s="2"/>
      <c r="D5369" s="2"/>
      <c r="I5369" s="9"/>
      <c r="J5369" s="2"/>
      <c r="L5369" s="9"/>
      <c r="M5369" s="2"/>
      <c r="N5369" s="9"/>
      <c r="P5369" s="3">
        <v>-1152.6874483900001</v>
      </c>
      <c r="S5369" s="9"/>
      <c r="T5369" s="2"/>
      <c r="U5369" s="9"/>
    </row>
    <row r="5370" spans="2:21" x14ac:dyDescent="0.35">
      <c r="B5370" s="9"/>
      <c r="C5370" s="2"/>
      <c r="D5370" s="2"/>
      <c r="I5370" s="9"/>
      <c r="J5370" s="2"/>
      <c r="L5370" s="9"/>
      <c r="M5370" s="2"/>
      <c r="N5370" s="9"/>
      <c r="P5370" s="3">
        <v>-717.92744839</v>
      </c>
      <c r="S5370" s="9"/>
      <c r="T5370" s="2"/>
      <c r="U5370" s="9"/>
    </row>
    <row r="5371" spans="2:21" x14ac:dyDescent="0.35">
      <c r="B5371" s="9"/>
      <c r="C5371" s="2"/>
      <c r="D5371" s="2"/>
      <c r="I5371" s="9"/>
      <c r="J5371" s="2"/>
      <c r="L5371" s="9"/>
      <c r="M5371" s="2"/>
      <c r="N5371" s="9"/>
      <c r="P5371" s="3">
        <v>-686.36949200000004</v>
      </c>
      <c r="S5371" s="9"/>
      <c r="T5371" s="2"/>
      <c r="U5371" s="9"/>
    </row>
    <row r="5372" spans="2:21" x14ac:dyDescent="0.35">
      <c r="B5372" s="9"/>
      <c r="C5372" s="2"/>
      <c r="D5372" s="2"/>
      <c r="I5372" s="9"/>
      <c r="J5372" s="2"/>
      <c r="L5372" s="9"/>
      <c r="M5372" s="2"/>
      <c r="N5372" s="9"/>
      <c r="P5372" s="3">
        <v>-1121.129492</v>
      </c>
      <c r="S5372" s="9"/>
      <c r="T5372" s="2"/>
      <c r="U5372" s="9"/>
    </row>
    <row r="5373" spans="2:21" x14ac:dyDescent="0.35">
      <c r="B5373" s="9"/>
      <c r="C5373" s="2"/>
      <c r="D5373" s="2"/>
      <c r="I5373" s="9"/>
      <c r="J5373" s="2"/>
      <c r="L5373" s="9"/>
      <c r="M5373" s="2"/>
      <c r="N5373" s="9"/>
      <c r="P5373" s="3">
        <v>-1555.889492</v>
      </c>
      <c r="S5373" s="9"/>
      <c r="T5373" s="2"/>
      <c r="U5373" s="9"/>
    </row>
    <row r="5374" spans="2:21" x14ac:dyDescent="0.35">
      <c r="B5374" s="9"/>
      <c r="C5374" s="2"/>
      <c r="D5374" s="2"/>
      <c r="I5374" s="9"/>
      <c r="J5374" s="2"/>
      <c r="L5374" s="9"/>
      <c r="M5374" s="2"/>
      <c r="N5374" s="9"/>
      <c r="P5374" s="3">
        <v>-1990.649492</v>
      </c>
      <c r="S5374" s="9"/>
      <c r="T5374" s="2"/>
      <c r="U5374" s="9"/>
    </row>
    <row r="5375" spans="2:21" x14ac:dyDescent="0.35">
      <c r="B5375" s="9"/>
      <c r="C5375" s="2"/>
      <c r="D5375" s="2"/>
      <c r="I5375" s="9"/>
      <c r="J5375" s="2"/>
      <c r="L5375" s="9"/>
      <c r="M5375" s="2"/>
      <c r="N5375" s="9"/>
      <c r="P5375" s="3">
        <v>-2425.4094919999998</v>
      </c>
      <c r="S5375" s="9"/>
      <c r="T5375" s="2"/>
      <c r="U5375" s="9"/>
    </row>
    <row r="5376" spans="2:21" x14ac:dyDescent="0.35">
      <c r="B5376" s="9"/>
      <c r="C5376" s="2"/>
      <c r="D5376" s="2"/>
      <c r="I5376" s="9"/>
      <c r="J5376" s="2"/>
      <c r="L5376" s="9"/>
      <c r="M5376" s="2"/>
      <c r="N5376" s="9"/>
      <c r="P5376" s="3">
        <v>-2860.169492</v>
      </c>
      <c r="S5376" s="9"/>
      <c r="T5376" s="2"/>
      <c r="U5376" s="9"/>
    </row>
    <row r="5377" spans="2:21" x14ac:dyDescent="0.35">
      <c r="B5377" s="9"/>
      <c r="C5377" s="2"/>
      <c r="D5377" s="2"/>
      <c r="I5377" s="9"/>
      <c r="J5377" s="2"/>
      <c r="L5377" s="9"/>
      <c r="M5377" s="2"/>
      <c r="N5377" s="9"/>
      <c r="P5377" s="3">
        <v>-2860.169492</v>
      </c>
      <c r="S5377" s="9"/>
      <c r="T5377" s="2"/>
      <c r="U5377" s="9"/>
    </row>
    <row r="5378" spans="2:21" x14ac:dyDescent="0.35">
      <c r="B5378" s="9"/>
      <c r="C5378" s="2"/>
      <c r="D5378" s="2"/>
      <c r="I5378" s="9"/>
      <c r="J5378" s="2"/>
      <c r="L5378" s="9"/>
      <c r="M5378" s="2"/>
      <c r="N5378" s="9"/>
      <c r="P5378" s="3">
        <v>-2860.169492</v>
      </c>
      <c r="S5378" s="9"/>
      <c r="T5378" s="2"/>
      <c r="U5378" s="9"/>
    </row>
    <row r="5379" spans="2:21" x14ac:dyDescent="0.35">
      <c r="B5379" s="9"/>
      <c r="C5379" s="2"/>
      <c r="D5379" s="2"/>
      <c r="I5379" s="9"/>
      <c r="J5379" s="2"/>
      <c r="L5379" s="9"/>
      <c r="M5379" s="2"/>
      <c r="N5379" s="9"/>
      <c r="P5379" s="3">
        <v>-2860.169492</v>
      </c>
      <c r="S5379" s="9"/>
      <c r="T5379" s="2"/>
      <c r="U5379" s="9"/>
    </row>
    <row r="5380" spans="2:21" x14ac:dyDescent="0.35">
      <c r="B5380" s="9"/>
      <c r="C5380" s="2"/>
      <c r="D5380" s="2"/>
      <c r="I5380" s="9"/>
      <c r="J5380" s="2"/>
      <c r="L5380" s="9"/>
      <c r="M5380" s="2"/>
      <c r="N5380" s="9"/>
      <c r="P5380" s="3">
        <v>-2860.169492</v>
      </c>
      <c r="S5380" s="9"/>
      <c r="T5380" s="2"/>
      <c r="U5380" s="9"/>
    </row>
    <row r="5381" spans="2:21" x14ac:dyDescent="0.35">
      <c r="B5381" s="9"/>
      <c r="C5381" s="2"/>
      <c r="D5381" s="2"/>
      <c r="I5381" s="9"/>
      <c r="J5381" s="2"/>
      <c r="L5381" s="9"/>
      <c r="M5381" s="2"/>
      <c r="N5381" s="9"/>
      <c r="P5381" s="3">
        <v>-2860.169492</v>
      </c>
      <c r="S5381" s="9"/>
      <c r="T5381" s="2"/>
      <c r="U5381" s="9"/>
    </row>
    <row r="5382" spans="2:21" x14ac:dyDescent="0.35">
      <c r="B5382" s="9"/>
      <c r="C5382" s="2"/>
      <c r="D5382" s="2"/>
      <c r="I5382" s="9"/>
      <c r="J5382" s="2"/>
      <c r="L5382" s="9"/>
      <c r="M5382" s="2"/>
      <c r="N5382" s="9"/>
      <c r="P5382" s="3">
        <v>-2860.169492</v>
      </c>
      <c r="S5382" s="9"/>
      <c r="T5382" s="2"/>
      <c r="U5382" s="9"/>
    </row>
    <row r="5383" spans="2:21" x14ac:dyDescent="0.35">
      <c r="B5383" s="9"/>
      <c r="C5383" s="2"/>
      <c r="D5383" s="2"/>
      <c r="I5383" s="9"/>
      <c r="J5383" s="2"/>
      <c r="L5383" s="9"/>
      <c r="M5383" s="2"/>
      <c r="N5383" s="9"/>
      <c r="P5383" s="3">
        <v>-2860.169492</v>
      </c>
      <c r="S5383" s="9"/>
      <c r="T5383" s="2"/>
      <c r="U5383" s="9"/>
    </row>
    <row r="5384" spans="2:21" x14ac:dyDescent="0.35">
      <c r="B5384" s="9"/>
      <c r="C5384" s="2"/>
      <c r="D5384" s="2"/>
      <c r="I5384" s="9"/>
      <c r="J5384" s="2"/>
      <c r="L5384" s="9"/>
      <c r="M5384" s="2"/>
      <c r="N5384" s="9"/>
      <c r="P5384" s="3">
        <v>-2860.169492</v>
      </c>
      <c r="S5384" s="9"/>
      <c r="T5384" s="2"/>
      <c r="U5384" s="9"/>
    </row>
    <row r="5385" spans="2:21" x14ac:dyDescent="0.35">
      <c r="B5385" s="9"/>
      <c r="C5385" s="2"/>
      <c r="D5385" s="2"/>
      <c r="I5385" s="9"/>
      <c r="J5385" s="2"/>
      <c r="L5385" s="9"/>
      <c r="M5385" s="2"/>
      <c r="N5385" s="9"/>
      <c r="P5385" s="3">
        <v>-2860.169492</v>
      </c>
      <c r="S5385" s="9"/>
      <c r="T5385" s="2"/>
      <c r="U5385" s="9"/>
    </row>
    <row r="5386" spans="2:21" x14ac:dyDescent="0.35">
      <c r="B5386" s="9"/>
      <c r="C5386" s="2"/>
      <c r="D5386" s="2"/>
      <c r="I5386" s="9"/>
      <c r="J5386" s="2"/>
      <c r="L5386" s="9"/>
      <c r="M5386" s="2"/>
      <c r="N5386" s="9"/>
      <c r="P5386" s="3">
        <v>-2860.169492</v>
      </c>
      <c r="S5386" s="9"/>
      <c r="T5386" s="2"/>
      <c r="U5386" s="9"/>
    </row>
    <row r="5387" spans="2:21" x14ac:dyDescent="0.35">
      <c r="B5387" s="9"/>
      <c r="C5387" s="2"/>
      <c r="D5387" s="2"/>
      <c r="I5387" s="9"/>
      <c r="J5387" s="2"/>
      <c r="L5387" s="9"/>
      <c r="M5387" s="2"/>
      <c r="N5387" s="9"/>
      <c r="P5387" s="3">
        <v>-2860.169492</v>
      </c>
      <c r="S5387" s="9"/>
      <c r="T5387" s="2"/>
      <c r="U5387" s="9"/>
    </row>
    <row r="5388" spans="2:21" x14ac:dyDescent="0.35">
      <c r="B5388" s="9"/>
      <c r="C5388" s="2"/>
      <c r="D5388" s="2"/>
      <c r="I5388" s="9"/>
      <c r="J5388" s="2"/>
      <c r="L5388" s="9"/>
      <c r="M5388" s="2"/>
      <c r="N5388" s="9"/>
      <c r="P5388" s="3">
        <v>-2835.4810158999999</v>
      </c>
      <c r="S5388" s="9"/>
      <c r="T5388" s="2"/>
      <c r="U5388" s="9"/>
    </row>
    <row r="5389" spans="2:21" x14ac:dyDescent="0.35">
      <c r="B5389" s="9"/>
      <c r="C5389" s="2"/>
      <c r="D5389" s="2"/>
      <c r="I5389" s="9"/>
      <c r="J5389" s="2"/>
      <c r="L5389" s="9"/>
      <c r="M5389" s="2"/>
      <c r="N5389" s="9"/>
      <c r="P5389" s="3">
        <v>-2860.169492</v>
      </c>
      <c r="S5389" s="9"/>
      <c r="T5389" s="2"/>
      <c r="U5389" s="9"/>
    </row>
    <row r="5390" spans="2:21" x14ac:dyDescent="0.35">
      <c r="B5390" s="9"/>
      <c r="C5390" s="2"/>
      <c r="D5390" s="2"/>
      <c r="I5390" s="9"/>
      <c r="J5390" s="2"/>
      <c r="L5390" s="9"/>
      <c r="M5390" s="2"/>
      <c r="N5390" s="9"/>
      <c r="P5390" s="3">
        <v>-2860.169492</v>
      </c>
      <c r="S5390" s="9"/>
      <c r="T5390" s="2"/>
      <c r="U5390" s="9"/>
    </row>
    <row r="5391" spans="2:21" x14ac:dyDescent="0.35">
      <c r="B5391" s="9"/>
      <c r="C5391" s="2"/>
      <c r="D5391" s="2"/>
      <c r="I5391" s="9"/>
      <c r="J5391" s="2"/>
      <c r="L5391" s="9"/>
      <c r="M5391" s="2"/>
      <c r="N5391" s="9"/>
      <c r="P5391" s="3">
        <v>-2860.169492</v>
      </c>
      <c r="S5391" s="9"/>
      <c r="T5391" s="2"/>
      <c r="U5391" s="9"/>
    </row>
    <row r="5392" spans="2:21" x14ac:dyDescent="0.35">
      <c r="B5392" s="9"/>
      <c r="C5392" s="2"/>
      <c r="D5392" s="2"/>
      <c r="I5392" s="9"/>
      <c r="J5392" s="2"/>
      <c r="L5392" s="9"/>
      <c r="M5392" s="2"/>
      <c r="N5392" s="9"/>
      <c r="P5392" s="3">
        <v>-2425.4094919999998</v>
      </c>
      <c r="S5392" s="9"/>
      <c r="T5392" s="2"/>
      <c r="U5392" s="9"/>
    </row>
    <row r="5393" spans="2:21" x14ac:dyDescent="0.35">
      <c r="B5393" s="9"/>
      <c r="C5393" s="2"/>
      <c r="D5393" s="2"/>
      <c r="I5393" s="9"/>
      <c r="J5393" s="2"/>
      <c r="L5393" s="9"/>
      <c r="M5393" s="2"/>
      <c r="N5393" s="9"/>
      <c r="P5393" s="3">
        <v>-1990.649492</v>
      </c>
      <c r="S5393" s="9"/>
      <c r="T5393" s="2"/>
      <c r="U5393" s="9"/>
    </row>
    <row r="5394" spans="2:21" x14ac:dyDescent="0.35">
      <c r="B5394" s="9"/>
      <c r="C5394" s="2"/>
      <c r="D5394" s="2"/>
      <c r="I5394" s="9"/>
      <c r="J5394" s="2"/>
      <c r="L5394" s="9"/>
      <c r="M5394" s="2"/>
      <c r="N5394" s="9"/>
      <c r="P5394" s="3">
        <v>-1555.889492</v>
      </c>
      <c r="S5394" s="9"/>
      <c r="T5394" s="2"/>
      <c r="U5394" s="9"/>
    </row>
    <row r="5395" spans="2:21" x14ac:dyDescent="0.35">
      <c r="B5395" s="9"/>
      <c r="C5395" s="2"/>
      <c r="D5395" s="2"/>
      <c r="I5395" s="9"/>
      <c r="J5395" s="2"/>
      <c r="L5395" s="9"/>
      <c r="M5395" s="2"/>
      <c r="N5395" s="9"/>
      <c r="P5395" s="3">
        <v>-1121.129492</v>
      </c>
      <c r="S5395" s="9"/>
      <c r="T5395" s="2"/>
      <c r="U5395" s="9"/>
    </row>
    <row r="5396" spans="2:21" x14ac:dyDescent="0.35">
      <c r="B5396" s="9"/>
      <c r="C5396" s="2"/>
      <c r="D5396" s="2"/>
      <c r="I5396" s="9"/>
      <c r="J5396" s="2"/>
      <c r="L5396" s="9"/>
      <c r="M5396" s="2"/>
      <c r="N5396" s="9"/>
      <c r="P5396" s="3">
        <v>-1121.129492</v>
      </c>
      <c r="S5396" s="9"/>
      <c r="T5396" s="2"/>
      <c r="U5396" s="9"/>
    </row>
    <row r="5397" spans="2:21" x14ac:dyDescent="0.35">
      <c r="B5397" s="9"/>
      <c r="C5397" s="2"/>
      <c r="D5397" s="2"/>
      <c r="I5397" s="9"/>
      <c r="J5397" s="2"/>
      <c r="L5397" s="9"/>
      <c r="M5397" s="2"/>
      <c r="N5397" s="9"/>
      <c r="P5397" s="3">
        <v>-1555.889492</v>
      </c>
      <c r="S5397" s="9"/>
      <c r="T5397" s="2"/>
      <c r="U5397" s="9"/>
    </row>
    <row r="5398" spans="2:21" x14ac:dyDescent="0.35">
      <c r="B5398" s="9"/>
      <c r="C5398" s="2"/>
      <c r="D5398" s="2"/>
      <c r="I5398" s="9"/>
      <c r="J5398" s="2"/>
      <c r="L5398" s="9"/>
      <c r="M5398" s="2"/>
      <c r="N5398" s="9"/>
      <c r="P5398" s="3">
        <v>-1990.649492</v>
      </c>
      <c r="S5398" s="9"/>
      <c r="T5398" s="2"/>
      <c r="U5398" s="9"/>
    </row>
    <row r="5399" spans="2:21" x14ac:dyDescent="0.35">
      <c r="B5399" s="9"/>
      <c r="C5399" s="2"/>
      <c r="D5399" s="2"/>
      <c r="I5399" s="9"/>
      <c r="J5399" s="2"/>
      <c r="L5399" s="9"/>
      <c r="M5399" s="2"/>
      <c r="N5399" s="9"/>
      <c r="P5399" s="3">
        <v>-2425.4094919999998</v>
      </c>
      <c r="S5399" s="9"/>
      <c r="T5399" s="2"/>
      <c r="U5399" s="9"/>
    </row>
    <row r="5400" spans="2:21" x14ac:dyDescent="0.35">
      <c r="B5400" s="9"/>
      <c r="C5400" s="2"/>
      <c r="D5400" s="2"/>
      <c r="I5400" s="9"/>
      <c r="J5400" s="2"/>
      <c r="L5400" s="9"/>
      <c r="M5400" s="2"/>
      <c r="N5400" s="9"/>
      <c r="P5400" s="3">
        <v>-2860.169492</v>
      </c>
      <c r="S5400" s="9"/>
      <c r="T5400" s="2"/>
      <c r="U5400" s="9"/>
    </row>
    <row r="5401" spans="2:21" x14ac:dyDescent="0.35">
      <c r="B5401" s="9"/>
      <c r="C5401" s="2"/>
      <c r="D5401" s="2"/>
      <c r="I5401" s="9"/>
      <c r="J5401" s="2"/>
      <c r="L5401" s="9"/>
      <c r="M5401" s="2"/>
      <c r="N5401" s="9"/>
      <c r="P5401" s="3">
        <v>-2860.169492</v>
      </c>
      <c r="S5401" s="9"/>
      <c r="T5401" s="2"/>
      <c r="U5401" s="9"/>
    </row>
    <row r="5402" spans="2:21" x14ac:dyDescent="0.35">
      <c r="B5402" s="9"/>
      <c r="C5402" s="2"/>
      <c r="D5402" s="2"/>
      <c r="I5402" s="9"/>
      <c r="J5402" s="2"/>
      <c r="L5402" s="9"/>
      <c r="M5402" s="2"/>
      <c r="N5402" s="9"/>
      <c r="P5402" s="3">
        <v>-2860.169492</v>
      </c>
      <c r="S5402" s="9"/>
      <c r="T5402" s="2"/>
      <c r="U5402" s="9"/>
    </row>
    <row r="5403" spans="2:21" x14ac:dyDescent="0.35">
      <c r="B5403" s="9"/>
      <c r="C5403" s="2"/>
      <c r="D5403" s="2"/>
      <c r="I5403" s="9"/>
      <c r="J5403" s="2"/>
      <c r="L5403" s="9"/>
      <c r="M5403" s="2"/>
      <c r="N5403" s="9"/>
      <c r="P5403" s="3">
        <v>-2860.169492</v>
      </c>
      <c r="S5403" s="9"/>
      <c r="T5403" s="2"/>
      <c r="U5403" s="9"/>
    </row>
    <row r="5404" spans="2:21" x14ac:dyDescent="0.35">
      <c r="B5404" s="9"/>
      <c r="C5404" s="2"/>
      <c r="D5404" s="2"/>
      <c r="I5404" s="9"/>
      <c r="J5404" s="2"/>
      <c r="L5404" s="9"/>
      <c r="M5404" s="2"/>
      <c r="N5404" s="9"/>
      <c r="P5404" s="3">
        <v>-2860.169492</v>
      </c>
      <c r="S5404" s="9"/>
      <c r="T5404" s="2"/>
      <c r="U5404" s="9"/>
    </row>
    <row r="5405" spans="2:21" x14ac:dyDescent="0.35">
      <c r="B5405" s="9"/>
      <c r="C5405" s="2"/>
      <c r="D5405" s="2"/>
      <c r="I5405" s="9"/>
      <c r="J5405" s="2"/>
      <c r="L5405" s="9"/>
      <c r="M5405" s="2"/>
      <c r="N5405" s="9"/>
      <c r="P5405" s="3">
        <v>-2860.169492</v>
      </c>
      <c r="S5405" s="9"/>
      <c r="T5405" s="2"/>
      <c r="U5405" s="9"/>
    </row>
    <row r="5406" spans="2:21" x14ac:dyDescent="0.35">
      <c r="B5406" s="9"/>
      <c r="C5406" s="2"/>
      <c r="D5406" s="2"/>
      <c r="I5406" s="9"/>
      <c r="J5406" s="2"/>
      <c r="L5406" s="9"/>
      <c r="M5406" s="2"/>
      <c r="N5406" s="9"/>
      <c r="P5406" s="3">
        <v>-2860.169492</v>
      </c>
      <c r="S5406" s="9"/>
      <c r="T5406" s="2"/>
      <c r="U5406" s="9"/>
    </row>
    <row r="5407" spans="2:21" x14ac:dyDescent="0.35">
      <c r="B5407" s="9"/>
      <c r="C5407" s="2"/>
      <c r="D5407" s="2"/>
      <c r="I5407" s="9"/>
      <c r="J5407" s="2"/>
      <c r="L5407" s="9"/>
      <c r="M5407" s="2"/>
      <c r="N5407" s="9"/>
      <c r="P5407" s="3">
        <v>-2860.169492</v>
      </c>
      <c r="S5407" s="9"/>
      <c r="T5407" s="2"/>
      <c r="U5407" s="9"/>
    </row>
    <row r="5408" spans="2:21" x14ac:dyDescent="0.35">
      <c r="B5408" s="9"/>
      <c r="C5408" s="2"/>
      <c r="D5408" s="2"/>
      <c r="I5408" s="9"/>
      <c r="J5408" s="2"/>
      <c r="L5408" s="9"/>
      <c r="M5408" s="2"/>
      <c r="N5408" s="9"/>
      <c r="P5408" s="3">
        <v>-2860.169492</v>
      </c>
      <c r="S5408" s="9"/>
      <c r="T5408" s="2"/>
      <c r="U5408" s="9"/>
    </row>
    <row r="5409" spans="2:21" x14ac:dyDescent="0.35">
      <c r="B5409" s="9"/>
      <c r="C5409" s="2"/>
      <c r="D5409" s="2"/>
      <c r="I5409" s="9"/>
      <c r="J5409" s="2"/>
      <c r="L5409" s="9"/>
      <c r="M5409" s="2"/>
      <c r="N5409" s="9"/>
      <c r="P5409" s="3">
        <v>-2860.169492</v>
      </c>
      <c r="S5409" s="9"/>
      <c r="T5409" s="2"/>
      <c r="U5409" s="9"/>
    </row>
    <row r="5410" spans="2:21" x14ac:dyDescent="0.35">
      <c r="B5410" s="9"/>
      <c r="C5410" s="2"/>
      <c r="D5410" s="2"/>
      <c r="I5410" s="9"/>
      <c r="J5410" s="2"/>
      <c r="L5410" s="9"/>
      <c r="M5410" s="2"/>
      <c r="N5410" s="9"/>
      <c r="P5410" s="3">
        <v>-2860.169492</v>
      </c>
      <c r="S5410" s="9"/>
      <c r="T5410" s="2"/>
      <c r="U5410" s="9"/>
    </row>
    <row r="5411" spans="2:21" x14ac:dyDescent="0.35">
      <c r="B5411" s="9"/>
      <c r="C5411" s="2"/>
      <c r="D5411" s="2"/>
      <c r="I5411" s="9"/>
      <c r="J5411" s="2"/>
      <c r="L5411" s="9"/>
      <c r="M5411" s="2"/>
      <c r="N5411" s="9"/>
      <c r="P5411" s="3">
        <v>-2860.169492</v>
      </c>
      <c r="S5411" s="9"/>
      <c r="T5411" s="2"/>
      <c r="U5411" s="9"/>
    </row>
    <row r="5412" spans="2:21" x14ac:dyDescent="0.35">
      <c r="B5412" s="9"/>
      <c r="C5412" s="2"/>
      <c r="D5412" s="2"/>
      <c r="I5412" s="9"/>
      <c r="J5412" s="2"/>
      <c r="L5412" s="9"/>
      <c r="M5412" s="2"/>
      <c r="N5412" s="9"/>
      <c r="P5412" s="3">
        <v>-2860.169492</v>
      </c>
      <c r="S5412" s="9"/>
      <c r="T5412" s="2"/>
      <c r="U5412" s="9"/>
    </row>
    <row r="5413" spans="2:21" x14ac:dyDescent="0.35">
      <c r="B5413" s="9"/>
      <c r="C5413" s="2"/>
      <c r="D5413" s="2"/>
      <c r="I5413" s="9"/>
      <c r="J5413" s="2"/>
      <c r="L5413" s="9"/>
      <c r="M5413" s="2"/>
      <c r="N5413" s="9"/>
      <c r="P5413" s="3">
        <v>-2860.169492</v>
      </c>
      <c r="S5413" s="9"/>
      <c r="T5413" s="2"/>
      <c r="U5413" s="9"/>
    </row>
    <row r="5414" spans="2:21" x14ac:dyDescent="0.35">
      <c r="B5414" s="9"/>
      <c r="C5414" s="2"/>
      <c r="D5414" s="2"/>
      <c r="I5414" s="9"/>
      <c r="J5414" s="2"/>
      <c r="L5414" s="9"/>
      <c r="M5414" s="2"/>
      <c r="N5414" s="9"/>
      <c r="P5414" s="3">
        <v>-2860.169492</v>
      </c>
      <c r="S5414" s="9"/>
      <c r="T5414" s="2"/>
      <c r="U5414" s="9"/>
    </row>
    <row r="5415" spans="2:21" x14ac:dyDescent="0.35">
      <c r="B5415" s="9"/>
      <c r="C5415" s="2"/>
      <c r="D5415" s="2"/>
      <c r="I5415" s="9"/>
      <c r="J5415" s="2"/>
      <c r="L5415" s="9"/>
      <c r="M5415" s="2"/>
      <c r="N5415" s="9"/>
      <c r="P5415" s="3">
        <v>-2860.169492</v>
      </c>
      <c r="S5415" s="9"/>
      <c r="T5415" s="2"/>
      <c r="U5415" s="9"/>
    </row>
    <row r="5416" spans="2:21" x14ac:dyDescent="0.35">
      <c r="B5416" s="9"/>
      <c r="C5416" s="2"/>
      <c r="D5416" s="2"/>
      <c r="I5416" s="9"/>
      <c r="J5416" s="2"/>
      <c r="L5416" s="9"/>
      <c r="M5416" s="2"/>
      <c r="N5416" s="9"/>
      <c r="P5416" s="3">
        <v>-2425.4094919999998</v>
      </c>
      <c r="S5416" s="9"/>
      <c r="T5416" s="2"/>
      <c r="U5416" s="9"/>
    </row>
    <row r="5417" spans="2:21" x14ac:dyDescent="0.35">
      <c r="B5417" s="9"/>
      <c r="C5417" s="2"/>
      <c r="D5417" s="2"/>
      <c r="I5417" s="9"/>
      <c r="J5417" s="2"/>
      <c r="L5417" s="9"/>
      <c r="M5417" s="2"/>
      <c r="N5417" s="9"/>
      <c r="P5417" s="3">
        <v>-1990.649492</v>
      </c>
      <c r="S5417" s="9"/>
      <c r="T5417" s="2"/>
      <c r="U5417" s="9"/>
    </row>
    <row r="5418" spans="2:21" x14ac:dyDescent="0.35">
      <c r="B5418" s="9"/>
      <c r="C5418" s="2"/>
      <c r="D5418" s="2"/>
      <c r="I5418" s="9"/>
      <c r="J5418" s="2"/>
      <c r="L5418" s="9"/>
      <c r="M5418" s="2"/>
      <c r="N5418" s="9"/>
      <c r="P5418" s="3">
        <v>-1555.889492</v>
      </c>
      <c r="S5418" s="9"/>
      <c r="T5418" s="2"/>
      <c r="U5418" s="9"/>
    </row>
    <row r="5419" spans="2:21" x14ac:dyDescent="0.35">
      <c r="B5419" s="9"/>
      <c r="C5419" s="2"/>
      <c r="D5419" s="2"/>
      <c r="I5419" s="9"/>
      <c r="J5419" s="2"/>
      <c r="L5419" s="9"/>
      <c r="M5419" s="2"/>
      <c r="N5419" s="9"/>
      <c r="P5419" s="3">
        <v>-1121.129492</v>
      </c>
      <c r="S5419" s="9"/>
      <c r="T5419" s="2"/>
      <c r="U5419" s="9"/>
    </row>
    <row r="5420" spans="2:21" x14ac:dyDescent="0.35">
      <c r="B5420" s="9"/>
      <c r="C5420" s="2"/>
      <c r="D5420" s="2"/>
      <c r="I5420" s="9"/>
      <c r="J5420" s="2"/>
      <c r="L5420" s="9"/>
      <c r="M5420" s="2"/>
      <c r="N5420" s="9"/>
      <c r="P5420" s="3">
        <v>-1121.129492</v>
      </c>
      <c r="S5420" s="9"/>
      <c r="T5420" s="2"/>
      <c r="U5420" s="9"/>
    </row>
    <row r="5421" spans="2:21" x14ac:dyDescent="0.35">
      <c r="B5421" s="9"/>
      <c r="C5421" s="2"/>
      <c r="D5421" s="2"/>
      <c r="I5421" s="9"/>
      <c r="J5421" s="2"/>
      <c r="L5421" s="9"/>
      <c r="M5421" s="2"/>
      <c r="N5421" s="9"/>
      <c r="P5421" s="3">
        <v>-1555.889492</v>
      </c>
      <c r="S5421" s="9"/>
      <c r="T5421" s="2"/>
      <c r="U5421" s="9"/>
    </row>
    <row r="5422" spans="2:21" x14ac:dyDescent="0.35">
      <c r="B5422" s="9"/>
      <c r="C5422" s="2"/>
      <c r="D5422" s="2"/>
      <c r="I5422" s="9"/>
      <c r="J5422" s="2"/>
      <c r="L5422" s="9"/>
      <c r="M5422" s="2"/>
      <c r="N5422" s="9"/>
      <c r="P5422" s="3">
        <v>-1990.649492</v>
      </c>
      <c r="S5422" s="9"/>
      <c r="T5422" s="2"/>
      <c r="U5422" s="9"/>
    </row>
    <row r="5423" spans="2:21" x14ac:dyDescent="0.35">
      <c r="B5423" s="9"/>
      <c r="C5423" s="2"/>
      <c r="D5423" s="2"/>
      <c r="I5423" s="9"/>
      <c r="J5423" s="2"/>
      <c r="L5423" s="9"/>
      <c r="M5423" s="2"/>
      <c r="N5423" s="9"/>
      <c r="P5423" s="3">
        <v>-2425.4094919999998</v>
      </c>
      <c r="S5423" s="9"/>
      <c r="T5423" s="2"/>
      <c r="U5423" s="9"/>
    </row>
    <row r="5424" spans="2:21" x14ac:dyDescent="0.35">
      <c r="B5424" s="9"/>
      <c r="C5424" s="2"/>
      <c r="D5424" s="2"/>
      <c r="I5424" s="9"/>
      <c r="J5424" s="2"/>
      <c r="L5424" s="9"/>
      <c r="M5424" s="2"/>
      <c r="N5424" s="9"/>
      <c r="P5424" s="3">
        <v>-2860.169492</v>
      </c>
      <c r="S5424" s="9"/>
      <c r="T5424" s="2"/>
      <c r="U5424" s="9"/>
    </row>
    <row r="5425" spans="2:21" x14ac:dyDescent="0.35">
      <c r="B5425" s="9"/>
      <c r="C5425" s="2"/>
      <c r="D5425" s="2"/>
      <c r="I5425" s="9"/>
      <c r="J5425" s="2"/>
      <c r="L5425" s="9"/>
      <c r="M5425" s="2"/>
      <c r="N5425" s="9"/>
      <c r="P5425" s="3">
        <v>-2860.169492</v>
      </c>
      <c r="S5425" s="9"/>
      <c r="T5425" s="2"/>
      <c r="U5425" s="9"/>
    </row>
    <row r="5426" spans="2:21" x14ac:dyDescent="0.35">
      <c r="B5426" s="9"/>
      <c r="C5426" s="2"/>
      <c r="D5426" s="2"/>
      <c r="I5426" s="9"/>
      <c r="J5426" s="2"/>
      <c r="L5426" s="9"/>
      <c r="M5426" s="2"/>
      <c r="N5426" s="9"/>
      <c r="P5426" s="3">
        <v>-2860.169492</v>
      </c>
      <c r="S5426" s="9"/>
      <c r="T5426" s="2"/>
      <c r="U5426" s="9"/>
    </row>
    <row r="5427" spans="2:21" x14ac:dyDescent="0.35">
      <c r="B5427" s="9"/>
      <c r="C5427" s="2"/>
      <c r="D5427" s="2"/>
      <c r="I5427" s="9"/>
      <c r="J5427" s="2"/>
      <c r="L5427" s="9"/>
      <c r="M5427" s="2"/>
      <c r="N5427" s="9"/>
      <c r="P5427" s="3">
        <v>-2860.169492</v>
      </c>
      <c r="S5427" s="9"/>
      <c r="T5427" s="2"/>
      <c r="U5427" s="9"/>
    </row>
    <row r="5428" spans="2:21" x14ac:dyDescent="0.35">
      <c r="B5428" s="9"/>
      <c r="C5428" s="2"/>
      <c r="D5428" s="2"/>
      <c r="I5428" s="9"/>
      <c r="J5428" s="2"/>
      <c r="L5428" s="9"/>
      <c r="M5428" s="2"/>
      <c r="N5428" s="9"/>
      <c r="P5428" s="3">
        <v>-2860.169492</v>
      </c>
      <c r="S5428" s="9"/>
      <c r="T5428" s="2"/>
      <c r="U5428" s="9"/>
    </row>
    <row r="5429" spans="2:21" x14ac:dyDescent="0.35">
      <c r="B5429" s="9"/>
      <c r="C5429" s="2"/>
      <c r="D5429" s="2"/>
      <c r="I5429" s="9"/>
      <c r="J5429" s="2"/>
      <c r="L5429" s="9"/>
      <c r="M5429" s="2"/>
      <c r="N5429" s="9"/>
      <c r="P5429" s="3">
        <v>-2860.169492</v>
      </c>
      <c r="S5429" s="9"/>
      <c r="T5429" s="2"/>
      <c r="U5429" s="9"/>
    </row>
    <row r="5430" spans="2:21" x14ac:dyDescent="0.35">
      <c r="B5430" s="9"/>
      <c r="C5430" s="2"/>
      <c r="D5430" s="2"/>
      <c r="I5430" s="9"/>
      <c r="J5430" s="2"/>
      <c r="L5430" s="9"/>
      <c r="M5430" s="2"/>
      <c r="N5430" s="9"/>
      <c r="P5430" s="3">
        <v>-2860.169492</v>
      </c>
      <c r="S5430" s="9"/>
      <c r="T5430" s="2"/>
      <c r="U5430" s="9"/>
    </row>
    <row r="5431" spans="2:21" x14ac:dyDescent="0.35">
      <c r="B5431" s="9"/>
      <c r="C5431" s="2"/>
      <c r="D5431" s="2"/>
      <c r="I5431" s="9"/>
      <c r="J5431" s="2"/>
      <c r="L5431" s="9"/>
      <c r="M5431" s="2"/>
      <c r="N5431" s="9"/>
      <c r="P5431" s="3">
        <v>-2860.169492</v>
      </c>
      <c r="S5431" s="9"/>
      <c r="T5431" s="2"/>
      <c r="U5431" s="9"/>
    </row>
    <row r="5432" spans="2:21" x14ac:dyDescent="0.35">
      <c r="B5432" s="9"/>
      <c r="C5432" s="2"/>
      <c r="D5432" s="2"/>
      <c r="I5432" s="9"/>
      <c r="J5432" s="2"/>
      <c r="L5432" s="9"/>
      <c r="M5432" s="2"/>
      <c r="N5432" s="9"/>
      <c r="P5432" s="3">
        <v>-2860.169492</v>
      </c>
      <c r="S5432" s="9"/>
      <c r="T5432" s="2"/>
      <c r="U5432" s="9"/>
    </row>
    <row r="5433" spans="2:21" x14ac:dyDescent="0.35">
      <c r="B5433" s="9"/>
      <c r="C5433" s="2"/>
      <c r="D5433" s="2"/>
      <c r="I5433" s="9"/>
      <c r="J5433" s="2"/>
      <c r="L5433" s="9"/>
      <c r="M5433" s="2"/>
      <c r="N5433" s="9"/>
      <c r="P5433" s="3">
        <v>-2860.169492</v>
      </c>
      <c r="S5433" s="9"/>
      <c r="T5433" s="2"/>
      <c r="U5433" s="9"/>
    </row>
    <row r="5434" spans="2:21" x14ac:dyDescent="0.35">
      <c r="B5434" s="9"/>
      <c r="C5434" s="2"/>
      <c r="D5434" s="2"/>
      <c r="I5434" s="9"/>
      <c r="J5434" s="2"/>
      <c r="L5434" s="9"/>
      <c r="M5434" s="2"/>
      <c r="N5434" s="9"/>
      <c r="P5434" s="3">
        <v>-2860.169492</v>
      </c>
      <c r="S5434" s="9"/>
      <c r="T5434" s="2"/>
      <c r="U5434" s="9"/>
    </row>
    <row r="5435" spans="2:21" x14ac:dyDescent="0.35">
      <c r="B5435" s="9"/>
      <c r="C5435" s="2"/>
      <c r="D5435" s="2"/>
      <c r="I5435" s="9"/>
      <c r="J5435" s="2"/>
      <c r="L5435" s="9"/>
      <c r="M5435" s="2"/>
      <c r="N5435" s="9"/>
      <c r="P5435" s="3">
        <v>-2860.169492</v>
      </c>
      <c r="S5435" s="9"/>
      <c r="T5435" s="2"/>
      <c r="U5435" s="9"/>
    </row>
    <row r="5436" spans="2:21" x14ac:dyDescent="0.35">
      <c r="B5436" s="9"/>
      <c r="C5436" s="2"/>
      <c r="D5436" s="2"/>
      <c r="I5436" s="9"/>
      <c r="J5436" s="2"/>
      <c r="L5436" s="9"/>
      <c r="M5436" s="2"/>
      <c r="N5436" s="9"/>
      <c r="P5436" s="3">
        <v>-2860.169492</v>
      </c>
      <c r="S5436" s="9"/>
      <c r="T5436" s="2"/>
      <c r="U5436" s="9"/>
    </row>
    <row r="5437" spans="2:21" x14ac:dyDescent="0.35">
      <c r="B5437" s="9"/>
      <c r="C5437" s="2"/>
      <c r="D5437" s="2"/>
      <c r="I5437" s="9"/>
      <c r="J5437" s="2"/>
      <c r="L5437" s="9"/>
      <c r="M5437" s="2"/>
      <c r="N5437" s="9"/>
      <c r="P5437" s="3">
        <v>-2860.169492</v>
      </c>
      <c r="S5437" s="9"/>
      <c r="T5437" s="2"/>
      <c r="U5437" s="9"/>
    </row>
    <row r="5438" spans="2:21" x14ac:dyDescent="0.35">
      <c r="B5438" s="9"/>
      <c r="C5438" s="2"/>
      <c r="D5438" s="2"/>
      <c r="I5438" s="9"/>
      <c r="J5438" s="2"/>
      <c r="L5438" s="9"/>
      <c r="M5438" s="2"/>
      <c r="N5438" s="9"/>
      <c r="P5438" s="3">
        <v>-2860.169492</v>
      </c>
      <c r="S5438" s="9"/>
      <c r="T5438" s="2"/>
      <c r="U5438" s="9"/>
    </row>
    <row r="5439" spans="2:21" x14ac:dyDescent="0.35">
      <c r="B5439" s="9"/>
      <c r="C5439" s="2"/>
      <c r="D5439" s="2"/>
      <c r="I5439" s="9"/>
      <c r="J5439" s="2"/>
      <c r="L5439" s="9"/>
      <c r="M5439" s="2"/>
      <c r="N5439" s="9"/>
      <c r="P5439" s="3">
        <v>-2425.4094919999998</v>
      </c>
      <c r="S5439" s="9"/>
      <c r="T5439" s="2"/>
      <c r="U5439" s="9"/>
    </row>
    <row r="5440" spans="2:21" x14ac:dyDescent="0.35">
      <c r="B5440" s="9"/>
      <c r="C5440" s="2"/>
      <c r="D5440" s="2"/>
      <c r="I5440" s="9"/>
      <c r="J5440" s="2"/>
      <c r="L5440" s="9"/>
      <c r="M5440" s="2"/>
      <c r="N5440" s="9"/>
      <c r="P5440" s="3">
        <v>-1990.649492</v>
      </c>
      <c r="S5440" s="9"/>
      <c r="T5440" s="2"/>
      <c r="U5440" s="9"/>
    </row>
    <row r="5441" spans="2:21" x14ac:dyDescent="0.35">
      <c r="B5441" s="9"/>
      <c r="C5441" s="2"/>
      <c r="D5441" s="2"/>
      <c r="I5441" s="9"/>
      <c r="J5441" s="2"/>
      <c r="L5441" s="9"/>
      <c r="M5441" s="2"/>
      <c r="N5441" s="9"/>
      <c r="P5441" s="3">
        <v>-1555.889492</v>
      </c>
      <c r="S5441" s="9"/>
      <c r="T5441" s="2"/>
      <c r="U5441" s="9"/>
    </row>
    <row r="5442" spans="2:21" x14ac:dyDescent="0.35">
      <c r="B5442" s="9"/>
      <c r="C5442" s="2"/>
      <c r="D5442" s="2"/>
      <c r="I5442" s="9"/>
      <c r="J5442" s="2"/>
      <c r="L5442" s="9"/>
      <c r="M5442" s="2"/>
      <c r="N5442" s="9"/>
      <c r="P5442" s="3">
        <v>-1121.129492</v>
      </c>
      <c r="S5442" s="9"/>
      <c r="T5442" s="2"/>
      <c r="U5442" s="9"/>
    </row>
    <row r="5443" spans="2:21" x14ac:dyDescent="0.35">
      <c r="B5443" s="9"/>
      <c r="C5443" s="2"/>
      <c r="D5443" s="2"/>
      <c r="I5443" s="9"/>
      <c r="J5443" s="2"/>
      <c r="L5443" s="9"/>
      <c r="M5443" s="2"/>
      <c r="N5443" s="9"/>
      <c r="P5443" s="3">
        <v>-686.36949200000004</v>
      </c>
      <c r="S5443" s="9"/>
      <c r="T5443" s="2"/>
      <c r="U5443" s="9"/>
    </row>
    <row r="5444" spans="2:21" x14ac:dyDescent="0.35">
      <c r="B5444" s="9"/>
      <c r="C5444" s="2"/>
      <c r="D5444" s="2"/>
      <c r="I5444" s="9"/>
      <c r="J5444" s="2"/>
      <c r="L5444" s="9"/>
      <c r="M5444" s="2"/>
      <c r="N5444" s="9"/>
      <c r="P5444" s="3">
        <v>-1121.129492</v>
      </c>
      <c r="S5444" s="9"/>
      <c r="T5444" s="2"/>
      <c r="U5444" s="9"/>
    </row>
    <row r="5445" spans="2:21" x14ac:dyDescent="0.35">
      <c r="B5445" s="9"/>
      <c r="C5445" s="2"/>
      <c r="D5445" s="2"/>
      <c r="I5445" s="9"/>
      <c r="J5445" s="2"/>
      <c r="L5445" s="9"/>
      <c r="M5445" s="2"/>
      <c r="N5445" s="9"/>
      <c r="P5445" s="3">
        <v>-1555.889492</v>
      </c>
      <c r="S5445" s="9"/>
      <c r="T5445" s="2"/>
      <c r="U5445" s="9"/>
    </row>
    <row r="5446" spans="2:21" x14ac:dyDescent="0.35">
      <c r="B5446" s="9"/>
      <c r="C5446" s="2"/>
      <c r="D5446" s="2"/>
      <c r="I5446" s="9"/>
      <c r="J5446" s="2"/>
      <c r="L5446" s="9"/>
      <c r="M5446" s="2"/>
      <c r="N5446" s="9"/>
      <c r="P5446" s="3">
        <v>-1990.649492</v>
      </c>
      <c r="S5446" s="9"/>
      <c r="T5446" s="2"/>
      <c r="U5446" s="9"/>
    </row>
    <row r="5447" spans="2:21" x14ac:dyDescent="0.35">
      <c r="B5447" s="9"/>
      <c r="C5447" s="2"/>
      <c r="D5447" s="2"/>
      <c r="I5447" s="9"/>
      <c r="J5447" s="2"/>
      <c r="L5447" s="9"/>
      <c r="M5447" s="2"/>
      <c r="N5447" s="9"/>
      <c r="P5447" s="3">
        <v>-2425.4094919999998</v>
      </c>
      <c r="S5447" s="9"/>
      <c r="T5447" s="2"/>
      <c r="U5447" s="9"/>
    </row>
    <row r="5448" spans="2:21" x14ac:dyDescent="0.35">
      <c r="B5448" s="9"/>
      <c r="C5448" s="2"/>
      <c r="D5448" s="2"/>
      <c r="I5448" s="9"/>
      <c r="J5448" s="2"/>
      <c r="L5448" s="9"/>
      <c r="M5448" s="2"/>
      <c r="N5448" s="9"/>
      <c r="P5448" s="3">
        <v>-2860.169492</v>
      </c>
      <c r="S5448" s="9"/>
      <c r="T5448" s="2"/>
      <c r="U5448" s="9"/>
    </row>
    <row r="5449" spans="2:21" x14ac:dyDescent="0.35">
      <c r="B5449" s="9"/>
      <c r="C5449" s="2"/>
      <c r="D5449" s="2"/>
      <c r="I5449" s="9"/>
      <c r="J5449" s="2"/>
      <c r="L5449" s="9"/>
      <c r="M5449" s="2"/>
      <c r="N5449" s="9"/>
      <c r="P5449" s="3">
        <v>-2860.169492</v>
      </c>
      <c r="S5449" s="9"/>
      <c r="T5449" s="2"/>
      <c r="U5449" s="9"/>
    </row>
    <row r="5450" spans="2:21" x14ac:dyDescent="0.35">
      <c r="B5450" s="9"/>
      <c r="C5450" s="2"/>
      <c r="D5450" s="2"/>
      <c r="I5450" s="9"/>
      <c r="J5450" s="2"/>
      <c r="L5450" s="9"/>
      <c r="M5450" s="2"/>
      <c r="N5450" s="9"/>
      <c r="P5450" s="3">
        <v>-2860.169492</v>
      </c>
      <c r="S5450" s="9"/>
      <c r="T5450" s="2"/>
      <c r="U5450" s="9"/>
    </row>
    <row r="5451" spans="2:21" x14ac:dyDescent="0.35">
      <c r="B5451" s="9"/>
      <c r="C5451" s="2"/>
      <c r="D5451" s="2"/>
      <c r="I5451" s="9"/>
      <c r="J5451" s="2"/>
      <c r="L5451" s="9"/>
      <c r="M5451" s="2"/>
      <c r="N5451" s="9"/>
      <c r="P5451" s="3">
        <v>-2860.169492</v>
      </c>
      <c r="S5451" s="9"/>
      <c r="T5451" s="2"/>
      <c r="U5451" s="9"/>
    </row>
    <row r="5452" spans="2:21" x14ac:dyDescent="0.35">
      <c r="B5452" s="9"/>
      <c r="C5452" s="2"/>
      <c r="D5452" s="2"/>
      <c r="I5452" s="9"/>
      <c r="J5452" s="2"/>
      <c r="L5452" s="9"/>
      <c r="M5452" s="2"/>
      <c r="N5452" s="9"/>
      <c r="P5452" s="3">
        <v>-2860.169492</v>
      </c>
      <c r="S5452" s="9"/>
      <c r="T5452" s="2"/>
      <c r="U5452" s="9"/>
    </row>
    <row r="5453" spans="2:21" x14ac:dyDescent="0.35">
      <c r="B5453" s="9"/>
      <c r="C5453" s="2"/>
      <c r="D5453" s="2"/>
      <c r="I5453" s="9"/>
      <c r="J5453" s="2"/>
      <c r="L5453" s="9"/>
      <c r="M5453" s="2"/>
      <c r="N5453" s="9"/>
      <c r="P5453" s="3">
        <v>-2860.169492</v>
      </c>
      <c r="S5453" s="9"/>
      <c r="T5453" s="2"/>
      <c r="U5453" s="9"/>
    </row>
    <row r="5454" spans="2:21" x14ac:dyDescent="0.35">
      <c r="B5454" s="9"/>
      <c r="C5454" s="2"/>
      <c r="D5454" s="2"/>
      <c r="I5454" s="9"/>
      <c r="J5454" s="2"/>
      <c r="L5454" s="9"/>
      <c r="M5454" s="2"/>
      <c r="N5454" s="9"/>
      <c r="P5454" s="3">
        <v>-2860.169492</v>
      </c>
      <c r="S5454" s="9"/>
      <c r="T5454" s="2"/>
      <c r="U5454" s="9"/>
    </row>
    <row r="5455" spans="2:21" x14ac:dyDescent="0.35">
      <c r="B5455" s="9"/>
      <c r="C5455" s="2"/>
      <c r="D5455" s="2"/>
      <c r="I5455" s="9"/>
      <c r="J5455" s="2"/>
      <c r="L5455" s="9"/>
      <c r="M5455" s="2"/>
      <c r="N5455" s="9"/>
      <c r="P5455" s="3">
        <v>-2860.169492</v>
      </c>
      <c r="S5455" s="9"/>
      <c r="T5455" s="2"/>
      <c r="U5455" s="9"/>
    </row>
    <row r="5456" spans="2:21" x14ac:dyDescent="0.35">
      <c r="B5456" s="9"/>
      <c r="C5456" s="2"/>
      <c r="D5456" s="2"/>
      <c r="I5456" s="9"/>
      <c r="J5456" s="2"/>
      <c r="L5456" s="9"/>
      <c r="M5456" s="2"/>
      <c r="N5456" s="9"/>
      <c r="P5456" s="3">
        <v>-2860.169492</v>
      </c>
      <c r="S5456" s="9"/>
      <c r="T5456" s="2"/>
      <c r="U5456" s="9"/>
    </row>
    <row r="5457" spans="2:21" x14ac:dyDescent="0.35">
      <c r="B5457" s="9"/>
      <c r="C5457" s="2"/>
      <c r="D5457" s="2"/>
      <c r="I5457" s="9"/>
      <c r="J5457" s="2"/>
      <c r="L5457" s="9"/>
      <c r="M5457" s="2"/>
      <c r="N5457" s="9"/>
      <c r="P5457" s="3">
        <v>-2860.169492</v>
      </c>
      <c r="S5457" s="9"/>
      <c r="T5457" s="2"/>
      <c r="U5457" s="9"/>
    </row>
    <row r="5458" spans="2:21" x14ac:dyDescent="0.35">
      <c r="B5458" s="9"/>
      <c r="C5458" s="2"/>
      <c r="D5458" s="2"/>
      <c r="I5458" s="9"/>
      <c r="J5458" s="2"/>
      <c r="L5458" s="9"/>
      <c r="M5458" s="2"/>
      <c r="N5458" s="9"/>
      <c r="P5458" s="3">
        <v>-2860.169492</v>
      </c>
      <c r="S5458" s="9"/>
      <c r="T5458" s="2"/>
      <c r="U5458" s="9"/>
    </row>
    <row r="5459" spans="2:21" x14ac:dyDescent="0.35">
      <c r="B5459" s="9"/>
      <c r="C5459" s="2"/>
      <c r="D5459" s="2"/>
      <c r="I5459" s="9"/>
      <c r="J5459" s="2"/>
      <c r="L5459" s="9"/>
      <c r="M5459" s="2"/>
      <c r="N5459" s="9"/>
      <c r="P5459" s="3">
        <v>-2860.169492</v>
      </c>
      <c r="S5459" s="9"/>
      <c r="T5459" s="2"/>
      <c r="U5459" s="9"/>
    </row>
    <row r="5460" spans="2:21" x14ac:dyDescent="0.35">
      <c r="B5460" s="9"/>
      <c r="C5460" s="2"/>
      <c r="D5460" s="2"/>
      <c r="I5460" s="9"/>
      <c r="J5460" s="2"/>
      <c r="L5460" s="9"/>
      <c r="M5460" s="2"/>
      <c r="N5460" s="9"/>
      <c r="P5460" s="3">
        <v>-2860.169492</v>
      </c>
      <c r="S5460" s="9"/>
      <c r="T5460" s="2"/>
      <c r="U5460" s="9"/>
    </row>
    <row r="5461" spans="2:21" x14ac:dyDescent="0.35">
      <c r="B5461" s="9"/>
      <c r="C5461" s="2"/>
      <c r="D5461" s="2"/>
      <c r="I5461" s="9"/>
      <c r="J5461" s="2"/>
      <c r="L5461" s="9"/>
      <c r="M5461" s="2"/>
      <c r="N5461" s="9"/>
      <c r="P5461" s="3">
        <v>-2860.169492</v>
      </c>
      <c r="S5461" s="9"/>
      <c r="T5461" s="2"/>
      <c r="U5461" s="9"/>
    </row>
    <row r="5462" spans="2:21" x14ac:dyDescent="0.35">
      <c r="B5462" s="9"/>
      <c r="C5462" s="2"/>
      <c r="D5462" s="2"/>
      <c r="I5462" s="9"/>
      <c r="J5462" s="2"/>
      <c r="L5462" s="9"/>
      <c r="M5462" s="2"/>
      <c r="N5462" s="9"/>
      <c r="P5462" s="3">
        <v>-2860.169492</v>
      </c>
      <c r="S5462" s="9"/>
      <c r="T5462" s="2"/>
      <c r="U5462" s="9"/>
    </row>
    <row r="5463" spans="2:21" x14ac:dyDescent="0.35">
      <c r="B5463" s="9"/>
      <c r="C5463" s="2"/>
      <c r="D5463" s="2"/>
      <c r="I5463" s="9"/>
      <c r="J5463" s="2"/>
      <c r="L5463" s="9"/>
      <c r="M5463" s="2"/>
      <c r="N5463" s="9"/>
      <c r="P5463" s="3">
        <v>-2425.4094919999998</v>
      </c>
      <c r="S5463" s="9"/>
      <c r="T5463" s="2"/>
      <c r="U5463" s="9"/>
    </row>
    <row r="5464" spans="2:21" x14ac:dyDescent="0.35">
      <c r="B5464" s="9"/>
      <c r="C5464" s="2"/>
      <c r="D5464" s="2"/>
      <c r="I5464" s="9"/>
      <c r="J5464" s="2"/>
      <c r="L5464" s="9"/>
      <c r="M5464" s="2"/>
      <c r="N5464" s="9"/>
      <c r="P5464" s="3">
        <v>-1990.649492</v>
      </c>
      <c r="S5464" s="9"/>
      <c r="T5464" s="2"/>
      <c r="U5464" s="9"/>
    </row>
    <row r="5465" spans="2:21" x14ac:dyDescent="0.35">
      <c r="B5465" s="9"/>
      <c r="C5465" s="2"/>
      <c r="D5465" s="2"/>
      <c r="I5465" s="9"/>
      <c r="J5465" s="2"/>
      <c r="L5465" s="9"/>
      <c r="M5465" s="2"/>
      <c r="N5465" s="9"/>
      <c r="P5465" s="3">
        <v>-1555.889492</v>
      </c>
      <c r="S5465" s="9"/>
      <c r="T5465" s="2"/>
      <c r="U5465" s="9"/>
    </row>
    <row r="5466" spans="2:21" x14ac:dyDescent="0.35">
      <c r="B5466" s="9"/>
      <c r="C5466" s="2"/>
      <c r="D5466" s="2"/>
      <c r="I5466" s="9"/>
      <c r="J5466" s="2"/>
      <c r="L5466" s="9"/>
      <c r="M5466" s="2"/>
      <c r="N5466" s="9"/>
      <c r="P5466" s="3">
        <v>-1121.129492</v>
      </c>
      <c r="S5466" s="9"/>
      <c r="T5466" s="2"/>
      <c r="U5466" s="9"/>
    </row>
    <row r="5467" spans="2:21" x14ac:dyDescent="0.35">
      <c r="B5467" s="9"/>
      <c r="C5467" s="2"/>
      <c r="D5467" s="2"/>
      <c r="I5467" s="9"/>
      <c r="J5467" s="2"/>
      <c r="L5467" s="9"/>
      <c r="M5467" s="2"/>
      <c r="N5467" s="9"/>
      <c r="P5467" s="3">
        <v>-773.77784792</v>
      </c>
      <c r="S5467" s="9"/>
      <c r="T5467" s="2"/>
      <c r="U5467" s="9"/>
    </row>
    <row r="5468" spans="2:21" x14ac:dyDescent="0.35">
      <c r="B5468" s="9"/>
      <c r="C5468" s="2"/>
      <c r="D5468" s="2"/>
      <c r="I5468" s="9"/>
      <c r="J5468" s="2"/>
      <c r="L5468" s="9"/>
      <c r="M5468" s="2"/>
      <c r="N5468" s="9"/>
      <c r="P5468" s="3">
        <v>-1208.5378479200001</v>
      </c>
      <c r="S5468" s="9"/>
      <c r="T5468" s="2"/>
      <c r="U5468" s="9"/>
    </row>
    <row r="5469" spans="2:21" x14ac:dyDescent="0.35">
      <c r="B5469" s="9"/>
      <c r="C5469" s="2"/>
      <c r="D5469" s="2"/>
      <c r="I5469" s="9"/>
      <c r="J5469" s="2"/>
      <c r="L5469" s="9"/>
      <c r="M5469" s="2"/>
      <c r="N5469" s="9"/>
      <c r="P5469" s="3">
        <v>-1643.2978479200001</v>
      </c>
      <c r="S5469" s="9"/>
      <c r="T5469" s="2"/>
      <c r="U5469" s="9"/>
    </row>
    <row r="5470" spans="2:21" x14ac:dyDescent="0.35">
      <c r="B5470" s="9"/>
      <c r="C5470" s="2"/>
      <c r="D5470" s="2"/>
      <c r="I5470" s="9"/>
      <c r="J5470" s="2"/>
      <c r="L5470" s="9"/>
      <c r="M5470" s="2"/>
      <c r="N5470" s="9"/>
      <c r="P5470" s="3">
        <v>-2078.0578479199999</v>
      </c>
      <c r="S5470" s="9"/>
      <c r="T5470" s="2"/>
      <c r="U5470" s="9"/>
    </row>
    <row r="5471" spans="2:21" x14ac:dyDescent="0.35">
      <c r="B5471" s="9"/>
      <c r="C5471" s="2"/>
      <c r="D5471" s="2"/>
      <c r="I5471" s="9"/>
      <c r="J5471" s="2"/>
      <c r="L5471" s="9"/>
      <c r="M5471" s="2"/>
      <c r="N5471" s="9"/>
      <c r="P5471" s="3">
        <v>-2512.8178479200001</v>
      </c>
      <c r="S5471" s="9"/>
      <c r="T5471" s="2"/>
      <c r="U5471" s="9"/>
    </row>
    <row r="5472" spans="2:21" x14ac:dyDescent="0.35">
      <c r="B5472" s="9"/>
      <c r="C5472" s="2"/>
      <c r="D5472" s="2"/>
      <c r="I5472" s="9"/>
      <c r="J5472" s="2"/>
      <c r="L5472" s="9"/>
      <c r="M5472" s="2"/>
      <c r="N5472" s="9"/>
      <c r="P5472" s="3">
        <v>-2860.169492</v>
      </c>
      <c r="S5472" s="9"/>
      <c r="T5472" s="2"/>
      <c r="U5472" s="9"/>
    </row>
    <row r="5473" spans="2:21" x14ac:dyDescent="0.35">
      <c r="B5473" s="9"/>
      <c r="C5473" s="2"/>
      <c r="D5473" s="2"/>
      <c r="I5473" s="9"/>
      <c r="J5473" s="2"/>
      <c r="L5473" s="9"/>
      <c r="M5473" s="2"/>
      <c r="N5473" s="9"/>
      <c r="P5473" s="3">
        <v>-2860.169492</v>
      </c>
      <c r="S5473" s="9"/>
      <c r="T5473" s="2"/>
      <c r="U5473" s="9"/>
    </row>
    <row r="5474" spans="2:21" x14ac:dyDescent="0.35">
      <c r="B5474" s="9"/>
      <c r="C5474" s="2"/>
      <c r="D5474" s="2"/>
      <c r="I5474" s="9"/>
      <c r="J5474" s="2"/>
      <c r="L5474" s="9"/>
      <c r="M5474" s="2"/>
      <c r="N5474" s="9"/>
      <c r="P5474" s="3">
        <v>-2860.169492</v>
      </c>
      <c r="S5474" s="9"/>
      <c r="T5474" s="2"/>
      <c r="U5474" s="9"/>
    </row>
    <row r="5475" spans="2:21" x14ac:dyDescent="0.35">
      <c r="B5475" s="9"/>
      <c r="C5475" s="2"/>
      <c r="D5475" s="2"/>
      <c r="I5475" s="9"/>
      <c r="J5475" s="2"/>
      <c r="L5475" s="9"/>
      <c r="M5475" s="2"/>
      <c r="N5475" s="9"/>
      <c r="P5475" s="3">
        <v>-2860.169492</v>
      </c>
      <c r="S5475" s="9"/>
      <c r="T5475" s="2"/>
      <c r="U5475" s="9"/>
    </row>
    <row r="5476" spans="2:21" x14ac:dyDescent="0.35">
      <c r="B5476" s="9"/>
      <c r="C5476" s="2"/>
      <c r="D5476" s="2"/>
      <c r="I5476" s="9"/>
      <c r="J5476" s="2"/>
      <c r="L5476" s="9"/>
      <c r="M5476" s="2"/>
      <c r="N5476" s="9"/>
      <c r="P5476" s="3">
        <v>-2860.169492</v>
      </c>
      <c r="S5476" s="9"/>
      <c r="T5476" s="2"/>
      <c r="U5476" s="9"/>
    </row>
    <row r="5477" spans="2:21" x14ac:dyDescent="0.35">
      <c r="B5477" s="9"/>
      <c r="C5477" s="2"/>
      <c r="D5477" s="2"/>
      <c r="I5477" s="9"/>
      <c r="J5477" s="2"/>
      <c r="L5477" s="9"/>
      <c r="M5477" s="2"/>
      <c r="N5477" s="9"/>
      <c r="P5477" s="3">
        <v>-2860.169492</v>
      </c>
      <c r="S5477" s="9"/>
      <c r="T5477" s="2"/>
      <c r="U5477" s="9"/>
    </row>
    <row r="5478" spans="2:21" x14ac:dyDescent="0.35">
      <c r="B5478" s="9"/>
      <c r="C5478" s="2"/>
      <c r="D5478" s="2"/>
      <c r="I5478" s="9"/>
      <c r="J5478" s="2"/>
      <c r="L5478" s="9"/>
      <c r="M5478" s="2"/>
      <c r="N5478" s="9"/>
      <c r="P5478" s="3">
        <v>-2860.169492</v>
      </c>
      <c r="S5478" s="9"/>
      <c r="T5478" s="2"/>
      <c r="U5478" s="9"/>
    </row>
    <row r="5479" spans="2:21" x14ac:dyDescent="0.35">
      <c r="B5479" s="9"/>
      <c r="C5479" s="2"/>
      <c r="D5479" s="2"/>
      <c r="I5479" s="9"/>
      <c r="J5479" s="2"/>
      <c r="L5479" s="9"/>
      <c r="M5479" s="2"/>
      <c r="N5479" s="9"/>
      <c r="P5479" s="3">
        <v>-2860.169492</v>
      </c>
      <c r="S5479" s="9"/>
      <c r="T5479" s="2"/>
      <c r="U5479" s="9"/>
    </row>
    <row r="5480" spans="2:21" x14ac:dyDescent="0.35">
      <c r="B5480" s="9"/>
      <c r="C5480" s="2"/>
      <c r="D5480" s="2"/>
      <c r="I5480" s="9"/>
      <c r="J5480" s="2"/>
      <c r="L5480" s="9"/>
      <c r="M5480" s="2"/>
      <c r="N5480" s="9"/>
      <c r="P5480" s="3">
        <v>-2860.169492</v>
      </c>
      <c r="S5480" s="9"/>
      <c r="T5480" s="2"/>
      <c r="U5480" s="9"/>
    </row>
    <row r="5481" spans="2:21" x14ac:dyDescent="0.35">
      <c r="B5481" s="9"/>
      <c r="C5481" s="2"/>
      <c r="D5481" s="2"/>
      <c r="I5481" s="9"/>
      <c r="J5481" s="2"/>
      <c r="L5481" s="9"/>
      <c r="M5481" s="2"/>
      <c r="N5481" s="9"/>
      <c r="P5481" s="3">
        <v>-2860.169492</v>
      </c>
      <c r="S5481" s="9"/>
      <c r="T5481" s="2"/>
      <c r="U5481" s="9"/>
    </row>
    <row r="5482" spans="2:21" x14ac:dyDescent="0.35">
      <c r="B5482" s="9"/>
      <c r="C5482" s="2"/>
      <c r="D5482" s="2"/>
      <c r="I5482" s="9"/>
      <c r="J5482" s="2"/>
      <c r="L5482" s="9"/>
      <c r="M5482" s="2"/>
      <c r="N5482" s="9"/>
      <c r="P5482" s="3">
        <v>-2860.169492</v>
      </c>
      <c r="S5482" s="9"/>
      <c r="T5482" s="2"/>
      <c r="U5482" s="9"/>
    </row>
    <row r="5483" spans="2:21" x14ac:dyDescent="0.35">
      <c r="B5483" s="9"/>
      <c r="C5483" s="2"/>
      <c r="D5483" s="2"/>
      <c r="I5483" s="9"/>
      <c r="J5483" s="2"/>
      <c r="L5483" s="9"/>
      <c r="M5483" s="2"/>
      <c r="N5483" s="9"/>
      <c r="P5483" s="3">
        <v>-2860.169492</v>
      </c>
      <c r="S5483" s="9"/>
      <c r="T5483" s="2"/>
      <c r="U5483" s="9"/>
    </row>
    <row r="5484" spans="2:21" x14ac:dyDescent="0.35">
      <c r="B5484" s="9"/>
      <c r="C5484" s="2"/>
      <c r="D5484" s="2"/>
      <c r="I5484" s="9"/>
      <c r="J5484" s="2"/>
      <c r="L5484" s="9"/>
      <c r="M5484" s="2"/>
      <c r="N5484" s="9"/>
      <c r="P5484" s="3">
        <v>-2860.169492</v>
      </c>
      <c r="S5484" s="9"/>
      <c r="T5484" s="2"/>
      <c r="U5484" s="9"/>
    </row>
    <row r="5485" spans="2:21" x14ac:dyDescent="0.35">
      <c r="B5485" s="9"/>
      <c r="C5485" s="2"/>
      <c r="D5485" s="2"/>
      <c r="I5485" s="9"/>
      <c r="J5485" s="2"/>
      <c r="L5485" s="9"/>
      <c r="M5485" s="2"/>
      <c r="N5485" s="9"/>
      <c r="P5485" s="3">
        <v>-2860.169492</v>
      </c>
      <c r="S5485" s="9"/>
      <c r="T5485" s="2"/>
      <c r="U5485" s="9"/>
    </row>
    <row r="5486" spans="2:21" x14ac:dyDescent="0.35">
      <c r="B5486" s="9"/>
      <c r="C5486" s="2"/>
      <c r="D5486" s="2"/>
      <c r="I5486" s="9"/>
      <c r="J5486" s="2"/>
      <c r="L5486" s="9"/>
      <c r="M5486" s="2"/>
      <c r="N5486" s="9"/>
      <c r="P5486" s="3">
        <v>-2860.169492</v>
      </c>
      <c r="S5486" s="9"/>
      <c r="T5486" s="2"/>
      <c r="U5486" s="9"/>
    </row>
    <row r="5487" spans="2:21" x14ac:dyDescent="0.35">
      <c r="B5487" s="9"/>
      <c r="C5487" s="2"/>
      <c r="D5487" s="2"/>
      <c r="I5487" s="9"/>
      <c r="J5487" s="2"/>
      <c r="L5487" s="9"/>
      <c r="M5487" s="2"/>
      <c r="N5487" s="9"/>
      <c r="P5487" s="3">
        <v>-2860.169492</v>
      </c>
      <c r="S5487" s="9"/>
      <c r="T5487" s="2"/>
      <c r="U5487" s="9"/>
    </row>
    <row r="5488" spans="2:21" x14ac:dyDescent="0.35">
      <c r="B5488" s="9"/>
      <c r="C5488" s="2"/>
      <c r="D5488" s="2"/>
      <c r="I5488" s="9"/>
      <c r="J5488" s="2"/>
      <c r="L5488" s="9"/>
      <c r="M5488" s="2"/>
      <c r="N5488" s="9"/>
      <c r="P5488" s="3">
        <v>-2425.4094919999998</v>
      </c>
      <c r="S5488" s="9"/>
      <c r="T5488" s="2"/>
      <c r="U5488" s="9"/>
    </row>
    <row r="5489" spans="2:21" x14ac:dyDescent="0.35">
      <c r="B5489" s="9"/>
      <c r="C5489" s="2"/>
      <c r="D5489" s="2"/>
      <c r="I5489" s="9"/>
      <c r="J5489" s="2"/>
      <c r="L5489" s="9"/>
      <c r="M5489" s="2"/>
      <c r="N5489" s="9"/>
      <c r="P5489" s="3">
        <v>-1990.649492</v>
      </c>
      <c r="S5489" s="9"/>
      <c r="T5489" s="2"/>
      <c r="U5489" s="9"/>
    </row>
    <row r="5490" spans="2:21" x14ac:dyDescent="0.35">
      <c r="B5490" s="9"/>
      <c r="C5490" s="2"/>
      <c r="D5490" s="2"/>
      <c r="I5490" s="9"/>
      <c r="J5490" s="2"/>
      <c r="L5490" s="9"/>
      <c r="M5490" s="2"/>
      <c r="N5490" s="9"/>
      <c r="P5490" s="3">
        <v>-1555.889492</v>
      </c>
      <c r="S5490" s="9"/>
      <c r="T5490" s="2"/>
      <c r="U5490" s="9"/>
    </row>
    <row r="5491" spans="2:21" x14ac:dyDescent="0.35">
      <c r="B5491" s="9"/>
      <c r="C5491" s="2"/>
      <c r="D5491" s="2"/>
      <c r="I5491" s="9"/>
      <c r="J5491" s="2"/>
      <c r="L5491" s="9"/>
      <c r="M5491" s="2"/>
      <c r="N5491" s="9"/>
      <c r="P5491" s="3">
        <v>-1121.129492</v>
      </c>
      <c r="S5491" s="9"/>
      <c r="T5491" s="2"/>
      <c r="U5491" s="9"/>
    </row>
    <row r="5492" spans="2:21" x14ac:dyDescent="0.35">
      <c r="B5492" s="9"/>
      <c r="C5492" s="2"/>
      <c r="D5492" s="2"/>
      <c r="I5492" s="9"/>
      <c r="J5492" s="2"/>
      <c r="L5492" s="9"/>
      <c r="M5492" s="2"/>
      <c r="N5492" s="9"/>
      <c r="P5492" s="3">
        <v>-1121.129492</v>
      </c>
      <c r="S5492" s="9"/>
      <c r="T5492" s="2"/>
      <c r="U5492" s="9"/>
    </row>
    <row r="5493" spans="2:21" x14ac:dyDescent="0.35">
      <c r="B5493" s="9"/>
      <c r="C5493" s="2"/>
      <c r="D5493" s="2"/>
      <c r="I5493" s="9"/>
      <c r="J5493" s="2"/>
      <c r="L5493" s="9"/>
      <c r="M5493" s="2"/>
      <c r="N5493" s="9"/>
      <c r="P5493" s="3">
        <v>-1555.889492</v>
      </c>
      <c r="S5493" s="9"/>
      <c r="T5493" s="2"/>
      <c r="U5493" s="9"/>
    </row>
    <row r="5494" spans="2:21" x14ac:dyDescent="0.35">
      <c r="B5494" s="9"/>
      <c r="C5494" s="2"/>
      <c r="D5494" s="2"/>
      <c r="I5494" s="9"/>
      <c r="J5494" s="2"/>
      <c r="L5494" s="9"/>
      <c r="M5494" s="2"/>
      <c r="N5494" s="9"/>
      <c r="P5494" s="3">
        <v>-1990.649492</v>
      </c>
      <c r="S5494" s="9"/>
      <c r="T5494" s="2"/>
      <c r="U5494" s="9"/>
    </row>
    <row r="5495" spans="2:21" x14ac:dyDescent="0.35">
      <c r="B5495" s="9"/>
      <c r="C5495" s="2"/>
      <c r="D5495" s="2"/>
      <c r="I5495" s="9"/>
      <c r="J5495" s="2"/>
      <c r="L5495" s="9"/>
      <c r="M5495" s="2"/>
      <c r="N5495" s="9"/>
      <c r="P5495" s="3">
        <v>-2425.4094919999998</v>
      </c>
      <c r="S5495" s="9"/>
      <c r="T5495" s="2"/>
      <c r="U5495" s="9"/>
    </row>
    <row r="5496" spans="2:21" x14ac:dyDescent="0.35">
      <c r="B5496" s="9"/>
      <c r="C5496" s="2"/>
      <c r="D5496" s="2"/>
      <c r="I5496" s="9"/>
      <c r="J5496" s="2"/>
      <c r="L5496" s="9"/>
      <c r="M5496" s="2"/>
      <c r="N5496" s="9"/>
      <c r="P5496" s="3">
        <v>-2860.169492</v>
      </c>
      <c r="S5496" s="9"/>
      <c r="T5496" s="2"/>
      <c r="U5496" s="9"/>
    </row>
    <row r="5497" spans="2:21" x14ac:dyDescent="0.35">
      <c r="B5497" s="9"/>
      <c r="C5497" s="2"/>
      <c r="D5497" s="2"/>
      <c r="I5497" s="9"/>
      <c r="J5497" s="2"/>
      <c r="L5497" s="9"/>
      <c r="M5497" s="2"/>
      <c r="N5497" s="9"/>
      <c r="P5497" s="3">
        <v>-2860.169492</v>
      </c>
      <c r="S5497" s="9"/>
      <c r="T5497" s="2"/>
      <c r="U5497" s="9"/>
    </row>
    <row r="5498" spans="2:21" x14ac:dyDescent="0.35">
      <c r="B5498" s="9"/>
      <c r="C5498" s="2"/>
      <c r="D5498" s="2"/>
      <c r="I5498" s="9"/>
      <c r="J5498" s="2"/>
      <c r="L5498" s="9"/>
      <c r="M5498" s="2"/>
      <c r="N5498" s="9"/>
      <c r="P5498" s="3">
        <v>-2860.169492</v>
      </c>
      <c r="S5498" s="9"/>
      <c r="T5498" s="2"/>
      <c r="U5498" s="9"/>
    </row>
    <row r="5499" spans="2:21" x14ac:dyDescent="0.35">
      <c r="B5499" s="9"/>
      <c r="C5499" s="2"/>
      <c r="D5499" s="2"/>
      <c r="I5499" s="9"/>
      <c r="J5499" s="2"/>
      <c r="L5499" s="9"/>
      <c r="M5499" s="2"/>
      <c r="N5499" s="9"/>
      <c r="P5499" s="3">
        <v>-2707.5172783899998</v>
      </c>
      <c r="S5499" s="9"/>
      <c r="T5499" s="2"/>
      <c r="U5499" s="9"/>
    </row>
    <row r="5500" spans="2:21" x14ac:dyDescent="0.35">
      <c r="B5500" s="9"/>
      <c r="C5500" s="2"/>
      <c r="D5500" s="2"/>
      <c r="I5500" s="9"/>
      <c r="J5500" s="2"/>
      <c r="L5500" s="9"/>
      <c r="M5500" s="2"/>
      <c r="N5500" s="9"/>
      <c r="P5500" s="3">
        <v>-2272.75727839</v>
      </c>
      <c r="S5500" s="9"/>
      <c r="T5500" s="2"/>
      <c r="U5500" s="9"/>
    </row>
    <row r="5501" spans="2:21" x14ac:dyDescent="0.35">
      <c r="B5501" s="9"/>
      <c r="C5501" s="2"/>
      <c r="D5501" s="2"/>
      <c r="I5501" s="9"/>
      <c r="J5501" s="2"/>
      <c r="L5501" s="9"/>
      <c r="M5501" s="2"/>
      <c r="N5501" s="9"/>
      <c r="P5501" s="3">
        <v>-1837.99727839</v>
      </c>
      <c r="S5501" s="9"/>
      <c r="T5501" s="2"/>
      <c r="U5501" s="9"/>
    </row>
    <row r="5502" spans="2:21" x14ac:dyDescent="0.35">
      <c r="B5502" s="9"/>
      <c r="C5502" s="2"/>
      <c r="D5502" s="2"/>
      <c r="I5502" s="9"/>
      <c r="J5502" s="2"/>
      <c r="L5502" s="9"/>
      <c r="M5502" s="2"/>
      <c r="N5502" s="9"/>
      <c r="P5502" s="3">
        <v>-1403.23727839</v>
      </c>
      <c r="S5502" s="9"/>
      <c r="T5502" s="2"/>
      <c r="U5502" s="9"/>
    </row>
    <row r="5503" spans="2:21" x14ac:dyDescent="0.35">
      <c r="B5503" s="9"/>
      <c r="C5503" s="2"/>
      <c r="D5503" s="2"/>
      <c r="I5503" s="9"/>
      <c r="J5503" s="2"/>
      <c r="L5503" s="9"/>
      <c r="M5503" s="2"/>
      <c r="N5503" s="9"/>
      <c r="P5503" s="3">
        <v>-968.47727839000004</v>
      </c>
      <c r="S5503" s="9"/>
      <c r="T5503" s="2"/>
      <c r="U5503" s="9"/>
    </row>
    <row r="5504" spans="2:21" x14ac:dyDescent="0.35">
      <c r="B5504" s="9"/>
      <c r="C5504" s="2"/>
      <c r="D5504" s="2"/>
      <c r="I5504" s="9"/>
      <c r="J5504" s="2"/>
      <c r="L5504" s="9"/>
      <c r="M5504" s="2"/>
      <c r="N5504" s="9"/>
      <c r="P5504" s="3">
        <v>-562.21598839000001</v>
      </c>
      <c r="S5504" s="9"/>
      <c r="T5504" s="2"/>
      <c r="U5504" s="9"/>
    </row>
    <row r="5505" spans="2:21" x14ac:dyDescent="0.35">
      <c r="B5505" s="9"/>
      <c r="C5505" s="2"/>
      <c r="D5505" s="2"/>
      <c r="I5505" s="9"/>
      <c r="J5505" s="2"/>
      <c r="L5505" s="9"/>
      <c r="M5505" s="2"/>
      <c r="N5505" s="9"/>
      <c r="P5505" s="3">
        <v>-179.81282838999999</v>
      </c>
      <c r="S5505" s="9"/>
      <c r="T5505" s="2"/>
      <c r="U5505" s="9"/>
    </row>
    <row r="5506" spans="2:21" x14ac:dyDescent="0.35">
      <c r="B5506" s="9"/>
      <c r="C5506" s="2"/>
      <c r="D5506" s="2"/>
      <c r="I5506" s="9"/>
      <c r="J5506" s="2"/>
      <c r="L5506" s="9"/>
      <c r="M5506" s="2"/>
      <c r="N5506" s="9"/>
      <c r="P5506" s="3">
        <v>110.81786160999999</v>
      </c>
      <c r="S5506" s="9"/>
      <c r="T5506" s="2"/>
      <c r="U5506" s="9"/>
    </row>
    <row r="5507" spans="2:21" x14ac:dyDescent="0.35">
      <c r="B5507" s="9"/>
      <c r="C5507" s="2"/>
      <c r="D5507" s="2"/>
      <c r="I5507" s="9"/>
      <c r="J5507" s="2"/>
      <c r="L5507" s="9"/>
      <c r="M5507" s="2"/>
      <c r="N5507" s="9"/>
      <c r="P5507" s="3">
        <v>351.83091160999999</v>
      </c>
      <c r="S5507" s="9"/>
      <c r="T5507" s="2"/>
      <c r="U5507" s="9"/>
    </row>
    <row r="5508" spans="2:21" x14ac:dyDescent="0.35">
      <c r="B5508" s="9"/>
      <c r="C5508" s="2"/>
      <c r="D5508" s="2"/>
      <c r="I5508" s="9"/>
      <c r="J5508" s="2"/>
      <c r="L5508" s="9"/>
      <c r="M5508" s="2"/>
      <c r="N5508" s="9"/>
      <c r="P5508" s="3">
        <v>522.48154161000002</v>
      </c>
      <c r="S5508" s="9"/>
      <c r="T5508" s="2"/>
      <c r="U5508" s="9"/>
    </row>
    <row r="5509" spans="2:21" x14ac:dyDescent="0.35">
      <c r="B5509" s="9"/>
      <c r="C5509" s="2"/>
      <c r="D5509" s="2"/>
      <c r="I5509" s="9"/>
      <c r="J5509" s="2"/>
      <c r="L5509" s="9"/>
      <c r="M5509" s="2"/>
      <c r="N5509" s="9"/>
      <c r="P5509" s="3">
        <v>292.34924160999998</v>
      </c>
      <c r="S5509" s="9"/>
      <c r="T5509" s="2"/>
      <c r="U5509" s="9"/>
    </row>
    <row r="5510" spans="2:21" x14ac:dyDescent="0.35">
      <c r="B5510" s="9"/>
      <c r="C5510" s="2"/>
      <c r="D5510" s="2"/>
      <c r="I5510" s="9"/>
      <c r="J5510" s="2"/>
      <c r="L5510" s="9"/>
      <c r="M5510" s="2"/>
      <c r="N5510" s="9"/>
      <c r="P5510" s="3">
        <v>-142.41075839000001</v>
      </c>
      <c r="S5510" s="9"/>
      <c r="T5510" s="2"/>
      <c r="U5510" s="9"/>
    </row>
    <row r="5511" spans="2:21" x14ac:dyDescent="0.35">
      <c r="B5511" s="9"/>
      <c r="C5511" s="2"/>
      <c r="D5511" s="2"/>
      <c r="I5511" s="9"/>
      <c r="J5511" s="2"/>
      <c r="L5511" s="9"/>
      <c r="M5511" s="2"/>
      <c r="N5511" s="9"/>
      <c r="P5511" s="3">
        <v>-577.17075838999995</v>
      </c>
      <c r="S5511" s="9"/>
      <c r="T5511" s="2"/>
      <c r="U5511" s="9"/>
    </row>
    <row r="5512" spans="2:21" x14ac:dyDescent="0.35">
      <c r="B5512" s="9"/>
      <c r="C5512" s="2"/>
      <c r="D5512" s="2"/>
      <c r="I5512" s="9"/>
      <c r="J5512" s="2"/>
      <c r="L5512" s="9"/>
      <c r="M5512" s="2"/>
      <c r="N5512" s="9"/>
      <c r="P5512" s="3">
        <v>-142.41075839000001</v>
      </c>
      <c r="S5512" s="9"/>
      <c r="T5512" s="2"/>
      <c r="U5512" s="9"/>
    </row>
    <row r="5513" spans="2:21" x14ac:dyDescent="0.35">
      <c r="B5513" s="9"/>
      <c r="C5513" s="2"/>
      <c r="D5513" s="2"/>
      <c r="I5513" s="9"/>
      <c r="J5513" s="2"/>
      <c r="L5513" s="9"/>
      <c r="M5513" s="2"/>
      <c r="N5513" s="9"/>
      <c r="P5513" s="3">
        <v>0</v>
      </c>
      <c r="S5513" s="9"/>
      <c r="T5513" s="2"/>
      <c r="U5513" s="9"/>
    </row>
    <row r="5514" spans="2:21" x14ac:dyDescent="0.35">
      <c r="B5514" s="9"/>
      <c r="C5514" s="2"/>
      <c r="D5514" s="2"/>
      <c r="I5514" s="9"/>
      <c r="J5514" s="2"/>
      <c r="L5514" s="9"/>
      <c r="M5514" s="2"/>
      <c r="N5514" s="9"/>
      <c r="P5514" s="3">
        <v>0</v>
      </c>
      <c r="S5514" s="9"/>
      <c r="T5514" s="2"/>
      <c r="U5514" s="9"/>
    </row>
    <row r="5515" spans="2:21" x14ac:dyDescent="0.35">
      <c r="B5515" s="9"/>
      <c r="C5515" s="2"/>
      <c r="D5515" s="2"/>
      <c r="I5515" s="9"/>
      <c r="J5515" s="2"/>
      <c r="L5515" s="9"/>
      <c r="M5515" s="2"/>
      <c r="N5515" s="9"/>
      <c r="P5515" s="3">
        <v>0</v>
      </c>
      <c r="S5515" s="9"/>
      <c r="T5515" s="2"/>
      <c r="U5515" s="9"/>
    </row>
    <row r="5516" spans="2:21" x14ac:dyDescent="0.35">
      <c r="B5516" s="9"/>
      <c r="C5516" s="2"/>
      <c r="D5516" s="2"/>
      <c r="I5516" s="9"/>
      <c r="J5516" s="2"/>
      <c r="L5516" s="9"/>
      <c r="M5516" s="2"/>
      <c r="N5516" s="9"/>
      <c r="P5516" s="3">
        <v>0</v>
      </c>
      <c r="S5516" s="9"/>
      <c r="T5516" s="2"/>
      <c r="U5516" s="9"/>
    </row>
    <row r="5517" spans="2:21" x14ac:dyDescent="0.35">
      <c r="B5517" s="9"/>
      <c r="C5517" s="2"/>
      <c r="D5517" s="2"/>
      <c r="I5517" s="9"/>
      <c r="J5517" s="2"/>
      <c r="L5517" s="9"/>
      <c r="M5517" s="2"/>
      <c r="N5517" s="9"/>
      <c r="P5517" s="3">
        <v>0</v>
      </c>
      <c r="S5517" s="9"/>
      <c r="T5517" s="2"/>
      <c r="U5517" s="9"/>
    </row>
    <row r="5518" spans="2:21" x14ac:dyDescent="0.35">
      <c r="B5518" s="9"/>
      <c r="C5518" s="2"/>
      <c r="D5518" s="2"/>
      <c r="I5518" s="9"/>
      <c r="J5518" s="2"/>
      <c r="L5518" s="9"/>
      <c r="M5518" s="2"/>
      <c r="N5518" s="9"/>
      <c r="P5518" s="3">
        <v>0</v>
      </c>
      <c r="S5518" s="9"/>
      <c r="T5518" s="2"/>
      <c r="U5518" s="9"/>
    </row>
    <row r="5519" spans="2:21" x14ac:dyDescent="0.35">
      <c r="B5519" s="9"/>
      <c r="C5519" s="2"/>
      <c r="D5519" s="2"/>
      <c r="I5519" s="9"/>
      <c r="J5519" s="2"/>
      <c r="L5519" s="9"/>
      <c r="M5519" s="2"/>
      <c r="N5519" s="9"/>
      <c r="P5519" s="3">
        <v>-8.4770283899999992</v>
      </c>
      <c r="S5519" s="9"/>
      <c r="T5519" s="2"/>
      <c r="U5519" s="9"/>
    </row>
    <row r="5520" spans="2:21" x14ac:dyDescent="0.35">
      <c r="B5520" s="9"/>
      <c r="C5520" s="2"/>
      <c r="D5520" s="2"/>
      <c r="I5520" s="9"/>
      <c r="J5520" s="2"/>
      <c r="L5520" s="9"/>
      <c r="M5520" s="2"/>
      <c r="N5520" s="9"/>
      <c r="P5520" s="3">
        <v>-443.23702838999998</v>
      </c>
      <c r="S5520" s="9"/>
      <c r="T5520" s="2"/>
      <c r="U5520" s="9"/>
    </row>
    <row r="5521" spans="2:21" x14ac:dyDescent="0.35">
      <c r="B5521" s="9"/>
      <c r="C5521" s="2"/>
      <c r="D5521" s="2"/>
      <c r="I5521" s="9"/>
      <c r="J5521" s="2"/>
      <c r="L5521" s="9"/>
      <c r="M5521" s="2"/>
      <c r="N5521" s="9"/>
      <c r="P5521" s="3">
        <v>-877.99702838999997</v>
      </c>
      <c r="S5521" s="9"/>
      <c r="T5521" s="2"/>
      <c r="U5521" s="9"/>
    </row>
    <row r="5522" spans="2:21" x14ac:dyDescent="0.35">
      <c r="B5522" s="9"/>
      <c r="C5522" s="2"/>
      <c r="D5522" s="2"/>
      <c r="I5522" s="9"/>
      <c r="J5522" s="2"/>
      <c r="L5522" s="9"/>
      <c r="M5522" s="2"/>
      <c r="N5522" s="9"/>
      <c r="P5522" s="3">
        <v>-443.23702838999998</v>
      </c>
      <c r="S5522" s="9"/>
      <c r="T5522" s="2"/>
      <c r="U5522" s="9"/>
    </row>
    <row r="5523" spans="2:21" x14ac:dyDescent="0.35">
      <c r="B5523" s="9"/>
      <c r="C5523" s="2"/>
      <c r="D5523" s="2"/>
      <c r="I5523" s="9"/>
      <c r="J5523" s="2"/>
      <c r="L5523" s="9"/>
      <c r="M5523" s="2"/>
      <c r="N5523" s="9"/>
      <c r="P5523" s="3">
        <v>-337.68913838999998</v>
      </c>
      <c r="S5523" s="9"/>
      <c r="T5523" s="2"/>
      <c r="U5523" s="9"/>
    </row>
    <row r="5524" spans="2:21" x14ac:dyDescent="0.35">
      <c r="B5524" s="9"/>
      <c r="C5524" s="2"/>
      <c r="D5524" s="2"/>
      <c r="I5524" s="9"/>
      <c r="J5524" s="2"/>
      <c r="L5524" s="9"/>
      <c r="M5524" s="2"/>
      <c r="N5524" s="9"/>
      <c r="P5524" s="3">
        <v>-130.28109839000001</v>
      </c>
      <c r="S5524" s="9"/>
      <c r="T5524" s="2"/>
      <c r="U5524" s="9"/>
    </row>
    <row r="5525" spans="2:21" x14ac:dyDescent="0.35">
      <c r="B5525" s="9"/>
      <c r="C5525" s="2"/>
      <c r="D5525" s="2"/>
      <c r="I5525" s="9"/>
      <c r="J5525" s="2"/>
      <c r="L5525" s="9"/>
      <c r="M5525" s="2"/>
      <c r="N5525" s="9"/>
      <c r="P5525" s="3">
        <v>-183.97839839</v>
      </c>
      <c r="S5525" s="9"/>
      <c r="T5525" s="2"/>
      <c r="U5525" s="9"/>
    </row>
    <row r="5526" spans="2:21" x14ac:dyDescent="0.35">
      <c r="B5526" s="9"/>
      <c r="C5526" s="2"/>
      <c r="D5526" s="2"/>
      <c r="I5526" s="9"/>
      <c r="J5526" s="2"/>
      <c r="L5526" s="9"/>
      <c r="M5526" s="2"/>
      <c r="N5526" s="9"/>
      <c r="P5526" s="3">
        <v>-352.73687839000002</v>
      </c>
      <c r="S5526" s="9"/>
      <c r="T5526" s="2"/>
      <c r="U5526" s="9"/>
    </row>
    <row r="5527" spans="2:21" x14ac:dyDescent="0.35">
      <c r="B5527" s="9"/>
      <c r="C5527" s="2"/>
      <c r="D5527" s="2"/>
      <c r="I5527" s="9"/>
      <c r="J5527" s="2"/>
      <c r="L5527" s="9"/>
      <c r="M5527" s="2"/>
      <c r="N5527" s="9"/>
      <c r="P5527" s="3">
        <v>-458.64118839000002</v>
      </c>
      <c r="S5527" s="9"/>
      <c r="T5527" s="2"/>
      <c r="U5527" s="9"/>
    </row>
    <row r="5528" spans="2:21" x14ac:dyDescent="0.35">
      <c r="B5528" s="9"/>
      <c r="C5528" s="2"/>
      <c r="D5528" s="2"/>
      <c r="I5528" s="9"/>
      <c r="J5528" s="2"/>
      <c r="L5528" s="9"/>
      <c r="M5528" s="2"/>
      <c r="N5528" s="9"/>
      <c r="P5528" s="3">
        <v>-556.16962838999996</v>
      </c>
      <c r="S5528" s="9"/>
      <c r="T5528" s="2"/>
      <c r="U5528" s="9"/>
    </row>
    <row r="5529" spans="2:21" x14ac:dyDescent="0.35">
      <c r="B5529" s="9"/>
      <c r="C5529" s="2"/>
      <c r="D5529" s="2"/>
      <c r="I5529" s="9"/>
      <c r="J5529" s="2"/>
      <c r="L5529" s="9"/>
      <c r="M5529" s="2"/>
      <c r="N5529" s="9"/>
      <c r="P5529" s="3">
        <v>-617.76993838999999</v>
      </c>
      <c r="S5529" s="9"/>
      <c r="T5529" s="2"/>
      <c r="U5529" s="9"/>
    </row>
    <row r="5530" spans="2:21" x14ac:dyDescent="0.35">
      <c r="B5530" s="9"/>
      <c r="C5530" s="2"/>
      <c r="D5530" s="2"/>
      <c r="I5530" s="9"/>
      <c r="J5530" s="2"/>
      <c r="L5530" s="9"/>
      <c r="M5530" s="2"/>
      <c r="N5530" s="9"/>
      <c r="P5530" s="3">
        <v>-629.31737839000004</v>
      </c>
      <c r="S5530" s="9"/>
      <c r="T5530" s="2"/>
      <c r="U5530" s="9"/>
    </row>
    <row r="5531" spans="2:21" x14ac:dyDescent="0.35">
      <c r="B5531" s="9"/>
      <c r="C5531" s="2"/>
      <c r="D5531" s="2"/>
      <c r="I5531" s="9"/>
      <c r="J5531" s="2"/>
      <c r="L5531" s="9"/>
      <c r="M5531" s="2"/>
      <c r="N5531" s="9"/>
      <c r="P5531" s="3">
        <v>-616.86823838999999</v>
      </c>
      <c r="S5531" s="9"/>
      <c r="T5531" s="2"/>
      <c r="U5531" s="9"/>
    </row>
    <row r="5532" spans="2:21" x14ac:dyDescent="0.35">
      <c r="B5532" s="9"/>
      <c r="C5532" s="2"/>
      <c r="D5532" s="2"/>
      <c r="I5532" s="9"/>
      <c r="J5532" s="2"/>
      <c r="L5532" s="9"/>
      <c r="M5532" s="2"/>
      <c r="N5532" s="9"/>
      <c r="P5532" s="3">
        <v>-533.91041839000002</v>
      </c>
      <c r="S5532" s="9"/>
      <c r="T5532" s="2"/>
      <c r="U5532" s="9"/>
    </row>
    <row r="5533" spans="2:21" x14ac:dyDescent="0.35">
      <c r="B5533" s="9"/>
      <c r="C5533" s="2"/>
      <c r="D5533" s="2"/>
      <c r="I5533" s="9"/>
      <c r="J5533" s="2"/>
      <c r="L5533" s="9"/>
      <c r="M5533" s="2"/>
      <c r="N5533" s="9"/>
      <c r="P5533" s="3">
        <v>-709.91941839000003</v>
      </c>
      <c r="S5533" s="9"/>
      <c r="T5533" s="2"/>
      <c r="U5533" s="9"/>
    </row>
    <row r="5534" spans="2:21" x14ac:dyDescent="0.35">
      <c r="B5534" s="9"/>
      <c r="C5534" s="2"/>
      <c r="D5534" s="2"/>
      <c r="I5534" s="9"/>
      <c r="J5534" s="2"/>
      <c r="L5534" s="9"/>
      <c r="M5534" s="2"/>
      <c r="N5534" s="9"/>
      <c r="P5534" s="3">
        <v>-1144.6794183899999</v>
      </c>
      <c r="S5534" s="9"/>
      <c r="T5534" s="2"/>
      <c r="U5534" s="9"/>
    </row>
    <row r="5535" spans="2:21" x14ac:dyDescent="0.35">
      <c r="B5535" s="9"/>
      <c r="C5535" s="2"/>
      <c r="D5535" s="2"/>
      <c r="I5535" s="9"/>
      <c r="J5535" s="2"/>
      <c r="L5535" s="9"/>
      <c r="M5535" s="2"/>
      <c r="N5535" s="9"/>
      <c r="P5535" s="3">
        <v>-709.91941839000003</v>
      </c>
      <c r="S5535" s="9"/>
      <c r="T5535" s="2"/>
      <c r="U5535" s="9"/>
    </row>
    <row r="5536" spans="2:21" x14ac:dyDescent="0.35">
      <c r="B5536" s="9"/>
      <c r="C5536" s="2"/>
      <c r="D5536" s="2"/>
      <c r="I5536" s="9"/>
      <c r="J5536" s="2"/>
      <c r="L5536" s="9"/>
      <c r="M5536" s="2"/>
      <c r="N5536" s="9"/>
      <c r="P5536" s="3">
        <v>-275.15941838999998</v>
      </c>
      <c r="S5536" s="9"/>
      <c r="T5536" s="2"/>
      <c r="U5536" s="9"/>
    </row>
    <row r="5537" spans="2:21" x14ac:dyDescent="0.35">
      <c r="B5537" s="9"/>
      <c r="C5537" s="2"/>
      <c r="D5537" s="2"/>
      <c r="I5537" s="9"/>
      <c r="J5537" s="2"/>
      <c r="L5537" s="9"/>
      <c r="M5537" s="2"/>
      <c r="N5537" s="9"/>
      <c r="P5537" s="3">
        <v>0</v>
      </c>
      <c r="S5537" s="9"/>
      <c r="T5537" s="2"/>
      <c r="U5537" s="9"/>
    </row>
    <row r="5538" spans="2:21" x14ac:dyDescent="0.35">
      <c r="B5538" s="9"/>
      <c r="C5538" s="2"/>
      <c r="D5538" s="2"/>
      <c r="I5538" s="9"/>
      <c r="J5538" s="2"/>
      <c r="L5538" s="9"/>
      <c r="M5538" s="2"/>
      <c r="N5538" s="9"/>
      <c r="P5538" s="3">
        <v>0</v>
      </c>
      <c r="S5538" s="9"/>
      <c r="T5538" s="2"/>
      <c r="U5538" s="9"/>
    </row>
    <row r="5539" spans="2:21" x14ac:dyDescent="0.35">
      <c r="B5539" s="9"/>
      <c r="C5539" s="2"/>
      <c r="D5539" s="2"/>
      <c r="I5539" s="9"/>
      <c r="J5539" s="2"/>
      <c r="L5539" s="9"/>
      <c r="M5539" s="2"/>
      <c r="N5539" s="9"/>
      <c r="P5539" s="3">
        <v>0</v>
      </c>
      <c r="S5539" s="9"/>
      <c r="T5539" s="2"/>
      <c r="U5539" s="9"/>
    </row>
    <row r="5540" spans="2:21" x14ac:dyDescent="0.35">
      <c r="B5540" s="9"/>
      <c r="C5540" s="2"/>
      <c r="D5540" s="2"/>
      <c r="I5540" s="9"/>
      <c r="J5540" s="2"/>
      <c r="L5540" s="9"/>
      <c r="M5540" s="2"/>
      <c r="N5540" s="9"/>
      <c r="P5540" s="3">
        <v>-117.45839839</v>
      </c>
      <c r="S5540" s="9"/>
      <c r="T5540" s="2"/>
      <c r="U5540" s="9"/>
    </row>
    <row r="5541" spans="2:21" x14ac:dyDescent="0.35">
      <c r="B5541" s="9"/>
      <c r="C5541" s="2"/>
      <c r="D5541" s="2"/>
      <c r="I5541" s="9"/>
      <c r="J5541" s="2"/>
      <c r="L5541" s="9"/>
      <c r="M5541" s="2"/>
      <c r="N5541" s="9"/>
      <c r="P5541" s="3">
        <v>-552.21839838999995</v>
      </c>
      <c r="S5541" s="9"/>
      <c r="T5541" s="2"/>
      <c r="U5541" s="9"/>
    </row>
    <row r="5542" spans="2:21" x14ac:dyDescent="0.35">
      <c r="B5542" s="9"/>
      <c r="C5542" s="2"/>
      <c r="D5542" s="2"/>
      <c r="I5542" s="9"/>
      <c r="J5542" s="2"/>
      <c r="L5542" s="9"/>
      <c r="M5542" s="2"/>
      <c r="N5542" s="9"/>
      <c r="P5542" s="3">
        <v>-986.97839839000005</v>
      </c>
      <c r="S5542" s="9"/>
      <c r="T5542" s="2"/>
      <c r="U5542" s="9"/>
    </row>
    <row r="5543" spans="2:21" x14ac:dyDescent="0.35">
      <c r="B5543" s="9"/>
      <c r="C5543" s="2"/>
      <c r="D5543" s="2"/>
      <c r="I5543" s="9"/>
      <c r="J5543" s="2"/>
      <c r="L5543" s="9"/>
      <c r="M5543" s="2"/>
      <c r="N5543" s="9"/>
      <c r="P5543" s="3">
        <v>-1421.7383983899999</v>
      </c>
      <c r="S5543" s="9"/>
      <c r="T5543" s="2"/>
      <c r="U5543" s="9"/>
    </row>
    <row r="5544" spans="2:21" x14ac:dyDescent="0.35">
      <c r="B5544" s="9"/>
      <c r="C5544" s="2"/>
      <c r="D5544" s="2"/>
      <c r="I5544" s="9"/>
      <c r="J5544" s="2"/>
      <c r="L5544" s="9"/>
      <c r="M5544" s="2"/>
      <c r="N5544" s="9"/>
      <c r="P5544" s="3">
        <v>-1856.4983983899999</v>
      </c>
      <c r="S5544" s="9"/>
      <c r="T5544" s="2"/>
      <c r="U5544" s="9"/>
    </row>
    <row r="5545" spans="2:21" x14ac:dyDescent="0.35">
      <c r="B5545" s="9"/>
      <c r="C5545" s="2"/>
      <c r="D5545" s="2"/>
      <c r="I5545" s="9"/>
      <c r="J5545" s="2"/>
      <c r="L5545" s="9"/>
      <c r="M5545" s="2"/>
      <c r="N5545" s="9"/>
      <c r="P5545" s="3">
        <v>-2291.2583983899999</v>
      </c>
      <c r="S5545" s="9"/>
      <c r="T5545" s="2"/>
      <c r="U5545" s="9"/>
    </row>
    <row r="5546" spans="2:21" x14ac:dyDescent="0.35">
      <c r="B5546" s="9"/>
      <c r="C5546" s="2"/>
      <c r="D5546" s="2"/>
      <c r="I5546" s="9"/>
      <c r="J5546" s="2"/>
      <c r="L5546" s="9"/>
      <c r="M5546" s="2"/>
      <c r="N5546" s="9"/>
      <c r="P5546" s="3">
        <v>-2575.4479683899999</v>
      </c>
      <c r="S5546" s="9"/>
      <c r="T5546" s="2"/>
      <c r="U5546" s="9"/>
    </row>
    <row r="5547" spans="2:21" x14ac:dyDescent="0.35">
      <c r="B5547" s="9"/>
      <c r="C5547" s="2"/>
      <c r="D5547" s="2"/>
      <c r="I5547" s="9"/>
      <c r="J5547" s="2"/>
      <c r="L5547" s="9"/>
      <c r="M5547" s="2"/>
      <c r="N5547" s="9"/>
      <c r="P5547" s="3">
        <v>-2860.169492</v>
      </c>
      <c r="S5547" s="9"/>
      <c r="T5547" s="2"/>
      <c r="U5547" s="9"/>
    </row>
    <row r="5548" spans="2:21" x14ac:dyDescent="0.35">
      <c r="B5548" s="9"/>
      <c r="C5548" s="2"/>
      <c r="D5548" s="2"/>
      <c r="I5548" s="9"/>
      <c r="J5548" s="2"/>
      <c r="L5548" s="9"/>
      <c r="M5548" s="2"/>
      <c r="N5548" s="9"/>
      <c r="P5548" s="3">
        <v>-2860.169492</v>
      </c>
      <c r="S5548" s="9"/>
      <c r="T5548" s="2"/>
      <c r="U5548" s="9"/>
    </row>
    <row r="5549" spans="2:21" x14ac:dyDescent="0.35">
      <c r="B5549" s="9"/>
      <c r="C5549" s="2"/>
      <c r="D5549" s="2"/>
      <c r="I5549" s="9"/>
      <c r="J5549" s="2"/>
      <c r="L5549" s="9"/>
      <c r="M5549" s="2"/>
      <c r="N5549" s="9"/>
      <c r="P5549" s="3">
        <v>-2860.169492</v>
      </c>
      <c r="S5549" s="9"/>
      <c r="T5549" s="2"/>
      <c r="U5549" s="9"/>
    </row>
    <row r="5550" spans="2:21" x14ac:dyDescent="0.35">
      <c r="B5550" s="9"/>
      <c r="C5550" s="2"/>
      <c r="D5550" s="2"/>
      <c r="I5550" s="9"/>
      <c r="J5550" s="2"/>
      <c r="L5550" s="9"/>
      <c r="M5550" s="2"/>
      <c r="N5550" s="9"/>
      <c r="P5550" s="3">
        <v>-2860.169492</v>
      </c>
      <c r="S5550" s="9"/>
      <c r="T5550" s="2"/>
      <c r="U5550" s="9"/>
    </row>
    <row r="5551" spans="2:21" x14ac:dyDescent="0.35">
      <c r="B5551" s="9"/>
      <c r="C5551" s="2"/>
      <c r="D5551" s="2"/>
      <c r="I5551" s="9"/>
      <c r="J5551" s="2"/>
      <c r="L5551" s="9"/>
      <c r="M5551" s="2"/>
      <c r="N5551" s="9"/>
      <c r="P5551" s="3">
        <v>-2860.169492</v>
      </c>
      <c r="S5551" s="9"/>
      <c r="T5551" s="2"/>
      <c r="U5551" s="9"/>
    </row>
    <row r="5552" spans="2:21" x14ac:dyDescent="0.35">
      <c r="B5552" s="9"/>
      <c r="C5552" s="2"/>
      <c r="D5552" s="2"/>
      <c r="I5552" s="9"/>
      <c r="J5552" s="2"/>
      <c r="L5552" s="9"/>
      <c r="M5552" s="2"/>
      <c r="N5552" s="9"/>
      <c r="P5552" s="3">
        <v>-2860.169492</v>
      </c>
      <c r="S5552" s="9"/>
      <c r="T5552" s="2"/>
      <c r="U5552" s="9"/>
    </row>
    <row r="5553" spans="2:21" x14ac:dyDescent="0.35">
      <c r="B5553" s="9"/>
      <c r="C5553" s="2"/>
      <c r="D5553" s="2"/>
      <c r="I5553" s="9"/>
      <c r="J5553" s="2"/>
      <c r="L5553" s="9"/>
      <c r="M5553" s="2"/>
      <c r="N5553" s="9"/>
      <c r="P5553" s="3">
        <v>-2860.169492</v>
      </c>
      <c r="S5553" s="9"/>
      <c r="T5553" s="2"/>
      <c r="U5553" s="9"/>
    </row>
    <row r="5554" spans="2:21" x14ac:dyDescent="0.35">
      <c r="B5554" s="9"/>
      <c r="C5554" s="2"/>
      <c r="D5554" s="2"/>
      <c r="I5554" s="9"/>
      <c r="J5554" s="2"/>
      <c r="L5554" s="9"/>
      <c r="M5554" s="2"/>
      <c r="N5554" s="9"/>
      <c r="P5554" s="3">
        <v>-2860.169492</v>
      </c>
      <c r="S5554" s="9"/>
      <c r="T5554" s="2"/>
      <c r="U5554" s="9"/>
    </row>
    <row r="5555" spans="2:21" x14ac:dyDescent="0.35">
      <c r="B5555" s="9"/>
      <c r="C5555" s="2"/>
      <c r="D5555" s="2"/>
      <c r="I5555" s="9"/>
      <c r="J5555" s="2"/>
      <c r="L5555" s="9"/>
      <c r="M5555" s="2"/>
      <c r="N5555" s="9"/>
      <c r="P5555" s="3">
        <v>-2860.169492</v>
      </c>
      <c r="S5555" s="9"/>
      <c r="T5555" s="2"/>
      <c r="U5555" s="9"/>
    </row>
    <row r="5556" spans="2:21" x14ac:dyDescent="0.35">
      <c r="B5556" s="9"/>
      <c r="C5556" s="2"/>
      <c r="D5556" s="2"/>
      <c r="I5556" s="9"/>
      <c r="J5556" s="2"/>
      <c r="L5556" s="9"/>
      <c r="M5556" s="2"/>
      <c r="N5556" s="9"/>
      <c r="P5556" s="3">
        <v>-2860.169492</v>
      </c>
      <c r="S5556" s="9"/>
      <c r="T5556" s="2"/>
      <c r="U5556" s="9"/>
    </row>
    <row r="5557" spans="2:21" x14ac:dyDescent="0.35">
      <c r="B5557" s="9"/>
      <c r="C5557" s="2"/>
      <c r="D5557" s="2"/>
      <c r="I5557" s="9"/>
      <c r="J5557" s="2"/>
      <c r="L5557" s="9"/>
      <c r="M5557" s="2"/>
      <c r="N5557" s="9"/>
      <c r="P5557" s="3">
        <v>-2860.169492</v>
      </c>
      <c r="S5557" s="9"/>
      <c r="T5557" s="2"/>
      <c r="U5557" s="9"/>
    </row>
    <row r="5558" spans="2:21" x14ac:dyDescent="0.35">
      <c r="B5558" s="9"/>
      <c r="C5558" s="2"/>
      <c r="D5558" s="2"/>
      <c r="I5558" s="9"/>
      <c r="J5558" s="2"/>
      <c r="L5558" s="9"/>
      <c r="M5558" s="2"/>
      <c r="N5558" s="9"/>
      <c r="P5558" s="3">
        <v>-2860.169492</v>
      </c>
      <c r="S5558" s="9"/>
      <c r="T5558" s="2"/>
      <c r="U5558" s="9"/>
    </row>
    <row r="5559" spans="2:21" x14ac:dyDescent="0.35">
      <c r="B5559" s="9"/>
      <c r="C5559" s="2"/>
      <c r="D5559" s="2"/>
      <c r="I5559" s="9"/>
      <c r="J5559" s="2"/>
      <c r="L5559" s="9"/>
      <c r="M5559" s="2"/>
      <c r="N5559" s="9"/>
      <c r="P5559" s="3">
        <v>-2425.4094919999998</v>
      </c>
      <c r="S5559" s="9"/>
      <c r="T5559" s="2"/>
      <c r="U5559" s="9"/>
    </row>
    <row r="5560" spans="2:21" x14ac:dyDescent="0.35">
      <c r="B5560" s="9"/>
      <c r="C5560" s="2"/>
      <c r="D5560" s="2"/>
      <c r="I5560" s="9"/>
      <c r="J5560" s="2"/>
      <c r="L5560" s="9"/>
      <c r="M5560" s="2"/>
      <c r="N5560" s="9"/>
      <c r="P5560" s="3">
        <v>-1990.649492</v>
      </c>
      <c r="S5560" s="9"/>
      <c r="T5560" s="2"/>
      <c r="U5560" s="9"/>
    </row>
    <row r="5561" spans="2:21" x14ac:dyDescent="0.35">
      <c r="B5561" s="9"/>
      <c r="C5561" s="2"/>
      <c r="D5561" s="2"/>
      <c r="I5561" s="9"/>
      <c r="J5561" s="2"/>
      <c r="L5561" s="9"/>
      <c r="M5561" s="2"/>
      <c r="N5561" s="9"/>
      <c r="P5561" s="3">
        <v>-1555.889492</v>
      </c>
      <c r="S5561" s="9"/>
      <c r="T5561" s="2"/>
      <c r="U5561" s="9"/>
    </row>
    <row r="5562" spans="2:21" x14ac:dyDescent="0.35">
      <c r="B5562" s="9"/>
      <c r="C5562" s="2"/>
      <c r="D5562" s="2"/>
      <c r="I5562" s="9"/>
      <c r="J5562" s="2"/>
      <c r="L5562" s="9"/>
      <c r="M5562" s="2"/>
      <c r="N5562" s="9"/>
      <c r="P5562" s="3">
        <v>-1121.129492</v>
      </c>
      <c r="S5562" s="9"/>
      <c r="T5562" s="2"/>
      <c r="U5562" s="9"/>
    </row>
    <row r="5563" spans="2:21" x14ac:dyDescent="0.35">
      <c r="B5563" s="9"/>
      <c r="C5563" s="2"/>
      <c r="D5563" s="2"/>
      <c r="I5563" s="9"/>
      <c r="J5563" s="2"/>
      <c r="L5563" s="9"/>
      <c r="M5563" s="2"/>
      <c r="N5563" s="9"/>
      <c r="P5563" s="3">
        <v>-686.36949200000004</v>
      </c>
      <c r="S5563" s="9"/>
      <c r="T5563" s="2"/>
      <c r="U5563" s="9"/>
    </row>
    <row r="5564" spans="2:21" x14ac:dyDescent="0.35">
      <c r="B5564" s="9"/>
      <c r="C5564" s="2"/>
      <c r="D5564" s="2"/>
      <c r="I5564" s="9"/>
      <c r="J5564" s="2"/>
      <c r="L5564" s="9"/>
      <c r="M5564" s="2"/>
      <c r="N5564" s="9"/>
      <c r="P5564" s="3">
        <v>-1121.129492</v>
      </c>
      <c r="S5564" s="9"/>
      <c r="T5564" s="2"/>
      <c r="U5564" s="9"/>
    </row>
    <row r="5565" spans="2:21" x14ac:dyDescent="0.35">
      <c r="B5565" s="9"/>
      <c r="C5565" s="2"/>
      <c r="D5565" s="2"/>
      <c r="I5565" s="9"/>
      <c r="J5565" s="2"/>
      <c r="L5565" s="9"/>
      <c r="M5565" s="2"/>
      <c r="N5565" s="9"/>
      <c r="P5565" s="3">
        <v>-1555.889492</v>
      </c>
      <c r="S5565" s="9"/>
      <c r="T5565" s="2"/>
      <c r="U5565" s="9"/>
    </row>
    <row r="5566" spans="2:21" x14ac:dyDescent="0.35">
      <c r="B5566" s="9"/>
      <c r="C5566" s="2"/>
      <c r="D5566" s="2"/>
      <c r="I5566" s="9"/>
      <c r="J5566" s="2"/>
      <c r="L5566" s="9"/>
      <c r="M5566" s="2"/>
      <c r="N5566" s="9"/>
      <c r="P5566" s="3">
        <v>-1990.649492</v>
      </c>
      <c r="S5566" s="9"/>
      <c r="T5566" s="2"/>
      <c r="U5566" s="9"/>
    </row>
    <row r="5567" spans="2:21" x14ac:dyDescent="0.35">
      <c r="B5567" s="9"/>
      <c r="C5567" s="2"/>
      <c r="D5567" s="2"/>
      <c r="I5567" s="9"/>
      <c r="J5567" s="2"/>
      <c r="L5567" s="9"/>
      <c r="M5567" s="2"/>
      <c r="N5567" s="9"/>
      <c r="P5567" s="3">
        <v>-2425.4094919999998</v>
      </c>
      <c r="S5567" s="9"/>
      <c r="T5567" s="2"/>
      <c r="U5567" s="9"/>
    </row>
    <row r="5568" spans="2:21" x14ac:dyDescent="0.35">
      <c r="B5568" s="9"/>
      <c r="C5568" s="2"/>
      <c r="D5568" s="2"/>
      <c r="I5568" s="9"/>
      <c r="J5568" s="2"/>
      <c r="L5568" s="9"/>
      <c r="M5568" s="2"/>
      <c r="N5568" s="9"/>
      <c r="P5568" s="3">
        <v>-2860.169492</v>
      </c>
      <c r="S5568" s="9"/>
      <c r="T5568" s="2"/>
      <c r="U5568" s="9"/>
    </row>
    <row r="5569" spans="2:21" x14ac:dyDescent="0.35">
      <c r="B5569" s="9"/>
      <c r="C5569" s="2"/>
      <c r="D5569" s="2"/>
      <c r="I5569" s="9"/>
      <c r="J5569" s="2"/>
      <c r="L5569" s="9"/>
      <c r="M5569" s="2"/>
      <c r="N5569" s="9"/>
      <c r="P5569" s="3">
        <v>-2860.169492</v>
      </c>
      <c r="S5569" s="9"/>
      <c r="T5569" s="2"/>
      <c r="U5569" s="9"/>
    </row>
    <row r="5570" spans="2:21" x14ac:dyDescent="0.35">
      <c r="B5570" s="9"/>
      <c r="C5570" s="2"/>
      <c r="D5570" s="2"/>
      <c r="I5570" s="9"/>
      <c r="J5570" s="2"/>
      <c r="L5570" s="9"/>
      <c r="M5570" s="2"/>
      <c r="N5570" s="9"/>
      <c r="P5570" s="3">
        <v>-2860.169492</v>
      </c>
      <c r="S5570" s="9"/>
      <c r="T5570" s="2"/>
      <c r="U5570" s="9"/>
    </row>
    <row r="5571" spans="2:21" x14ac:dyDescent="0.35">
      <c r="B5571" s="9"/>
      <c r="C5571" s="2"/>
      <c r="D5571" s="2"/>
      <c r="I5571" s="9"/>
      <c r="J5571" s="2"/>
      <c r="L5571" s="9"/>
      <c r="M5571" s="2"/>
      <c r="N5571" s="9"/>
      <c r="P5571" s="3">
        <v>-2860.169492</v>
      </c>
      <c r="S5571" s="9"/>
      <c r="T5571" s="2"/>
      <c r="U5571" s="9"/>
    </row>
    <row r="5572" spans="2:21" x14ac:dyDescent="0.35">
      <c r="B5572" s="9"/>
      <c r="C5572" s="2"/>
      <c r="D5572" s="2"/>
      <c r="I5572" s="9"/>
      <c r="J5572" s="2"/>
      <c r="L5572" s="9"/>
      <c r="M5572" s="2"/>
      <c r="N5572" s="9"/>
      <c r="P5572" s="3">
        <v>-2860.169492</v>
      </c>
      <c r="S5572" s="9"/>
      <c r="T5572" s="2"/>
      <c r="U5572" s="9"/>
    </row>
    <row r="5573" spans="2:21" x14ac:dyDescent="0.35">
      <c r="B5573" s="9"/>
      <c r="C5573" s="2"/>
      <c r="D5573" s="2"/>
      <c r="I5573" s="9"/>
      <c r="J5573" s="2"/>
      <c r="L5573" s="9"/>
      <c r="M5573" s="2"/>
      <c r="N5573" s="9"/>
      <c r="P5573" s="3">
        <v>-2860.169492</v>
      </c>
      <c r="S5573" s="9"/>
      <c r="T5573" s="2"/>
      <c r="U5573" s="9"/>
    </row>
    <row r="5574" spans="2:21" x14ac:dyDescent="0.35">
      <c r="B5574" s="9"/>
      <c r="C5574" s="2"/>
      <c r="D5574" s="2"/>
      <c r="I5574" s="9"/>
      <c r="J5574" s="2"/>
      <c r="L5574" s="9"/>
      <c r="M5574" s="2"/>
      <c r="N5574" s="9"/>
      <c r="P5574" s="3">
        <v>-2860.169492</v>
      </c>
      <c r="S5574" s="9"/>
      <c r="T5574" s="2"/>
      <c r="U5574" s="9"/>
    </row>
    <row r="5575" spans="2:21" x14ac:dyDescent="0.35">
      <c r="B5575" s="9"/>
      <c r="C5575" s="2"/>
      <c r="D5575" s="2"/>
      <c r="I5575" s="9"/>
      <c r="J5575" s="2"/>
      <c r="L5575" s="9"/>
      <c r="M5575" s="2"/>
      <c r="N5575" s="9"/>
      <c r="P5575" s="3">
        <v>-2860.169492</v>
      </c>
      <c r="S5575" s="9"/>
      <c r="T5575" s="2"/>
      <c r="U5575" s="9"/>
    </row>
    <row r="5576" spans="2:21" x14ac:dyDescent="0.35">
      <c r="B5576" s="9"/>
      <c r="C5576" s="2"/>
      <c r="D5576" s="2"/>
      <c r="I5576" s="9"/>
      <c r="J5576" s="2"/>
      <c r="L5576" s="9"/>
      <c r="M5576" s="2"/>
      <c r="N5576" s="9"/>
      <c r="P5576" s="3">
        <v>-2860.169492</v>
      </c>
      <c r="S5576" s="9"/>
      <c r="T5576" s="2"/>
      <c r="U5576" s="9"/>
    </row>
    <row r="5577" spans="2:21" x14ac:dyDescent="0.35">
      <c r="B5577" s="9"/>
      <c r="C5577" s="2"/>
      <c r="D5577" s="2"/>
      <c r="I5577" s="9"/>
      <c r="J5577" s="2"/>
      <c r="L5577" s="9"/>
      <c r="M5577" s="2"/>
      <c r="N5577" s="9"/>
      <c r="P5577" s="3">
        <v>-2860.169492</v>
      </c>
      <c r="S5577" s="9"/>
      <c r="T5577" s="2"/>
      <c r="U5577" s="9"/>
    </row>
    <row r="5578" spans="2:21" x14ac:dyDescent="0.35">
      <c r="B5578" s="9"/>
      <c r="C5578" s="2"/>
      <c r="D5578" s="2"/>
      <c r="I5578" s="9"/>
      <c r="J5578" s="2"/>
      <c r="L5578" s="9"/>
      <c r="M5578" s="2"/>
      <c r="N5578" s="9"/>
      <c r="P5578" s="3">
        <v>-2860.169492</v>
      </c>
      <c r="S5578" s="9"/>
      <c r="T5578" s="2"/>
      <c r="U5578" s="9"/>
    </row>
    <row r="5579" spans="2:21" x14ac:dyDescent="0.35">
      <c r="B5579" s="9"/>
      <c r="C5579" s="2"/>
      <c r="D5579" s="2"/>
      <c r="I5579" s="9"/>
      <c r="J5579" s="2"/>
      <c r="L5579" s="9"/>
      <c r="M5579" s="2"/>
      <c r="N5579" s="9"/>
      <c r="P5579" s="3">
        <v>-2860.169492</v>
      </c>
      <c r="S5579" s="9"/>
      <c r="T5579" s="2"/>
      <c r="U5579" s="9"/>
    </row>
    <row r="5580" spans="2:21" x14ac:dyDescent="0.35">
      <c r="B5580" s="9"/>
      <c r="C5580" s="2"/>
      <c r="D5580" s="2"/>
      <c r="I5580" s="9"/>
      <c r="J5580" s="2"/>
      <c r="L5580" s="9"/>
      <c r="M5580" s="2"/>
      <c r="N5580" s="9"/>
      <c r="P5580" s="3">
        <v>-2860.169492</v>
      </c>
      <c r="S5580" s="9"/>
      <c r="T5580" s="2"/>
      <c r="U5580" s="9"/>
    </row>
    <row r="5581" spans="2:21" x14ac:dyDescent="0.35">
      <c r="B5581" s="9"/>
      <c r="C5581" s="2"/>
      <c r="D5581" s="2"/>
      <c r="I5581" s="9"/>
      <c r="J5581" s="2"/>
      <c r="L5581" s="9"/>
      <c r="M5581" s="2"/>
      <c r="N5581" s="9"/>
      <c r="P5581" s="3">
        <v>-2860.169492</v>
      </c>
      <c r="S5581" s="9"/>
      <c r="T5581" s="2"/>
      <c r="U5581" s="9"/>
    </row>
    <row r="5582" spans="2:21" x14ac:dyDescent="0.35">
      <c r="B5582" s="9"/>
      <c r="C5582" s="2"/>
      <c r="D5582" s="2"/>
      <c r="I5582" s="9"/>
      <c r="J5582" s="2"/>
      <c r="L5582" s="9"/>
      <c r="M5582" s="2"/>
      <c r="N5582" s="9"/>
      <c r="P5582" s="3">
        <v>-2860.169492</v>
      </c>
      <c r="S5582" s="9"/>
      <c r="T5582" s="2"/>
      <c r="U5582" s="9"/>
    </row>
    <row r="5583" spans="2:21" x14ac:dyDescent="0.35">
      <c r="B5583" s="9"/>
      <c r="C5583" s="2"/>
      <c r="D5583" s="2"/>
      <c r="I5583" s="9"/>
      <c r="J5583" s="2"/>
      <c r="L5583" s="9"/>
      <c r="M5583" s="2"/>
      <c r="N5583" s="9"/>
      <c r="P5583" s="3">
        <v>-2425.4094919999998</v>
      </c>
      <c r="S5583" s="9"/>
      <c r="T5583" s="2"/>
      <c r="U5583" s="9"/>
    </row>
    <row r="5584" spans="2:21" x14ac:dyDescent="0.35">
      <c r="B5584" s="9"/>
      <c r="C5584" s="2"/>
      <c r="D5584" s="2"/>
      <c r="I5584" s="9"/>
      <c r="J5584" s="2"/>
      <c r="L5584" s="9"/>
      <c r="M5584" s="2"/>
      <c r="N5584" s="9"/>
      <c r="P5584" s="3">
        <v>-1990.649492</v>
      </c>
      <c r="S5584" s="9"/>
      <c r="T5584" s="2"/>
      <c r="U5584" s="9"/>
    </row>
    <row r="5585" spans="2:21" x14ac:dyDescent="0.35">
      <c r="B5585" s="9"/>
      <c r="C5585" s="2"/>
      <c r="D5585" s="2"/>
      <c r="I5585" s="9"/>
      <c r="J5585" s="2"/>
      <c r="L5585" s="9"/>
      <c r="M5585" s="2"/>
      <c r="N5585" s="9"/>
      <c r="P5585" s="3">
        <v>-1555.889492</v>
      </c>
      <c r="S5585" s="9"/>
      <c r="T5585" s="2"/>
      <c r="U5585" s="9"/>
    </row>
    <row r="5586" spans="2:21" x14ac:dyDescent="0.35">
      <c r="B5586" s="9"/>
      <c r="C5586" s="2"/>
      <c r="D5586" s="2"/>
      <c r="I5586" s="9"/>
      <c r="J5586" s="2"/>
      <c r="L5586" s="9"/>
      <c r="M5586" s="2"/>
      <c r="N5586" s="9"/>
      <c r="P5586" s="3">
        <v>-1121.129492</v>
      </c>
      <c r="S5586" s="9"/>
      <c r="T5586" s="2"/>
      <c r="U5586" s="9"/>
    </row>
    <row r="5587" spans="2:21" x14ac:dyDescent="0.35">
      <c r="B5587" s="9"/>
      <c r="C5587" s="2"/>
      <c r="D5587" s="2"/>
      <c r="I5587" s="9"/>
      <c r="J5587" s="2"/>
      <c r="L5587" s="9"/>
      <c r="M5587" s="2"/>
      <c r="N5587" s="9"/>
      <c r="P5587" s="3">
        <v>-686.36949200000004</v>
      </c>
      <c r="S5587" s="9"/>
      <c r="T5587" s="2"/>
      <c r="U5587" s="9"/>
    </row>
    <row r="5588" spans="2:21" x14ac:dyDescent="0.35">
      <c r="B5588" s="9"/>
      <c r="C5588" s="2"/>
      <c r="D5588" s="2"/>
      <c r="I5588" s="9"/>
      <c r="J5588" s="2"/>
      <c r="L5588" s="9"/>
      <c r="M5588" s="2"/>
      <c r="N5588" s="9"/>
      <c r="P5588" s="3">
        <v>-1121.129492</v>
      </c>
      <c r="S5588" s="9"/>
      <c r="T5588" s="2"/>
      <c r="U5588" s="9"/>
    </row>
    <row r="5589" spans="2:21" x14ac:dyDescent="0.35">
      <c r="B5589" s="9"/>
      <c r="C5589" s="2"/>
      <c r="D5589" s="2"/>
      <c r="I5589" s="9"/>
      <c r="J5589" s="2"/>
      <c r="L5589" s="9"/>
      <c r="M5589" s="2"/>
      <c r="N5589" s="9"/>
      <c r="P5589" s="3">
        <v>-1555.889492</v>
      </c>
      <c r="S5589" s="9"/>
      <c r="T5589" s="2"/>
      <c r="U5589" s="9"/>
    </row>
    <row r="5590" spans="2:21" x14ac:dyDescent="0.35">
      <c r="B5590" s="9"/>
      <c r="C5590" s="2"/>
      <c r="D5590" s="2"/>
      <c r="I5590" s="9"/>
      <c r="J5590" s="2"/>
      <c r="L5590" s="9"/>
      <c r="M5590" s="2"/>
      <c r="N5590" s="9"/>
      <c r="P5590" s="3">
        <v>-1990.649492</v>
      </c>
      <c r="S5590" s="9"/>
      <c r="T5590" s="2"/>
      <c r="U5590" s="9"/>
    </row>
    <row r="5591" spans="2:21" x14ac:dyDescent="0.35">
      <c r="B5591" s="9"/>
      <c r="C5591" s="2"/>
      <c r="D5591" s="2"/>
      <c r="I5591" s="9"/>
      <c r="J5591" s="2"/>
      <c r="L5591" s="9"/>
      <c r="M5591" s="2"/>
      <c r="N5591" s="9"/>
      <c r="P5591" s="3">
        <v>-2425.4094919999998</v>
      </c>
      <c r="S5591" s="9"/>
      <c r="T5591" s="2"/>
      <c r="U5591" s="9"/>
    </row>
    <row r="5592" spans="2:21" x14ac:dyDescent="0.35">
      <c r="B5592" s="9"/>
      <c r="C5592" s="2"/>
      <c r="D5592" s="2"/>
      <c r="I5592" s="9"/>
      <c r="J5592" s="2"/>
      <c r="L5592" s="9"/>
      <c r="M5592" s="2"/>
      <c r="N5592" s="9"/>
      <c r="P5592" s="3">
        <v>-2860.169492</v>
      </c>
      <c r="S5592" s="9"/>
      <c r="T5592" s="2"/>
      <c r="U5592" s="9"/>
    </row>
    <row r="5593" spans="2:21" x14ac:dyDescent="0.35">
      <c r="B5593" s="9"/>
      <c r="C5593" s="2"/>
      <c r="D5593" s="2"/>
      <c r="I5593" s="9"/>
      <c r="J5593" s="2"/>
      <c r="L5593" s="9"/>
      <c r="M5593" s="2"/>
      <c r="N5593" s="9"/>
      <c r="P5593" s="3">
        <v>-2860.169492</v>
      </c>
      <c r="S5593" s="9"/>
      <c r="T5593" s="2"/>
      <c r="U5593" s="9"/>
    </row>
    <row r="5594" spans="2:21" x14ac:dyDescent="0.35">
      <c r="B5594" s="9"/>
      <c r="C5594" s="2"/>
      <c r="D5594" s="2"/>
      <c r="I5594" s="9"/>
      <c r="J5594" s="2"/>
      <c r="L5594" s="9"/>
      <c r="M5594" s="2"/>
      <c r="N5594" s="9"/>
      <c r="P5594" s="3">
        <v>-2860.169492</v>
      </c>
      <c r="S5594" s="9"/>
      <c r="T5594" s="2"/>
      <c r="U5594" s="9"/>
    </row>
    <row r="5595" spans="2:21" x14ac:dyDescent="0.35">
      <c r="B5595" s="9"/>
      <c r="C5595" s="2"/>
      <c r="D5595" s="2"/>
      <c r="I5595" s="9"/>
      <c r="J5595" s="2"/>
      <c r="L5595" s="9"/>
      <c r="M5595" s="2"/>
      <c r="N5595" s="9"/>
      <c r="P5595" s="3">
        <v>-2860.169492</v>
      </c>
      <c r="S5595" s="9"/>
      <c r="T5595" s="2"/>
      <c r="U5595" s="9"/>
    </row>
    <row r="5596" spans="2:21" x14ac:dyDescent="0.35">
      <c r="B5596" s="9"/>
      <c r="C5596" s="2"/>
      <c r="D5596" s="2"/>
      <c r="I5596" s="9"/>
      <c r="J5596" s="2"/>
      <c r="L5596" s="9"/>
      <c r="M5596" s="2"/>
      <c r="N5596" s="9"/>
      <c r="P5596" s="3">
        <v>-2860.169492</v>
      </c>
      <c r="S5596" s="9"/>
      <c r="T5596" s="2"/>
      <c r="U5596" s="9"/>
    </row>
    <row r="5597" spans="2:21" x14ac:dyDescent="0.35">
      <c r="B5597" s="9"/>
      <c r="C5597" s="2"/>
      <c r="D5597" s="2"/>
      <c r="I5597" s="9"/>
      <c r="J5597" s="2"/>
      <c r="L5597" s="9"/>
      <c r="M5597" s="2"/>
      <c r="N5597" s="9"/>
      <c r="P5597" s="3">
        <v>-2860.169492</v>
      </c>
      <c r="S5597" s="9"/>
      <c r="T5597" s="2"/>
      <c r="U5597" s="9"/>
    </row>
    <row r="5598" spans="2:21" x14ac:dyDescent="0.35">
      <c r="B5598" s="9"/>
      <c r="C5598" s="2"/>
      <c r="D5598" s="2"/>
      <c r="I5598" s="9"/>
      <c r="J5598" s="2"/>
      <c r="L5598" s="9"/>
      <c r="M5598" s="2"/>
      <c r="N5598" s="9"/>
      <c r="P5598" s="3">
        <v>-2860.169492</v>
      </c>
      <c r="S5598" s="9"/>
      <c r="T5598" s="2"/>
      <c r="U5598" s="9"/>
    </row>
    <row r="5599" spans="2:21" x14ac:dyDescent="0.35">
      <c r="B5599" s="9"/>
      <c r="C5599" s="2"/>
      <c r="D5599" s="2"/>
      <c r="I5599" s="9"/>
      <c r="J5599" s="2"/>
      <c r="L5599" s="9"/>
      <c r="M5599" s="2"/>
      <c r="N5599" s="9"/>
      <c r="P5599" s="3">
        <v>-2860.169492</v>
      </c>
      <c r="S5599" s="9"/>
      <c r="T5599" s="2"/>
      <c r="U5599" s="9"/>
    </row>
    <row r="5600" spans="2:21" x14ac:dyDescent="0.35">
      <c r="B5600" s="9"/>
      <c r="C5600" s="2"/>
      <c r="D5600" s="2"/>
      <c r="I5600" s="9"/>
      <c r="J5600" s="2"/>
      <c r="L5600" s="9"/>
      <c r="M5600" s="2"/>
      <c r="N5600" s="9"/>
      <c r="P5600" s="3">
        <v>-2860.169492</v>
      </c>
      <c r="S5600" s="9"/>
      <c r="T5600" s="2"/>
      <c r="U5600" s="9"/>
    </row>
    <row r="5601" spans="2:21" x14ac:dyDescent="0.35">
      <c r="B5601" s="9"/>
      <c r="C5601" s="2"/>
      <c r="D5601" s="2"/>
      <c r="I5601" s="9"/>
      <c r="J5601" s="2"/>
      <c r="L5601" s="9"/>
      <c r="M5601" s="2"/>
      <c r="N5601" s="9"/>
      <c r="P5601" s="3">
        <v>-2860.169492</v>
      </c>
      <c r="S5601" s="9"/>
      <c r="T5601" s="2"/>
      <c r="U5601" s="9"/>
    </row>
    <row r="5602" spans="2:21" x14ac:dyDescent="0.35">
      <c r="B5602" s="9"/>
      <c r="C5602" s="2"/>
      <c r="D5602" s="2"/>
      <c r="I5602" s="9"/>
      <c r="J5602" s="2"/>
      <c r="L5602" s="9"/>
      <c r="M5602" s="2"/>
      <c r="N5602" s="9"/>
      <c r="P5602" s="3">
        <v>-2860.169492</v>
      </c>
      <c r="S5602" s="9"/>
      <c r="T5602" s="2"/>
      <c r="U5602" s="9"/>
    </row>
    <row r="5603" spans="2:21" x14ac:dyDescent="0.35">
      <c r="B5603" s="9"/>
      <c r="C5603" s="2"/>
      <c r="D5603" s="2"/>
      <c r="I5603" s="9"/>
      <c r="J5603" s="2"/>
      <c r="L5603" s="9"/>
      <c r="M5603" s="2"/>
      <c r="N5603" s="9"/>
      <c r="P5603" s="3">
        <v>-2860.169492</v>
      </c>
      <c r="S5603" s="9"/>
      <c r="T5603" s="2"/>
      <c r="U5603" s="9"/>
    </row>
    <row r="5604" spans="2:21" x14ac:dyDescent="0.35">
      <c r="B5604" s="9"/>
      <c r="C5604" s="2"/>
      <c r="D5604" s="2"/>
      <c r="I5604" s="9"/>
      <c r="J5604" s="2"/>
      <c r="L5604" s="9"/>
      <c r="M5604" s="2"/>
      <c r="N5604" s="9"/>
      <c r="P5604" s="3">
        <v>-2860.169492</v>
      </c>
      <c r="S5604" s="9"/>
      <c r="T5604" s="2"/>
      <c r="U5604" s="9"/>
    </row>
    <row r="5605" spans="2:21" x14ac:dyDescent="0.35">
      <c r="B5605" s="9"/>
      <c r="C5605" s="2"/>
      <c r="D5605" s="2"/>
      <c r="I5605" s="9"/>
      <c r="J5605" s="2"/>
      <c r="L5605" s="9"/>
      <c r="M5605" s="2"/>
      <c r="N5605" s="9"/>
      <c r="P5605" s="3">
        <v>-2860.169492</v>
      </c>
      <c r="S5605" s="9"/>
      <c r="T5605" s="2"/>
      <c r="U5605" s="9"/>
    </row>
    <row r="5606" spans="2:21" x14ac:dyDescent="0.35">
      <c r="B5606" s="9"/>
      <c r="C5606" s="2"/>
      <c r="D5606" s="2"/>
      <c r="I5606" s="9"/>
      <c r="J5606" s="2"/>
      <c r="L5606" s="9"/>
      <c r="M5606" s="2"/>
      <c r="N5606" s="9"/>
      <c r="P5606" s="3">
        <v>-2860.169492</v>
      </c>
      <c r="S5606" s="9"/>
      <c r="T5606" s="2"/>
      <c r="U5606" s="9"/>
    </row>
    <row r="5607" spans="2:21" x14ac:dyDescent="0.35">
      <c r="B5607" s="9"/>
      <c r="C5607" s="2"/>
      <c r="D5607" s="2"/>
      <c r="I5607" s="9"/>
      <c r="J5607" s="2"/>
      <c r="L5607" s="9"/>
      <c r="M5607" s="2"/>
      <c r="N5607" s="9"/>
      <c r="P5607" s="3">
        <v>-2860.169492</v>
      </c>
      <c r="S5607" s="9"/>
      <c r="T5607" s="2"/>
      <c r="U5607" s="9"/>
    </row>
    <row r="5608" spans="2:21" x14ac:dyDescent="0.35">
      <c r="B5608" s="9"/>
      <c r="C5608" s="2"/>
      <c r="D5608" s="2"/>
      <c r="I5608" s="9"/>
      <c r="J5608" s="2"/>
      <c r="L5608" s="9"/>
      <c r="M5608" s="2"/>
      <c r="N5608" s="9"/>
      <c r="P5608" s="3">
        <v>-2425.4094919999998</v>
      </c>
      <c r="S5608" s="9"/>
      <c r="T5608" s="2"/>
      <c r="U5608" s="9"/>
    </row>
    <row r="5609" spans="2:21" x14ac:dyDescent="0.35">
      <c r="B5609" s="9"/>
      <c r="C5609" s="2"/>
      <c r="D5609" s="2"/>
      <c r="I5609" s="9"/>
      <c r="J5609" s="2"/>
      <c r="L5609" s="9"/>
      <c r="M5609" s="2"/>
      <c r="N5609" s="9"/>
      <c r="P5609" s="3">
        <v>-1990.649492</v>
      </c>
      <c r="S5609" s="9"/>
      <c r="T5609" s="2"/>
      <c r="U5609" s="9"/>
    </row>
    <row r="5610" spans="2:21" x14ac:dyDescent="0.35">
      <c r="B5610" s="9"/>
      <c r="C5610" s="2"/>
      <c r="D5610" s="2"/>
      <c r="I5610" s="9"/>
      <c r="J5610" s="2"/>
      <c r="L5610" s="9"/>
      <c r="M5610" s="2"/>
      <c r="N5610" s="9"/>
      <c r="P5610" s="3">
        <v>-1555.889492</v>
      </c>
      <c r="S5610" s="9"/>
      <c r="T5610" s="2"/>
      <c r="U5610" s="9"/>
    </row>
    <row r="5611" spans="2:21" x14ac:dyDescent="0.35">
      <c r="B5611" s="9"/>
      <c r="C5611" s="2"/>
      <c r="D5611" s="2"/>
      <c r="I5611" s="9"/>
      <c r="J5611" s="2"/>
      <c r="L5611" s="9"/>
      <c r="M5611" s="2"/>
      <c r="N5611" s="9"/>
      <c r="P5611" s="3">
        <v>-1121.129492</v>
      </c>
      <c r="S5611" s="9"/>
      <c r="T5611" s="2"/>
      <c r="U5611" s="9"/>
    </row>
    <row r="5612" spans="2:21" x14ac:dyDescent="0.35">
      <c r="B5612" s="9"/>
      <c r="C5612" s="2"/>
      <c r="D5612" s="2"/>
      <c r="I5612" s="9"/>
      <c r="J5612" s="2"/>
      <c r="L5612" s="9"/>
      <c r="M5612" s="2"/>
      <c r="N5612" s="9"/>
      <c r="P5612" s="3">
        <v>-1555.889492</v>
      </c>
      <c r="S5612" s="9"/>
      <c r="T5612" s="2"/>
      <c r="U5612" s="9"/>
    </row>
    <row r="5613" spans="2:21" x14ac:dyDescent="0.35">
      <c r="B5613" s="9"/>
      <c r="C5613" s="2"/>
      <c r="D5613" s="2"/>
      <c r="I5613" s="9"/>
      <c r="J5613" s="2"/>
      <c r="L5613" s="9"/>
      <c r="M5613" s="2"/>
      <c r="N5613" s="9"/>
      <c r="P5613" s="3">
        <v>-1990.649492</v>
      </c>
      <c r="S5613" s="9"/>
      <c r="T5613" s="2"/>
      <c r="U5613" s="9"/>
    </row>
    <row r="5614" spans="2:21" x14ac:dyDescent="0.35">
      <c r="B5614" s="9"/>
      <c r="C5614" s="2"/>
      <c r="D5614" s="2"/>
      <c r="I5614" s="9"/>
      <c r="J5614" s="2"/>
      <c r="L5614" s="9"/>
      <c r="M5614" s="2"/>
      <c r="N5614" s="9"/>
      <c r="P5614" s="3">
        <v>-2425.4094919999998</v>
      </c>
      <c r="S5614" s="9"/>
      <c r="T5614" s="2"/>
      <c r="U5614" s="9"/>
    </row>
    <row r="5615" spans="2:21" x14ac:dyDescent="0.35">
      <c r="B5615" s="9"/>
      <c r="C5615" s="2"/>
      <c r="D5615" s="2"/>
      <c r="I5615" s="9"/>
      <c r="J5615" s="2"/>
      <c r="L5615" s="9"/>
      <c r="M5615" s="2"/>
      <c r="N5615" s="9"/>
      <c r="P5615" s="3">
        <v>-2860.169492</v>
      </c>
      <c r="S5615" s="9"/>
      <c r="T5615" s="2"/>
      <c r="U5615" s="9"/>
    </row>
    <row r="5616" spans="2:21" x14ac:dyDescent="0.35">
      <c r="B5616" s="9"/>
      <c r="C5616" s="2"/>
      <c r="D5616" s="2"/>
      <c r="I5616" s="9"/>
      <c r="J5616" s="2"/>
      <c r="L5616" s="9"/>
      <c r="M5616" s="2"/>
      <c r="N5616" s="9"/>
      <c r="P5616" s="3">
        <v>-2860.169492</v>
      </c>
      <c r="S5616" s="9"/>
      <c r="T5616" s="2"/>
      <c r="U5616" s="9"/>
    </row>
    <row r="5617" spans="2:21" x14ac:dyDescent="0.35">
      <c r="B5617" s="9"/>
      <c r="C5617" s="2"/>
      <c r="D5617" s="2"/>
      <c r="I5617" s="9"/>
      <c r="J5617" s="2"/>
      <c r="L5617" s="9"/>
      <c r="M5617" s="2"/>
      <c r="N5617" s="9"/>
      <c r="P5617" s="3">
        <v>-2860.169492</v>
      </c>
      <c r="S5617" s="9"/>
      <c r="T5617" s="2"/>
      <c r="U5617" s="9"/>
    </row>
    <row r="5618" spans="2:21" x14ac:dyDescent="0.35">
      <c r="B5618" s="9"/>
      <c r="C5618" s="2"/>
      <c r="D5618" s="2"/>
      <c r="I5618" s="9"/>
      <c r="J5618" s="2"/>
      <c r="L5618" s="9"/>
      <c r="M5618" s="2"/>
      <c r="N5618" s="9"/>
      <c r="P5618" s="3">
        <v>-2860.169492</v>
      </c>
      <c r="S5618" s="9"/>
      <c r="T5618" s="2"/>
      <c r="U5618" s="9"/>
    </row>
    <row r="5619" spans="2:21" x14ac:dyDescent="0.35">
      <c r="B5619" s="9"/>
      <c r="C5619" s="2"/>
      <c r="D5619" s="2"/>
      <c r="I5619" s="9"/>
      <c r="J5619" s="2"/>
      <c r="L5619" s="9"/>
      <c r="M5619" s="2"/>
      <c r="N5619" s="9"/>
      <c r="P5619" s="3">
        <v>-2860.169492</v>
      </c>
      <c r="S5619" s="9"/>
      <c r="T5619" s="2"/>
      <c r="U5619" s="9"/>
    </row>
    <row r="5620" spans="2:21" x14ac:dyDescent="0.35">
      <c r="B5620" s="9"/>
      <c r="C5620" s="2"/>
      <c r="D5620" s="2"/>
      <c r="I5620" s="9"/>
      <c r="J5620" s="2"/>
      <c r="L5620" s="9"/>
      <c r="M5620" s="2"/>
      <c r="N5620" s="9"/>
      <c r="P5620" s="3">
        <v>-2860.169492</v>
      </c>
      <c r="S5620" s="9"/>
      <c r="T5620" s="2"/>
      <c r="U5620" s="9"/>
    </row>
    <row r="5621" spans="2:21" x14ac:dyDescent="0.35">
      <c r="B5621" s="9"/>
      <c r="C5621" s="2"/>
      <c r="D5621" s="2"/>
      <c r="I5621" s="9"/>
      <c r="J5621" s="2"/>
      <c r="L5621" s="9"/>
      <c r="M5621" s="2"/>
      <c r="N5621" s="9"/>
      <c r="P5621" s="3">
        <v>-2860.169492</v>
      </c>
      <c r="S5621" s="9"/>
      <c r="T5621" s="2"/>
      <c r="U5621" s="9"/>
    </row>
    <row r="5622" spans="2:21" x14ac:dyDescent="0.35">
      <c r="B5622" s="9"/>
      <c r="C5622" s="2"/>
      <c r="D5622" s="2"/>
      <c r="I5622" s="9"/>
      <c r="J5622" s="2"/>
      <c r="L5622" s="9"/>
      <c r="M5622" s="2"/>
      <c r="N5622" s="9"/>
      <c r="P5622" s="3">
        <v>-2860.169492</v>
      </c>
      <c r="S5622" s="9"/>
      <c r="T5622" s="2"/>
      <c r="U5622" s="9"/>
    </row>
    <row r="5623" spans="2:21" x14ac:dyDescent="0.35">
      <c r="B5623" s="9"/>
      <c r="C5623" s="2"/>
      <c r="D5623" s="2"/>
      <c r="I5623" s="9"/>
      <c r="J5623" s="2"/>
      <c r="L5623" s="9"/>
      <c r="M5623" s="2"/>
      <c r="N5623" s="9"/>
      <c r="P5623" s="3">
        <v>-2860.169492</v>
      </c>
      <c r="S5623" s="9"/>
      <c r="T5623" s="2"/>
      <c r="U5623" s="9"/>
    </row>
    <row r="5624" spans="2:21" x14ac:dyDescent="0.35">
      <c r="B5624" s="9"/>
      <c r="C5624" s="2"/>
      <c r="D5624" s="2"/>
      <c r="I5624" s="9"/>
      <c r="J5624" s="2"/>
      <c r="L5624" s="9"/>
      <c r="M5624" s="2"/>
      <c r="N5624" s="9"/>
      <c r="P5624" s="3">
        <v>-2860.169492</v>
      </c>
      <c r="S5624" s="9"/>
      <c r="T5624" s="2"/>
      <c r="U5624" s="9"/>
    </row>
    <row r="5625" spans="2:21" x14ac:dyDescent="0.35">
      <c r="B5625" s="9"/>
      <c r="C5625" s="2"/>
      <c r="D5625" s="2"/>
      <c r="I5625" s="9"/>
      <c r="J5625" s="2"/>
      <c r="L5625" s="9"/>
      <c r="M5625" s="2"/>
      <c r="N5625" s="9"/>
      <c r="P5625" s="3">
        <v>-2860.169492</v>
      </c>
      <c r="S5625" s="9"/>
      <c r="T5625" s="2"/>
      <c r="U5625" s="9"/>
    </row>
    <row r="5626" spans="2:21" x14ac:dyDescent="0.35">
      <c r="B5626" s="9"/>
      <c r="C5626" s="2"/>
      <c r="D5626" s="2"/>
      <c r="I5626" s="9"/>
      <c r="J5626" s="2"/>
      <c r="L5626" s="9"/>
      <c r="M5626" s="2"/>
      <c r="N5626" s="9"/>
      <c r="P5626" s="3">
        <v>-2860.169492</v>
      </c>
      <c r="S5626" s="9"/>
      <c r="T5626" s="2"/>
      <c r="U5626" s="9"/>
    </row>
    <row r="5627" spans="2:21" x14ac:dyDescent="0.35">
      <c r="B5627" s="9"/>
      <c r="C5627" s="2"/>
      <c r="D5627" s="2"/>
      <c r="I5627" s="9"/>
      <c r="J5627" s="2"/>
      <c r="L5627" s="9"/>
      <c r="M5627" s="2"/>
      <c r="N5627" s="9"/>
      <c r="P5627" s="3">
        <v>-2860.169492</v>
      </c>
      <c r="S5627" s="9"/>
      <c r="T5627" s="2"/>
      <c r="U5627" s="9"/>
    </row>
    <row r="5628" spans="2:21" x14ac:dyDescent="0.35">
      <c r="B5628" s="9"/>
      <c r="C5628" s="2"/>
      <c r="D5628" s="2"/>
      <c r="I5628" s="9"/>
      <c r="J5628" s="2"/>
      <c r="L5628" s="9"/>
      <c r="M5628" s="2"/>
      <c r="N5628" s="9"/>
      <c r="P5628" s="3">
        <v>-2860.169492</v>
      </c>
      <c r="S5628" s="9"/>
      <c r="T5628" s="2"/>
      <c r="U5628" s="9"/>
    </row>
    <row r="5629" spans="2:21" x14ac:dyDescent="0.35">
      <c r="B5629" s="9"/>
      <c r="C5629" s="2"/>
      <c r="D5629" s="2"/>
      <c r="I5629" s="9"/>
      <c r="J5629" s="2"/>
      <c r="L5629" s="9"/>
      <c r="M5629" s="2"/>
      <c r="N5629" s="9"/>
      <c r="P5629" s="3">
        <v>-2860.169492</v>
      </c>
      <c r="S5629" s="9"/>
      <c r="T5629" s="2"/>
      <c r="U5629" s="9"/>
    </row>
    <row r="5630" spans="2:21" x14ac:dyDescent="0.35">
      <c r="B5630" s="9"/>
      <c r="C5630" s="2"/>
      <c r="D5630" s="2"/>
      <c r="I5630" s="9"/>
      <c r="J5630" s="2"/>
      <c r="L5630" s="9"/>
      <c r="M5630" s="2"/>
      <c r="N5630" s="9"/>
      <c r="P5630" s="3">
        <v>-2860.169492</v>
      </c>
      <c r="S5630" s="9"/>
      <c r="T5630" s="2"/>
      <c r="U5630" s="9"/>
    </row>
    <row r="5631" spans="2:21" x14ac:dyDescent="0.35">
      <c r="B5631" s="9"/>
      <c r="C5631" s="2"/>
      <c r="D5631" s="2"/>
      <c r="I5631" s="9"/>
      <c r="J5631" s="2"/>
      <c r="L5631" s="9"/>
      <c r="M5631" s="2"/>
      <c r="N5631" s="9"/>
      <c r="P5631" s="3">
        <v>-2860.169492</v>
      </c>
      <c r="S5631" s="9"/>
      <c r="T5631" s="2"/>
      <c r="U5631" s="9"/>
    </row>
    <row r="5632" spans="2:21" x14ac:dyDescent="0.35">
      <c r="B5632" s="9"/>
      <c r="C5632" s="2"/>
      <c r="D5632" s="2"/>
      <c r="I5632" s="9"/>
      <c r="J5632" s="2"/>
      <c r="L5632" s="9"/>
      <c r="M5632" s="2"/>
      <c r="N5632" s="9"/>
      <c r="P5632" s="3">
        <v>-2425.4094919999998</v>
      </c>
      <c r="S5632" s="9"/>
      <c r="T5632" s="2"/>
      <c r="U5632" s="9"/>
    </row>
    <row r="5633" spans="2:21" x14ac:dyDescent="0.35">
      <c r="B5633" s="9"/>
      <c r="C5633" s="2"/>
      <c r="D5633" s="2"/>
      <c r="I5633" s="9"/>
      <c r="J5633" s="2"/>
      <c r="L5633" s="9"/>
      <c r="M5633" s="2"/>
      <c r="N5633" s="9"/>
      <c r="P5633" s="3">
        <v>-1990.649492</v>
      </c>
      <c r="S5633" s="9"/>
      <c r="T5633" s="2"/>
      <c r="U5633" s="9"/>
    </row>
    <row r="5634" spans="2:21" x14ac:dyDescent="0.35">
      <c r="B5634" s="9"/>
      <c r="C5634" s="2"/>
      <c r="D5634" s="2"/>
      <c r="I5634" s="9"/>
      <c r="J5634" s="2"/>
      <c r="L5634" s="9"/>
      <c r="M5634" s="2"/>
      <c r="N5634" s="9"/>
      <c r="P5634" s="3">
        <v>-1555.889492</v>
      </c>
      <c r="S5634" s="9"/>
      <c r="T5634" s="2"/>
      <c r="U5634" s="9"/>
    </row>
    <row r="5635" spans="2:21" x14ac:dyDescent="0.35">
      <c r="B5635" s="9"/>
      <c r="C5635" s="2"/>
      <c r="D5635" s="2"/>
      <c r="I5635" s="9"/>
      <c r="J5635" s="2"/>
      <c r="L5635" s="9"/>
      <c r="M5635" s="2"/>
      <c r="N5635" s="9"/>
      <c r="P5635" s="3">
        <v>-1121.129492</v>
      </c>
      <c r="S5635" s="9"/>
      <c r="T5635" s="2"/>
      <c r="U5635" s="9"/>
    </row>
    <row r="5636" spans="2:21" x14ac:dyDescent="0.35">
      <c r="B5636" s="9"/>
      <c r="C5636" s="2"/>
      <c r="D5636" s="2"/>
      <c r="I5636" s="9"/>
      <c r="J5636" s="2"/>
      <c r="L5636" s="9"/>
      <c r="M5636" s="2"/>
      <c r="N5636" s="9"/>
      <c r="P5636" s="3">
        <v>-1555.889492</v>
      </c>
      <c r="S5636" s="9"/>
      <c r="T5636" s="2"/>
      <c r="U5636" s="9"/>
    </row>
    <row r="5637" spans="2:21" x14ac:dyDescent="0.35">
      <c r="B5637" s="9"/>
      <c r="C5637" s="2"/>
      <c r="D5637" s="2"/>
      <c r="I5637" s="9"/>
      <c r="J5637" s="2"/>
      <c r="L5637" s="9"/>
      <c r="M5637" s="2"/>
      <c r="N5637" s="9"/>
      <c r="P5637" s="3">
        <v>-1990.649492</v>
      </c>
      <c r="S5637" s="9"/>
      <c r="T5637" s="2"/>
      <c r="U5637" s="9"/>
    </row>
    <row r="5638" spans="2:21" x14ac:dyDescent="0.35">
      <c r="B5638" s="9"/>
      <c r="C5638" s="2"/>
      <c r="D5638" s="2"/>
      <c r="I5638" s="9"/>
      <c r="J5638" s="2"/>
      <c r="L5638" s="9"/>
      <c r="M5638" s="2"/>
      <c r="N5638" s="9"/>
      <c r="P5638" s="3">
        <v>-2425.4094919999998</v>
      </c>
      <c r="S5638" s="9"/>
      <c r="T5638" s="2"/>
      <c r="U5638" s="9"/>
    </row>
    <row r="5639" spans="2:21" x14ac:dyDescent="0.35">
      <c r="B5639" s="9"/>
      <c r="C5639" s="2"/>
      <c r="D5639" s="2"/>
      <c r="I5639" s="9"/>
      <c r="J5639" s="2"/>
      <c r="L5639" s="9"/>
      <c r="M5639" s="2"/>
      <c r="N5639" s="9"/>
      <c r="P5639" s="3">
        <v>-2860.169492</v>
      </c>
      <c r="S5639" s="9"/>
      <c r="T5639" s="2"/>
      <c r="U5639" s="9"/>
    </row>
    <row r="5640" spans="2:21" x14ac:dyDescent="0.35">
      <c r="B5640" s="9"/>
      <c r="C5640" s="2"/>
      <c r="D5640" s="2"/>
      <c r="I5640" s="9"/>
      <c r="J5640" s="2"/>
      <c r="L5640" s="9"/>
      <c r="M5640" s="2"/>
      <c r="N5640" s="9"/>
      <c r="P5640" s="3">
        <v>-2860.169492</v>
      </c>
      <c r="S5640" s="9"/>
      <c r="T5640" s="2"/>
      <c r="U5640" s="9"/>
    </row>
    <row r="5641" spans="2:21" x14ac:dyDescent="0.35">
      <c r="B5641" s="9"/>
      <c r="C5641" s="2"/>
      <c r="D5641" s="2"/>
      <c r="I5641" s="9"/>
      <c r="J5641" s="2"/>
      <c r="L5641" s="9"/>
      <c r="M5641" s="2"/>
      <c r="N5641" s="9"/>
      <c r="P5641" s="3">
        <v>-2860.169492</v>
      </c>
      <c r="S5641" s="9"/>
      <c r="T5641" s="2"/>
      <c r="U5641" s="9"/>
    </row>
    <row r="5642" spans="2:21" x14ac:dyDescent="0.35">
      <c r="B5642" s="9"/>
      <c r="C5642" s="2"/>
      <c r="D5642" s="2"/>
      <c r="I5642" s="9"/>
      <c r="J5642" s="2"/>
      <c r="L5642" s="9"/>
      <c r="M5642" s="2"/>
      <c r="N5642" s="9"/>
      <c r="P5642" s="3">
        <v>-2860.169492</v>
      </c>
      <c r="S5642" s="9"/>
      <c r="T5642" s="2"/>
      <c r="U5642" s="9"/>
    </row>
    <row r="5643" spans="2:21" x14ac:dyDescent="0.35">
      <c r="B5643" s="9"/>
      <c r="C5643" s="2"/>
      <c r="D5643" s="2"/>
      <c r="I5643" s="9"/>
      <c r="J5643" s="2"/>
      <c r="L5643" s="9"/>
      <c r="M5643" s="2"/>
      <c r="N5643" s="9"/>
      <c r="P5643" s="3">
        <v>-2860.169492</v>
      </c>
      <c r="S5643" s="9"/>
      <c r="T5643" s="2"/>
      <c r="U5643" s="9"/>
    </row>
    <row r="5644" spans="2:21" x14ac:dyDescent="0.35">
      <c r="B5644" s="9"/>
      <c r="C5644" s="2"/>
      <c r="D5644" s="2"/>
      <c r="I5644" s="9"/>
      <c r="J5644" s="2"/>
      <c r="L5644" s="9"/>
      <c r="M5644" s="2"/>
      <c r="N5644" s="9"/>
      <c r="P5644" s="3">
        <v>-2860.169492</v>
      </c>
      <c r="S5644" s="9"/>
      <c r="T5644" s="2"/>
      <c r="U5644" s="9"/>
    </row>
    <row r="5645" spans="2:21" x14ac:dyDescent="0.35">
      <c r="B5645" s="9"/>
      <c r="C5645" s="2"/>
      <c r="D5645" s="2"/>
      <c r="I5645" s="9"/>
      <c r="J5645" s="2"/>
      <c r="L5645" s="9"/>
      <c r="M5645" s="2"/>
      <c r="N5645" s="9"/>
      <c r="P5645" s="3">
        <v>-2860.169492</v>
      </c>
      <c r="S5645" s="9"/>
      <c r="T5645" s="2"/>
      <c r="U5645" s="9"/>
    </row>
    <row r="5646" spans="2:21" x14ac:dyDescent="0.35">
      <c r="B5646" s="9"/>
      <c r="C5646" s="2"/>
      <c r="D5646" s="2"/>
      <c r="I5646" s="9"/>
      <c r="J5646" s="2"/>
      <c r="L5646" s="9"/>
      <c r="M5646" s="2"/>
      <c r="N5646" s="9"/>
      <c r="P5646" s="3">
        <v>-2860.169492</v>
      </c>
      <c r="S5646" s="9"/>
      <c r="T5646" s="2"/>
      <c r="U5646" s="9"/>
    </row>
    <row r="5647" spans="2:21" x14ac:dyDescent="0.35">
      <c r="B5647" s="9"/>
      <c r="C5647" s="2"/>
      <c r="D5647" s="2"/>
      <c r="I5647" s="9"/>
      <c r="J5647" s="2"/>
      <c r="L5647" s="9"/>
      <c r="M5647" s="2"/>
      <c r="N5647" s="9"/>
      <c r="P5647" s="3">
        <v>-2860.169492</v>
      </c>
      <c r="S5647" s="9"/>
      <c r="T5647" s="2"/>
      <c r="U5647" s="9"/>
    </row>
    <row r="5648" spans="2:21" x14ac:dyDescent="0.35">
      <c r="B5648" s="9"/>
      <c r="C5648" s="2"/>
      <c r="D5648" s="2"/>
      <c r="I5648" s="9"/>
      <c r="J5648" s="2"/>
      <c r="L5648" s="9"/>
      <c r="M5648" s="2"/>
      <c r="N5648" s="9"/>
      <c r="P5648" s="3">
        <v>-2860.169492</v>
      </c>
      <c r="S5648" s="9"/>
      <c r="T5648" s="2"/>
      <c r="U5648" s="9"/>
    </row>
    <row r="5649" spans="2:21" x14ac:dyDescent="0.35">
      <c r="B5649" s="9"/>
      <c r="C5649" s="2"/>
      <c r="D5649" s="2"/>
      <c r="I5649" s="9"/>
      <c r="J5649" s="2"/>
      <c r="L5649" s="9"/>
      <c r="M5649" s="2"/>
      <c r="N5649" s="9"/>
      <c r="P5649" s="3">
        <v>-2860.169492</v>
      </c>
      <c r="S5649" s="9"/>
      <c r="T5649" s="2"/>
      <c r="U5649" s="9"/>
    </row>
    <row r="5650" spans="2:21" x14ac:dyDescent="0.35">
      <c r="B5650" s="9"/>
      <c r="C5650" s="2"/>
      <c r="D5650" s="2"/>
      <c r="I5650" s="9"/>
      <c r="J5650" s="2"/>
      <c r="L5650" s="9"/>
      <c r="M5650" s="2"/>
      <c r="N5650" s="9"/>
      <c r="P5650" s="3">
        <v>-2860.169492</v>
      </c>
      <c r="S5650" s="9"/>
      <c r="T5650" s="2"/>
      <c r="U5650" s="9"/>
    </row>
    <row r="5651" spans="2:21" x14ac:dyDescent="0.35">
      <c r="B5651" s="9"/>
      <c r="C5651" s="2"/>
      <c r="D5651" s="2"/>
      <c r="I5651" s="9"/>
      <c r="J5651" s="2"/>
      <c r="L5651" s="9"/>
      <c r="M5651" s="2"/>
      <c r="N5651" s="9"/>
      <c r="P5651" s="3">
        <v>-2860.169492</v>
      </c>
      <c r="S5651" s="9"/>
      <c r="T5651" s="2"/>
      <c r="U5651" s="9"/>
    </row>
    <row r="5652" spans="2:21" x14ac:dyDescent="0.35">
      <c r="B5652" s="9"/>
      <c r="C5652" s="2"/>
      <c r="D5652" s="2"/>
      <c r="I5652" s="9"/>
      <c r="J5652" s="2"/>
      <c r="L5652" s="9"/>
      <c r="M5652" s="2"/>
      <c r="N5652" s="9"/>
      <c r="P5652" s="3">
        <v>-2860.169492</v>
      </c>
      <c r="S5652" s="9"/>
      <c r="T5652" s="2"/>
      <c r="U5652" s="9"/>
    </row>
    <row r="5653" spans="2:21" x14ac:dyDescent="0.35">
      <c r="B5653" s="9"/>
      <c r="C5653" s="2"/>
      <c r="D5653" s="2"/>
      <c r="I5653" s="9"/>
      <c r="J5653" s="2"/>
      <c r="L5653" s="9"/>
      <c r="M5653" s="2"/>
      <c r="N5653" s="9"/>
      <c r="P5653" s="3">
        <v>-2860.169492</v>
      </c>
      <c r="S5653" s="9"/>
      <c r="T5653" s="2"/>
      <c r="U5653" s="9"/>
    </row>
    <row r="5654" spans="2:21" x14ac:dyDescent="0.35">
      <c r="B5654" s="9"/>
      <c r="C5654" s="2"/>
      <c r="D5654" s="2"/>
      <c r="I5654" s="9"/>
      <c r="J5654" s="2"/>
      <c r="L5654" s="9"/>
      <c r="M5654" s="2"/>
      <c r="N5654" s="9"/>
      <c r="P5654" s="3">
        <v>-2860.169492</v>
      </c>
      <c r="S5654" s="9"/>
      <c r="T5654" s="2"/>
      <c r="U5654" s="9"/>
    </row>
    <row r="5655" spans="2:21" x14ac:dyDescent="0.35">
      <c r="B5655" s="9"/>
      <c r="C5655" s="2"/>
      <c r="D5655" s="2"/>
      <c r="I5655" s="9"/>
      <c r="J5655" s="2"/>
      <c r="L5655" s="9"/>
      <c r="M5655" s="2"/>
      <c r="N5655" s="9"/>
      <c r="P5655" s="3">
        <v>-2860.169492</v>
      </c>
      <c r="S5655" s="9"/>
      <c r="T5655" s="2"/>
      <c r="U5655" s="9"/>
    </row>
    <row r="5656" spans="2:21" x14ac:dyDescent="0.35">
      <c r="B5656" s="9"/>
      <c r="C5656" s="2"/>
      <c r="D5656" s="2"/>
      <c r="I5656" s="9"/>
      <c r="J5656" s="2"/>
      <c r="L5656" s="9"/>
      <c r="M5656" s="2"/>
      <c r="N5656" s="9"/>
      <c r="P5656" s="3">
        <v>-2425.4094919999998</v>
      </c>
      <c r="S5656" s="9"/>
      <c r="T5656" s="2"/>
      <c r="U5656" s="9"/>
    </row>
    <row r="5657" spans="2:21" x14ac:dyDescent="0.35">
      <c r="B5657" s="9"/>
      <c r="C5657" s="2"/>
      <c r="D5657" s="2"/>
      <c r="I5657" s="9"/>
      <c r="J5657" s="2"/>
      <c r="L5657" s="9"/>
      <c r="M5657" s="2"/>
      <c r="N5657" s="9"/>
      <c r="P5657" s="3">
        <v>-1990.649492</v>
      </c>
      <c r="S5657" s="9"/>
      <c r="T5657" s="2"/>
      <c r="U5657" s="9"/>
    </row>
    <row r="5658" spans="2:21" x14ac:dyDescent="0.35">
      <c r="B5658" s="9"/>
      <c r="C5658" s="2"/>
      <c r="D5658" s="2"/>
      <c r="I5658" s="9"/>
      <c r="J5658" s="2"/>
      <c r="L5658" s="9"/>
      <c r="M5658" s="2"/>
      <c r="N5658" s="9"/>
      <c r="P5658" s="3">
        <v>-1555.889492</v>
      </c>
      <c r="S5658" s="9"/>
      <c r="T5658" s="2"/>
      <c r="U5658" s="9"/>
    </row>
    <row r="5659" spans="2:21" x14ac:dyDescent="0.35">
      <c r="B5659" s="9"/>
      <c r="C5659" s="2"/>
      <c r="D5659" s="2"/>
      <c r="I5659" s="9"/>
      <c r="J5659" s="2"/>
      <c r="L5659" s="9"/>
      <c r="M5659" s="2"/>
      <c r="N5659" s="9"/>
      <c r="P5659" s="3">
        <v>-1121.129492</v>
      </c>
      <c r="S5659" s="9"/>
      <c r="T5659" s="2"/>
      <c r="U5659" s="9"/>
    </row>
    <row r="5660" spans="2:21" x14ac:dyDescent="0.35">
      <c r="B5660" s="9"/>
      <c r="C5660" s="2"/>
      <c r="D5660" s="2"/>
      <c r="I5660" s="9"/>
      <c r="J5660" s="2"/>
      <c r="L5660" s="9"/>
      <c r="M5660" s="2"/>
      <c r="N5660" s="9"/>
      <c r="P5660" s="3">
        <v>-1121.129492</v>
      </c>
      <c r="S5660" s="9"/>
      <c r="T5660" s="2"/>
      <c r="U5660" s="9"/>
    </row>
    <row r="5661" spans="2:21" x14ac:dyDescent="0.35">
      <c r="B5661" s="9"/>
      <c r="C5661" s="2"/>
      <c r="D5661" s="2"/>
      <c r="I5661" s="9"/>
      <c r="J5661" s="2"/>
      <c r="L5661" s="9"/>
      <c r="M5661" s="2"/>
      <c r="N5661" s="9"/>
      <c r="P5661" s="3">
        <v>-1555.889492</v>
      </c>
      <c r="S5661" s="9"/>
      <c r="T5661" s="2"/>
      <c r="U5661" s="9"/>
    </row>
    <row r="5662" spans="2:21" x14ac:dyDescent="0.35">
      <c r="B5662" s="9"/>
      <c r="C5662" s="2"/>
      <c r="D5662" s="2"/>
      <c r="I5662" s="9"/>
      <c r="J5662" s="2"/>
      <c r="L5662" s="9"/>
      <c r="M5662" s="2"/>
      <c r="N5662" s="9"/>
      <c r="P5662" s="3">
        <v>-1990.649492</v>
      </c>
      <c r="S5662" s="9"/>
      <c r="T5662" s="2"/>
      <c r="U5662" s="9"/>
    </row>
    <row r="5663" spans="2:21" x14ac:dyDescent="0.35">
      <c r="B5663" s="9"/>
      <c r="C5663" s="2"/>
      <c r="D5663" s="2"/>
      <c r="I5663" s="9"/>
      <c r="J5663" s="2"/>
      <c r="L5663" s="9"/>
      <c r="M5663" s="2"/>
      <c r="N5663" s="9"/>
      <c r="P5663" s="3">
        <v>-2425.4094919999998</v>
      </c>
      <c r="S5663" s="9"/>
      <c r="T5663" s="2"/>
      <c r="U5663" s="9"/>
    </row>
    <row r="5664" spans="2:21" x14ac:dyDescent="0.35">
      <c r="B5664" s="9"/>
      <c r="C5664" s="2"/>
      <c r="D5664" s="2"/>
      <c r="I5664" s="9"/>
      <c r="J5664" s="2"/>
      <c r="L5664" s="9"/>
      <c r="M5664" s="2"/>
      <c r="N5664" s="9"/>
      <c r="P5664" s="3">
        <v>-2860.169492</v>
      </c>
      <c r="S5664" s="9"/>
      <c r="T5664" s="2"/>
      <c r="U5664" s="9"/>
    </row>
    <row r="5665" spans="2:21" x14ac:dyDescent="0.35">
      <c r="B5665" s="9"/>
      <c r="C5665" s="2"/>
      <c r="D5665" s="2"/>
      <c r="I5665" s="9"/>
      <c r="J5665" s="2"/>
      <c r="L5665" s="9"/>
      <c r="M5665" s="2"/>
      <c r="N5665" s="9"/>
      <c r="P5665" s="3">
        <v>-2860.169492</v>
      </c>
      <c r="S5665" s="9"/>
      <c r="T5665" s="2"/>
      <c r="U5665" s="9"/>
    </row>
    <row r="5666" spans="2:21" x14ac:dyDescent="0.35">
      <c r="B5666" s="9"/>
      <c r="C5666" s="2"/>
      <c r="D5666" s="2"/>
      <c r="I5666" s="9"/>
      <c r="J5666" s="2"/>
      <c r="L5666" s="9"/>
      <c r="M5666" s="2"/>
      <c r="N5666" s="9"/>
      <c r="P5666" s="3">
        <v>-2860.169492</v>
      </c>
      <c r="S5666" s="9"/>
      <c r="T5666" s="2"/>
      <c r="U5666" s="9"/>
    </row>
    <row r="5667" spans="2:21" x14ac:dyDescent="0.35">
      <c r="B5667" s="9"/>
      <c r="C5667" s="2"/>
      <c r="D5667" s="2"/>
      <c r="I5667" s="9"/>
      <c r="J5667" s="2"/>
      <c r="L5667" s="9"/>
      <c r="M5667" s="2"/>
      <c r="N5667" s="9"/>
      <c r="P5667" s="3">
        <v>-2860.169492</v>
      </c>
      <c r="S5667" s="9"/>
      <c r="T5667" s="2"/>
      <c r="U5667" s="9"/>
    </row>
    <row r="5668" spans="2:21" x14ac:dyDescent="0.35">
      <c r="B5668" s="9"/>
      <c r="C5668" s="2"/>
      <c r="D5668" s="2"/>
      <c r="I5668" s="9"/>
      <c r="J5668" s="2"/>
      <c r="L5668" s="9"/>
      <c r="M5668" s="2"/>
      <c r="N5668" s="9"/>
      <c r="P5668" s="3">
        <v>-2860.169492</v>
      </c>
      <c r="S5668" s="9"/>
      <c r="T5668" s="2"/>
      <c r="U5668" s="9"/>
    </row>
    <row r="5669" spans="2:21" x14ac:dyDescent="0.35">
      <c r="B5669" s="9"/>
      <c r="C5669" s="2"/>
      <c r="D5669" s="2"/>
      <c r="I5669" s="9"/>
      <c r="J5669" s="2"/>
      <c r="L5669" s="9"/>
      <c r="M5669" s="2"/>
      <c r="N5669" s="9"/>
      <c r="P5669" s="3">
        <v>-2860.169492</v>
      </c>
      <c r="S5669" s="9"/>
      <c r="T5669" s="2"/>
      <c r="U5669" s="9"/>
    </row>
    <row r="5670" spans="2:21" x14ac:dyDescent="0.35">
      <c r="B5670" s="9"/>
      <c r="C5670" s="2"/>
      <c r="D5670" s="2"/>
      <c r="I5670" s="9"/>
      <c r="J5670" s="2"/>
      <c r="L5670" s="9"/>
      <c r="M5670" s="2"/>
      <c r="N5670" s="9"/>
      <c r="P5670" s="3">
        <v>-2860.169492</v>
      </c>
      <c r="S5670" s="9"/>
      <c r="T5670" s="2"/>
      <c r="U5670" s="9"/>
    </row>
    <row r="5671" spans="2:21" x14ac:dyDescent="0.35">
      <c r="B5671" s="9"/>
      <c r="C5671" s="2"/>
      <c r="D5671" s="2"/>
      <c r="I5671" s="9"/>
      <c r="J5671" s="2"/>
      <c r="L5671" s="9"/>
      <c r="M5671" s="2"/>
      <c r="N5671" s="9"/>
      <c r="P5671" s="3">
        <v>-2860.169492</v>
      </c>
      <c r="S5671" s="9"/>
      <c r="T5671" s="2"/>
      <c r="U5671" s="9"/>
    </row>
    <row r="5672" spans="2:21" x14ac:dyDescent="0.35">
      <c r="B5672" s="9"/>
      <c r="C5672" s="2"/>
      <c r="D5672" s="2"/>
      <c r="I5672" s="9"/>
      <c r="J5672" s="2"/>
      <c r="L5672" s="9"/>
      <c r="M5672" s="2"/>
      <c r="N5672" s="9"/>
      <c r="P5672" s="3">
        <v>-2860.169492</v>
      </c>
      <c r="S5672" s="9"/>
      <c r="T5672" s="2"/>
      <c r="U5672" s="9"/>
    </row>
    <row r="5673" spans="2:21" x14ac:dyDescent="0.35">
      <c r="B5673" s="9"/>
      <c r="C5673" s="2"/>
      <c r="D5673" s="2"/>
      <c r="I5673" s="9"/>
      <c r="J5673" s="2"/>
      <c r="L5673" s="9"/>
      <c r="M5673" s="2"/>
      <c r="N5673" s="9"/>
      <c r="P5673" s="3">
        <v>-2860.169492</v>
      </c>
      <c r="S5673" s="9"/>
      <c r="T5673" s="2"/>
      <c r="U5673" s="9"/>
    </row>
    <row r="5674" spans="2:21" x14ac:dyDescent="0.35">
      <c r="B5674" s="9"/>
      <c r="C5674" s="2"/>
      <c r="D5674" s="2"/>
      <c r="I5674" s="9"/>
      <c r="J5674" s="2"/>
      <c r="L5674" s="9"/>
      <c r="M5674" s="2"/>
      <c r="N5674" s="9"/>
      <c r="P5674" s="3">
        <v>-2860.169492</v>
      </c>
      <c r="S5674" s="9"/>
      <c r="T5674" s="2"/>
      <c r="U5674" s="9"/>
    </row>
    <row r="5675" spans="2:21" x14ac:dyDescent="0.35">
      <c r="B5675" s="9"/>
      <c r="C5675" s="2"/>
      <c r="D5675" s="2"/>
      <c r="I5675" s="9"/>
      <c r="J5675" s="2"/>
      <c r="L5675" s="9"/>
      <c r="M5675" s="2"/>
      <c r="N5675" s="9"/>
      <c r="P5675" s="3">
        <v>-2860.169492</v>
      </c>
      <c r="S5675" s="9"/>
      <c r="T5675" s="2"/>
      <c r="U5675" s="9"/>
    </row>
    <row r="5676" spans="2:21" x14ac:dyDescent="0.35">
      <c r="B5676" s="9"/>
      <c r="C5676" s="2"/>
      <c r="D5676" s="2"/>
      <c r="I5676" s="9"/>
      <c r="J5676" s="2"/>
      <c r="L5676" s="9"/>
      <c r="M5676" s="2"/>
      <c r="N5676" s="9"/>
      <c r="P5676" s="3">
        <v>-2860.169492</v>
      </c>
      <c r="S5676" s="9"/>
      <c r="T5676" s="2"/>
      <c r="U5676" s="9"/>
    </row>
    <row r="5677" spans="2:21" x14ac:dyDescent="0.35">
      <c r="B5677" s="9"/>
      <c r="C5677" s="2"/>
      <c r="D5677" s="2"/>
      <c r="I5677" s="9"/>
      <c r="J5677" s="2"/>
      <c r="L5677" s="9"/>
      <c r="M5677" s="2"/>
      <c r="N5677" s="9"/>
      <c r="P5677" s="3">
        <v>-2860.169492</v>
      </c>
      <c r="S5677" s="9"/>
      <c r="T5677" s="2"/>
      <c r="U5677" s="9"/>
    </row>
    <row r="5678" spans="2:21" x14ac:dyDescent="0.35">
      <c r="B5678" s="9"/>
      <c r="C5678" s="2"/>
      <c r="D5678" s="2"/>
      <c r="I5678" s="9"/>
      <c r="J5678" s="2"/>
      <c r="L5678" s="9"/>
      <c r="M5678" s="2"/>
      <c r="N5678" s="9"/>
      <c r="P5678" s="3">
        <v>-2860.169492</v>
      </c>
      <c r="S5678" s="9"/>
      <c r="T5678" s="2"/>
      <c r="U5678" s="9"/>
    </row>
    <row r="5679" spans="2:21" x14ac:dyDescent="0.35">
      <c r="B5679" s="9"/>
      <c r="C5679" s="2"/>
      <c r="D5679" s="2"/>
      <c r="I5679" s="9"/>
      <c r="J5679" s="2"/>
      <c r="L5679" s="9"/>
      <c r="M5679" s="2"/>
      <c r="N5679" s="9"/>
      <c r="P5679" s="3">
        <v>-2860.169492</v>
      </c>
      <c r="S5679" s="9"/>
      <c r="T5679" s="2"/>
      <c r="U5679" s="9"/>
    </row>
    <row r="5680" spans="2:21" x14ac:dyDescent="0.35">
      <c r="B5680" s="9"/>
      <c r="C5680" s="2"/>
      <c r="D5680" s="2"/>
      <c r="I5680" s="9"/>
      <c r="J5680" s="2"/>
      <c r="L5680" s="9"/>
      <c r="M5680" s="2"/>
      <c r="N5680" s="9"/>
      <c r="P5680" s="3">
        <v>-2425.4094919999998</v>
      </c>
      <c r="S5680" s="9"/>
      <c r="T5680" s="2"/>
      <c r="U5680" s="9"/>
    </row>
    <row r="5681" spans="2:21" x14ac:dyDescent="0.35">
      <c r="B5681" s="9"/>
      <c r="C5681" s="2"/>
      <c r="D5681" s="2"/>
      <c r="I5681" s="9"/>
      <c r="J5681" s="2"/>
      <c r="L5681" s="9"/>
      <c r="M5681" s="2"/>
      <c r="N5681" s="9"/>
      <c r="P5681" s="3">
        <v>-1990.649492</v>
      </c>
      <c r="S5681" s="9"/>
      <c r="T5681" s="2"/>
      <c r="U5681" s="9"/>
    </row>
    <row r="5682" spans="2:21" x14ac:dyDescent="0.35">
      <c r="B5682" s="9"/>
      <c r="C5682" s="2"/>
      <c r="D5682" s="2"/>
      <c r="I5682" s="9"/>
      <c r="J5682" s="2"/>
      <c r="L5682" s="9"/>
      <c r="M5682" s="2"/>
      <c r="N5682" s="9"/>
      <c r="P5682" s="3">
        <v>-1555.889492</v>
      </c>
      <c r="S5682" s="9"/>
      <c r="T5682" s="2"/>
      <c r="U5682" s="9"/>
    </row>
    <row r="5683" spans="2:21" x14ac:dyDescent="0.35">
      <c r="B5683" s="9"/>
      <c r="C5683" s="2"/>
      <c r="D5683" s="2"/>
      <c r="I5683" s="9"/>
      <c r="J5683" s="2"/>
      <c r="L5683" s="9"/>
      <c r="M5683" s="2"/>
      <c r="N5683" s="9"/>
      <c r="P5683" s="3">
        <v>-1121.129492</v>
      </c>
      <c r="S5683" s="9"/>
      <c r="T5683" s="2"/>
      <c r="U5683" s="9"/>
    </row>
    <row r="5684" spans="2:21" x14ac:dyDescent="0.35">
      <c r="B5684" s="9"/>
      <c r="C5684" s="2"/>
      <c r="D5684" s="2"/>
      <c r="I5684" s="9"/>
      <c r="J5684" s="2"/>
      <c r="L5684" s="9"/>
      <c r="M5684" s="2"/>
      <c r="N5684" s="9"/>
      <c r="P5684" s="3">
        <v>-1121.129492</v>
      </c>
      <c r="S5684" s="9"/>
      <c r="T5684" s="2"/>
      <c r="U5684" s="9"/>
    </row>
    <row r="5685" spans="2:21" x14ac:dyDescent="0.35">
      <c r="B5685" s="9"/>
      <c r="C5685" s="2"/>
      <c r="D5685" s="2"/>
      <c r="I5685" s="9"/>
      <c r="J5685" s="2"/>
      <c r="L5685" s="9"/>
      <c r="M5685" s="2"/>
      <c r="N5685" s="9"/>
      <c r="P5685" s="3">
        <v>-1555.889492</v>
      </c>
      <c r="S5685" s="9"/>
      <c r="T5685" s="2"/>
      <c r="U5685" s="9"/>
    </row>
    <row r="5686" spans="2:21" x14ac:dyDescent="0.35">
      <c r="B5686" s="9"/>
      <c r="C5686" s="2"/>
      <c r="D5686" s="2"/>
      <c r="I5686" s="9"/>
      <c r="J5686" s="2"/>
      <c r="L5686" s="9"/>
      <c r="M5686" s="2"/>
      <c r="N5686" s="9"/>
      <c r="P5686" s="3">
        <v>-1990.649492</v>
      </c>
      <c r="S5686" s="9"/>
      <c r="T5686" s="2"/>
      <c r="U5686" s="9"/>
    </row>
    <row r="5687" spans="2:21" x14ac:dyDescent="0.35">
      <c r="B5687" s="9"/>
      <c r="C5687" s="2"/>
      <c r="D5687" s="2"/>
      <c r="I5687" s="9"/>
      <c r="J5687" s="2"/>
      <c r="L5687" s="9"/>
      <c r="M5687" s="2"/>
      <c r="N5687" s="9"/>
      <c r="P5687" s="3">
        <v>-2425.4094919999998</v>
      </c>
      <c r="S5687" s="9"/>
      <c r="T5687" s="2"/>
      <c r="U5687" s="9"/>
    </row>
    <row r="5688" spans="2:21" x14ac:dyDescent="0.35">
      <c r="B5688" s="9"/>
      <c r="C5688" s="2"/>
      <c r="D5688" s="2"/>
      <c r="I5688" s="9"/>
      <c r="J5688" s="2"/>
      <c r="L5688" s="9"/>
      <c r="M5688" s="2"/>
      <c r="N5688" s="9"/>
      <c r="P5688" s="3">
        <v>-2860.169492</v>
      </c>
      <c r="S5688" s="9"/>
      <c r="T5688" s="2"/>
      <c r="U5688" s="9"/>
    </row>
    <row r="5689" spans="2:21" x14ac:dyDescent="0.35">
      <c r="B5689" s="9"/>
      <c r="C5689" s="2"/>
      <c r="D5689" s="2"/>
      <c r="I5689" s="9"/>
      <c r="J5689" s="2"/>
      <c r="L5689" s="9"/>
      <c r="M5689" s="2"/>
      <c r="N5689" s="9"/>
      <c r="P5689" s="3">
        <v>-2860.169492</v>
      </c>
      <c r="S5689" s="9"/>
      <c r="T5689" s="2"/>
      <c r="U5689" s="9"/>
    </row>
    <row r="5690" spans="2:21" x14ac:dyDescent="0.35">
      <c r="B5690" s="9"/>
      <c r="C5690" s="2"/>
      <c r="D5690" s="2"/>
      <c r="I5690" s="9"/>
      <c r="J5690" s="2"/>
      <c r="L5690" s="9"/>
      <c r="M5690" s="2"/>
      <c r="N5690" s="9"/>
      <c r="P5690" s="3">
        <v>-2860.169492</v>
      </c>
      <c r="S5690" s="9"/>
      <c r="T5690" s="2"/>
      <c r="U5690" s="9"/>
    </row>
    <row r="5691" spans="2:21" x14ac:dyDescent="0.35">
      <c r="B5691" s="9"/>
      <c r="C5691" s="2"/>
      <c r="D5691" s="2"/>
      <c r="I5691" s="9"/>
      <c r="J5691" s="2"/>
      <c r="L5691" s="9"/>
      <c r="M5691" s="2"/>
      <c r="N5691" s="9"/>
      <c r="P5691" s="3">
        <v>-2860.169492</v>
      </c>
      <c r="S5691" s="9"/>
      <c r="T5691" s="2"/>
      <c r="U5691" s="9"/>
    </row>
    <row r="5692" spans="2:21" x14ac:dyDescent="0.35">
      <c r="B5692" s="9"/>
      <c r="C5692" s="2"/>
      <c r="D5692" s="2"/>
      <c r="I5692" s="9"/>
      <c r="J5692" s="2"/>
      <c r="L5692" s="9"/>
      <c r="M5692" s="2"/>
      <c r="N5692" s="9"/>
      <c r="P5692" s="3">
        <v>-2860.169492</v>
      </c>
      <c r="S5692" s="9"/>
      <c r="T5692" s="2"/>
      <c r="U5692" s="9"/>
    </row>
    <row r="5693" spans="2:21" x14ac:dyDescent="0.35">
      <c r="B5693" s="9"/>
      <c r="C5693" s="2"/>
      <c r="D5693" s="2"/>
      <c r="I5693" s="9"/>
      <c r="J5693" s="2"/>
      <c r="L5693" s="9"/>
      <c r="M5693" s="2"/>
      <c r="N5693" s="9"/>
      <c r="P5693" s="3">
        <v>-2860.169492</v>
      </c>
      <c r="S5693" s="9"/>
      <c r="T5693" s="2"/>
      <c r="U5693" s="9"/>
    </row>
    <row r="5694" spans="2:21" x14ac:dyDescent="0.35">
      <c r="B5694" s="9"/>
      <c r="C5694" s="2"/>
      <c r="D5694" s="2"/>
      <c r="I5694" s="9"/>
      <c r="J5694" s="2"/>
      <c r="L5694" s="9"/>
      <c r="M5694" s="2"/>
      <c r="N5694" s="9"/>
      <c r="P5694" s="3">
        <v>-2860.169492</v>
      </c>
      <c r="S5694" s="9"/>
      <c r="T5694" s="2"/>
      <c r="U5694" s="9"/>
    </row>
    <row r="5695" spans="2:21" x14ac:dyDescent="0.35">
      <c r="B5695" s="9"/>
      <c r="C5695" s="2"/>
      <c r="D5695" s="2"/>
      <c r="I5695" s="9"/>
      <c r="J5695" s="2"/>
      <c r="L5695" s="9"/>
      <c r="M5695" s="2"/>
      <c r="N5695" s="9"/>
      <c r="P5695" s="3">
        <v>-2860.169492</v>
      </c>
      <c r="S5695" s="9"/>
      <c r="T5695" s="2"/>
      <c r="U5695" s="9"/>
    </row>
    <row r="5696" spans="2:21" x14ac:dyDescent="0.35">
      <c r="B5696" s="9"/>
      <c r="C5696" s="2"/>
      <c r="D5696" s="2"/>
      <c r="I5696" s="9"/>
      <c r="J5696" s="2"/>
      <c r="L5696" s="9"/>
      <c r="M5696" s="2"/>
      <c r="N5696" s="9"/>
      <c r="P5696" s="3">
        <v>-2860.169492</v>
      </c>
      <c r="S5696" s="9"/>
      <c r="T5696" s="2"/>
      <c r="U5696" s="9"/>
    </row>
    <row r="5697" spans="2:21" x14ac:dyDescent="0.35">
      <c r="B5697" s="9"/>
      <c r="C5697" s="2"/>
      <c r="D5697" s="2"/>
      <c r="I5697" s="9"/>
      <c r="J5697" s="2"/>
      <c r="L5697" s="9"/>
      <c r="M5697" s="2"/>
      <c r="N5697" s="9"/>
      <c r="P5697" s="3">
        <v>-2860.169492</v>
      </c>
      <c r="S5697" s="9"/>
      <c r="T5697" s="2"/>
      <c r="U5697" s="9"/>
    </row>
    <row r="5698" spans="2:21" x14ac:dyDescent="0.35">
      <c r="B5698" s="9"/>
      <c r="C5698" s="2"/>
      <c r="D5698" s="2"/>
      <c r="I5698" s="9"/>
      <c r="J5698" s="2"/>
      <c r="L5698" s="9"/>
      <c r="M5698" s="2"/>
      <c r="N5698" s="9"/>
      <c r="P5698" s="3">
        <v>-2860.169492</v>
      </c>
      <c r="S5698" s="9"/>
      <c r="T5698" s="2"/>
      <c r="U5698" s="9"/>
    </row>
    <row r="5699" spans="2:21" x14ac:dyDescent="0.35">
      <c r="B5699" s="9"/>
      <c r="C5699" s="2"/>
      <c r="D5699" s="2"/>
      <c r="I5699" s="9"/>
      <c r="J5699" s="2"/>
      <c r="L5699" s="9"/>
      <c r="M5699" s="2"/>
      <c r="N5699" s="9"/>
      <c r="P5699" s="3">
        <v>-2860.169492</v>
      </c>
      <c r="S5699" s="9"/>
      <c r="T5699" s="2"/>
      <c r="U5699" s="9"/>
    </row>
    <row r="5700" spans="2:21" x14ac:dyDescent="0.35">
      <c r="B5700" s="9"/>
      <c r="C5700" s="2"/>
      <c r="D5700" s="2"/>
      <c r="I5700" s="9"/>
      <c r="J5700" s="2"/>
      <c r="L5700" s="9"/>
      <c r="M5700" s="2"/>
      <c r="N5700" s="9"/>
      <c r="P5700" s="3">
        <v>-2860.169492</v>
      </c>
      <c r="S5700" s="9"/>
      <c r="T5700" s="2"/>
      <c r="U5700" s="9"/>
    </row>
    <row r="5701" spans="2:21" x14ac:dyDescent="0.35">
      <c r="B5701" s="9"/>
      <c r="C5701" s="2"/>
      <c r="D5701" s="2"/>
      <c r="I5701" s="9"/>
      <c r="J5701" s="2"/>
      <c r="L5701" s="9"/>
      <c r="M5701" s="2"/>
      <c r="N5701" s="9"/>
      <c r="P5701" s="3">
        <v>-2860.169492</v>
      </c>
      <c r="S5701" s="9"/>
      <c r="T5701" s="2"/>
      <c r="U5701" s="9"/>
    </row>
    <row r="5702" spans="2:21" x14ac:dyDescent="0.35">
      <c r="B5702" s="9"/>
      <c r="C5702" s="2"/>
      <c r="D5702" s="2"/>
      <c r="I5702" s="9"/>
      <c r="J5702" s="2"/>
      <c r="L5702" s="9"/>
      <c r="M5702" s="2"/>
      <c r="N5702" s="9"/>
      <c r="P5702" s="3">
        <v>-2860.169492</v>
      </c>
      <c r="S5702" s="9"/>
      <c r="T5702" s="2"/>
      <c r="U5702" s="9"/>
    </row>
    <row r="5703" spans="2:21" x14ac:dyDescent="0.35">
      <c r="B5703" s="9"/>
      <c r="C5703" s="2"/>
      <c r="D5703" s="2"/>
      <c r="I5703" s="9"/>
      <c r="J5703" s="2"/>
      <c r="L5703" s="9"/>
      <c r="M5703" s="2"/>
      <c r="N5703" s="9"/>
      <c r="P5703" s="3">
        <v>-2425.4094919999998</v>
      </c>
      <c r="S5703" s="9"/>
      <c r="T5703" s="2"/>
      <c r="U5703" s="9"/>
    </row>
    <row r="5704" spans="2:21" x14ac:dyDescent="0.35">
      <c r="B5704" s="9"/>
      <c r="C5704" s="2"/>
      <c r="D5704" s="2"/>
      <c r="I5704" s="9"/>
      <c r="J5704" s="2"/>
      <c r="L5704" s="9"/>
      <c r="M5704" s="2"/>
      <c r="N5704" s="9"/>
      <c r="P5704" s="3">
        <v>-1990.649492</v>
      </c>
      <c r="S5704" s="9"/>
      <c r="T5704" s="2"/>
      <c r="U5704" s="9"/>
    </row>
    <row r="5705" spans="2:21" x14ac:dyDescent="0.35">
      <c r="B5705" s="9"/>
      <c r="C5705" s="2"/>
      <c r="D5705" s="2"/>
      <c r="I5705" s="9"/>
      <c r="J5705" s="2"/>
      <c r="L5705" s="9"/>
      <c r="M5705" s="2"/>
      <c r="N5705" s="9"/>
      <c r="P5705" s="3">
        <v>-1555.889492</v>
      </c>
      <c r="S5705" s="9"/>
      <c r="T5705" s="2"/>
      <c r="U5705" s="9"/>
    </row>
    <row r="5706" spans="2:21" x14ac:dyDescent="0.35">
      <c r="B5706" s="9"/>
      <c r="C5706" s="2"/>
      <c r="D5706" s="2"/>
      <c r="I5706" s="9"/>
      <c r="J5706" s="2"/>
      <c r="L5706" s="9"/>
      <c r="M5706" s="2"/>
      <c r="N5706" s="9"/>
      <c r="P5706" s="3">
        <v>-1121.129492</v>
      </c>
      <c r="S5706" s="9"/>
      <c r="T5706" s="2"/>
      <c r="U5706" s="9"/>
    </row>
    <row r="5707" spans="2:21" x14ac:dyDescent="0.35">
      <c r="B5707" s="9"/>
      <c r="C5707" s="2"/>
      <c r="D5707" s="2"/>
      <c r="I5707" s="9"/>
      <c r="J5707" s="2"/>
      <c r="L5707" s="9"/>
      <c r="M5707" s="2"/>
      <c r="N5707" s="9"/>
      <c r="P5707" s="3">
        <v>-686.36949200000004</v>
      </c>
      <c r="S5707" s="9"/>
      <c r="T5707" s="2"/>
      <c r="U5707" s="9"/>
    </row>
    <row r="5708" spans="2:21" x14ac:dyDescent="0.35">
      <c r="B5708" s="9"/>
      <c r="C5708" s="2"/>
      <c r="D5708" s="2"/>
      <c r="I5708" s="9"/>
      <c r="J5708" s="2"/>
      <c r="L5708" s="9"/>
      <c r="M5708" s="2"/>
      <c r="N5708" s="9"/>
      <c r="P5708" s="3">
        <v>-1121.129492</v>
      </c>
      <c r="S5708" s="9"/>
      <c r="T5708" s="2"/>
      <c r="U5708" s="9"/>
    </row>
    <row r="5709" spans="2:21" x14ac:dyDescent="0.35">
      <c r="B5709" s="9"/>
      <c r="C5709" s="2"/>
      <c r="D5709" s="2"/>
      <c r="I5709" s="9"/>
      <c r="J5709" s="2"/>
      <c r="L5709" s="9"/>
      <c r="M5709" s="2"/>
      <c r="N5709" s="9"/>
      <c r="P5709" s="3">
        <v>-1555.889492</v>
      </c>
      <c r="S5709" s="9"/>
      <c r="T5709" s="2"/>
      <c r="U5709" s="9"/>
    </row>
    <row r="5710" spans="2:21" x14ac:dyDescent="0.35">
      <c r="B5710" s="9"/>
      <c r="C5710" s="2"/>
      <c r="D5710" s="2"/>
      <c r="I5710" s="9"/>
      <c r="J5710" s="2"/>
      <c r="L5710" s="9"/>
      <c r="M5710" s="2"/>
      <c r="N5710" s="9"/>
      <c r="P5710" s="3">
        <v>-1990.649492</v>
      </c>
      <c r="S5710" s="9"/>
      <c r="T5710" s="2"/>
      <c r="U5710" s="9"/>
    </row>
    <row r="5711" spans="2:21" x14ac:dyDescent="0.35">
      <c r="B5711" s="9"/>
      <c r="C5711" s="2"/>
      <c r="D5711" s="2"/>
      <c r="I5711" s="9"/>
      <c r="J5711" s="2"/>
      <c r="L5711" s="9"/>
      <c r="M5711" s="2"/>
      <c r="N5711" s="9"/>
      <c r="P5711" s="3">
        <v>-2425.4094919999998</v>
      </c>
      <c r="S5711" s="9"/>
      <c r="T5711" s="2"/>
      <c r="U5711" s="9"/>
    </row>
    <row r="5712" spans="2:21" x14ac:dyDescent="0.35">
      <c r="B5712" s="9"/>
      <c r="C5712" s="2"/>
      <c r="D5712" s="2"/>
      <c r="I5712" s="9"/>
      <c r="J5712" s="2"/>
      <c r="L5712" s="9"/>
      <c r="M5712" s="2"/>
      <c r="N5712" s="9"/>
      <c r="P5712" s="3">
        <v>-2860.169492</v>
      </c>
      <c r="S5712" s="9"/>
      <c r="T5712" s="2"/>
      <c r="U5712" s="9"/>
    </row>
    <row r="5713" spans="2:21" x14ac:dyDescent="0.35">
      <c r="B5713" s="9"/>
      <c r="C5713" s="2"/>
      <c r="D5713" s="2"/>
      <c r="I5713" s="9"/>
      <c r="J5713" s="2"/>
      <c r="L5713" s="9"/>
      <c r="M5713" s="2"/>
      <c r="N5713" s="9"/>
      <c r="P5713" s="3">
        <v>-2860.169492</v>
      </c>
      <c r="S5713" s="9"/>
      <c r="T5713" s="2"/>
      <c r="U5713" s="9"/>
    </row>
    <row r="5714" spans="2:21" x14ac:dyDescent="0.35">
      <c r="B5714" s="9"/>
      <c r="C5714" s="2"/>
      <c r="D5714" s="2"/>
      <c r="I5714" s="9"/>
      <c r="J5714" s="2"/>
      <c r="L5714" s="9"/>
      <c r="M5714" s="2"/>
      <c r="N5714" s="9"/>
      <c r="P5714" s="3">
        <v>-2860.169492</v>
      </c>
      <c r="S5714" s="9"/>
      <c r="T5714" s="2"/>
      <c r="U5714" s="9"/>
    </row>
    <row r="5715" spans="2:21" x14ac:dyDescent="0.35">
      <c r="B5715" s="9"/>
      <c r="C5715" s="2"/>
      <c r="D5715" s="2"/>
      <c r="I5715" s="9"/>
      <c r="J5715" s="2"/>
      <c r="L5715" s="9"/>
      <c r="M5715" s="2"/>
      <c r="N5715" s="9"/>
      <c r="P5715" s="3">
        <v>-2860.169492</v>
      </c>
      <c r="S5715" s="9"/>
      <c r="T5715" s="2"/>
      <c r="U5715" s="9"/>
    </row>
    <row r="5716" spans="2:21" x14ac:dyDescent="0.35">
      <c r="B5716" s="9"/>
      <c r="C5716" s="2"/>
      <c r="D5716" s="2"/>
      <c r="I5716" s="9"/>
      <c r="J5716" s="2"/>
      <c r="L5716" s="9"/>
      <c r="M5716" s="2"/>
      <c r="N5716" s="9"/>
      <c r="P5716" s="3">
        <v>-2860.169492</v>
      </c>
      <c r="S5716" s="9"/>
      <c r="T5716" s="2"/>
      <c r="U5716" s="9"/>
    </row>
    <row r="5717" spans="2:21" x14ac:dyDescent="0.35">
      <c r="B5717" s="9"/>
      <c r="C5717" s="2"/>
      <c r="D5717" s="2"/>
      <c r="I5717" s="9"/>
      <c r="J5717" s="2"/>
      <c r="L5717" s="9"/>
      <c r="M5717" s="2"/>
      <c r="N5717" s="9"/>
      <c r="P5717" s="3">
        <v>-2860.169492</v>
      </c>
      <c r="S5717" s="9"/>
      <c r="T5717" s="2"/>
      <c r="U5717" s="9"/>
    </row>
    <row r="5718" spans="2:21" x14ac:dyDescent="0.35">
      <c r="B5718" s="9"/>
      <c r="C5718" s="2"/>
      <c r="D5718" s="2"/>
      <c r="I5718" s="9"/>
      <c r="J5718" s="2"/>
      <c r="L5718" s="9"/>
      <c r="M5718" s="2"/>
      <c r="N5718" s="9"/>
      <c r="P5718" s="3">
        <v>-2860.169492</v>
      </c>
      <c r="S5718" s="9"/>
      <c r="T5718" s="2"/>
      <c r="U5718" s="9"/>
    </row>
    <row r="5719" spans="2:21" x14ac:dyDescent="0.35">
      <c r="B5719" s="9"/>
      <c r="C5719" s="2"/>
      <c r="D5719" s="2"/>
      <c r="I5719" s="9"/>
      <c r="J5719" s="2"/>
      <c r="L5719" s="9"/>
      <c r="M5719" s="2"/>
      <c r="N5719" s="9"/>
      <c r="P5719" s="3">
        <v>-2860.169492</v>
      </c>
      <c r="S5719" s="9"/>
      <c r="T5719" s="2"/>
      <c r="U5719" s="9"/>
    </row>
    <row r="5720" spans="2:21" x14ac:dyDescent="0.35">
      <c r="B5720" s="9"/>
      <c r="C5720" s="2"/>
      <c r="D5720" s="2"/>
      <c r="I5720" s="9"/>
      <c r="J5720" s="2"/>
      <c r="L5720" s="9"/>
      <c r="M5720" s="2"/>
      <c r="N5720" s="9"/>
      <c r="P5720" s="3">
        <v>-2860.169492</v>
      </c>
      <c r="S5720" s="9"/>
      <c r="T5720" s="2"/>
      <c r="U5720" s="9"/>
    </row>
    <row r="5721" spans="2:21" x14ac:dyDescent="0.35">
      <c r="B5721" s="9"/>
      <c r="C5721" s="2"/>
      <c r="D5721" s="2"/>
      <c r="I5721" s="9"/>
      <c r="J5721" s="2"/>
      <c r="L5721" s="9"/>
      <c r="M5721" s="2"/>
      <c r="N5721" s="9"/>
      <c r="P5721" s="3">
        <v>-2860.169492</v>
      </c>
      <c r="S5721" s="9"/>
      <c r="T5721" s="2"/>
      <c r="U5721" s="9"/>
    </row>
    <row r="5722" spans="2:21" x14ac:dyDescent="0.35">
      <c r="B5722" s="9"/>
      <c r="C5722" s="2"/>
      <c r="D5722" s="2"/>
      <c r="I5722" s="9"/>
      <c r="J5722" s="2"/>
      <c r="L5722" s="9"/>
      <c r="M5722" s="2"/>
      <c r="N5722" s="9"/>
      <c r="P5722" s="3">
        <v>-2860.169492</v>
      </c>
      <c r="S5722" s="9"/>
      <c r="T5722" s="2"/>
      <c r="U5722" s="9"/>
    </row>
    <row r="5723" spans="2:21" x14ac:dyDescent="0.35">
      <c r="B5723" s="9"/>
      <c r="C5723" s="2"/>
      <c r="D5723" s="2"/>
      <c r="I5723" s="9"/>
      <c r="J5723" s="2"/>
      <c r="L5723" s="9"/>
      <c r="M5723" s="2"/>
      <c r="N5723" s="9"/>
      <c r="P5723" s="3">
        <v>-2860.169492</v>
      </c>
      <c r="S5723" s="9"/>
      <c r="T5723" s="2"/>
      <c r="U5723" s="9"/>
    </row>
    <row r="5724" spans="2:21" x14ac:dyDescent="0.35">
      <c r="B5724" s="9"/>
      <c r="C5724" s="2"/>
      <c r="D5724" s="2"/>
      <c r="I5724" s="9"/>
      <c r="J5724" s="2"/>
      <c r="L5724" s="9"/>
      <c r="M5724" s="2"/>
      <c r="N5724" s="9"/>
      <c r="P5724" s="3">
        <v>-2860.169492</v>
      </c>
      <c r="S5724" s="9"/>
      <c r="T5724" s="2"/>
      <c r="U5724" s="9"/>
    </row>
    <row r="5725" spans="2:21" x14ac:dyDescent="0.35">
      <c r="B5725" s="9"/>
      <c r="C5725" s="2"/>
      <c r="D5725" s="2"/>
      <c r="I5725" s="9"/>
      <c r="J5725" s="2"/>
      <c r="L5725" s="9"/>
      <c r="M5725" s="2"/>
      <c r="N5725" s="9"/>
      <c r="P5725" s="3">
        <v>-2860.169492</v>
      </c>
      <c r="S5725" s="9"/>
      <c r="T5725" s="2"/>
      <c r="U5725" s="9"/>
    </row>
    <row r="5726" spans="2:21" x14ac:dyDescent="0.35">
      <c r="B5726" s="9"/>
      <c r="C5726" s="2"/>
      <c r="D5726" s="2"/>
      <c r="I5726" s="9"/>
      <c r="J5726" s="2"/>
      <c r="L5726" s="9"/>
      <c r="M5726" s="2"/>
      <c r="N5726" s="9"/>
      <c r="P5726" s="3">
        <v>-2860.169492</v>
      </c>
      <c r="S5726" s="9"/>
      <c r="T5726" s="2"/>
      <c r="U5726" s="9"/>
    </row>
    <row r="5727" spans="2:21" x14ac:dyDescent="0.35">
      <c r="B5727" s="9"/>
      <c r="C5727" s="2"/>
      <c r="D5727" s="2"/>
      <c r="I5727" s="9"/>
      <c r="J5727" s="2"/>
      <c r="L5727" s="9"/>
      <c r="M5727" s="2"/>
      <c r="N5727" s="9"/>
      <c r="P5727" s="3">
        <v>-2425.4094919999998</v>
      </c>
      <c r="S5727" s="9"/>
      <c r="T5727" s="2"/>
      <c r="U5727" s="9"/>
    </row>
    <row r="5728" spans="2:21" x14ac:dyDescent="0.35">
      <c r="B5728" s="9"/>
      <c r="C5728" s="2"/>
      <c r="D5728" s="2"/>
      <c r="I5728" s="9"/>
      <c r="J5728" s="2"/>
      <c r="L5728" s="9"/>
      <c r="M5728" s="2"/>
      <c r="N5728" s="9"/>
      <c r="P5728" s="3">
        <v>-1990.649492</v>
      </c>
      <c r="S5728" s="9"/>
      <c r="T5728" s="2"/>
      <c r="U5728" s="9"/>
    </row>
    <row r="5729" spans="2:21" x14ac:dyDescent="0.35">
      <c r="B5729" s="9"/>
      <c r="C5729" s="2"/>
      <c r="D5729" s="2"/>
      <c r="I5729" s="9"/>
      <c r="J5729" s="2"/>
      <c r="L5729" s="9"/>
      <c r="M5729" s="2"/>
      <c r="N5729" s="9"/>
      <c r="P5729" s="3">
        <v>-1555.889492</v>
      </c>
      <c r="S5729" s="9"/>
      <c r="T5729" s="2"/>
      <c r="U5729" s="9"/>
    </row>
    <row r="5730" spans="2:21" x14ac:dyDescent="0.35">
      <c r="B5730" s="9"/>
      <c r="C5730" s="2"/>
      <c r="D5730" s="2"/>
      <c r="I5730" s="9"/>
      <c r="J5730" s="2"/>
      <c r="L5730" s="9"/>
      <c r="M5730" s="2"/>
      <c r="N5730" s="9"/>
      <c r="P5730" s="3">
        <v>-1121.129492</v>
      </c>
      <c r="S5730" s="9"/>
      <c r="T5730" s="2"/>
      <c r="U5730" s="9"/>
    </row>
    <row r="5731" spans="2:21" x14ac:dyDescent="0.35">
      <c r="B5731" s="9"/>
      <c r="C5731" s="2"/>
      <c r="D5731" s="2"/>
      <c r="I5731" s="9"/>
      <c r="J5731" s="2"/>
      <c r="L5731" s="9"/>
      <c r="M5731" s="2"/>
      <c r="N5731" s="9"/>
      <c r="P5731" s="3">
        <v>-1121.129492</v>
      </c>
      <c r="S5731" s="9"/>
      <c r="T5731" s="2"/>
      <c r="U5731" s="9"/>
    </row>
    <row r="5732" spans="2:21" x14ac:dyDescent="0.35">
      <c r="B5732" s="9"/>
      <c r="C5732" s="2"/>
      <c r="D5732" s="2"/>
      <c r="I5732" s="9"/>
      <c r="J5732" s="2"/>
      <c r="L5732" s="9"/>
      <c r="M5732" s="2"/>
      <c r="N5732" s="9"/>
      <c r="P5732" s="3">
        <v>-1555.889492</v>
      </c>
      <c r="S5732" s="9"/>
      <c r="T5732" s="2"/>
      <c r="U5732" s="9"/>
    </row>
    <row r="5733" spans="2:21" x14ac:dyDescent="0.35">
      <c r="B5733" s="9"/>
      <c r="C5733" s="2"/>
      <c r="D5733" s="2"/>
      <c r="I5733" s="9"/>
      <c r="J5733" s="2"/>
      <c r="L5733" s="9"/>
      <c r="M5733" s="2"/>
      <c r="N5733" s="9"/>
      <c r="P5733" s="3">
        <v>-1990.649492</v>
      </c>
      <c r="S5733" s="9"/>
      <c r="T5733" s="2"/>
      <c r="U5733" s="9"/>
    </row>
    <row r="5734" spans="2:21" x14ac:dyDescent="0.35">
      <c r="B5734" s="9"/>
      <c r="C5734" s="2"/>
      <c r="D5734" s="2"/>
      <c r="I5734" s="9"/>
      <c r="J5734" s="2"/>
      <c r="L5734" s="9"/>
      <c r="M5734" s="2"/>
      <c r="N5734" s="9"/>
      <c r="P5734" s="3">
        <v>-2425.4094919999998</v>
      </c>
      <c r="S5734" s="9"/>
      <c r="T5734" s="2"/>
      <c r="U5734" s="9"/>
    </row>
    <row r="5735" spans="2:21" x14ac:dyDescent="0.35">
      <c r="B5735" s="9"/>
      <c r="C5735" s="2"/>
      <c r="D5735" s="2"/>
      <c r="I5735" s="9"/>
      <c r="J5735" s="2"/>
      <c r="L5735" s="9"/>
      <c r="M5735" s="2"/>
      <c r="N5735" s="9"/>
      <c r="P5735" s="3">
        <v>-2860.169492</v>
      </c>
      <c r="S5735" s="9"/>
      <c r="T5735" s="2"/>
      <c r="U5735" s="9"/>
    </row>
    <row r="5736" spans="2:21" x14ac:dyDescent="0.35">
      <c r="B5736" s="9"/>
      <c r="C5736" s="2"/>
      <c r="D5736" s="2"/>
      <c r="I5736" s="9"/>
      <c r="J5736" s="2"/>
      <c r="L5736" s="9"/>
      <c r="M5736" s="2"/>
      <c r="N5736" s="9"/>
      <c r="P5736" s="3">
        <v>-2860.169492</v>
      </c>
      <c r="S5736" s="9"/>
      <c r="T5736" s="2"/>
      <c r="U5736" s="9"/>
    </row>
    <row r="5737" spans="2:21" x14ac:dyDescent="0.35">
      <c r="B5737" s="9"/>
      <c r="C5737" s="2"/>
      <c r="D5737" s="2"/>
      <c r="I5737" s="9"/>
      <c r="J5737" s="2"/>
      <c r="L5737" s="9"/>
      <c r="M5737" s="2"/>
      <c r="N5737" s="9"/>
      <c r="P5737" s="3">
        <v>-2860.169492</v>
      </c>
      <c r="S5737" s="9"/>
      <c r="T5737" s="2"/>
      <c r="U5737" s="9"/>
    </row>
    <row r="5738" spans="2:21" x14ac:dyDescent="0.35">
      <c r="B5738" s="9"/>
      <c r="C5738" s="2"/>
      <c r="D5738" s="2"/>
      <c r="I5738" s="9"/>
      <c r="J5738" s="2"/>
      <c r="L5738" s="9"/>
      <c r="M5738" s="2"/>
      <c r="N5738" s="9"/>
      <c r="P5738" s="3">
        <v>-2860.169492</v>
      </c>
      <c r="S5738" s="9"/>
      <c r="T5738" s="2"/>
      <c r="U5738" s="9"/>
    </row>
    <row r="5739" spans="2:21" x14ac:dyDescent="0.35">
      <c r="B5739" s="9"/>
      <c r="C5739" s="2"/>
      <c r="D5739" s="2"/>
      <c r="I5739" s="9"/>
      <c r="J5739" s="2"/>
      <c r="L5739" s="9"/>
      <c r="M5739" s="2"/>
      <c r="N5739" s="9"/>
      <c r="P5739" s="3">
        <v>-2860.169492</v>
      </c>
      <c r="S5739" s="9"/>
      <c r="T5739" s="2"/>
      <c r="U5739" s="9"/>
    </row>
    <row r="5740" spans="2:21" x14ac:dyDescent="0.35">
      <c r="B5740" s="9"/>
      <c r="C5740" s="2"/>
      <c r="D5740" s="2"/>
      <c r="I5740" s="9"/>
      <c r="J5740" s="2"/>
      <c r="L5740" s="9"/>
      <c r="M5740" s="2"/>
      <c r="N5740" s="9"/>
      <c r="P5740" s="3">
        <v>-2860.169492</v>
      </c>
      <c r="S5740" s="9"/>
      <c r="T5740" s="2"/>
      <c r="U5740" s="9"/>
    </row>
    <row r="5741" spans="2:21" x14ac:dyDescent="0.35">
      <c r="B5741" s="9"/>
      <c r="C5741" s="2"/>
      <c r="D5741" s="2"/>
      <c r="I5741" s="9"/>
      <c r="J5741" s="2"/>
      <c r="L5741" s="9"/>
      <c r="M5741" s="2"/>
      <c r="N5741" s="9"/>
      <c r="P5741" s="3">
        <v>-2860.169492</v>
      </c>
      <c r="S5741" s="9"/>
      <c r="T5741" s="2"/>
      <c r="U5741" s="9"/>
    </row>
    <row r="5742" spans="2:21" x14ac:dyDescent="0.35">
      <c r="B5742" s="9"/>
      <c r="C5742" s="2"/>
      <c r="D5742" s="2"/>
      <c r="I5742" s="9"/>
      <c r="J5742" s="2"/>
      <c r="L5742" s="9"/>
      <c r="M5742" s="2"/>
      <c r="N5742" s="9"/>
      <c r="P5742" s="3">
        <v>-2860.169492</v>
      </c>
      <c r="S5742" s="9"/>
      <c r="T5742" s="2"/>
      <c r="U5742" s="9"/>
    </row>
    <row r="5743" spans="2:21" x14ac:dyDescent="0.35">
      <c r="B5743" s="9"/>
      <c r="C5743" s="2"/>
      <c r="D5743" s="2"/>
      <c r="I5743" s="9"/>
      <c r="J5743" s="2"/>
      <c r="L5743" s="9"/>
      <c r="M5743" s="2"/>
      <c r="N5743" s="9"/>
      <c r="P5743" s="3">
        <v>-2860.169492</v>
      </c>
      <c r="S5743" s="9"/>
      <c r="T5743" s="2"/>
      <c r="U5743" s="9"/>
    </row>
    <row r="5744" spans="2:21" x14ac:dyDescent="0.35">
      <c r="B5744" s="9"/>
      <c r="C5744" s="2"/>
      <c r="D5744" s="2"/>
      <c r="I5744" s="9"/>
      <c r="J5744" s="2"/>
      <c r="L5744" s="9"/>
      <c r="M5744" s="2"/>
      <c r="N5744" s="9"/>
      <c r="P5744" s="3">
        <v>-2860.169492</v>
      </c>
      <c r="S5744" s="9"/>
      <c r="T5744" s="2"/>
      <c r="U5744" s="9"/>
    </row>
    <row r="5745" spans="2:21" x14ac:dyDescent="0.35">
      <c r="B5745" s="9"/>
      <c r="C5745" s="2"/>
      <c r="D5745" s="2"/>
      <c r="I5745" s="9"/>
      <c r="J5745" s="2"/>
      <c r="L5745" s="9"/>
      <c r="M5745" s="2"/>
      <c r="N5745" s="9"/>
      <c r="P5745" s="3">
        <v>-2860.169492</v>
      </c>
      <c r="S5745" s="9"/>
      <c r="T5745" s="2"/>
      <c r="U5745" s="9"/>
    </row>
    <row r="5746" spans="2:21" x14ac:dyDescent="0.35">
      <c r="B5746" s="9"/>
      <c r="C5746" s="2"/>
      <c r="D5746" s="2"/>
      <c r="I5746" s="9"/>
      <c r="J5746" s="2"/>
      <c r="L5746" s="9"/>
      <c r="M5746" s="2"/>
      <c r="N5746" s="9"/>
      <c r="P5746" s="3">
        <v>-2860.169492</v>
      </c>
      <c r="S5746" s="9"/>
      <c r="T5746" s="2"/>
      <c r="U5746" s="9"/>
    </row>
    <row r="5747" spans="2:21" x14ac:dyDescent="0.35">
      <c r="B5747" s="9"/>
      <c r="C5747" s="2"/>
      <c r="D5747" s="2"/>
      <c r="I5747" s="9"/>
      <c r="J5747" s="2"/>
      <c r="L5747" s="9"/>
      <c r="M5747" s="2"/>
      <c r="N5747" s="9"/>
      <c r="P5747" s="3">
        <v>-2860.169492</v>
      </c>
      <c r="S5747" s="9"/>
      <c r="T5747" s="2"/>
      <c r="U5747" s="9"/>
    </row>
    <row r="5748" spans="2:21" x14ac:dyDescent="0.35">
      <c r="B5748" s="9"/>
      <c r="C5748" s="2"/>
      <c r="D5748" s="2"/>
      <c r="I5748" s="9"/>
      <c r="J5748" s="2"/>
      <c r="L5748" s="9"/>
      <c r="M5748" s="2"/>
      <c r="N5748" s="9"/>
      <c r="P5748" s="3">
        <v>-2860.169492</v>
      </c>
      <c r="S5748" s="9"/>
      <c r="T5748" s="2"/>
      <c r="U5748" s="9"/>
    </row>
    <row r="5749" spans="2:21" x14ac:dyDescent="0.35">
      <c r="B5749" s="9"/>
      <c r="C5749" s="2"/>
      <c r="D5749" s="2"/>
      <c r="I5749" s="9"/>
      <c r="J5749" s="2"/>
      <c r="L5749" s="9"/>
      <c r="M5749" s="2"/>
      <c r="N5749" s="9"/>
      <c r="P5749" s="3">
        <v>-2860.169492</v>
      </c>
      <c r="S5749" s="9"/>
      <c r="T5749" s="2"/>
      <c r="U5749" s="9"/>
    </row>
    <row r="5750" spans="2:21" x14ac:dyDescent="0.35">
      <c r="B5750" s="9"/>
      <c r="C5750" s="2"/>
      <c r="D5750" s="2"/>
      <c r="I5750" s="9"/>
      <c r="J5750" s="2"/>
      <c r="L5750" s="9"/>
      <c r="M5750" s="2"/>
      <c r="N5750" s="9"/>
      <c r="P5750" s="3">
        <v>-2860.169492</v>
      </c>
      <c r="S5750" s="9"/>
      <c r="T5750" s="2"/>
      <c r="U5750" s="9"/>
    </row>
    <row r="5751" spans="2:21" x14ac:dyDescent="0.35">
      <c r="B5751" s="9"/>
      <c r="C5751" s="2"/>
      <c r="D5751" s="2"/>
      <c r="I5751" s="9"/>
      <c r="J5751" s="2"/>
      <c r="L5751" s="9"/>
      <c r="M5751" s="2"/>
      <c r="N5751" s="9"/>
      <c r="P5751" s="3">
        <v>-2860.169492</v>
      </c>
      <c r="S5751" s="9"/>
      <c r="T5751" s="2"/>
      <c r="U5751" s="9"/>
    </row>
    <row r="5752" spans="2:21" x14ac:dyDescent="0.35">
      <c r="B5752" s="9"/>
      <c r="C5752" s="2"/>
      <c r="D5752" s="2"/>
      <c r="I5752" s="9"/>
      <c r="J5752" s="2"/>
      <c r="L5752" s="9"/>
      <c r="M5752" s="2"/>
      <c r="N5752" s="9"/>
      <c r="P5752" s="3">
        <v>-2425.4094919999998</v>
      </c>
      <c r="S5752" s="9"/>
      <c r="T5752" s="2"/>
      <c r="U5752" s="9"/>
    </row>
    <row r="5753" spans="2:21" x14ac:dyDescent="0.35">
      <c r="B5753" s="9"/>
      <c r="C5753" s="2"/>
      <c r="D5753" s="2"/>
      <c r="I5753" s="9"/>
      <c r="J5753" s="2"/>
      <c r="L5753" s="9"/>
      <c r="M5753" s="2"/>
      <c r="N5753" s="9"/>
      <c r="P5753" s="3">
        <v>-1990.649492</v>
      </c>
      <c r="S5753" s="9"/>
      <c r="T5753" s="2"/>
      <c r="U5753" s="9"/>
    </row>
    <row r="5754" spans="2:21" x14ac:dyDescent="0.35">
      <c r="B5754" s="9"/>
      <c r="C5754" s="2"/>
      <c r="D5754" s="2"/>
      <c r="I5754" s="9"/>
      <c r="J5754" s="2"/>
      <c r="L5754" s="9"/>
      <c r="M5754" s="2"/>
      <c r="N5754" s="9"/>
      <c r="P5754" s="3">
        <v>-1555.889492</v>
      </c>
      <c r="S5754" s="9"/>
      <c r="T5754" s="2"/>
      <c r="U5754" s="9"/>
    </row>
    <row r="5755" spans="2:21" x14ac:dyDescent="0.35">
      <c r="B5755" s="9"/>
      <c r="C5755" s="2"/>
      <c r="D5755" s="2"/>
      <c r="I5755" s="9"/>
      <c r="J5755" s="2"/>
      <c r="L5755" s="9"/>
      <c r="M5755" s="2"/>
      <c r="N5755" s="9"/>
      <c r="P5755" s="3">
        <v>-1121.129492</v>
      </c>
      <c r="S5755" s="9"/>
      <c r="T5755" s="2"/>
      <c r="U5755" s="9"/>
    </row>
    <row r="5756" spans="2:21" x14ac:dyDescent="0.35">
      <c r="B5756" s="9"/>
      <c r="C5756" s="2"/>
      <c r="D5756" s="2"/>
      <c r="I5756" s="9"/>
      <c r="J5756" s="2"/>
      <c r="L5756" s="9"/>
      <c r="M5756" s="2"/>
      <c r="N5756" s="9"/>
      <c r="P5756" s="3">
        <v>-1555.889492</v>
      </c>
      <c r="S5756" s="9"/>
      <c r="T5756" s="2"/>
      <c r="U5756" s="9"/>
    </row>
    <row r="5757" spans="2:21" x14ac:dyDescent="0.35">
      <c r="B5757" s="9"/>
      <c r="C5757" s="2"/>
      <c r="D5757" s="2"/>
      <c r="I5757" s="9"/>
      <c r="J5757" s="2"/>
      <c r="L5757" s="9"/>
      <c r="M5757" s="2"/>
      <c r="N5757" s="9"/>
      <c r="P5757" s="3">
        <v>-1990.649492</v>
      </c>
      <c r="S5757" s="9"/>
      <c r="T5757" s="2"/>
      <c r="U5757" s="9"/>
    </row>
    <row r="5758" spans="2:21" x14ac:dyDescent="0.35">
      <c r="B5758" s="9"/>
      <c r="C5758" s="2"/>
      <c r="D5758" s="2"/>
      <c r="I5758" s="9"/>
      <c r="J5758" s="2"/>
      <c r="L5758" s="9"/>
      <c r="M5758" s="2"/>
      <c r="N5758" s="9"/>
      <c r="P5758" s="3">
        <v>-2425.4094919999998</v>
      </c>
      <c r="S5758" s="9"/>
      <c r="T5758" s="2"/>
      <c r="U5758" s="9"/>
    </row>
    <row r="5759" spans="2:21" x14ac:dyDescent="0.35">
      <c r="B5759" s="9"/>
      <c r="C5759" s="2"/>
      <c r="D5759" s="2"/>
      <c r="I5759" s="9"/>
      <c r="J5759" s="2"/>
      <c r="L5759" s="9"/>
      <c r="M5759" s="2"/>
      <c r="N5759" s="9"/>
      <c r="P5759" s="3">
        <v>-2860.169492</v>
      </c>
      <c r="S5759" s="9"/>
      <c r="T5759" s="2"/>
      <c r="U5759" s="9"/>
    </row>
    <row r="5760" spans="2:21" x14ac:dyDescent="0.35">
      <c r="B5760" s="9"/>
      <c r="C5760" s="2"/>
      <c r="D5760" s="2"/>
      <c r="I5760" s="9"/>
      <c r="J5760" s="2"/>
      <c r="L5760" s="9"/>
      <c r="M5760" s="2"/>
      <c r="N5760" s="9"/>
      <c r="P5760" s="3">
        <v>-2860.169492</v>
      </c>
      <c r="S5760" s="9"/>
      <c r="T5760" s="2"/>
      <c r="U5760" s="9"/>
    </row>
    <row r="5761" spans="2:21" x14ac:dyDescent="0.35">
      <c r="B5761" s="9"/>
      <c r="C5761" s="2"/>
      <c r="D5761" s="2"/>
      <c r="I5761" s="9"/>
      <c r="J5761" s="2"/>
      <c r="L5761" s="9"/>
      <c r="M5761" s="2"/>
      <c r="N5761" s="9"/>
      <c r="P5761" s="3">
        <v>-2860.169492</v>
      </c>
      <c r="S5761" s="9"/>
      <c r="T5761" s="2"/>
      <c r="U5761" s="9"/>
    </row>
    <row r="5762" spans="2:21" x14ac:dyDescent="0.35">
      <c r="B5762" s="9"/>
      <c r="C5762" s="2"/>
      <c r="D5762" s="2"/>
      <c r="I5762" s="9"/>
      <c r="J5762" s="2"/>
      <c r="L5762" s="9"/>
      <c r="M5762" s="2"/>
      <c r="N5762" s="9"/>
      <c r="P5762" s="3">
        <v>-2860.169492</v>
      </c>
      <c r="S5762" s="9"/>
      <c r="T5762" s="2"/>
      <c r="U5762" s="9"/>
    </row>
    <row r="5763" spans="2:21" x14ac:dyDescent="0.35">
      <c r="B5763" s="9"/>
      <c r="C5763" s="2"/>
      <c r="D5763" s="2"/>
      <c r="I5763" s="9"/>
      <c r="J5763" s="2"/>
      <c r="L5763" s="9"/>
      <c r="M5763" s="2"/>
      <c r="N5763" s="9"/>
      <c r="P5763" s="3">
        <v>-2860.169492</v>
      </c>
      <c r="S5763" s="9"/>
      <c r="T5763" s="2"/>
      <c r="U5763" s="9"/>
    </row>
    <row r="5764" spans="2:21" x14ac:dyDescent="0.35">
      <c r="B5764" s="9"/>
      <c r="C5764" s="2"/>
      <c r="D5764" s="2"/>
      <c r="I5764" s="9"/>
      <c r="J5764" s="2"/>
      <c r="L5764" s="9"/>
      <c r="M5764" s="2"/>
      <c r="N5764" s="9"/>
      <c r="P5764" s="3">
        <v>-2860.169492</v>
      </c>
      <c r="S5764" s="9"/>
      <c r="T5764" s="2"/>
      <c r="U5764" s="9"/>
    </row>
    <row r="5765" spans="2:21" x14ac:dyDescent="0.35">
      <c r="B5765" s="9"/>
      <c r="C5765" s="2"/>
      <c r="D5765" s="2"/>
      <c r="I5765" s="9"/>
      <c r="J5765" s="2"/>
      <c r="L5765" s="9"/>
      <c r="M5765" s="2"/>
      <c r="N5765" s="9"/>
      <c r="P5765" s="3">
        <v>-2860.169492</v>
      </c>
      <c r="S5765" s="9"/>
      <c r="T5765" s="2"/>
      <c r="U5765" s="9"/>
    </row>
    <row r="5766" spans="2:21" x14ac:dyDescent="0.35">
      <c r="B5766" s="9"/>
      <c r="C5766" s="2"/>
      <c r="D5766" s="2"/>
      <c r="I5766" s="9"/>
      <c r="J5766" s="2"/>
      <c r="L5766" s="9"/>
      <c r="M5766" s="2"/>
      <c r="N5766" s="9"/>
      <c r="P5766" s="3">
        <v>-2860.169492</v>
      </c>
      <c r="S5766" s="9"/>
      <c r="T5766" s="2"/>
      <c r="U5766" s="9"/>
    </row>
    <row r="5767" spans="2:21" x14ac:dyDescent="0.35">
      <c r="B5767" s="9"/>
      <c r="C5767" s="2"/>
      <c r="D5767" s="2"/>
      <c r="I5767" s="9"/>
      <c r="J5767" s="2"/>
      <c r="L5767" s="9"/>
      <c r="M5767" s="2"/>
      <c r="N5767" s="9"/>
      <c r="P5767" s="3">
        <v>-2860.169492</v>
      </c>
      <c r="S5767" s="9"/>
      <c r="T5767" s="2"/>
      <c r="U5767" s="9"/>
    </row>
    <row r="5768" spans="2:21" x14ac:dyDescent="0.35">
      <c r="B5768" s="9"/>
      <c r="C5768" s="2"/>
      <c r="D5768" s="2"/>
      <c r="I5768" s="9"/>
      <c r="J5768" s="2"/>
      <c r="L5768" s="9"/>
      <c r="M5768" s="2"/>
      <c r="N5768" s="9"/>
      <c r="P5768" s="3">
        <v>-2860.169492</v>
      </c>
      <c r="S5768" s="9"/>
      <c r="T5768" s="2"/>
      <c r="U5768" s="9"/>
    </row>
    <row r="5769" spans="2:21" x14ac:dyDescent="0.35">
      <c r="B5769" s="9"/>
      <c r="C5769" s="2"/>
      <c r="D5769" s="2"/>
      <c r="I5769" s="9"/>
      <c r="J5769" s="2"/>
      <c r="L5769" s="9"/>
      <c r="M5769" s="2"/>
      <c r="N5769" s="9"/>
      <c r="P5769" s="3">
        <v>-2860.169492</v>
      </c>
      <c r="S5769" s="9"/>
      <c r="T5769" s="2"/>
      <c r="U5769" s="9"/>
    </row>
    <row r="5770" spans="2:21" x14ac:dyDescent="0.35">
      <c r="B5770" s="9"/>
      <c r="C5770" s="2"/>
      <c r="D5770" s="2"/>
      <c r="I5770" s="9"/>
      <c r="J5770" s="2"/>
      <c r="L5770" s="9"/>
      <c r="M5770" s="2"/>
      <c r="N5770" s="9"/>
      <c r="P5770" s="3">
        <v>-2860.169492</v>
      </c>
      <c r="S5770" s="9"/>
      <c r="T5770" s="2"/>
      <c r="U5770" s="9"/>
    </row>
    <row r="5771" spans="2:21" x14ac:dyDescent="0.35">
      <c r="B5771" s="9"/>
      <c r="C5771" s="2"/>
      <c r="D5771" s="2"/>
      <c r="I5771" s="9"/>
      <c r="J5771" s="2"/>
      <c r="L5771" s="9"/>
      <c r="M5771" s="2"/>
      <c r="N5771" s="9"/>
      <c r="P5771" s="3">
        <v>-2860.169492</v>
      </c>
      <c r="S5771" s="9"/>
      <c r="T5771" s="2"/>
      <c r="U5771" s="9"/>
    </row>
    <row r="5772" spans="2:21" x14ac:dyDescent="0.35">
      <c r="B5772" s="9"/>
      <c r="C5772" s="2"/>
      <c r="D5772" s="2"/>
      <c r="I5772" s="9"/>
      <c r="J5772" s="2"/>
      <c r="L5772" s="9"/>
      <c r="M5772" s="2"/>
      <c r="N5772" s="9"/>
      <c r="P5772" s="3">
        <v>-2860.169492</v>
      </c>
      <c r="S5772" s="9"/>
      <c r="T5772" s="2"/>
      <c r="U5772" s="9"/>
    </row>
    <row r="5773" spans="2:21" x14ac:dyDescent="0.35">
      <c r="B5773" s="9"/>
      <c r="C5773" s="2"/>
      <c r="D5773" s="2"/>
      <c r="I5773" s="9"/>
      <c r="J5773" s="2"/>
      <c r="L5773" s="9"/>
      <c r="M5773" s="2"/>
      <c r="N5773" s="9"/>
      <c r="P5773" s="3">
        <v>-2860.169492</v>
      </c>
      <c r="S5773" s="9"/>
      <c r="T5773" s="2"/>
      <c r="U5773" s="9"/>
    </row>
    <row r="5774" spans="2:21" x14ac:dyDescent="0.35">
      <c r="B5774" s="9"/>
      <c r="C5774" s="2"/>
      <c r="D5774" s="2"/>
      <c r="I5774" s="9"/>
      <c r="J5774" s="2"/>
      <c r="L5774" s="9"/>
      <c r="M5774" s="2"/>
      <c r="N5774" s="9"/>
      <c r="P5774" s="3">
        <v>-2860.169492</v>
      </c>
      <c r="S5774" s="9"/>
      <c r="T5774" s="2"/>
      <c r="U5774" s="9"/>
    </row>
    <row r="5775" spans="2:21" x14ac:dyDescent="0.35">
      <c r="B5775" s="9"/>
      <c r="C5775" s="2"/>
      <c r="D5775" s="2"/>
      <c r="I5775" s="9"/>
      <c r="J5775" s="2"/>
      <c r="L5775" s="9"/>
      <c r="M5775" s="2"/>
      <c r="N5775" s="9"/>
      <c r="P5775" s="3">
        <v>-2860.169492</v>
      </c>
      <c r="S5775" s="9"/>
      <c r="T5775" s="2"/>
      <c r="U5775" s="9"/>
    </row>
    <row r="5776" spans="2:21" x14ac:dyDescent="0.35">
      <c r="B5776" s="9"/>
      <c r="C5776" s="2"/>
      <c r="D5776" s="2"/>
      <c r="I5776" s="9"/>
      <c r="J5776" s="2"/>
      <c r="L5776" s="9"/>
      <c r="M5776" s="2"/>
      <c r="N5776" s="9"/>
      <c r="P5776" s="3">
        <v>-2425.4094919999998</v>
      </c>
      <c r="S5776" s="9"/>
      <c r="T5776" s="2"/>
      <c r="U5776" s="9"/>
    </row>
    <row r="5777" spans="2:21" x14ac:dyDescent="0.35">
      <c r="B5777" s="9"/>
      <c r="C5777" s="2"/>
      <c r="D5777" s="2"/>
      <c r="I5777" s="9"/>
      <c r="J5777" s="2"/>
      <c r="L5777" s="9"/>
      <c r="M5777" s="2"/>
      <c r="N5777" s="9"/>
      <c r="P5777" s="3">
        <v>-1990.649492</v>
      </c>
      <c r="S5777" s="9"/>
      <c r="T5777" s="2"/>
      <c r="U5777" s="9"/>
    </row>
    <row r="5778" spans="2:21" x14ac:dyDescent="0.35">
      <c r="B5778" s="9"/>
      <c r="C5778" s="2"/>
      <c r="D5778" s="2"/>
      <c r="I5778" s="9"/>
      <c r="J5778" s="2"/>
      <c r="L5778" s="9"/>
      <c r="M5778" s="2"/>
      <c r="N5778" s="9"/>
      <c r="P5778" s="3">
        <v>-1555.889492</v>
      </c>
      <c r="S5778" s="9"/>
      <c r="T5778" s="2"/>
      <c r="U5778" s="9"/>
    </row>
    <row r="5779" spans="2:21" x14ac:dyDescent="0.35">
      <c r="B5779" s="9"/>
      <c r="C5779" s="2"/>
      <c r="D5779" s="2"/>
      <c r="I5779" s="9"/>
      <c r="J5779" s="2"/>
      <c r="L5779" s="9"/>
      <c r="M5779" s="2"/>
      <c r="N5779" s="9"/>
      <c r="P5779" s="3">
        <v>-1121.129492</v>
      </c>
      <c r="S5779" s="9"/>
      <c r="T5779" s="2"/>
      <c r="U5779" s="9"/>
    </row>
    <row r="5780" spans="2:21" x14ac:dyDescent="0.35">
      <c r="B5780" s="9"/>
      <c r="C5780" s="2"/>
      <c r="D5780" s="2"/>
      <c r="I5780" s="9"/>
      <c r="J5780" s="2"/>
      <c r="L5780" s="9"/>
      <c r="M5780" s="2"/>
      <c r="N5780" s="9"/>
      <c r="P5780" s="3">
        <v>-1121.129492</v>
      </c>
      <c r="S5780" s="9"/>
      <c r="T5780" s="2"/>
      <c r="U5780" s="9"/>
    </row>
    <row r="5781" spans="2:21" x14ac:dyDescent="0.35">
      <c r="B5781" s="9"/>
      <c r="C5781" s="2"/>
      <c r="D5781" s="2"/>
      <c r="I5781" s="9"/>
      <c r="J5781" s="2"/>
      <c r="L5781" s="9"/>
      <c r="M5781" s="2"/>
      <c r="N5781" s="9"/>
      <c r="P5781" s="3">
        <v>-1555.889492</v>
      </c>
      <c r="S5781" s="9"/>
      <c r="T5781" s="2"/>
      <c r="U5781" s="9"/>
    </row>
    <row r="5782" spans="2:21" x14ac:dyDescent="0.35">
      <c r="B5782" s="9"/>
      <c r="C5782" s="2"/>
      <c r="D5782" s="2"/>
      <c r="I5782" s="9"/>
      <c r="J5782" s="2"/>
      <c r="L5782" s="9"/>
      <c r="M5782" s="2"/>
      <c r="N5782" s="9"/>
      <c r="P5782" s="3">
        <v>-1990.649492</v>
      </c>
      <c r="S5782" s="9"/>
      <c r="T5782" s="2"/>
      <c r="U5782" s="9"/>
    </row>
    <row r="5783" spans="2:21" x14ac:dyDescent="0.35">
      <c r="B5783" s="9"/>
      <c r="C5783" s="2"/>
      <c r="D5783" s="2"/>
      <c r="I5783" s="9"/>
      <c r="J5783" s="2"/>
      <c r="L5783" s="9"/>
      <c r="M5783" s="2"/>
      <c r="N5783" s="9"/>
      <c r="P5783" s="3">
        <v>-2425.4094919999998</v>
      </c>
      <c r="S5783" s="9"/>
      <c r="T5783" s="2"/>
      <c r="U5783" s="9"/>
    </row>
    <row r="5784" spans="2:21" x14ac:dyDescent="0.35">
      <c r="B5784" s="9"/>
      <c r="C5784" s="2"/>
      <c r="D5784" s="2"/>
      <c r="I5784" s="9"/>
      <c r="J5784" s="2"/>
      <c r="L5784" s="9"/>
      <c r="M5784" s="2"/>
      <c r="N5784" s="9"/>
      <c r="P5784" s="3">
        <v>-2860.169492</v>
      </c>
      <c r="S5784" s="9"/>
      <c r="T5784" s="2"/>
      <c r="U5784" s="9"/>
    </row>
    <row r="5785" spans="2:21" x14ac:dyDescent="0.35">
      <c r="B5785" s="9"/>
      <c r="C5785" s="2"/>
      <c r="D5785" s="2"/>
      <c r="I5785" s="9"/>
      <c r="J5785" s="2"/>
      <c r="L5785" s="9"/>
      <c r="M5785" s="2"/>
      <c r="N5785" s="9"/>
      <c r="P5785" s="3">
        <v>-2860.169492</v>
      </c>
      <c r="S5785" s="9"/>
      <c r="T5785" s="2"/>
      <c r="U5785" s="9"/>
    </row>
    <row r="5786" spans="2:21" x14ac:dyDescent="0.35">
      <c r="B5786" s="9"/>
      <c r="C5786" s="2"/>
      <c r="D5786" s="2"/>
      <c r="I5786" s="9"/>
      <c r="J5786" s="2"/>
      <c r="L5786" s="9"/>
      <c r="M5786" s="2"/>
      <c r="N5786" s="9"/>
      <c r="P5786" s="3">
        <v>-2860.169492</v>
      </c>
      <c r="S5786" s="9"/>
      <c r="T5786" s="2"/>
      <c r="U5786" s="9"/>
    </row>
    <row r="5787" spans="2:21" x14ac:dyDescent="0.35">
      <c r="B5787" s="9"/>
      <c r="C5787" s="2"/>
      <c r="D5787" s="2"/>
      <c r="I5787" s="9"/>
      <c r="J5787" s="2"/>
      <c r="L5787" s="9"/>
      <c r="M5787" s="2"/>
      <c r="N5787" s="9"/>
      <c r="P5787" s="3">
        <v>-2860.169492</v>
      </c>
      <c r="S5787" s="9"/>
      <c r="T5787" s="2"/>
      <c r="U5787" s="9"/>
    </row>
    <row r="5788" spans="2:21" x14ac:dyDescent="0.35">
      <c r="B5788" s="9"/>
      <c r="C5788" s="2"/>
      <c r="D5788" s="2"/>
      <c r="I5788" s="9"/>
      <c r="J5788" s="2"/>
      <c r="L5788" s="9"/>
      <c r="M5788" s="2"/>
      <c r="N5788" s="9"/>
      <c r="P5788" s="3">
        <v>-2860.169492</v>
      </c>
      <c r="S5788" s="9"/>
      <c r="T5788" s="2"/>
      <c r="U5788" s="9"/>
    </row>
    <row r="5789" spans="2:21" x14ac:dyDescent="0.35">
      <c r="B5789" s="9"/>
      <c r="C5789" s="2"/>
      <c r="D5789" s="2"/>
      <c r="I5789" s="9"/>
      <c r="J5789" s="2"/>
      <c r="L5789" s="9"/>
      <c r="M5789" s="2"/>
      <c r="N5789" s="9"/>
      <c r="P5789" s="3">
        <v>-2860.169492</v>
      </c>
      <c r="S5789" s="9"/>
      <c r="T5789" s="2"/>
      <c r="U5789" s="9"/>
    </row>
    <row r="5790" spans="2:21" x14ac:dyDescent="0.35">
      <c r="B5790" s="9"/>
      <c r="C5790" s="2"/>
      <c r="D5790" s="2"/>
      <c r="I5790" s="9"/>
      <c r="J5790" s="2"/>
      <c r="L5790" s="9"/>
      <c r="M5790" s="2"/>
      <c r="N5790" s="9"/>
      <c r="P5790" s="3">
        <v>-2860.169492</v>
      </c>
      <c r="S5790" s="9"/>
      <c r="T5790" s="2"/>
      <c r="U5790" s="9"/>
    </row>
    <row r="5791" spans="2:21" x14ac:dyDescent="0.35">
      <c r="B5791" s="9"/>
      <c r="C5791" s="2"/>
      <c r="D5791" s="2"/>
      <c r="I5791" s="9"/>
      <c r="J5791" s="2"/>
      <c r="L5791" s="9"/>
      <c r="M5791" s="2"/>
      <c r="N5791" s="9"/>
      <c r="P5791" s="3">
        <v>-2860.169492</v>
      </c>
      <c r="S5791" s="9"/>
      <c r="T5791" s="2"/>
      <c r="U5791" s="9"/>
    </row>
    <row r="5792" spans="2:21" x14ac:dyDescent="0.35">
      <c r="B5792" s="9"/>
      <c r="C5792" s="2"/>
      <c r="D5792" s="2"/>
      <c r="I5792" s="9"/>
      <c r="J5792" s="2"/>
      <c r="L5792" s="9"/>
      <c r="M5792" s="2"/>
      <c r="N5792" s="9"/>
      <c r="P5792" s="3">
        <v>-2860.169492</v>
      </c>
      <c r="S5792" s="9"/>
      <c r="T5792" s="2"/>
      <c r="U5792" s="9"/>
    </row>
    <row r="5793" spans="2:21" x14ac:dyDescent="0.35">
      <c r="B5793" s="9"/>
      <c r="C5793" s="2"/>
      <c r="D5793" s="2"/>
      <c r="I5793" s="9"/>
      <c r="J5793" s="2"/>
      <c r="L5793" s="9"/>
      <c r="M5793" s="2"/>
      <c r="N5793" s="9"/>
      <c r="P5793" s="3">
        <v>-2860.169492</v>
      </c>
      <c r="S5793" s="9"/>
      <c r="T5793" s="2"/>
      <c r="U5793" s="9"/>
    </row>
    <row r="5794" spans="2:21" x14ac:dyDescent="0.35">
      <c r="B5794" s="9"/>
      <c r="C5794" s="2"/>
      <c r="D5794" s="2"/>
      <c r="I5794" s="9"/>
      <c r="J5794" s="2"/>
      <c r="L5794" s="9"/>
      <c r="M5794" s="2"/>
      <c r="N5794" s="9"/>
      <c r="P5794" s="3">
        <v>-2661.96617238</v>
      </c>
      <c r="S5794" s="9"/>
      <c r="T5794" s="2"/>
      <c r="U5794" s="9"/>
    </row>
    <row r="5795" spans="2:21" x14ac:dyDescent="0.35">
      <c r="B5795" s="9"/>
      <c r="C5795" s="2"/>
      <c r="D5795" s="2"/>
      <c r="I5795" s="9"/>
      <c r="J5795" s="2"/>
      <c r="L5795" s="9"/>
      <c r="M5795" s="2"/>
      <c r="N5795" s="9"/>
      <c r="P5795" s="3">
        <v>-2227.2061723800002</v>
      </c>
      <c r="S5795" s="9"/>
      <c r="T5795" s="2"/>
      <c r="U5795" s="9"/>
    </row>
    <row r="5796" spans="2:21" x14ac:dyDescent="0.35">
      <c r="B5796" s="9"/>
      <c r="C5796" s="2"/>
      <c r="D5796" s="2"/>
      <c r="I5796" s="9"/>
      <c r="J5796" s="2"/>
      <c r="L5796" s="9"/>
      <c r="M5796" s="2"/>
      <c r="N5796" s="9"/>
      <c r="P5796" s="3">
        <v>-1858.9150658999999</v>
      </c>
      <c r="S5796" s="9"/>
      <c r="T5796" s="2"/>
      <c r="U5796" s="9"/>
    </row>
    <row r="5797" spans="2:21" x14ac:dyDescent="0.35">
      <c r="B5797" s="9"/>
      <c r="C5797" s="2"/>
      <c r="D5797" s="2"/>
      <c r="I5797" s="9"/>
      <c r="J5797" s="2"/>
      <c r="L5797" s="9"/>
      <c r="M5797" s="2"/>
      <c r="N5797" s="9"/>
      <c r="P5797" s="3">
        <v>-1703.0399234500001</v>
      </c>
      <c r="S5797" s="9"/>
      <c r="T5797" s="2"/>
      <c r="U5797" s="9"/>
    </row>
    <row r="5798" spans="2:21" x14ac:dyDescent="0.35">
      <c r="B5798" s="9"/>
      <c r="C5798" s="2"/>
      <c r="D5798" s="2"/>
      <c r="I5798" s="9"/>
      <c r="J5798" s="2"/>
      <c r="L5798" s="9"/>
      <c r="M5798" s="2"/>
      <c r="N5798" s="9"/>
      <c r="P5798" s="3">
        <v>-2137.7999234499998</v>
      </c>
      <c r="S5798" s="9"/>
      <c r="T5798" s="2"/>
      <c r="U5798" s="9"/>
    </row>
    <row r="5799" spans="2:21" x14ac:dyDescent="0.35">
      <c r="B5799" s="9"/>
      <c r="C5799" s="2"/>
      <c r="D5799" s="2"/>
      <c r="I5799" s="9"/>
      <c r="J5799" s="2"/>
      <c r="L5799" s="9"/>
      <c r="M5799" s="2"/>
      <c r="N5799" s="9"/>
      <c r="P5799" s="3">
        <v>-1703.0399234500001</v>
      </c>
      <c r="S5799" s="9"/>
      <c r="T5799" s="2"/>
      <c r="U5799" s="9"/>
    </row>
    <row r="5800" spans="2:21" x14ac:dyDescent="0.35">
      <c r="B5800" s="9"/>
      <c r="C5800" s="2"/>
      <c r="D5800" s="2"/>
      <c r="I5800" s="9"/>
      <c r="J5800" s="2"/>
      <c r="L5800" s="9"/>
      <c r="M5800" s="2"/>
      <c r="N5800" s="9"/>
      <c r="P5800" s="3">
        <v>-1268.2799234500001</v>
      </c>
      <c r="S5800" s="9"/>
      <c r="T5800" s="2"/>
      <c r="U5800" s="9"/>
    </row>
    <row r="5801" spans="2:21" x14ac:dyDescent="0.35">
      <c r="B5801" s="9"/>
      <c r="C5801" s="2"/>
      <c r="D5801" s="2"/>
      <c r="I5801" s="9"/>
      <c r="J5801" s="2"/>
      <c r="L5801" s="9"/>
      <c r="M5801" s="2"/>
      <c r="N5801" s="9"/>
      <c r="P5801" s="3">
        <v>-833.51992344999996</v>
      </c>
      <c r="S5801" s="9"/>
      <c r="T5801" s="2"/>
      <c r="U5801" s="9"/>
    </row>
    <row r="5802" spans="2:21" x14ac:dyDescent="0.35">
      <c r="B5802" s="9"/>
      <c r="C5802" s="2"/>
      <c r="D5802" s="2"/>
      <c r="I5802" s="9"/>
      <c r="J5802" s="2"/>
      <c r="L5802" s="9"/>
      <c r="M5802" s="2"/>
      <c r="N5802" s="9"/>
      <c r="P5802" s="3">
        <v>-686.36949200000004</v>
      </c>
      <c r="S5802" s="9"/>
      <c r="T5802" s="2"/>
      <c r="U5802" s="9"/>
    </row>
    <row r="5803" spans="2:21" x14ac:dyDescent="0.35">
      <c r="B5803" s="9"/>
      <c r="C5803" s="2"/>
      <c r="D5803" s="2"/>
      <c r="I5803" s="9"/>
      <c r="J5803" s="2"/>
      <c r="L5803" s="9"/>
      <c r="M5803" s="2"/>
      <c r="N5803" s="9"/>
      <c r="P5803" s="3">
        <v>-1121.129492</v>
      </c>
      <c r="S5803" s="9"/>
      <c r="T5803" s="2"/>
      <c r="U5803" s="9"/>
    </row>
    <row r="5804" spans="2:21" x14ac:dyDescent="0.35">
      <c r="B5804" s="9"/>
      <c r="C5804" s="2"/>
      <c r="D5804" s="2"/>
      <c r="I5804" s="9"/>
      <c r="J5804" s="2"/>
      <c r="L5804" s="9"/>
      <c r="M5804" s="2"/>
      <c r="N5804" s="9"/>
      <c r="P5804" s="3">
        <v>-1555.889492</v>
      </c>
      <c r="S5804" s="9"/>
      <c r="T5804" s="2"/>
      <c r="U5804" s="9"/>
    </row>
    <row r="5805" spans="2:21" x14ac:dyDescent="0.35">
      <c r="B5805" s="9"/>
      <c r="C5805" s="2"/>
      <c r="D5805" s="2"/>
      <c r="I5805" s="9"/>
      <c r="J5805" s="2"/>
      <c r="L5805" s="9"/>
      <c r="M5805" s="2"/>
      <c r="N5805" s="9"/>
      <c r="P5805" s="3">
        <v>-1990.649492</v>
      </c>
      <c r="S5805" s="9"/>
      <c r="T5805" s="2"/>
      <c r="U5805" s="9"/>
    </row>
    <row r="5806" spans="2:21" x14ac:dyDescent="0.35">
      <c r="B5806" s="9"/>
      <c r="C5806" s="2"/>
      <c r="D5806" s="2"/>
      <c r="I5806" s="9"/>
      <c r="J5806" s="2"/>
      <c r="L5806" s="9"/>
      <c r="M5806" s="2"/>
      <c r="N5806" s="9"/>
      <c r="P5806" s="3">
        <v>-2425.4094919999998</v>
      </c>
      <c r="S5806" s="9"/>
      <c r="T5806" s="2"/>
      <c r="U5806" s="9"/>
    </row>
    <row r="5807" spans="2:21" x14ac:dyDescent="0.35">
      <c r="B5807" s="9"/>
      <c r="C5807" s="2"/>
      <c r="D5807" s="2"/>
      <c r="I5807" s="9"/>
      <c r="J5807" s="2"/>
      <c r="L5807" s="9"/>
      <c r="M5807" s="2"/>
      <c r="N5807" s="9"/>
      <c r="P5807" s="3">
        <v>-2860.169492</v>
      </c>
      <c r="S5807" s="9"/>
      <c r="T5807" s="2"/>
      <c r="U5807" s="9"/>
    </row>
    <row r="5808" spans="2:21" x14ac:dyDescent="0.35">
      <c r="B5808" s="9"/>
      <c r="C5808" s="2"/>
      <c r="D5808" s="2"/>
      <c r="I5808" s="9"/>
      <c r="J5808" s="2"/>
      <c r="L5808" s="9"/>
      <c r="M5808" s="2"/>
      <c r="N5808" s="9"/>
      <c r="P5808" s="3">
        <v>-2643.0789177299998</v>
      </c>
      <c r="S5808" s="9"/>
      <c r="T5808" s="2"/>
      <c r="U5808" s="9"/>
    </row>
    <row r="5809" spans="2:21" x14ac:dyDescent="0.35">
      <c r="B5809" s="9"/>
      <c r="C5809" s="2"/>
      <c r="D5809" s="2"/>
      <c r="I5809" s="9"/>
      <c r="J5809" s="2"/>
      <c r="L5809" s="9"/>
      <c r="M5809" s="2"/>
      <c r="N5809" s="9"/>
      <c r="P5809" s="3">
        <v>-2208.3189177300001</v>
      </c>
      <c r="S5809" s="9"/>
      <c r="T5809" s="2"/>
      <c r="U5809" s="9"/>
    </row>
    <row r="5810" spans="2:21" x14ac:dyDescent="0.35">
      <c r="B5810" s="9"/>
      <c r="C5810" s="2"/>
      <c r="D5810" s="2"/>
      <c r="I5810" s="9"/>
      <c r="J5810" s="2"/>
      <c r="L5810" s="9"/>
      <c r="M5810" s="2"/>
      <c r="N5810" s="9"/>
      <c r="P5810" s="3">
        <v>-1910.5401482300001</v>
      </c>
      <c r="S5810" s="9"/>
      <c r="T5810" s="2"/>
      <c r="U5810" s="9"/>
    </row>
    <row r="5811" spans="2:21" x14ac:dyDescent="0.35">
      <c r="B5811" s="9"/>
      <c r="C5811" s="2"/>
      <c r="D5811" s="2"/>
      <c r="I5811" s="9"/>
      <c r="J5811" s="2"/>
      <c r="L5811" s="9"/>
      <c r="M5811" s="2"/>
      <c r="N5811" s="9"/>
      <c r="P5811" s="3">
        <v>-1682.52675886</v>
      </c>
      <c r="S5811" s="9"/>
      <c r="T5811" s="2"/>
      <c r="U5811" s="9"/>
    </row>
    <row r="5812" spans="2:21" x14ac:dyDescent="0.35">
      <c r="B5812" s="9"/>
      <c r="C5812" s="2"/>
      <c r="D5812" s="2"/>
      <c r="I5812" s="9"/>
      <c r="J5812" s="2"/>
      <c r="L5812" s="9"/>
      <c r="M5812" s="2"/>
      <c r="N5812" s="9"/>
      <c r="P5812" s="3">
        <v>-1247.76675886</v>
      </c>
      <c r="S5812" s="9"/>
      <c r="T5812" s="2"/>
      <c r="U5812" s="9"/>
    </row>
    <row r="5813" spans="2:21" x14ac:dyDescent="0.35">
      <c r="B5813" s="9"/>
      <c r="C5813" s="2"/>
      <c r="D5813" s="2"/>
      <c r="I5813" s="9"/>
      <c r="J5813" s="2"/>
      <c r="L5813" s="9"/>
      <c r="M5813" s="2"/>
      <c r="N5813" s="9"/>
      <c r="P5813" s="3">
        <v>-1005.10153886</v>
      </c>
      <c r="S5813" s="9"/>
      <c r="T5813" s="2"/>
      <c r="U5813" s="9"/>
    </row>
    <row r="5814" spans="2:21" x14ac:dyDescent="0.35">
      <c r="B5814" s="9"/>
      <c r="C5814" s="2"/>
      <c r="D5814" s="2"/>
      <c r="I5814" s="9"/>
      <c r="J5814" s="2"/>
      <c r="L5814" s="9"/>
      <c r="M5814" s="2"/>
      <c r="N5814" s="9"/>
      <c r="P5814" s="3">
        <v>-798.58383886000001</v>
      </c>
      <c r="S5814" s="9"/>
      <c r="T5814" s="2"/>
      <c r="U5814" s="9"/>
    </row>
    <row r="5815" spans="2:21" x14ac:dyDescent="0.35">
      <c r="B5815" s="9"/>
      <c r="C5815" s="2"/>
      <c r="D5815" s="2"/>
      <c r="I5815" s="9"/>
      <c r="J5815" s="2"/>
      <c r="L5815" s="9"/>
      <c r="M5815" s="2"/>
      <c r="N5815" s="9"/>
      <c r="P5815" s="3">
        <v>-560.32416885999999</v>
      </c>
      <c r="S5815" s="9"/>
      <c r="T5815" s="2"/>
      <c r="U5815" s="9"/>
    </row>
    <row r="5816" spans="2:21" x14ac:dyDescent="0.35">
      <c r="B5816" s="9"/>
      <c r="C5816" s="2"/>
      <c r="D5816" s="2"/>
      <c r="I5816" s="9"/>
      <c r="J5816" s="2"/>
      <c r="L5816" s="9"/>
      <c r="M5816" s="2"/>
      <c r="N5816" s="9"/>
      <c r="P5816" s="3">
        <v>-368.72782885999999</v>
      </c>
      <c r="S5816" s="9"/>
      <c r="T5816" s="2"/>
      <c r="U5816" s="9"/>
    </row>
    <row r="5817" spans="2:21" x14ac:dyDescent="0.35">
      <c r="B5817" s="9"/>
      <c r="C5817" s="2"/>
      <c r="D5817" s="2"/>
      <c r="I5817" s="9"/>
      <c r="J5817" s="2"/>
      <c r="L5817" s="9"/>
      <c r="M5817" s="2"/>
      <c r="N5817" s="9"/>
      <c r="P5817" s="3">
        <v>-181.09612885999999</v>
      </c>
      <c r="S5817" s="9"/>
      <c r="T5817" s="2"/>
      <c r="U5817" s="9"/>
    </row>
    <row r="5818" spans="2:21" x14ac:dyDescent="0.35">
      <c r="B5818" s="9"/>
      <c r="C5818" s="2"/>
      <c r="D5818" s="2"/>
      <c r="I5818" s="9"/>
      <c r="J5818" s="2"/>
      <c r="L5818" s="9"/>
      <c r="M5818" s="2"/>
      <c r="N5818" s="9"/>
      <c r="P5818" s="3">
        <v>-23.226918860000001</v>
      </c>
      <c r="S5818" s="9"/>
      <c r="T5818" s="2"/>
      <c r="U5818" s="9"/>
    </row>
    <row r="5819" spans="2:21" x14ac:dyDescent="0.35">
      <c r="B5819" s="9"/>
      <c r="C5819" s="2"/>
      <c r="D5819" s="2"/>
      <c r="I5819" s="9"/>
      <c r="J5819" s="2"/>
      <c r="L5819" s="9"/>
      <c r="M5819" s="2"/>
      <c r="N5819" s="9"/>
      <c r="P5819" s="3">
        <v>234.26939762000001</v>
      </c>
      <c r="S5819" s="9"/>
      <c r="T5819" s="2"/>
      <c r="U5819" s="9"/>
    </row>
    <row r="5820" spans="2:21" x14ac:dyDescent="0.35">
      <c r="B5820" s="9"/>
      <c r="C5820" s="2"/>
      <c r="D5820" s="2"/>
      <c r="I5820" s="9"/>
      <c r="J5820" s="2"/>
      <c r="L5820" s="9"/>
      <c r="M5820" s="2"/>
      <c r="N5820" s="9"/>
      <c r="P5820" s="3">
        <v>445.91320409999997</v>
      </c>
      <c r="S5820" s="9"/>
      <c r="T5820" s="2"/>
      <c r="U5820" s="9"/>
    </row>
    <row r="5821" spans="2:21" x14ac:dyDescent="0.35">
      <c r="B5821" s="9"/>
      <c r="C5821" s="2"/>
      <c r="D5821" s="2"/>
      <c r="I5821" s="9"/>
      <c r="J5821" s="2"/>
      <c r="L5821" s="9"/>
      <c r="M5821" s="2"/>
      <c r="N5821" s="9"/>
      <c r="P5821" s="3">
        <v>373.29330655000001</v>
      </c>
      <c r="S5821" s="9"/>
      <c r="T5821" s="2"/>
      <c r="U5821" s="9"/>
    </row>
    <row r="5822" spans="2:21" x14ac:dyDescent="0.35">
      <c r="B5822" s="9"/>
      <c r="C5822" s="2"/>
      <c r="D5822" s="2"/>
      <c r="I5822" s="9"/>
      <c r="J5822" s="2"/>
      <c r="L5822" s="9"/>
      <c r="M5822" s="2"/>
      <c r="N5822" s="9"/>
      <c r="P5822" s="3">
        <v>-61.466693450000001</v>
      </c>
      <c r="S5822" s="9"/>
      <c r="T5822" s="2"/>
      <c r="U5822" s="9"/>
    </row>
    <row r="5823" spans="2:21" x14ac:dyDescent="0.35">
      <c r="B5823" s="9"/>
      <c r="C5823" s="2"/>
      <c r="D5823" s="2"/>
      <c r="I5823" s="9"/>
      <c r="J5823" s="2"/>
      <c r="L5823" s="9"/>
      <c r="M5823" s="2"/>
      <c r="N5823" s="9"/>
      <c r="P5823" s="3">
        <v>-496.22669345000003</v>
      </c>
      <c r="S5823" s="9"/>
      <c r="T5823" s="2"/>
      <c r="U5823" s="9"/>
    </row>
    <row r="5824" spans="2:21" x14ac:dyDescent="0.35">
      <c r="B5824" s="9"/>
      <c r="C5824" s="2"/>
      <c r="D5824" s="2"/>
      <c r="I5824" s="9"/>
      <c r="J5824" s="2"/>
      <c r="L5824" s="9"/>
      <c r="M5824" s="2"/>
      <c r="N5824" s="9"/>
      <c r="P5824" s="3">
        <v>-61.466693450000001</v>
      </c>
      <c r="S5824" s="9"/>
      <c r="T5824" s="2"/>
      <c r="U5824" s="9"/>
    </row>
    <row r="5825" spans="2:21" x14ac:dyDescent="0.35">
      <c r="B5825" s="9"/>
      <c r="C5825" s="2"/>
      <c r="D5825" s="2"/>
      <c r="I5825" s="9"/>
      <c r="J5825" s="2"/>
      <c r="L5825" s="9"/>
      <c r="M5825" s="2"/>
      <c r="N5825" s="9"/>
      <c r="P5825" s="3">
        <v>0</v>
      </c>
      <c r="S5825" s="9"/>
      <c r="T5825" s="2"/>
      <c r="U5825" s="9"/>
    </row>
    <row r="5826" spans="2:21" x14ac:dyDescent="0.35">
      <c r="B5826" s="9"/>
      <c r="C5826" s="2"/>
      <c r="D5826" s="2"/>
      <c r="I5826" s="9"/>
      <c r="J5826" s="2"/>
      <c r="L5826" s="9"/>
      <c r="M5826" s="2"/>
      <c r="N5826" s="9"/>
      <c r="P5826" s="3">
        <v>0</v>
      </c>
      <c r="S5826" s="9"/>
      <c r="T5826" s="2"/>
      <c r="U5826" s="9"/>
    </row>
    <row r="5827" spans="2:21" x14ac:dyDescent="0.35">
      <c r="B5827" s="9"/>
      <c r="C5827" s="2"/>
      <c r="D5827" s="2"/>
      <c r="I5827" s="9"/>
      <c r="J5827" s="2"/>
      <c r="L5827" s="9"/>
      <c r="M5827" s="2"/>
      <c r="N5827" s="9"/>
      <c r="P5827" s="3">
        <v>-148.29722773</v>
      </c>
      <c r="S5827" s="9"/>
      <c r="T5827" s="2"/>
      <c r="U5827" s="9"/>
    </row>
    <row r="5828" spans="2:21" x14ac:dyDescent="0.35">
      <c r="B5828" s="9"/>
      <c r="C5828" s="2"/>
      <c r="D5828" s="2"/>
      <c r="I5828" s="9"/>
      <c r="J5828" s="2"/>
      <c r="L5828" s="9"/>
      <c r="M5828" s="2"/>
      <c r="N5828" s="9"/>
      <c r="P5828" s="3">
        <v>-583.05722773000002</v>
      </c>
      <c r="S5828" s="9"/>
      <c r="T5828" s="2"/>
      <c r="U5828" s="9"/>
    </row>
    <row r="5829" spans="2:21" x14ac:dyDescent="0.35">
      <c r="B5829" s="9"/>
      <c r="C5829" s="2"/>
      <c r="D5829" s="2"/>
      <c r="I5829" s="9"/>
      <c r="J5829" s="2"/>
      <c r="L5829" s="9"/>
      <c r="M5829" s="2"/>
      <c r="N5829" s="9"/>
      <c r="P5829" s="3">
        <v>-1017.81722773</v>
      </c>
      <c r="S5829" s="9"/>
      <c r="T5829" s="2"/>
      <c r="U5829" s="9"/>
    </row>
    <row r="5830" spans="2:21" x14ac:dyDescent="0.35">
      <c r="B5830" s="9"/>
      <c r="C5830" s="2"/>
      <c r="D5830" s="2"/>
      <c r="I5830" s="9"/>
      <c r="J5830" s="2"/>
      <c r="L5830" s="9"/>
      <c r="M5830" s="2"/>
      <c r="N5830" s="9"/>
      <c r="P5830" s="3">
        <v>-1452.57722773</v>
      </c>
      <c r="S5830" s="9"/>
      <c r="T5830" s="2"/>
      <c r="U5830" s="9"/>
    </row>
    <row r="5831" spans="2:21" x14ac:dyDescent="0.35">
      <c r="B5831" s="9"/>
      <c r="C5831" s="2"/>
      <c r="D5831" s="2"/>
      <c r="I5831" s="9"/>
      <c r="J5831" s="2"/>
      <c r="L5831" s="9"/>
      <c r="M5831" s="2"/>
      <c r="N5831" s="9"/>
      <c r="P5831" s="3">
        <v>-1017.81722773</v>
      </c>
      <c r="S5831" s="9"/>
      <c r="T5831" s="2"/>
      <c r="U5831" s="9"/>
    </row>
    <row r="5832" spans="2:21" x14ac:dyDescent="0.35">
      <c r="B5832" s="9"/>
      <c r="C5832" s="2"/>
      <c r="D5832" s="2"/>
      <c r="I5832" s="9"/>
      <c r="J5832" s="2"/>
      <c r="L5832" s="9"/>
      <c r="M5832" s="2"/>
      <c r="N5832" s="9"/>
      <c r="P5832" s="3">
        <v>-583.05722773000002</v>
      </c>
      <c r="S5832" s="9"/>
      <c r="T5832" s="2"/>
      <c r="U5832" s="9"/>
    </row>
    <row r="5833" spans="2:21" x14ac:dyDescent="0.35">
      <c r="B5833" s="9"/>
      <c r="C5833" s="2"/>
      <c r="D5833" s="2"/>
      <c r="I5833" s="9"/>
      <c r="J5833" s="2"/>
      <c r="L5833" s="9"/>
      <c r="M5833" s="2"/>
      <c r="N5833" s="9"/>
      <c r="P5833" s="3">
        <v>-148.29722773</v>
      </c>
      <c r="S5833" s="9"/>
      <c r="T5833" s="2"/>
      <c r="U5833" s="9"/>
    </row>
    <row r="5834" spans="2:21" x14ac:dyDescent="0.35">
      <c r="B5834" s="9"/>
      <c r="C5834" s="2"/>
      <c r="D5834" s="2"/>
      <c r="I5834" s="9"/>
      <c r="J5834" s="2"/>
      <c r="L5834" s="9"/>
      <c r="M5834" s="2"/>
      <c r="N5834" s="9"/>
      <c r="P5834" s="3">
        <v>97.323521769999999</v>
      </c>
      <c r="S5834" s="9"/>
      <c r="T5834" s="2"/>
      <c r="U5834" s="9"/>
    </row>
    <row r="5835" spans="2:21" x14ac:dyDescent="0.35">
      <c r="B5835" s="9"/>
      <c r="C5835" s="2"/>
      <c r="D5835" s="2"/>
      <c r="I5835" s="9"/>
      <c r="J5835" s="2"/>
      <c r="L5835" s="9"/>
      <c r="M5835" s="2"/>
      <c r="N5835" s="9"/>
      <c r="P5835" s="3">
        <v>68.456901400000007</v>
      </c>
      <c r="S5835" s="9"/>
      <c r="T5835" s="2"/>
      <c r="U5835" s="9"/>
    </row>
    <row r="5836" spans="2:21" x14ac:dyDescent="0.35">
      <c r="B5836" s="9"/>
      <c r="C5836" s="2"/>
      <c r="D5836" s="2"/>
      <c r="I5836" s="9"/>
      <c r="J5836" s="2"/>
      <c r="L5836" s="9"/>
      <c r="M5836" s="2"/>
      <c r="N5836" s="9"/>
      <c r="P5836" s="3">
        <v>216.71545114</v>
      </c>
      <c r="S5836" s="9"/>
      <c r="T5836" s="2"/>
      <c r="U5836" s="9"/>
    </row>
    <row r="5837" spans="2:21" x14ac:dyDescent="0.35">
      <c r="B5837" s="9"/>
      <c r="C5837" s="2"/>
      <c r="D5837" s="2"/>
      <c r="I5837" s="9"/>
      <c r="J5837" s="2"/>
      <c r="L5837" s="9"/>
      <c r="M5837" s="2"/>
      <c r="N5837" s="9"/>
      <c r="P5837" s="3">
        <v>247.62530114</v>
      </c>
      <c r="S5837" s="9"/>
      <c r="T5837" s="2"/>
      <c r="U5837" s="9"/>
    </row>
    <row r="5838" spans="2:21" x14ac:dyDescent="0.35">
      <c r="B5838" s="9"/>
      <c r="C5838" s="2"/>
      <c r="D5838" s="2"/>
      <c r="I5838" s="9"/>
      <c r="J5838" s="2"/>
      <c r="L5838" s="9"/>
      <c r="M5838" s="2"/>
      <c r="N5838" s="9"/>
      <c r="P5838" s="3">
        <v>537.13594161000003</v>
      </c>
      <c r="S5838" s="9"/>
      <c r="T5838" s="2"/>
      <c r="U5838" s="9"/>
    </row>
    <row r="5839" spans="2:21" x14ac:dyDescent="0.35">
      <c r="B5839" s="9"/>
      <c r="C5839" s="2"/>
      <c r="D5839" s="2"/>
      <c r="I5839" s="9"/>
      <c r="J5839" s="2"/>
      <c r="L5839" s="9"/>
      <c r="M5839" s="2"/>
      <c r="N5839" s="9"/>
      <c r="P5839" s="3">
        <v>607.56581160999997</v>
      </c>
      <c r="S5839" s="9"/>
      <c r="T5839" s="2"/>
      <c r="U5839" s="9"/>
    </row>
    <row r="5840" spans="2:21" x14ac:dyDescent="0.35">
      <c r="B5840" s="9"/>
      <c r="C5840" s="2"/>
      <c r="D5840" s="2"/>
      <c r="I5840" s="9"/>
      <c r="J5840" s="2"/>
      <c r="L5840" s="9"/>
      <c r="M5840" s="2"/>
      <c r="N5840" s="9"/>
      <c r="P5840" s="3">
        <v>640.77535161000003</v>
      </c>
      <c r="S5840" s="9"/>
      <c r="T5840" s="2"/>
      <c r="U5840" s="9"/>
    </row>
    <row r="5841" spans="2:21" x14ac:dyDescent="0.35">
      <c r="B5841" s="9"/>
      <c r="C5841" s="2"/>
      <c r="D5841" s="2"/>
      <c r="I5841" s="9"/>
      <c r="J5841" s="2"/>
      <c r="L5841" s="9"/>
      <c r="M5841" s="2"/>
      <c r="N5841" s="9"/>
      <c r="P5841" s="3">
        <v>660.36354160999997</v>
      </c>
      <c r="S5841" s="9"/>
      <c r="T5841" s="2"/>
      <c r="U5841" s="9"/>
    </row>
    <row r="5842" spans="2:21" x14ac:dyDescent="0.35">
      <c r="B5842" s="9"/>
      <c r="C5842" s="2"/>
      <c r="D5842" s="2"/>
      <c r="I5842" s="9"/>
      <c r="J5842" s="2"/>
      <c r="L5842" s="9"/>
      <c r="M5842" s="2"/>
      <c r="N5842" s="9"/>
      <c r="P5842" s="3">
        <v>675.24230161000003</v>
      </c>
      <c r="S5842" s="9"/>
      <c r="T5842" s="2"/>
      <c r="U5842" s="9"/>
    </row>
    <row r="5843" spans="2:21" x14ac:dyDescent="0.35">
      <c r="B5843" s="9"/>
      <c r="C5843" s="2"/>
      <c r="D5843" s="2"/>
      <c r="I5843" s="9"/>
      <c r="J5843" s="2"/>
      <c r="L5843" s="9"/>
      <c r="M5843" s="2"/>
      <c r="N5843" s="9"/>
      <c r="P5843" s="3">
        <v>675.43826161000004</v>
      </c>
      <c r="S5843" s="9"/>
      <c r="T5843" s="2"/>
      <c r="U5843" s="9"/>
    </row>
    <row r="5844" spans="2:21" x14ac:dyDescent="0.35">
      <c r="B5844" s="9"/>
      <c r="C5844" s="2"/>
      <c r="D5844" s="2"/>
      <c r="I5844" s="9"/>
      <c r="J5844" s="2"/>
      <c r="L5844" s="9"/>
      <c r="M5844" s="2"/>
      <c r="N5844" s="9"/>
      <c r="P5844" s="3">
        <v>701.32415160999994</v>
      </c>
      <c r="S5844" s="9"/>
      <c r="T5844" s="2"/>
      <c r="U5844" s="9"/>
    </row>
    <row r="5845" spans="2:21" x14ac:dyDescent="0.35">
      <c r="B5845" s="9"/>
      <c r="C5845" s="2"/>
      <c r="D5845" s="2"/>
      <c r="I5845" s="9"/>
      <c r="J5845" s="2"/>
      <c r="L5845" s="9"/>
      <c r="M5845" s="2"/>
      <c r="N5845" s="9"/>
      <c r="P5845" s="3">
        <v>507.99328161</v>
      </c>
      <c r="S5845" s="9"/>
      <c r="T5845" s="2"/>
      <c r="U5845" s="9"/>
    </row>
    <row r="5846" spans="2:21" x14ac:dyDescent="0.35">
      <c r="B5846" s="9"/>
      <c r="C5846" s="2"/>
      <c r="D5846" s="2"/>
      <c r="I5846" s="9"/>
      <c r="J5846" s="2"/>
      <c r="L5846" s="9"/>
      <c r="M5846" s="2"/>
      <c r="N5846" s="9"/>
      <c r="P5846" s="3">
        <v>73.233281610000006</v>
      </c>
      <c r="S5846" s="9"/>
      <c r="T5846" s="2"/>
      <c r="U5846" s="9"/>
    </row>
    <row r="5847" spans="2:21" x14ac:dyDescent="0.35">
      <c r="B5847" s="9"/>
      <c r="C5847" s="2"/>
      <c r="D5847" s="2"/>
      <c r="I5847" s="9"/>
      <c r="J5847" s="2"/>
      <c r="L5847" s="9"/>
      <c r="M5847" s="2"/>
      <c r="N5847" s="9"/>
      <c r="P5847" s="3">
        <v>-361.52671838999998</v>
      </c>
      <c r="S5847" s="9"/>
      <c r="T5847" s="2"/>
      <c r="U5847" s="9"/>
    </row>
    <row r="5848" spans="2:21" x14ac:dyDescent="0.35">
      <c r="B5848" s="9"/>
      <c r="C5848" s="2"/>
      <c r="D5848" s="2"/>
      <c r="I5848" s="9"/>
      <c r="J5848" s="2"/>
      <c r="L5848" s="9"/>
      <c r="M5848" s="2"/>
      <c r="N5848" s="9"/>
      <c r="P5848" s="3">
        <v>-796.28671839000003</v>
      </c>
      <c r="S5848" s="9"/>
      <c r="T5848" s="2"/>
      <c r="U5848" s="9"/>
    </row>
    <row r="5849" spans="2:21" x14ac:dyDescent="0.35">
      <c r="B5849" s="9"/>
      <c r="C5849" s="2"/>
      <c r="D5849" s="2"/>
      <c r="I5849" s="9"/>
      <c r="J5849" s="2"/>
      <c r="L5849" s="9"/>
      <c r="M5849" s="2"/>
      <c r="N5849" s="9"/>
      <c r="P5849" s="3">
        <v>-1231.04671839</v>
      </c>
      <c r="S5849" s="9"/>
      <c r="T5849" s="2"/>
      <c r="U5849" s="9"/>
    </row>
    <row r="5850" spans="2:21" x14ac:dyDescent="0.35">
      <c r="B5850" s="9"/>
      <c r="C5850" s="2"/>
      <c r="D5850" s="2"/>
      <c r="I5850" s="9"/>
      <c r="J5850" s="2"/>
      <c r="L5850" s="9"/>
      <c r="M5850" s="2"/>
      <c r="N5850" s="9"/>
      <c r="P5850" s="3">
        <v>-796.28671839000003</v>
      </c>
      <c r="S5850" s="9"/>
      <c r="T5850" s="2"/>
      <c r="U5850" s="9"/>
    </row>
    <row r="5851" spans="2:21" x14ac:dyDescent="0.35">
      <c r="B5851" s="9"/>
      <c r="C5851" s="2"/>
      <c r="D5851" s="2"/>
      <c r="I5851" s="9"/>
      <c r="J5851" s="2"/>
      <c r="L5851" s="9"/>
      <c r="M5851" s="2"/>
      <c r="N5851" s="9"/>
      <c r="P5851" s="3">
        <v>-361.52671838999998</v>
      </c>
      <c r="S5851" s="9"/>
      <c r="T5851" s="2"/>
      <c r="U5851" s="9"/>
    </row>
    <row r="5852" spans="2:21" x14ac:dyDescent="0.35">
      <c r="B5852" s="9"/>
      <c r="C5852" s="2"/>
      <c r="D5852" s="2"/>
      <c r="I5852" s="9"/>
      <c r="J5852" s="2"/>
      <c r="L5852" s="9"/>
      <c r="M5852" s="2"/>
      <c r="N5852" s="9"/>
      <c r="P5852" s="3">
        <v>0</v>
      </c>
      <c r="S5852" s="9"/>
      <c r="T5852" s="2"/>
      <c r="U5852" s="9"/>
    </row>
    <row r="5853" spans="2:21" x14ac:dyDescent="0.35">
      <c r="B5853" s="9"/>
      <c r="C5853" s="2"/>
      <c r="D5853" s="2"/>
      <c r="I5853" s="9"/>
      <c r="J5853" s="2"/>
      <c r="L5853" s="9"/>
      <c r="M5853" s="2"/>
      <c r="N5853" s="9"/>
      <c r="P5853" s="3">
        <v>-328.86305964000002</v>
      </c>
      <c r="S5853" s="9"/>
      <c r="T5853" s="2"/>
      <c r="U5853" s="9"/>
    </row>
    <row r="5854" spans="2:21" x14ac:dyDescent="0.35">
      <c r="B5854" s="9"/>
      <c r="C5854" s="2"/>
      <c r="D5854" s="2"/>
      <c r="I5854" s="9"/>
      <c r="J5854" s="2"/>
      <c r="L5854" s="9"/>
      <c r="M5854" s="2"/>
      <c r="N5854" s="9"/>
      <c r="P5854" s="3">
        <v>-763.62305963999995</v>
      </c>
      <c r="S5854" s="9"/>
      <c r="T5854" s="2"/>
      <c r="U5854" s="9"/>
    </row>
    <row r="5855" spans="2:21" x14ac:dyDescent="0.35">
      <c r="B5855" s="9"/>
      <c r="C5855" s="2"/>
      <c r="D5855" s="2"/>
      <c r="I5855" s="9"/>
      <c r="J5855" s="2"/>
      <c r="L5855" s="9"/>
      <c r="M5855" s="2"/>
      <c r="N5855" s="9"/>
      <c r="P5855" s="3">
        <v>-491.32110839000001</v>
      </c>
      <c r="S5855" s="9"/>
      <c r="T5855" s="2"/>
      <c r="U5855" s="9"/>
    </row>
    <row r="5856" spans="2:21" x14ac:dyDescent="0.35">
      <c r="B5856" s="9"/>
      <c r="C5856" s="2"/>
      <c r="D5856" s="2"/>
      <c r="I5856" s="9"/>
      <c r="J5856" s="2"/>
      <c r="L5856" s="9"/>
      <c r="M5856" s="2"/>
      <c r="N5856" s="9"/>
      <c r="P5856" s="3">
        <v>-56.561108390000001</v>
      </c>
      <c r="S5856" s="9"/>
      <c r="T5856" s="2"/>
      <c r="U5856" s="9"/>
    </row>
    <row r="5857" spans="2:21" x14ac:dyDescent="0.35">
      <c r="B5857" s="9"/>
      <c r="C5857" s="2"/>
      <c r="D5857" s="2"/>
      <c r="I5857" s="9"/>
      <c r="J5857" s="2"/>
      <c r="L5857" s="9"/>
      <c r="M5857" s="2"/>
      <c r="N5857" s="9"/>
      <c r="P5857" s="3">
        <v>378.19889160999998</v>
      </c>
      <c r="S5857" s="9"/>
      <c r="T5857" s="2"/>
      <c r="U5857" s="9"/>
    </row>
    <row r="5858" spans="2:21" x14ac:dyDescent="0.35">
      <c r="B5858" s="9"/>
      <c r="C5858" s="2"/>
      <c r="D5858" s="2"/>
      <c r="I5858" s="9"/>
      <c r="J5858" s="2"/>
      <c r="L5858" s="9"/>
      <c r="M5858" s="2"/>
      <c r="N5858" s="9"/>
      <c r="P5858" s="3">
        <v>599.50021160999995</v>
      </c>
      <c r="S5858" s="9"/>
      <c r="T5858" s="2"/>
      <c r="U5858" s="9"/>
    </row>
    <row r="5859" spans="2:21" x14ac:dyDescent="0.35">
      <c r="B5859" s="9"/>
      <c r="C5859" s="2"/>
      <c r="D5859" s="2"/>
      <c r="I5859" s="9"/>
      <c r="J5859" s="2"/>
      <c r="L5859" s="9"/>
      <c r="M5859" s="2"/>
      <c r="N5859" s="9"/>
      <c r="P5859" s="3">
        <v>679.00175161000004</v>
      </c>
      <c r="S5859" s="9"/>
      <c r="T5859" s="2"/>
      <c r="U5859" s="9"/>
    </row>
    <row r="5860" spans="2:21" x14ac:dyDescent="0.35">
      <c r="B5860" s="9"/>
      <c r="C5860" s="2"/>
      <c r="D5860" s="2"/>
      <c r="I5860" s="9"/>
      <c r="J5860" s="2"/>
      <c r="L5860" s="9"/>
      <c r="M5860" s="2"/>
      <c r="N5860" s="9"/>
      <c r="P5860" s="3">
        <v>773.89822160999995</v>
      </c>
      <c r="S5860" s="9"/>
      <c r="T5860" s="2"/>
      <c r="U5860" s="9"/>
    </row>
    <row r="5861" spans="2:21" x14ac:dyDescent="0.35">
      <c r="B5861" s="9"/>
      <c r="C5861" s="2"/>
      <c r="D5861" s="2"/>
      <c r="I5861" s="9"/>
      <c r="J5861" s="2"/>
      <c r="L5861" s="9"/>
      <c r="M5861" s="2"/>
      <c r="N5861" s="9"/>
      <c r="P5861" s="3">
        <v>800.50192160999995</v>
      </c>
      <c r="S5861" s="9"/>
      <c r="T5861" s="2"/>
      <c r="U5861" s="9"/>
    </row>
    <row r="5862" spans="2:21" x14ac:dyDescent="0.35">
      <c r="B5862" s="9"/>
      <c r="C5862" s="2"/>
      <c r="D5862" s="2"/>
      <c r="I5862" s="9"/>
      <c r="J5862" s="2"/>
      <c r="L5862" s="9"/>
      <c r="M5862" s="2"/>
      <c r="N5862" s="9"/>
      <c r="P5862" s="3">
        <v>849.32010161000005</v>
      </c>
      <c r="S5862" s="9"/>
      <c r="T5862" s="2"/>
      <c r="U5862" s="9"/>
    </row>
    <row r="5863" spans="2:21" x14ac:dyDescent="0.35">
      <c r="B5863" s="9"/>
      <c r="C5863" s="2"/>
      <c r="D5863" s="2"/>
      <c r="I5863" s="9"/>
      <c r="J5863" s="2"/>
      <c r="L5863" s="9"/>
      <c r="M5863" s="2"/>
      <c r="N5863" s="9"/>
      <c r="P5863" s="3">
        <v>899.18340161000003</v>
      </c>
      <c r="S5863" s="9"/>
      <c r="T5863" s="2"/>
      <c r="U5863" s="9"/>
    </row>
    <row r="5864" spans="2:21" x14ac:dyDescent="0.35">
      <c r="B5864" s="9"/>
      <c r="C5864" s="2"/>
      <c r="D5864" s="2"/>
      <c r="I5864" s="9"/>
      <c r="J5864" s="2"/>
      <c r="L5864" s="9"/>
      <c r="M5864" s="2"/>
      <c r="N5864" s="9"/>
      <c r="P5864" s="3">
        <v>931.80577160999997</v>
      </c>
      <c r="S5864" s="9"/>
      <c r="T5864" s="2"/>
      <c r="U5864" s="9"/>
    </row>
    <row r="5865" spans="2:21" x14ac:dyDescent="0.35">
      <c r="B5865" s="9"/>
      <c r="C5865" s="2"/>
      <c r="D5865" s="2"/>
      <c r="I5865" s="9"/>
      <c r="J5865" s="2"/>
      <c r="L5865" s="9"/>
      <c r="M5865" s="2"/>
      <c r="N5865" s="9"/>
      <c r="P5865" s="3">
        <v>936.65081161000001</v>
      </c>
      <c r="S5865" s="9"/>
      <c r="T5865" s="2"/>
      <c r="U5865" s="9"/>
    </row>
    <row r="5866" spans="2:21" x14ac:dyDescent="0.35">
      <c r="B5866" s="9"/>
      <c r="C5866" s="2"/>
      <c r="D5866" s="2"/>
      <c r="I5866" s="9"/>
      <c r="J5866" s="2"/>
      <c r="L5866" s="9"/>
      <c r="M5866" s="2"/>
      <c r="N5866" s="9"/>
      <c r="P5866" s="3">
        <v>943.92192161000003</v>
      </c>
      <c r="S5866" s="9"/>
      <c r="T5866" s="2"/>
      <c r="U5866" s="9"/>
    </row>
    <row r="5867" spans="2:21" x14ac:dyDescent="0.35">
      <c r="B5867" s="9"/>
      <c r="C5867" s="2"/>
      <c r="D5867" s="2"/>
      <c r="I5867" s="9"/>
      <c r="J5867" s="2"/>
      <c r="L5867" s="9"/>
      <c r="M5867" s="2"/>
      <c r="N5867" s="9"/>
      <c r="P5867" s="3">
        <v>967.82336161000001</v>
      </c>
      <c r="S5867" s="9"/>
      <c r="T5867" s="2"/>
      <c r="U5867" s="9"/>
    </row>
    <row r="5868" spans="2:21" x14ac:dyDescent="0.35">
      <c r="B5868" s="9"/>
      <c r="C5868" s="2"/>
      <c r="D5868" s="2"/>
      <c r="I5868" s="9"/>
      <c r="J5868" s="2"/>
      <c r="L5868" s="9"/>
      <c r="M5868" s="2"/>
      <c r="N5868" s="9"/>
      <c r="P5868" s="3">
        <v>976.07498161000001</v>
      </c>
      <c r="S5868" s="9"/>
      <c r="T5868" s="2"/>
      <c r="U5868" s="9"/>
    </row>
    <row r="5869" spans="2:21" x14ac:dyDescent="0.35">
      <c r="B5869" s="9"/>
      <c r="C5869" s="2"/>
      <c r="D5869" s="2"/>
      <c r="I5869" s="9"/>
      <c r="J5869" s="2"/>
      <c r="L5869" s="9"/>
      <c r="M5869" s="2"/>
      <c r="N5869" s="9"/>
      <c r="P5869" s="3">
        <v>772.39444160999994</v>
      </c>
      <c r="S5869" s="9"/>
      <c r="T5869" s="2"/>
      <c r="U5869" s="9"/>
    </row>
    <row r="5870" spans="2:21" x14ac:dyDescent="0.35">
      <c r="B5870" s="9"/>
      <c r="C5870" s="2"/>
      <c r="D5870" s="2"/>
      <c r="I5870" s="9"/>
      <c r="J5870" s="2"/>
      <c r="L5870" s="9"/>
      <c r="M5870" s="2"/>
      <c r="N5870" s="9"/>
      <c r="P5870" s="3">
        <v>337.63444161000001</v>
      </c>
      <c r="S5870" s="9"/>
      <c r="T5870" s="2"/>
      <c r="U5870" s="9"/>
    </row>
    <row r="5871" spans="2:21" x14ac:dyDescent="0.35">
      <c r="B5871" s="9"/>
      <c r="C5871" s="2"/>
      <c r="D5871" s="2"/>
      <c r="I5871" s="9"/>
      <c r="J5871" s="2"/>
      <c r="L5871" s="9"/>
      <c r="M5871" s="2"/>
      <c r="N5871" s="9"/>
      <c r="P5871" s="3">
        <v>-97.125558389999995</v>
      </c>
      <c r="S5871" s="9"/>
      <c r="T5871" s="2"/>
      <c r="U5871" s="9"/>
    </row>
    <row r="5872" spans="2:21" x14ac:dyDescent="0.35">
      <c r="B5872" s="9"/>
      <c r="C5872" s="2"/>
      <c r="D5872" s="2"/>
      <c r="I5872" s="9"/>
      <c r="J5872" s="2"/>
      <c r="L5872" s="9"/>
      <c r="M5872" s="2"/>
      <c r="N5872" s="9"/>
      <c r="P5872" s="3">
        <v>-531.88555839000003</v>
      </c>
      <c r="S5872" s="9"/>
      <c r="T5872" s="2"/>
      <c r="U5872" s="9"/>
    </row>
    <row r="5873" spans="2:21" x14ac:dyDescent="0.35">
      <c r="B5873" s="9"/>
      <c r="C5873" s="2"/>
      <c r="D5873" s="2"/>
      <c r="I5873" s="9"/>
      <c r="J5873" s="2"/>
      <c r="L5873" s="9"/>
      <c r="M5873" s="2"/>
      <c r="N5873" s="9"/>
      <c r="P5873" s="3">
        <v>-966.64555839000002</v>
      </c>
      <c r="S5873" s="9"/>
      <c r="T5873" s="2"/>
      <c r="U5873" s="9"/>
    </row>
    <row r="5874" spans="2:21" x14ac:dyDescent="0.35">
      <c r="B5874" s="9"/>
      <c r="C5874" s="2"/>
      <c r="D5874" s="2"/>
      <c r="I5874" s="9"/>
      <c r="J5874" s="2"/>
      <c r="L5874" s="9"/>
      <c r="M5874" s="2"/>
      <c r="N5874" s="9"/>
      <c r="P5874" s="3">
        <v>-1401.4055583899999</v>
      </c>
      <c r="S5874" s="9"/>
      <c r="T5874" s="2"/>
      <c r="U5874" s="9"/>
    </row>
    <row r="5875" spans="2:21" x14ac:dyDescent="0.35">
      <c r="B5875" s="9"/>
      <c r="C5875" s="2"/>
      <c r="D5875" s="2"/>
      <c r="I5875" s="9"/>
      <c r="J5875" s="2"/>
      <c r="L5875" s="9"/>
      <c r="M5875" s="2"/>
      <c r="N5875" s="9"/>
      <c r="P5875" s="3">
        <v>-1254.9849945399999</v>
      </c>
      <c r="S5875" s="9"/>
      <c r="T5875" s="2"/>
      <c r="U5875" s="9"/>
    </row>
    <row r="5876" spans="2:21" x14ac:dyDescent="0.35">
      <c r="B5876" s="9"/>
      <c r="C5876" s="2"/>
      <c r="D5876" s="2"/>
      <c r="I5876" s="9"/>
      <c r="J5876" s="2"/>
      <c r="L5876" s="9"/>
      <c r="M5876" s="2"/>
      <c r="N5876" s="9"/>
      <c r="P5876" s="3">
        <v>-1450.95091643</v>
      </c>
      <c r="S5876" s="9"/>
      <c r="T5876" s="2"/>
      <c r="U5876" s="9"/>
    </row>
    <row r="5877" spans="2:21" x14ac:dyDescent="0.35">
      <c r="B5877" s="9"/>
      <c r="C5877" s="2"/>
      <c r="D5877" s="2"/>
      <c r="I5877" s="9"/>
      <c r="J5877" s="2"/>
      <c r="L5877" s="9"/>
      <c r="M5877" s="2"/>
      <c r="N5877" s="9"/>
      <c r="P5877" s="3">
        <v>-1062.59921839</v>
      </c>
      <c r="S5877" s="9"/>
      <c r="T5877" s="2"/>
      <c r="U5877" s="9"/>
    </row>
    <row r="5878" spans="2:21" x14ac:dyDescent="0.35">
      <c r="B5878" s="9"/>
      <c r="C5878" s="2"/>
      <c r="D5878" s="2"/>
      <c r="I5878" s="9"/>
      <c r="J5878" s="2"/>
      <c r="L5878" s="9"/>
      <c r="M5878" s="2"/>
      <c r="N5878" s="9"/>
      <c r="P5878" s="3">
        <v>-627.83921839000004</v>
      </c>
      <c r="S5878" s="9"/>
      <c r="T5878" s="2"/>
      <c r="U5878" s="9"/>
    </row>
    <row r="5879" spans="2:21" x14ac:dyDescent="0.35">
      <c r="B5879" s="9"/>
      <c r="C5879" s="2"/>
      <c r="D5879" s="2"/>
      <c r="I5879" s="9"/>
      <c r="J5879" s="2"/>
      <c r="L5879" s="9"/>
      <c r="M5879" s="2"/>
      <c r="N5879" s="9"/>
      <c r="P5879" s="3">
        <v>-193.07921838999999</v>
      </c>
      <c r="S5879" s="9"/>
      <c r="T5879" s="2"/>
      <c r="U5879" s="9"/>
    </row>
    <row r="5880" spans="2:21" x14ac:dyDescent="0.35">
      <c r="B5880" s="9"/>
      <c r="C5880" s="2"/>
      <c r="D5880" s="2"/>
      <c r="I5880" s="9"/>
      <c r="J5880" s="2"/>
      <c r="L5880" s="9"/>
      <c r="M5880" s="2"/>
      <c r="N5880" s="9"/>
      <c r="P5880" s="3">
        <v>241.68078161</v>
      </c>
      <c r="S5880" s="9"/>
      <c r="T5880" s="2"/>
      <c r="U5880" s="9"/>
    </row>
    <row r="5881" spans="2:21" x14ac:dyDescent="0.35">
      <c r="B5881" s="9"/>
      <c r="C5881" s="2"/>
      <c r="D5881" s="2"/>
      <c r="I5881" s="9"/>
      <c r="J5881" s="2"/>
      <c r="L5881" s="9"/>
      <c r="M5881" s="2"/>
      <c r="N5881" s="9"/>
      <c r="P5881" s="3">
        <v>676.44078161000004</v>
      </c>
      <c r="S5881" s="9"/>
      <c r="T5881" s="2"/>
      <c r="U5881" s="9"/>
    </row>
    <row r="5882" spans="2:21" x14ac:dyDescent="0.35">
      <c r="B5882" s="9"/>
      <c r="C5882" s="2"/>
      <c r="D5882" s="2"/>
      <c r="I5882" s="9"/>
      <c r="J5882" s="2"/>
      <c r="L5882" s="9"/>
      <c r="M5882" s="2"/>
      <c r="N5882" s="9"/>
      <c r="P5882" s="3">
        <v>899.63851161000002</v>
      </c>
      <c r="S5882" s="9"/>
      <c r="T5882" s="2"/>
      <c r="U5882" s="9"/>
    </row>
    <row r="5883" spans="2:21" x14ac:dyDescent="0.35">
      <c r="B5883" s="9"/>
      <c r="C5883" s="2"/>
      <c r="D5883" s="2"/>
      <c r="I5883" s="9"/>
      <c r="J5883" s="2"/>
      <c r="L5883" s="9"/>
      <c r="M5883" s="2"/>
      <c r="N5883" s="9"/>
      <c r="P5883" s="3">
        <v>919.39639161000002</v>
      </c>
      <c r="S5883" s="9"/>
      <c r="T5883" s="2"/>
      <c r="U5883" s="9"/>
    </row>
    <row r="5884" spans="2:21" x14ac:dyDescent="0.35">
      <c r="B5884" s="9"/>
      <c r="C5884" s="2"/>
      <c r="D5884" s="2"/>
      <c r="I5884" s="9"/>
      <c r="J5884" s="2"/>
      <c r="L5884" s="9"/>
      <c r="M5884" s="2"/>
      <c r="N5884" s="9"/>
      <c r="P5884" s="3">
        <v>949.86391160999995</v>
      </c>
      <c r="S5884" s="9"/>
      <c r="T5884" s="2"/>
      <c r="U5884" s="9"/>
    </row>
    <row r="5885" spans="2:21" x14ac:dyDescent="0.35">
      <c r="B5885" s="9"/>
      <c r="C5885" s="2"/>
      <c r="D5885" s="2"/>
      <c r="I5885" s="9"/>
      <c r="J5885" s="2"/>
      <c r="L5885" s="9"/>
      <c r="M5885" s="2"/>
      <c r="N5885" s="9"/>
      <c r="P5885" s="3">
        <v>943.86370161000002</v>
      </c>
      <c r="S5885" s="9"/>
      <c r="T5885" s="2"/>
      <c r="U5885" s="9"/>
    </row>
    <row r="5886" spans="2:21" x14ac:dyDescent="0.35">
      <c r="B5886" s="9"/>
      <c r="C5886" s="2"/>
      <c r="D5886" s="2"/>
      <c r="I5886" s="9"/>
      <c r="J5886" s="2"/>
      <c r="L5886" s="9"/>
      <c r="M5886" s="2"/>
      <c r="N5886" s="9"/>
      <c r="P5886" s="3">
        <v>665.99848113999997</v>
      </c>
      <c r="S5886" s="9"/>
      <c r="T5886" s="2"/>
      <c r="U5886" s="9"/>
    </row>
    <row r="5887" spans="2:21" x14ac:dyDescent="0.35">
      <c r="B5887" s="9"/>
      <c r="C5887" s="2"/>
      <c r="D5887" s="2"/>
      <c r="I5887" s="9"/>
      <c r="J5887" s="2"/>
      <c r="L5887" s="9"/>
      <c r="M5887" s="2"/>
      <c r="N5887" s="9"/>
      <c r="P5887" s="3">
        <v>690.00003114000003</v>
      </c>
      <c r="S5887" s="9"/>
      <c r="T5887" s="2"/>
      <c r="U5887" s="9"/>
    </row>
    <row r="5888" spans="2:21" x14ac:dyDescent="0.35">
      <c r="B5888" s="9"/>
      <c r="C5888" s="2"/>
      <c r="D5888" s="2"/>
      <c r="I5888" s="9"/>
      <c r="J5888" s="2"/>
      <c r="L5888" s="9"/>
      <c r="M5888" s="2"/>
      <c r="N5888" s="9"/>
      <c r="P5888" s="3">
        <v>718.95170113999995</v>
      </c>
      <c r="S5888" s="9"/>
      <c r="T5888" s="2"/>
      <c r="U5888" s="9"/>
    </row>
    <row r="5889" spans="2:21" x14ac:dyDescent="0.35">
      <c r="B5889" s="9"/>
      <c r="C5889" s="2"/>
      <c r="D5889" s="2"/>
      <c r="I5889" s="9"/>
      <c r="J5889" s="2"/>
      <c r="L5889" s="9"/>
      <c r="M5889" s="2"/>
      <c r="N5889" s="9"/>
      <c r="P5889" s="3">
        <v>737.24627113999998</v>
      </c>
      <c r="S5889" s="9"/>
      <c r="T5889" s="2"/>
      <c r="U5889" s="9"/>
    </row>
    <row r="5890" spans="2:21" x14ac:dyDescent="0.35">
      <c r="B5890" s="9"/>
      <c r="C5890" s="2"/>
      <c r="D5890" s="2"/>
      <c r="I5890" s="9"/>
      <c r="J5890" s="2"/>
      <c r="L5890" s="9"/>
      <c r="M5890" s="2"/>
      <c r="N5890" s="9"/>
      <c r="P5890" s="3">
        <v>752.40832114</v>
      </c>
      <c r="S5890" s="9"/>
      <c r="T5890" s="2"/>
      <c r="U5890" s="9"/>
    </row>
    <row r="5891" spans="2:21" x14ac:dyDescent="0.35">
      <c r="B5891" s="9"/>
      <c r="C5891" s="2"/>
      <c r="D5891" s="2"/>
      <c r="I5891" s="9"/>
      <c r="J5891" s="2"/>
      <c r="L5891" s="9"/>
      <c r="M5891" s="2"/>
      <c r="N5891" s="9"/>
      <c r="P5891" s="3">
        <v>865.02345762000004</v>
      </c>
      <c r="S5891" s="9"/>
      <c r="T5891" s="2"/>
      <c r="U5891" s="9"/>
    </row>
    <row r="5892" spans="2:21" x14ac:dyDescent="0.35">
      <c r="B5892" s="9"/>
      <c r="C5892" s="2"/>
      <c r="D5892" s="2"/>
      <c r="I5892" s="9"/>
      <c r="J5892" s="2"/>
      <c r="L5892" s="9"/>
      <c r="M5892" s="2"/>
      <c r="N5892" s="9"/>
      <c r="P5892" s="3">
        <v>976.48555409999994</v>
      </c>
      <c r="S5892" s="9"/>
      <c r="T5892" s="2"/>
      <c r="U5892" s="9"/>
    </row>
    <row r="5893" spans="2:21" x14ac:dyDescent="0.35">
      <c r="B5893" s="9"/>
      <c r="C5893" s="2"/>
      <c r="D5893" s="2"/>
      <c r="I5893" s="9"/>
      <c r="J5893" s="2"/>
      <c r="L5893" s="9"/>
      <c r="M5893" s="2"/>
      <c r="N5893" s="9"/>
      <c r="P5893" s="3">
        <v>922.53510655000002</v>
      </c>
      <c r="S5893" s="9"/>
      <c r="T5893" s="2"/>
      <c r="U5893" s="9"/>
    </row>
    <row r="5894" spans="2:21" x14ac:dyDescent="0.35">
      <c r="B5894" s="9"/>
      <c r="C5894" s="2"/>
      <c r="D5894" s="2"/>
      <c r="I5894" s="9"/>
      <c r="J5894" s="2"/>
      <c r="L5894" s="9"/>
      <c r="M5894" s="2"/>
      <c r="N5894" s="9"/>
      <c r="P5894" s="3">
        <v>487.77510654999998</v>
      </c>
      <c r="S5894" s="9"/>
      <c r="T5894" s="2"/>
      <c r="U5894" s="9"/>
    </row>
    <row r="5895" spans="2:21" x14ac:dyDescent="0.35">
      <c r="B5895" s="9"/>
      <c r="C5895" s="2"/>
      <c r="D5895" s="2"/>
      <c r="I5895" s="9"/>
      <c r="J5895" s="2"/>
      <c r="L5895" s="9"/>
      <c r="M5895" s="2"/>
      <c r="N5895" s="9"/>
      <c r="P5895" s="3">
        <v>53.015106549999999</v>
      </c>
      <c r="S5895" s="9"/>
      <c r="T5895" s="2"/>
      <c r="U5895" s="9"/>
    </row>
    <row r="5896" spans="2:21" x14ac:dyDescent="0.35">
      <c r="B5896" s="9"/>
      <c r="C5896" s="2"/>
      <c r="D5896" s="2"/>
      <c r="I5896" s="9"/>
      <c r="J5896" s="2"/>
      <c r="L5896" s="9"/>
      <c r="M5896" s="2"/>
      <c r="N5896" s="9"/>
      <c r="P5896" s="3">
        <v>-381.74489345000001</v>
      </c>
      <c r="S5896" s="9"/>
      <c r="T5896" s="2"/>
      <c r="U5896" s="9"/>
    </row>
    <row r="5897" spans="2:21" x14ac:dyDescent="0.35">
      <c r="B5897" s="9"/>
      <c r="C5897" s="2"/>
      <c r="D5897" s="2"/>
      <c r="I5897" s="9"/>
      <c r="J5897" s="2"/>
      <c r="L5897" s="9"/>
      <c r="M5897" s="2"/>
      <c r="N5897" s="9"/>
      <c r="P5897" s="3">
        <v>-816.50489345000005</v>
      </c>
      <c r="S5897" s="9"/>
      <c r="T5897" s="2"/>
      <c r="U5897" s="9"/>
    </row>
    <row r="5898" spans="2:21" x14ac:dyDescent="0.35">
      <c r="B5898" s="9"/>
      <c r="C5898" s="2"/>
      <c r="D5898" s="2"/>
      <c r="I5898" s="9"/>
      <c r="J5898" s="2"/>
      <c r="L5898" s="9"/>
      <c r="M5898" s="2"/>
      <c r="N5898" s="9"/>
      <c r="P5898" s="3">
        <v>-1251.26489345</v>
      </c>
      <c r="S5898" s="9"/>
      <c r="T5898" s="2"/>
      <c r="U5898" s="9"/>
    </row>
    <row r="5899" spans="2:21" x14ac:dyDescent="0.35">
      <c r="B5899" s="9"/>
      <c r="C5899" s="2"/>
      <c r="D5899" s="2"/>
      <c r="I5899" s="9"/>
      <c r="J5899" s="2"/>
      <c r="L5899" s="9"/>
      <c r="M5899" s="2"/>
      <c r="N5899" s="9"/>
      <c r="P5899" s="3">
        <v>-1686.02489345</v>
      </c>
      <c r="S5899" s="9"/>
      <c r="T5899" s="2"/>
      <c r="U5899" s="9"/>
    </row>
    <row r="5900" spans="2:21" x14ac:dyDescent="0.35">
      <c r="B5900" s="9"/>
      <c r="C5900" s="2"/>
      <c r="D5900" s="2"/>
      <c r="I5900" s="9"/>
      <c r="J5900" s="2"/>
      <c r="L5900" s="9"/>
      <c r="M5900" s="2"/>
      <c r="N5900" s="9"/>
      <c r="P5900" s="3">
        <v>-1948.93755773</v>
      </c>
      <c r="S5900" s="9"/>
      <c r="T5900" s="2"/>
      <c r="U5900" s="9"/>
    </row>
    <row r="5901" spans="2:21" x14ac:dyDescent="0.35">
      <c r="B5901" s="9"/>
      <c r="C5901" s="2"/>
      <c r="D5901" s="2"/>
      <c r="I5901" s="9"/>
      <c r="J5901" s="2"/>
      <c r="L5901" s="9"/>
      <c r="M5901" s="2"/>
      <c r="N5901" s="9"/>
      <c r="P5901" s="3">
        <v>-1514.17755773</v>
      </c>
      <c r="S5901" s="9"/>
      <c r="T5901" s="2"/>
      <c r="U5901" s="9"/>
    </row>
    <row r="5902" spans="2:21" x14ac:dyDescent="0.35">
      <c r="B5902" s="9"/>
      <c r="C5902" s="2"/>
      <c r="D5902" s="2"/>
      <c r="I5902" s="9"/>
      <c r="J5902" s="2"/>
      <c r="L5902" s="9"/>
      <c r="M5902" s="2"/>
      <c r="N5902" s="9"/>
      <c r="P5902" s="3">
        <v>-1079.41755773</v>
      </c>
      <c r="S5902" s="9"/>
      <c r="T5902" s="2"/>
      <c r="U5902" s="9"/>
    </row>
    <row r="5903" spans="2:21" x14ac:dyDescent="0.35">
      <c r="B5903" s="9"/>
      <c r="C5903" s="2"/>
      <c r="D5903" s="2"/>
      <c r="I5903" s="9"/>
      <c r="J5903" s="2"/>
      <c r="L5903" s="9"/>
      <c r="M5903" s="2"/>
      <c r="N5903" s="9"/>
      <c r="P5903" s="3">
        <v>-644.65755773000001</v>
      </c>
      <c r="S5903" s="9"/>
      <c r="T5903" s="2"/>
      <c r="U5903" s="9"/>
    </row>
    <row r="5904" spans="2:21" x14ac:dyDescent="0.35">
      <c r="B5904" s="9"/>
      <c r="C5904" s="2"/>
      <c r="D5904" s="2"/>
      <c r="I5904" s="9"/>
      <c r="J5904" s="2"/>
      <c r="L5904" s="9"/>
      <c r="M5904" s="2"/>
      <c r="N5904" s="9"/>
      <c r="P5904" s="3">
        <v>-209.89755772999999</v>
      </c>
      <c r="S5904" s="9"/>
      <c r="T5904" s="2"/>
      <c r="U5904" s="9"/>
    </row>
    <row r="5905" spans="2:21" x14ac:dyDescent="0.35">
      <c r="B5905" s="9"/>
      <c r="C5905" s="2"/>
      <c r="D5905" s="2"/>
      <c r="I5905" s="9"/>
      <c r="J5905" s="2"/>
      <c r="L5905" s="9"/>
      <c r="M5905" s="2"/>
      <c r="N5905" s="9"/>
      <c r="P5905" s="3">
        <v>224.86244227</v>
      </c>
      <c r="S5905" s="9"/>
      <c r="T5905" s="2"/>
      <c r="U5905" s="9"/>
    </row>
    <row r="5906" spans="2:21" x14ac:dyDescent="0.35">
      <c r="B5906" s="9"/>
      <c r="C5906" s="2"/>
      <c r="D5906" s="2"/>
      <c r="I5906" s="9"/>
      <c r="J5906" s="2"/>
      <c r="L5906" s="9"/>
      <c r="M5906" s="2"/>
      <c r="N5906" s="9"/>
      <c r="P5906" s="3">
        <v>304.99781177</v>
      </c>
      <c r="S5906" s="9"/>
      <c r="T5906" s="2"/>
      <c r="U5906" s="9"/>
    </row>
    <row r="5907" spans="2:21" x14ac:dyDescent="0.35">
      <c r="B5907" s="9"/>
      <c r="C5907" s="2"/>
      <c r="D5907" s="2"/>
      <c r="I5907" s="9"/>
      <c r="J5907" s="2"/>
      <c r="L5907" s="9"/>
      <c r="M5907" s="2"/>
      <c r="N5907" s="9"/>
      <c r="P5907" s="3">
        <v>281.43702139999999</v>
      </c>
      <c r="S5907" s="9"/>
      <c r="T5907" s="2"/>
      <c r="U5907" s="9"/>
    </row>
    <row r="5908" spans="2:21" x14ac:dyDescent="0.35">
      <c r="B5908" s="9"/>
      <c r="C5908" s="2"/>
      <c r="D5908" s="2"/>
      <c r="I5908" s="9"/>
      <c r="J5908" s="2"/>
      <c r="L5908" s="9"/>
      <c r="M5908" s="2"/>
      <c r="N5908" s="9"/>
      <c r="P5908" s="3">
        <v>283.39936114</v>
      </c>
      <c r="S5908" s="9"/>
      <c r="T5908" s="2"/>
      <c r="U5908" s="9"/>
    </row>
    <row r="5909" spans="2:21" x14ac:dyDescent="0.35">
      <c r="B5909" s="9"/>
      <c r="C5909" s="2"/>
      <c r="D5909" s="2"/>
      <c r="I5909" s="9"/>
      <c r="J5909" s="2"/>
      <c r="L5909" s="9"/>
      <c r="M5909" s="2"/>
      <c r="N5909" s="9"/>
      <c r="P5909" s="3">
        <v>254.69903113999999</v>
      </c>
      <c r="S5909" s="9"/>
      <c r="T5909" s="2"/>
      <c r="U5909" s="9"/>
    </row>
    <row r="5910" spans="2:21" x14ac:dyDescent="0.35">
      <c r="B5910" s="9"/>
      <c r="C5910" s="2"/>
      <c r="D5910" s="2"/>
      <c r="I5910" s="9"/>
      <c r="J5910" s="2"/>
      <c r="L5910" s="9"/>
      <c r="M5910" s="2"/>
      <c r="N5910" s="9"/>
      <c r="P5910" s="3">
        <v>205.35048114</v>
      </c>
      <c r="S5910" s="9"/>
      <c r="T5910" s="2"/>
      <c r="U5910" s="9"/>
    </row>
    <row r="5911" spans="2:21" x14ac:dyDescent="0.35">
      <c r="B5911" s="9"/>
      <c r="C5911" s="2"/>
      <c r="D5911" s="2"/>
      <c r="I5911" s="9"/>
      <c r="J5911" s="2"/>
      <c r="L5911" s="9"/>
      <c r="M5911" s="2"/>
      <c r="N5911" s="9"/>
      <c r="P5911" s="3">
        <v>117.24516113999999</v>
      </c>
      <c r="S5911" s="9"/>
      <c r="T5911" s="2"/>
      <c r="U5911" s="9"/>
    </row>
    <row r="5912" spans="2:21" x14ac:dyDescent="0.35">
      <c r="B5912" s="9"/>
      <c r="C5912" s="2"/>
      <c r="D5912" s="2"/>
      <c r="I5912" s="9"/>
      <c r="J5912" s="2"/>
      <c r="L5912" s="9"/>
      <c r="M5912" s="2"/>
      <c r="N5912" s="9"/>
      <c r="P5912" s="3">
        <v>61.039431139999998</v>
      </c>
      <c r="S5912" s="9"/>
      <c r="T5912" s="2"/>
      <c r="U5912" s="9"/>
    </row>
    <row r="5913" spans="2:21" x14ac:dyDescent="0.35">
      <c r="B5913" s="9"/>
      <c r="C5913" s="2"/>
      <c r="D5913" s="2"/>
      <c r="I5913" s="9"/>
      <c r="J5913" s="2"/>
      <c r="L5913" s="9"/>
      <c r="M5913" s="2"/>
      <c r="N5913" s="9"/>
      <c r="P5913" s="3">
        <v>33.353691140000002</v>
      </c>
      <c r="S5913" s="9"/>
      <c r="T5913" s="2"/>
      <c r="U5913" s="9"/>
    </row>
    <row r="5914" spans="2:21" x14ac:dyDescent="0.35">
      <c r="B5914" s="9"/>
      <c r="C5914" s="2"/>
      <c r="D5914" s="2"/>
      <c r="I5914" s="9"/>
      <c r="J5914" s="2"/>
      <c r="L5914" s="9"/>
      <c r="M5914" s="2"/>
      <c r="N5914" s="9"/>
      <c r="P5914" s="3">
        <v>70.004601140000005</v>
      </c>
      <c r="S5914" s="9"/>
      <c r="T5914" s="2"/>
      <c r="U5914" s="9"/>
    </row>
    <row r="5915" spans="2:21" x14ac:dyDescent="0.35">
      <c r="B5915" s="9"/>
      <c r="C5915" s="2"/>
      <c r="D5915" s="2"/>
      <c r="I5915" s="9"/>
      <c r="J5915" s="2"/>
      <c r="L5915" s="9"/>
      <c r="M5915" s="2"/>
      <c r="N5915" s="9"/>
      <c r="P5915" s="3">
        <v>183.93607761999999</v>
      </c>
      <c r="S5915" s="9"/>
      <c r="T5915" s="2"/>
      <c r="U5915" s="9"/>
    </row>
    <row r="5916" spans="2:21" x14ac:dyDescent="0.35">
      <c r="B5916" s="9"/>
      <c r="C5916" s="2"/>
      <c r="D5916" s="2"/>
      <c r="I5916" s="9"/>
      <c r="J5916" s="2"/>
      <c r="L5916" s="9"/>
      <c r="M5916" s="2"/>
      <c r="N5916" s="9"/>
      <c r="P5916" s="3">
        <v>279.07811409999999</v>
      </c>
      <c r="S5916" s="9"/>
      <c r="T5916" s="2"/>
      <c r="U5916" s="9"/>
    </row>
    <row r="5917" spans="2:21" x14ac:dyDescent="0.35">
      <c r="B5917" s="9"/>
      <c r="C5917" s="2"/>
      <c r="D5917" s="2"/>
      <c r="I5917" s="9"/>
      <c r="J5917" s="2"/>
      <c r="L5917" s="9"/>
      <c r="M5917" s="2"/>
      <c r="N5917" s="9"/>
      <c r="P5917" s="3">
        <v>220.12216655</v>
      </c>
      <c r="S5917" s="9"/>
      <c r="T5917" s="2"/>
      <c r="U5917" s="9"/>
    </row>
    <row r="5918" spans="2:21" x14ac:dyDescent="0.35">
      <c r="B5918" s="9"/>
      <c r="C5918" s="2"/>
      <c r="D5918" s="2"/>
      <c r="I5918" s="9"/>
      <c r="J5918" s="2"/>
      <c r="L5918" s="9"/>
      <c r="M5918" s="2"/>
      <c r="N5918" s="9"/>
      <c r="P5918" s="3">
        <v>-214.63783344999999</v>
      </c>
      <c r="S5918" s="9"/>
      <c r="T5918" s="2"/>
      <c r="U5918" s="9"/>
    </row>
    <row r="5919" spans="2:21" x14ac:dyDescent="0.35">
      <c r="B5919" s="9"/>
      <c r="C5919" s="2"/>
      <c r="D5919" s="2"/>
      <c r="I5919" s="9"/>
      <c r="J5919" s="2"/>
      <c r="L5919" s="9"/>
      <c r="M5919" s="2"/>
      <c r="N5919" s="9"/>
      <c r="P5919" s="3">
        <v>-649.39783345000001</v>
      </c>
      <c r="S5919" s="9"/>
      <c r="T5919" s="2"/>
      <c r="U5919" s="9"/>
    </row>
    <row r="5920" spans="2:21" x14ac:dyDescent="0.35">
      <c r="B5920" s="9"/>
      <c r="C5920" s="2"/>
      <c r="D5920" s="2"/>
      <c r="I5920" s="9"/>
      <c r="J5920" s="2"/>
      <c r="L5920" s="9"/>
      <c r="M5920" s="2"/>
      <c r="N5920" s="9"/>
      <c r="P5920" s="3">
        <v>-1084.15783345</v>
      </c>
      <c r="S5920" s="9"/>
      <c r="T5920" s="2"/>
      <c r="U5920" s="9"/>
    </row>
    <row r="5921" spans="2:21" x14ac:dyDescent="0.35">
      <c r="B5921" s="9"/>
      <c r="C5921" s="2"/>
      <c r="D5921" s="2"/>
      <c r="I5921" s="9"/>
      <c r="J5921" s="2"/>
      <c r="L5921" s="9"/>
      <c r="M5921" s="2"/>
      <c r="N5921" s="9"/>
      <c r="P5921" s="3">
        <v>-1518.91783345</v>
      </c>
      <c r="S5921" s="9"/>
      <c r="T5921" s="2"/>
      <c r="U5921" s="9"/>
    </row>
    <row r="5922" spans="2:21" x14ac:dyDescent="0.35">
      <c r="B5922" s="9"/>
      <c r="C5922" s="2"/>
      <c r="D5922" s="2"/>
      <c r="I5922" s="9"/>
      <c r="J5922" s="2"/>
      <c r="L5922" s="9"/>
      <c r="M5922" s="2"/>
      <c r="N5922" s="9"/>
      <c r="P5922" s="3">
        <v>-1084.15783345</v>
      </c>
      <c r="S5922" s="9"/>
      <c r="T5922" s="2"/>
      <c r="U5922" s="9"/>
    </row>
    <row r="5923" spans="2:21" x14ac:dyDescent="0.35">
      <c r="B5923" s="9"/>
      <c r="C5923" s="2"/>
      <c r="D5923" s="2"/>
      <c r="I5923" s="9"/>
      <c r="J5923" s="2"/>
      <c r="L5923" s="9"/>
      <c r="M5923" s="2"/>
      <c r="N5923" s="9"/>
      <c r="P5923" s="3">
        <v>-649.39783345000001</v>
      </c>
      <c r="S5923" s="9"/>
      <c r="T5923" s="2"/>
      <c r="U5923" s="9"/>
    </row>
    <row r="5924" spans="2:21" x14ac:dyDescent="0.35">
      <c r="B5924" s="9"/>
      <c r="C5924" s="2"/>
      <c r="D5924" s="2"/>
      <c r="I5924" s="9"/>
      <c r="J5924" s="2"/>
      <c r="L5924" s="9"/>
      <c r="M5924" s="2"/>
      <c r="N5924" s="9"/>
      <c r="P5924" s="3">
        <v>-792.52142773000003</v>
      </c>
      <c r="S5924" s="9"/>
      <c r="T5924" s="2"/>
      <c r="U5924" s="9"/>
    </row>
    <row r="5925" spans="2:21" x14ac:dyDescent="0.35">
      <c r="B5925" s="9"/>
      <c r="C5925" s="2"/>
      <c r="D5925" s="2"/>
      <c r="I5925" s="9"/>
      <c r="J5925" s="2"/>
      <c r="L5925" s="9"/>
      <c r="M5925" s="2"/>
      <c r="N5925" s="9"/>
      <c r="P5925" s="3">
        <v>-1227.2814277299999</v>
      </c>
      <c r="S5925" s="9"/>
      <c r="T5925" s="2"/>
      <c r="U5925" s="9"/>
    </row>
    <row r="5926" spans="2:21" x14ac:dyDescent="0.35">
      <c r="B5926" s="9"/>
      <c r="C5926" s="2"/>
      <c r="D5926" s="2"/>
      <c r="I5926" s="9"/>
      <c r="J5926" s="2"/>
      <c r="L5926" s="9"/>
      <c r="M5926" s="2"/>
      <c r="N5926" s="9"/>
      <c r="P5926" s="3">
        <v>-1662.0414277299999</v>
      </c>
      <c r="S5926" s="9"/>
      <c r="T5926" s="2"/>
      <c r="U5926" s="9"/>
    </row>
    <row r="5927" spans="2:21" x14ac:dyDescent="0.35">
      <c r="B5927" s="9"/>
      <c r="C5927" s="2"/>
      <c r="D5927" s="2"/>
      <c r="I5927" s="9"/>
      <c r="J5927" s="2"/>
      <c r="L5927" s="9"/>
      <c r="M5927" s="2"/>
      <c r="N5927" s="9"/>
      <c r="P5927" s="3">
        <v>-1227.2814277299999</v>
      </c>
      <c r="S5927" s="9"/>
      <c r="T5927" s="2"/>
      <c r="U5927" s="9"/>
    </row>
    <row r="5928" spans="2:21" x14ac:dyDescent="0.35">
      <c r="B5928" s="9"/>
      <c r="C5928" s="2"/>
      <c r="D5928" s="2"/>
      <c r="I5928" s="9"/>
      <c r="J5928" s="2"/>
      <c r="L5928" s="9"/>
      <c r="M5928" s="2"/>
      <c r="N5928" s="9"/>
      <c r="P5928" s="3">
        <v>-792.52142773000003</v>
      </c>
      <c r="S5928" s="9"/>
      <c r="T5928" s="2"/>
      <c r="U5928" s="9"/>
    </row>
    <row r="5929" spans="2:21" x14ac:dyDescent="0.35">
      <c r="B5929" s="9"/>
      <c r="C5929" s="2"/>
      <c r="D5929" s="2"/>
      <c r="I5929" s="9"/>
      <c r="J5929" s="2"/>
      <c r="L5929" s="9"/>
      <c r="M5929" s="2"/>
      <c r="N5929" s="9"/>
      <c r="P5929" s="3">
        <v>-357.76142772999998</v>
      </c>
      <c r="S5929" s="9"/>
      <c r="T5929" s="2"/>
      <c r="U5929" s="9"/>
    </row>
    <row r="5930" spans="2:21" x14ac:dyDescent="0.35">
      <c r="B5930" s="9"/>
      <c r="C5930" s="2"/>
      <c r="D5930" s="2"/>
      <c r="I5930" s="9"/>
      <c r="J5930" s="2"/>
      <c r="L5930" s="9"/>
      <c r="M5930" s="2"/>
      <c r="N5930" s="9"/>
      <c r="P5930" s="3">
        <v>-297.00266822999998</v>
      </c>
      <c r="S5930" s="9"/>
      <c r="T5930" s="2"/>
      <c r="U5930" s="9"/>
    </row>
    <row r="5931" spans="2:21" x14ac:dyDescent="0.35">
      <c r="B5931" s="9"/>
      <c r="C5931" s="2"/>
      <c r="D5931" s="2"/>
      <c r="I5931" s="9"/>
      <c r="J5931" s="2"/>
      <c r="L5931" s="9"/>
      <c r="M5931" s="2"/>
      <c r="N5931" s="9"/>
      <c r="P5931" s="3">
        <v>-327.01735860000002</v>
      </c>
      <c r="S5931" s="9"/>
      <c r="T5931" s="2"/>
      <c r="U5931" s="9"/>
    </row>
    <row r="5932" spans="2:21" x14ac:dyDescent="0.35">
      <c r="B5932" s="9"/>
      <c r="C5932" s="2"/>
      <c r="D5932" s="2"/>
      <c r="I5932" s="9"/>
      <c r="J5932" s="2"/>
      <c r="L5932" s="9"/>
      <c r="M5932" s="2"/>
      <c r="N5932" s="9"/>
      <c r="P5932" s="3">
        <v>-280.45636886</v>
      </c>
      <c r="S5932" s="9"/>
      <c r="T5932" s="2"/>
      <c r="U5932" s="9"/>
    </row>
    <row r="5933" spans="2:21" x14ac:dyDescent="0.35">
      <c r="B5933" s="9"/>
      <c r="C5933" s="2"/>
      <c r="D5933" s="2"/>
      <c r="I5933" s="9"/>
      <c r="J5933" s="2"/>
      <c r="L5933" s="9"/>
      <c r="M5933" s="2"/>
      <c r="N5933" s="9"/>
      <c r="P5933" s="3">
        <v>-389.99516885999998</v>
      </c>
      <c r="S5933" s="9"/>
      <c r="T5933" s="2"/>
      <c r="U5933" s="9"/>
    </row>
    <row r="5934" spans="2:21" x14ac:dyDescent="0.35">
      <c r="B5934" s="9"/>
      <c r="C5934" s="2"/>
      <c r="D5934" s="2"/>
      <c r="I5934" s="9"/>
      <c r="J5934" s="2"/>
      <c r="L5934" s="9"/>
      <c r="M5934" s="2"/>
      <c r="N5934" s="9"/>
      <c r="P5934" s="3">
        <v>-525.02438886000004</v>
      </c>
      <c r="S5934" s="9"/>
      <c r="T5934" s="2"/>
      <c r="U5934" s="9"/>
    </row>
    <row r="5935" spans="2:21" x14ac:dyDescent="0.35">
      <c r="B5935" s="9"/>
      <c r="C5935" s="2"/>
      <c r="D5935" s="2"/>
      <c r="I5935" s="9"/>
      <c r="J5935" s="2"/>
      <c r="L5935" s="9"/>
      <c r="M5935" s="2"/>
      <c r="N5935" s="9"/>
      <c r="P5935" s="3">
        <v>-648.17814885999996</v>
      </c>
      <c r="S5935" s="9"/>
      <c r="T5935" s="2"/>
      <c r="U5935" s="9"/>
    </row>
    <row r="5936" spans="2:21" x14ac:dyDescent="0.35">
      <c r="B5936" s="9"/>
      <c r="C5936" s="2"/>
      <c r="D5936" s="2"/>
      <c r="I5936" s="9"/>
      <c r="J5936" s="2"/>
      <c r="L5936" s="9"/>
      <c r="M5936" s="2"/>
      <c r="N5936" s="9"/>
      <c r="P5936" s="3">
        <v>-681.72564885999998</v>
      </c>
      <c r="S5936" s="9"/>
      <c r="T5936" s="2"/>
      <c r="U5936" s="9"/>
    </row>
    <row r="5937" spans="2:21" x14ac:dyDescent="0.35">
      <c r="B5937" s="9"/>
      <c r="C5937" s="2"/>
      <c r="D5937" s="2"/>
      <c r="I5937" s="9"/>
      <c r="J5937" s="2"/>
      <c r="L5937" s="9"/>
      <c r="M5937" s="2"/>
      <c r="N5937" s="9"/>
      <c r="P5937" s="3">
        <v>-743.88685885999996</v>
      </c>
      <c r="S5937" s="9"/>
      <c r="T5937" s="2"/>
      <c r="U5937" s="9"/>
    </row>
    <row r="5938" spans="2:21" x14ac:dyDescent="0.35">
      <c r="B5938" s="9"/>
      <c r="C5938" s="2"/>
      <c r="D5938" s="2"/>
      <c r="I5938" s="9"/>
      <c r="J5938" s="2"/>
      <c r="L5938" s="9"/>
      <c r="M5938" s="2"/>
      <c r="N5938" s="9"/>
      <c r="P5938" s="3">
        <v>-699.61551885999995</v>
      </c>
      <c r="S5938" s="9"/>
      <c r="T5938" s="2"/>
      <c r="U5938" s="9"/>
    </row>
    <row r="5939" spans="2:21" x14ac:dyDescent="0.35">
      <c r="B5939" s="9"/>
      <c r="C5939" s="2"/>
      <c r="D5939" s="2"/>
      <c r="I5939" s="9"/>
      <c r="J5939" s="2"/>
      <c r="L5939" s="9"/>
      <c r="M5939" s="2"/>
      <c r="N5939" s="9"/>
      <c r="P5939" s="3">
        <v>-579.38421238000001</v>
      </c>
      <c r="S5939" s="9"/>
      <c r="T5939" s="2"/>
      <c r="U5939" s="9"/>
    </row>
    <row r="5940" spans="2:21" x14ac:dyDescent="0.35">
      <c r="B5940" s="9"/>
      <c r="C5940" s="2"/>
      <c r="D5940" s="2"/>
      <c r="I5940" s="9"/>
      <c r="J5940" s="2"/>
      <c r="L5940" s="9"/>
      <c r="M5940" s="2"/>
      <c r="N5940" s="9"/>
      <c r="P5940" s="3">
        <v>-434.22125590000002</v>
      </c>
      <c r="S5940" s="9"/>
      <c r="T5940" s="2"/>
      <c r="U5940" s="9"/>
    </row>
    <row r="5941" spans="2:21" x14ac:dyDescent="0.35">
      <c r="B5941" s="9"/>
      <c r="C5941" s="2"/>
      <c r="D5941" s="2"/>
      <c r="I5941" s="9"/>
      <c r="J5941" s="2"/>
      <c r="L5941" s="9"/>
      <c r="M5941" s="2"/>
      <c r="N5941" s="9"/>
      <c r="P5941" s="3">
        <v>-366.16175344999999</v>
      </c>
      <c r="S5941" s="9"/>
      <c r="T5941" s="2"/>
      <c r="U5941" s="9"/>
    </row>
    <row r="5942" spans="2:21" x14ac:dyDescent="0.35">
      <c r="B5942" s="9"/>
      <c r="C5942" s="2"/>
      <c r="D5942" s="2"/>
      <c r="I5942" s="9"/>
      <c r="J5942" s="2"/>
      <c r="L5942" s="9"/>
      <c r="M5942" s="2"/>
      <c r="N5942" s="9"/>
      <c r="P5942" s="3">
        <v>-800.92175344999998</v>
      </c>
      <c r="S5942" s="9"/>
      <c r="T5942" s="2"/>
      <c r="U5942" s="9"/>
    </row>
    <row r="5943" spans="2:21" x14ac:dyDescent="0.35">
      <c r="B5943" s="9"/>
      <c r="C5943" s="2"/>
      <c r="D5943" s="2"/>
      <c r="I5943" s="9"/>
      <c r="J5943" s="2"/>
      <c r="L5943" s="9"/>
      <c r="M5943" s="2"/>
      <c r="N5943" s="9"/>
      <c r="P5943" s="3">
        <v>-1235.6817534500001</v>
      </c>
      <c r="S5943" s="9"/>
      <c r="T5943" s="2"/>
      <c r="U5943" s="9"/>
    </row>
    <row r="5944" spans="2:21" x14ac:dyDescent="0.35">
      <c r="B5944" s="9"/>
      <c r="C5944" s="2"/>
      <c r="D5944" s="2"/>
      <c r="I5944" s="9"/>
      <c r="J5944" s="2"/>
      <c r="L5944" s="9"/>
      <c r="M5944" s="2"/>
      <c r="N5944" s="9"/>
      <c r="P5944" s="3">
        <v>-1670.4417534500001</v>
      </c>
      <c r="S5944" s="9"/>
      <c r="T5944" s="2"/>
      <c r="U5944" s="9"/>
    </row>
    <row r="5945" spans="2:21" x14ac:dyDescent="0.35">
      <c r="B5945" s="9"/>
      <c r="C5945" s="2"/>
      <c r="D5945" s="2"/>
      <c r="I5945" s="9"/>
      <c r="J5945" s="2"/>
      <c r="L5945" s="9"/>
      <c r="M5945" s="2"/>
      <c r="N5945" s="9"/>
      <c r="P5945" s="3">
        <v>-2099.2078766</v>
      </c>
      <c r="S5945" s="9"/>
      <c r="T5945" s="2"/>
      <c r="U5945" s="9"/>
    </row>
    <row r="5946" spans="2:21" x14ac:dyDescent="0.35">
      <c r="B5946" s="9"/>
      <c r="C5946" s="2"/>
      <c r="D5946" s="2"/>
      <c r="I5946" s="9"/>
      <c r="J5946" s="2"/>
      <c r="L5946" s="9"/>
      <c r="M5946" s="2"/>
      <c r="N5946" s="9"/>
      <c r="P5946" s="3">
        <v>-1664.4478766</v>
      </c>
      <c r="S5946" s="9"/>
      <c r="T5946" s="2"/>
      <c r="U5946" s="9"/>
    </row>
    <row r="5947" spans="2:21" x14ac:dyDescent="0.35">
      <c r="B5947" s="9"/>
      <c r="C5947" s="2"/>
      <c r="D5947" s="2"/>
      <c r="I5947" s="9"/>
      <c r="J5947" s="2"/>
      <c r="L5947" s="9"/>
      <c r="M5947" s="2"/>
      <c r="N5947" s="9"/>
      <c r="P5947" s="3">
        <v>-1229.6878766</v>
      </c>
      <c r="S5947" s="9"/>
      <c r="T5947" s="2"/>
      <c r="U5947" s="9"/>
    </row>
    <row r="5948" spans="2:21" x14ac:dyDescent="0.35">
      <c r="B5948" s="9"/>
      <c r="C5948" s="2"/>
      <c r="D5948" s="2"/>
      <c r="I5948" s="9"/>
      <c r="J5948" s="2"/>
      <c r="L5948" s="9"/>
      <c r="M5948" s="2"/>
      <c r="N5948" s="9"/>
      <c r="P5948" s="3">
        <v>-1555.889492</v>
      </c>
      <c r="S5948" s="9"/>
      <c r="T5948" s="2"/>
      <c r="U5948" s="9"/>
    </row>
    <row r="5949" spans="2:21" x14ac:dyDescent="0.35">
      <c r="B5949" s="9"/>
      <c r="C5949" s="2"/>
      <c r="D5949" s="2"/>
      <c r="I5949" s="9"/>
      <c r="J5949" s="2"/>
      <c r="L5949" s="9"/>
      <c r="M5949" s="2"/>
      <c r="N5949" s="9"/>
      <c r="P5949" s="3">
        <v>-1990.649492</v>
      </c>
      <c r="S5949" s="9"/>
      <c r="T5949" s="2"/>
      <c r="U5949" s="9"/>
    </row>
    <row r="5950" spans="2:21" x14ac:dyDescent="0.35">
      <c r="B5950" s="9"/>
      <c r="C5950" s="2"/>
      <c r="D5950" s="2"/>
      <c r="I5950" s="9"/>
      <c r="J5950" s="2"/>
      <c r="L5950" s="9"/>
      <c r="M5950" s="2"/>
      <c r="N5950" s="9"/>
      <c r="P5950" s="3">
        <v>-2425.4094919999998</v>
      </c>
      <c r="S5950" s="9"/>
      <c r="T5950" s="2"/>
      <c r="U5950" s="9"/>
    </row>
    <row r="5951" spans="2:21" x14ac:dyDescent="0.35">
      <c r="B5951" s="9"/>
      <c r="C5951" s="2"/>
      <c r="D5951" s="2"/>
      <c r="I5951" s="9"/>
      <c r="J5951" s="2"/>
      <c r="L5951" s="9"/>
      <c r="M5951" s="2"/>
      <c r="N5951" s="9"/>
      <c r="P5951" s="3">
        <v>-2860.169492</v>
      </c>
      <c r="S5951" s="9"/>
      <c r="T5951" s="2"/>
      <c r="U5951" s="9"/>
    </row>
    <row r="5952" spans="2:21" x14ac:dyDescent="0.35">
      <c r="B5952" s="9"/>
      <c r="C5952" s="2"/>
      <c r="D5952" s="2"/>
      <c r="I5952" s="9"/>
      <c r="J5952" s="2"/>
      <c r="L5952" s="9"/>
      <c r="M5952" s="2"/>
      <c r="N5952" s="9"/>
      <c r="P5952" s="3">
        <v>-2618.02301773</v>
      </c>
      <c r="S5952" s="9"/>
      <c r="T5952" s="2"/>
      <c r="U5952" s="9"/>
    </row>
    <row r="5953" spans="2:21" x14ac:dyDescent="0.35">
      <c r="B5953" s="9"/>
      <c r="C5953" s="2"/>
      <c r="D5953" s="2"/>
      <c r="I5953" s="9"/>
      <c r="J5953" s="2"/>
      <c r="L5953" s="9"/>
      <c r="M5953" s="2"/>
      <c r="N5953" s="9"/>
      <c r="P5953" s="3">
        <v>-2183.2630177299998</v>
      </c>
      <c r="S5953" s="9"/>
      <c r="T5953" s="2"/>
      <c r="U5953" s="9"/>
    </row>
    <row r="5954" spans="2:21" x14ac:dyDescent="0.35">
      <c r="B5954" s="9"/>
      <c r="C5954" s="2"/>
      <c r="D5954" s="2"/>
      <c r="I5954" s="9"/>
      <c r="J5954" s="2"/>
      <c r="L5954" s="9"/>
      <c r="M5954" s="2"/>
      <c r="N5954" s="9"/>
      <c r="P5954" s="3">
        <v>-2229.9499782299999</v>
      </c>
      <c r="S5954" s="9"/>
      <c r="T5954" s="2"/>
      <c r="U5954" s="9"/>
    </row>
    <row r="5955" spans="2:21" x14ac:dyDescent="0.35">
      <c r="B5955" s="9"/>
      <c r="C5955" s="2"/>
      <c r="D5955" s="2"/>
      <c r="I5955" s="9"/>
      <c r="J5955" s="2"/>
      <c r="L5955" s="9"/>
      <c r="M5955" s="2"/>
      <c r="N5955" s="9"/>
      <c r="P5955" s="3">
        <v>-2325.1355686000002</v>
      </c>
      <c r="S5955" s="9"/>
      <c r="T5955" s="2"/>
      <c r="U5955" s="9"/>
    </row>
    <row r="5956" spans="2:21" x14ac:dyDescent="0.35">
      <c r="B5956" s="9"/>
      <c r="C5956" s="2"/>
      <c r="D5956" s="2"/>
      <c r="I5956" s="9"/>
      <c r="J5956" s="2"/>
      <c r="L5956" s="9"/>
      <c r="M5956" s="2"/>
      <c r="N5956" s="9"/>
      <c r="P5956" s="3">
        <v>-2155.4655488600001</v>
      </c>
      <c r="S5956" s="9"/>
      <c r="T5956" s="2"/>
      <c r="U5956" s="9"/>
    </row>
    <row r="5957" spans="2:21" x14ac:dyDescent="0.35">
      <c r="B5957" s="9"/>
      <c r="C5957" s="2"/>
      <c r="D5957" s="2"/>
      <c r="I5957" s="9"/>
      <c r="J5957" s="2"/>
      <c r="L5957" s="9"/>
      <c r="M5957" s="2"/>
      <c r="N5957" s="9"/>
      <c r="P5957" s="3">
        <v>-2259.83412886</v>
      </c>
      <c r="S5957" s="9"/>
      <c r="T5957" s="2"/>
      <c r="U5957" s="9"/>
    </row>
    <row r="5958" spans="2:21" x14ac:dyDescent="0.35">
      <c r="B5958" s="9"/>
      <c r="C5958" s="2"/>
      <c r="D5958" s="2"/>
      <c r="I5958" s="9"/>
      <c r="J5958" s="2"/>
      <c r="L5958" s="9"/>
      <c r="M5958" s="2"/>
      <c r="N5958" s="9"/>
      <c r="P5958" s="3">
        <v>-2346.7601388600001</v>
      </c>
      <c r="S5958" s="9"/>
      <c r="T5958" s="2"/>
      <c r="U5958" s="9"/>
    </row>
    <row r="5959" spans="2:21" x14ac:dyDescent="0.35">
      <c r="B5959" s="9"/>
      <c r="C5959" s="2"/>
      <c r="D5959" s="2"/>
      <c r="I5959" s="9"/>
      <c r="J5959" s="2"/>
      <c r="L5959" s="9"/>
      <c r="M5959" s="2"/>
      <c r="N5959" s="9"/>
      <c r="P5959" s="3">
        <v>-2488.3036088600002</v>
      </c>
      <c r="S5959" s="9"/>
      <c r="T5959" s="2"/>
      <c r="U5959" s="9"/>
    </row>
    <row r="5960" spans="2:21" x14ac:dyDescent="0.35">
      <c r="B5960" s="9"/>
      <c r="C5960" s="2"/>
      <c r="D5960" s="2"/>
      <c r="I5960" s="9"/>
      <c r="J5960" s="2"/>
      <c r="L5960" s="9"/>
      <c r="M5960" s="2"/>
      <c r="N5960" s="9"/>
      <c r="P5960" s="3">
        <v>-2633.4510388600002</v>
      </c>
      <c r="S5960" s="9"/>
      <c r="T5960" s="2"/>
      <c r="U5960" s="9"/>
    </row>
    <row r="5961" spans="2:21" x14ac:dyDescent="0.35">
      <c r="B5961" s="9"/>
      <c r="C5961" s="2"/>
      <c r="D5961" s="2"/>
      <c r="I5961" s="9"/>
      <c r="J5961" s="2"/>
      <c r="L5961" s="9"/>
      <c r="M5961" s="2"/>
      <c r="N5961" s="9"/>
      <c r="P5961" s="3">
        <v>-2643.3938788599999</v>
      </c>
      <c r="S5961" s="9"/>
      <c r="T5961" s="2"/>
      <c r="U5961" s="9"/>
    </row>
    <row r="5962" spans="2:21" x14ac:dyDescent="0.35">
      <c r="B5962" s="9"/>
      <c r="C5962" s="2"/>
      <c r="D5962" s="2"/>
      <c r="I5962" s="9"/>
      <c r="J5962" s="2"/>
      <c r="L5962" s="9"/>
      <c r="M5962" s="2"/>
      <c r="N5962" s="9"/>
      <c r="P5962" s="3">
        <v>-2601.02817886</v>
      </c>
      <c r="S5962" s="9"/>
      <c r="T5962" s="2"/>
      <c r="U5962" s="9"/>
    </row>
    <row r="5963" spans="2:21" x14ac:dyDescent="0.35">
      <c r="B5963" s="9"/>
      <c r="C5963" s="2"/>
      <c r="D5963" s="2"/>
      <c r="I5963" s="9"/>
      <c r="J5963" s="2"/>
      <c r="L5963" s="9"/>
      <c r="M5963" s="2"/>
      <c r="N5963" s="9"/>
      <c r="P5963" s="3">
        <v>-2422.82821238</v>
      </c>
      <c r="S5963" s="9"/>
      <c r="T5963" s="2"/>
      <c r="U5963" s="9"/>
    </row>
    <row r="5964" spans="2:21" x14ac:dyDescent="0.35">
      <c r="B5964" s="9"/>
      <c r="C5964" s="2"/>
      <c r="D5964" s="2"/>
      <c r="I5964" s="9"/>
      <c r="J5964" s="2"/>
      <c r="L5964" s="9"/>
      <c r="M5964" s="2"/>
      <c r="N5964" s="9"/>
      <c r="P5964" s="3">
        <v>-2162.3882358999999</v>
      </c>
      <c r="S5964" s="9"/>
      <c r="T5964" s="2"/>
      <c r="U5964" s="9"/>
    </row>
    <row r="5965" spans="2:21" x14ac:dyDescent="0.35">
      <c r="B5965" s="9"/>
      <c r="C5965" s="2"/>
      <c r="D5965" s="2"/>
      <c r="I5965" s="9"/>
      <c r="J5965" s="2"/>
      <c r="L5965" s="9"/>
      <c r="M5965" s="2"/>
      <c r="N5965" s="9"/>
      <c r="P5965" s="3">
        <v>-2078.33811345</v>
      </c>
      <c r="S5965" s="9"/>
      <c r="T5965" s="2"/>
      <c r="U5965" s="9"/>
    </row>
    <row r="5966" spans="2:21" x14ac:dyDescent="0.35">
      <c r="B5966" s="9"/>
      <c r="C5966" s="2"/>
      <c r="D5966" s="2"/>
      <c r="I5966" s="9"/>
      <c r="J5966" s="2"/>
      <c r="L5966" s="9"/>
      <c r="M5966" s="2"/>
      <c r="N5966" s="9"/>
      <c r="P5966" s="3">
        <v>-2513.0981134499998</v>
      </c>
      <c r="S5966" s="9"/>
      <c r="T5966" s="2"/>
      <c r="U5966" s="9"/>
    </row>
    <row r="5967" spans="2:21" x14ac:dyDescent="0.35">
      <c r="B5967" s="9"/>
      <c r="C5967" s="2"/>
      <c r="D5967" s="2"/>
      <c r="I5967" s="9"/>
      <c r="J5967" s="2"/>
      <c r="L5967" s="9"/>
      <c r="M5967" s="2"/>
      <c r="N5967" s="9"/>
      <c r="P5967" s="3">
        <v>-2860.169492</v>
      </c>
      <c r="S5967" s="9"/>
      <c r="T5967" s="2"/>
      <c r="U5967" s="9"/>
    </row>
    <row r="5968" spans="2:21" x14ac:dyDescent="0.35">
      <c r="B5968" s="9"/>
      <c r="C5968" s="2"/>
      <c r="D5968" s="2"/>
      <c r="I5968" s="9"/>
      <c r="J5968" s="2"/>
      <c r="L5968" s="9"/>
      <c r="M5968" s="2"/>
      <c r="N5968" s="9"/>
      <c r="P5968" s="3">
        <v>-2425.4094919999998</v>
      </c>
      <c r="S5968" s="9"/>
      <c r="T5968" s="2"/>
      <c r="U5968" s="9"/>
    </row>
    <row r="5969" spans="2:21" x14ac:dyDescent="0.35">
      <c r="B5969" s="9"/>
      <c r="C5969" s="2"/>
      <c r="D5969" s="2"/>
      <c r="I5969" s="9"/>
      <c r="J5969" s="2"/>
      <c r="L5969" s="9"/>
      <c r="M5969" s="2"/>
      <c r="N5969" s="9"/>
      <c r="P5969" s="3">
        <v>-1990.649492</v>
      </c>
      <c r="S5969" s="9"/>
      <c r="T5969" s="2"/>
      <c r="U5969" s="9"/>
    </row>
    <row r="5970" spans="2:21" x14ac:dyDescent="0.35">
      <c r="B5970" s="9"/>
      <c r="C5970" s="2"/>
      <c r="D5970" s="2"/>
      <c r="I5970" s="9"/>
      <c r="J5970" s="2"/>
      <c r="L5970" s="9"/>
      <c r="M5970" s="2"/>
      <c r="N5970" s="9"/>
      <c r="P5970" s="3">
        <v>-1555.889492</v>
      </c>
      <c r="S5970" s="9"/>
      <c r="T5970" s="2"/>
      <c r="U5970" s="9"/>
    </row>
    <row r="5971" spans="2:21" x14ac:dyDescent="0.35">
      <c r="B5971" s="9"/>
      <c r="C5971" s="2"/>
      <c r="D5971" s="2"/>
      <c r="I5971" s="9"/>
      <c r="J5971" s="2"/>
      <c r="L5971" s="9"/>
      <c r="M5971" s="2"/>
      <c r="N5971" s="9"/>
      <c r="P5971" s="3">
        <v>-1121.129492</v>
      </c>
      <c r="S5971" s="9"/>
      <c r="T5971" s="2"/>
      <c r="U5971" s="9"/>
    </row>
    <row r="5972" spans="2:21" x14ac:dyDescent="0.35">
      <c r="B5972" s="9"/>
      <c r="C5972" s="2"/>
      <c r="D5972" s="2"/>
      <c r="I5972" s="9"/>
      <c r="J5972" s="2"/>
      <c r="L5972" s="9"/>
      <c r="M5972" s="2"/>
      <c r="N5972" s="9"/>
      <c r="P5972" s="3">
        <v>-952.01966881999999</v>
      </c>
      <c r="S5972" s="9"/>
      <c r="T5972" s="2"/>
      <c r="U5972" s="9"/>
    </row>
    <row r="5973" spans="2:21" x14ac:dyDescent="0.35">
      <c r="B5973" s="9"/>
      <c r="C5973" s="2"/>
      <c r="D5973" s="2"/>
      <c r="I5973" s="9"/>
      <c r="J5973" s="2"/>
      <c r="L5973" s="9"/>
      <c r="M5973" s="2"/>
      <c r="N5973" s="9"/>
      <c r="P5973" s="3">
        <v>-1386.7796688200001</v>
      </c>
      <c r="S5973" s="9"/>
      <c r="T5973" s="2"/>
      <c r="U5973" s="9"/>
    </row>
    <row r="5974" spans="2:21" x14ac:dyDescent="0.35">
      <c r="B5974" s="9"/>
      <c r="C5974" s="2"/>
      <c r="D5974" s="2"/>
      <c r="I5974" s="9"/>
      <c r="J5974" s="2"/>
      <c r="L5974" s="9"/>
      <c r="M5974" s="2"/>
      <c r="N5974" s="9"/>
      <c r="P5974" s="3">
        <v>-1821.5396688200001</v>
      </c>
      <c r="S5974" s="9"/>
      <c r="T5974" s="2"/>
      <c r="U5974" s="9"/>
    </row>
    <row r="5975" spans="2:21" x14ac:dyDescent="0.35">
      <c r="B5975" s="9"/>
      <c r="C5975" s="2"/>
      <c r="D5975" s="2"/>
      <c r="I5975" s="9"/>
      <c r="J5975" s="2"/>
      <c r="L5975" s="9"/>
      <c r="M5975" s="2"/>
      <c r="N5975" s="9"/>
      <c r="P5975" s="3">
        <v>-2256.2996688200001</v>
      </c>
      <c r="S5975" s="9"/>
      <c r="T5975" s="2"/>
      <c r="U5975" s="9"/>
    </row>
    <row r="5976" spans="2:21" x14ac:dyDescent="0.35">
      <c r="B5976" s="9"/>
      <c r="C5976" s="2"/>
      <c r="D5976" s="2"/>
      <c r="I5976" s="9"/>
      <c r="J5976" s="2"/>
      <c r="L5976" s="9"/>
      <c r="M5976" s="2"/>
      <c r="N5976" s="9"/>
      <c r="P5976" s="3">
        <v>-2691.0596688199998</v>
      </c>
      <c r="S5976" s="9"/>
      <c r="T5976" s="2"/>
      <c r="U5976" s="9"/>
    </row>
    <row r="5977" spans="2:21" x14ac:dyDescent="0.35">
      <c r="B5977" s="9"/>
      <c r="C5977" s="2"/>
      <c r="D5977" s="2"/>
      <c r="I5977" s="9"/>
      <c r="J5977" s="2"/>
      <c r="L5977" s="9"/>
      <c r="M5977" s="2"/>
      <c r="N5977" s="9"/>
      <c r="P5977" s="3">
        <v>-2860.169492</v>
      </c>
      <c r="S5977" s="9"/>
      <c r="T5977" s="2"/>
      <c r="U5977" s="9"/>
    </row>
    <row r="5978" spans="2:21" x14ac:dyDescent="0.35">
      <c r="B5978" s="9"/>
      <c r="C5978" s="2"/>
      <c r="D5978" s="2"/>
      <c r="I5978" s="9"/>
      <c r="J5978" s="2"/>
      <c r="L5978" s="9"/>
      <c r="M5978" s="2"/>
      <c r="N5978" s="9"/>
      <c r="P5978" s="3">
        <v>-2860.169492</v>
      </c>
      <c r="S5978" s="9"/>
      <c r="T5978" s="2"/>
      <c r="U5978" s="9"/>
    </row>
    <row r="5979" spans="2:21" x14ac:dyDescent="0.35">
      <c r="B5979" s="9"/>
      <c r="C5979" s="2"/>
      <c r="D5979" s="2"/>
      <c r="I5979" s="9"/>
      <c r="J5979" s="2"/>
      <c r="L5979" s="9"/>
      <c r="M5979" s="2"/>
      <c r="N5979" s="9"/>
      <c r="P5979" s="3">
        <v>-2860.169492</v>
      </c>
      <c r="S5979" s="9"/>
      <c r="T5979" s="2"/>
      <c r="U5979" s="9"/>
    </row>
    <row r="5980" spans="2:21" x14ac:dyDescent="0.35">
      <c r="B5980" s="9"/>
      <c r="C5980" s="2"/>
      <c r="D5980" s="2"/>
      <c r="I5980" s="9"/>
      <c r="J5980" s="2"/>
      <c r="L5980" s="9"/>
      <c r="M5980" s="2"/>
      <c r="N5980" s="9"/>
      <c r="P5980" s="3">
        <v>-2860.169492</v>
      </c>
      <c r="S5980" s="9"/>
      <c r="T5980" s="2"/>
      <c r="U5980" s="9"/>
    </row>
    <row r="5981" spans="2:21" x14ac:dyDescent="0.35">
      <c r="B5981" s="9"/>
      <c r="C5981" s="2"/>
      <c r="D5981" s="2"/>
      <c r="I5981" s="9"/>
      <c r="J5981" s="2"/>
      <c r="L5981" s="9"/>
      <c r="M5981" s="2"/>
      <c r="N5981" s="9"/>
      <c r="P5981" s="3">
        <v>-2860.169492</v>
      </c>
      <c r="S5981" s="9"/>
      <c r="T5981" s="2"/>
      <c r="U5981" s="9"/>
    </row>
    <row r="5982" spans="2:21" x14ac:dyDescent="0.35">
      <c r="B5982" s="9"/>
      <c r="C5982" s="2"/>
      <c r="D5982" s="2"/>
      <c r="I5982" s="9"/>
      <c r="J5982" s="2"/>
      <c r="L5982" s="9"/>
      <c r="M5982" s="2"/>
      <c r="N5982" s="9"/>
      <c r="P5982" s="3">
        <v>-2860.169492</v>
      </c>
      <c r="S5982" s="9"/>
      <c r="T5982" s="2"/>
      <c r="U5982" s="9"/>
    </row>
    <row r="5983" spans="2:21" x14ac:dyDescent="0.35">
      <c r="B5983" s="9"/>
      <c r="C5983" s="2"/>
      <c r="D5983" s="2"/>
      <c r="I5983" s="9"/>
      <c r="J5983" s="2"/>
      <c r="L5983" s="9"/>
      <c r="M5983" s="2"/>
      <c r="N5983" s="9"/>
      <c r="P5983" s="3">
        <v>-2860.169492</v>
      </c>
      <c r="S5983" s="9"/>
      <c r="T5983" s="2"/>
      <c r="U5983" s="9"/>
    </row>
    <row r="5984" spans="2:21" x14ac:dyDescent="0.35">
      <c r="B5984" s="9"/>
      <c r="C5984" s="2"/>
      <c r="D5984" s="2"/>
      <c r="I5984" s="9"/>
      <c r="J5984" s="2"/>
      <c r="L5984" s="9"/>
      <c r="M5984" s="2"/>
      <c r="N5984" s="9"/>
      <c r="P5984" s="3">
        <v>-2860.169492</v>
      </c>
      <c r="S5984" s="9"/>
      <c r="T5984" s="2"/>
      <c r="U5984" s="9"/>
    </row>
    <row r="5985" spans="2:21" x14ac:dyDescent="0.35">
      <c r="B5985" s="9"/>
      <c r="C5985" s="2"/>
      <c r="D5985" s="2"/>
      <c r="I5985" s="9"/>
      <c r="J5985" s="2"/>
      <c r="L5985" s="9"/>
      <c r="M5985" s="2"/>
      <c r="N5985" s="9"/>
      <c r="P5985" s="3">
        <v>-2860.169492</v>
      </c>
      <c r="S5985" s="9"/>
      <c r="T5985" s="2"/>
      <c r="U5985" s="9"/>
    </row>
    <row r="5986" spans="2:21" x14ac:dyDescent="0.35">
      <c r="B5986" s="9"/>
      <c r="C5986" s="2"/>
      <c r="D5986" s="2"/>
      <c r="I5986" s="9"/>
      <c r="J5986" s="2"/>
      <c r="L5986" s="9"/>
      <c r="M5986" s="2"/>
      <c r="N5986" s="9"/>
      <c r="P5986" s="3">
        <v>-2860.169492</v>
      </c>
      <c r="S5986" s="9"/>
      <c r="T5986" s="2"/>
      <c r="U5986" s="9"/>
    </row>
    <row r="5987" spans="2:21" x14ac:dyDescent="0.35">
      <c r="B5987" s="9"/>
      <c r="C5987" s="2"/>
      <c r="D5987" s="2"/>
      <c r="I5987" s="9"/>
      <c r="J5987" s="2"/>
      <c r="L5987" s="9"/>
      <c r="M5987" s="2"/>
      <c r="N5987" s="9"/>
      <c r="P5987" s="3">
        <v>-2860.169492</v>
      </c>
      <c r="S5987" s="9"/>
      <c r="T5987" s="2"/>
      <c r="U5987" s="9"/>
    </row>
    <row r="5988" spans="2:21" x14ac:dyDescent="0.35">
      <c r="B5988" s="9"/>
      <c r="C5988" s="2"/>
      <c r="D5988" s="2"/>
      <c r="I5988" s="9"/>
      <c r="J5988" s="2"/>
      <c r="L5988" s="9"/>
      <c r="M5988" s="2"/>
      <c r="N5988" s="9"/>
      <c r="P5988" s="3">
        <v>-2789.6611659</v>
      </c>
      <c r="S5988" s="9"/>
      <c r="T5988" s="2"/>
      <c r="U5988" s="9"/>
    </row>
    <row r="5989" spans="2:21" x14ac:dyDescent="0.35">
      <c r="B5989" s="9"/>
      <c r="C5989" s="2"/>
      <c r="D5989" s="2"/>
      <c r="I5989" s="9"/>
      <c r="J5989" s="2"/>
      <c r="L5989" s="9"/>
      <c r="M5989" s="2"/>
      <c r="N5989" s="9"/>
      <c r="P5989" s="3">
        <v>-2594.44918345</v>
      </c>
      <c r="S5989" s="9"/>
      <c r="T5989" s="2"/>
      <c r="U5989" s="9"/>
    </row>
    <row r="5990" spans="2:21" x14ac:dyDescent="0.35">
      <c r="B5990" s="9"/>
      <c r="C5990" s="2"/>
      <c r="D5990" s="2"/>
      <c r="I5990" s="9"/>
      <c r="J5990" s="2"/>
      <c r="L5990" s="9"/>
      <c r="M5990" s="2"/>
      <c r="N5990" s="9"/>
      <c r="P5990" s="3">
        <v>-2860.169492</v>
      </c>
      <c r="S5990" s="9"/>
      <c r="T5990" s="2"/>
      <c r="U5990" s="9"/>
    </row>
    <row r="5991" spans="2:21" x14ac:dyDescent="0.35">
      <c r="B5991" s="9"/>
      <c r="C5991" s="2"/>
      <c r="D5991" s="2"/>
      <c r="I5991" s="9"/>
      <c r="J5991" s="2"/>
      <c r="L5991" s="9"/>
      <c r="M5991" s="2"/>
      <c r="N5991" s="9"/>
      <c r="P5991" s="3">
        <v>-2860.169492</v>
      </c>
      <c r="S5991" s="9"/>
      <c r="T5991" s="2"/>
      <c r="U5991" s="9"/>
    </row>
    <row r="5992" spans="2:21" x14ac:dyDescent="0.35">
      <c r="B5992" s="9"/>
      <c r="C5992" s="2"/>
      <c r="D5992" s="2"/>
      <c r="I5992" s="9"/>
      <c r="J5992" s="2"/>
      <c r="L5992" s="9"/>
      <c r="M5992" s="2"/>
      <c r="N5992" s="9"/>
      <c r="P5992" s="3">
        <v>-2860.169492</v>
      </c>
      <c r="S5992" s="9"/>
      <c r="T5992" s="2"/>
      <c r="U5992" s="9"/>
    </row>
    <row r="5993" spans="2:21" x14ac:dyDescent="0.35">
      <c r="B5993" s="9"/>
      <c r="C5993" s="2"/>
      <c r="D5993" s="2"/>
      <c r="I5993" s="9"/>
      <c r="J5993" s="2"/>
      <c r="L5993" s="9"/>
      <c r="M5993" s="2"/>
      <c r="N5993" s="9"/>
      <c r="P5993" s="3">
        <v>-2788.5219852499999</v>
      </c>
      <c r="S5993" s="9"/>
      <c r="T5993" s="2"/>
      <c r="U5993" s="9"/>
    </row>
    <row r="5994" spans="2:21" x14ac:dyDescent="0.35">
      <c r="B5994" s="9"/>
      <c r="C5994" s="2"/>
      <c r="D5994" s="2"/>
      <c r="I5994" s="9"/>
      <c r="J5994" s="2"/>
      <c r="L5994" s="9"/>
      <c r="M5994" s="2"/>
      <c r="N5994" s="9"/>
      <c r="P5994" s="3">
        <v>-2353.7619852500002</v>
      </c>
      <c r="S5994" s="9"/>
      <c r="T5994" s="2"/>
      <c r="U5994" s="9"/>
    </row>
    <row r="5995" spans="2:21" x14ac:dyDescent="0.35">
      <c r="B5995" s="9"/>
      <c r="C5995" s="2"/>
      <c r="D5995" s="2"/>
      <c r="I5995" s="9"/>
      <c r="J5995" s="2"/>
      <c r="L5995" s="9"/>
      <c r="M5995" s="2"/>
      <c r="N5995" s="9"/>
      <c r="P5995" s="3">
        <v>-2122.3695176000001</v>
      </c>
      <c r="S5995" s="9"/>
      <c r="T5995" s="2"/>
      <c r="U5995" s="9"/>
    </row>
    <row r="5996" spans="2:21" x14ac:dyDescent="0.35">
      <c r="B5996" s="9"/>
      <c r="C5996" s="2"/>
      <c r="D5996" s="2"/>
      <c r="I5996" s="9"/>
      <c r="J5996" s="2"/>
      <c r="L5996" s="9"/>
      <c r="M5996" s="2"/>
      <c r="N5996" s="9"/>
      <c r="P5996" s="3">
        <v>-2557.1295175999999</v>
      </c>
      <c r="S5996" s="9"/>
      <c r="T5996" s="2"/>
      <c r="U5996" s="9"/>
    </row>
    <row r="5997" spans="2:21" x14ac:dyDescent="0.35">
      <c r="B5997" s="9"/>
      <c r="C5997" s="2"/>
      <c r="D5997" s="2"/>
      <c r="I5997" s="9"/>
      <c r="J5997" s="2"/>
      <c r="L5997" s="9"/>
      <c r="M5997" s="2"/>
      <c r="N5997" s="9"/>
      <c r="P5997" s="3">
        <v>-2860.169492</v>
      </c>
      <c r="S5997" s="9"/>
      <c r="T5997" s="2"/>
      <c r="U5997" s="9"/>
    </row>
    <row r="5998" spans="2:21" x14ac:dyDescent="0.35">
      <c r="B5998" s="9"/>
      <c r="C5998" s="2"/>
      <c r="D5998" s="2"/>
      <c r="I5998" s="9"/>
      <c r="J5998" s="2"/>
      <c r="L5998" s="9"/>
      <c r="M5998" s="2"/>
      <c r="N5998" s="9"/>
      <c r="P5998" s="3">
        <v>-2860.169492</v>
      </c>
      <c r="S5998" s="9"/>
      <c r="T5998" s="2"/>
      <c r="U5998" s="9"/>
    </row>
    <row r="5999" spans="2:21" x14ac:dyDescent="0.35">
      <c r="B5999" s="9"/>
      <c r="C5999" s="2"/>
      <c r="D5999" s="2"/>
      <c r="I5999" s="9"/>
      <c r="J5999" s="2"/>
      <c r="L5999" s="9"/>
      <c r="M5999" s="2"/>
      <c r="N5999" s="9"/>
      <c r="P5999" s="3">
        <v>-2860.169492</v>
      </c>
      <c r="S5999" s="9"/>
      <c r="T5999" s="2"/>
      <c r="U5999" s="9"/>
    </row>
    <row r="6000" spans="2:21" x14ac:dyDescent="0.35">
      <c r="B6000" s="9"/>
      <c r="C6000" s="2"/>
      <c r="D6000" s="2"/>
      <c r="I6000" s="9"/>
      <c r="J6000" s="2"/>
      <c r="L6000" s="9"/>
      <c r="M6000" s="2"/>
      <c r="N6000" s="9"/>
      <c r="P6000" s="3">
        <v>-2860.169492</v>
      </c>
      <c r="S6000" s="9"/>
      <c r="T6000" s="2"/>
      <c r="U6000" s="9"/>
    </row>
    <row r="6001" spans="2:21" x14ac:dyDescent="0.35">
      <c r="B6001" s="9"/>
      <c r="C6001" s="2"/>
      <c r="D6001" s="2"/>
      <c r="I6001" s="9"/>
      <c r="J6001" s="2"/>
      <c r="L6001" s="9"/>
      <c r="M6001" s="2"/>
      <c r="N6001" s="9"/>
      <c r="P6001" s="3">
        <v>-2860.169492</v>
      </c>
      <c r="S6001" s="9"/>
      <c r="T6001" s="2"/>
      <c r="U6001" s="9"/>
    </row>
    <row r="6002" spans="2:21" x14ac:dyDescent="0.35">
      <c r="B6002" s="9"/>
      <c r="C6002" s="2"/>
      <c r="D6002" s="2"/>
      <c r="I6002" s="9"/>
      <c r="J6002" s="2"/>
      <c r="L6002" s="9"/>
      <c r="M6002" s="2"/>
      <c r="N6002" s="9"/>
      <c r="P6002" s="3">
        <v>-2860.169492</v>
      </c>
      <c r="S6002" s="9"/>
      <c r="T6002" s="2"/>
      <c r="U6002" s="9"/>
    </row>
    <row r="6003" spans="2:21" x14ac:dyDescent="0.35">
      <c r="B6003" s="9"/>
      <c r="C6003" s="2"/>
      <c r="D6003" s="2"/>
      <c r="I6003" s="9"/>
      <c r="J6003" s="2"/>
      <c r="L6003" s="9"/>
      <c r="M6003" s="2"/>
      <c r="N6003" s="9"/>
      <c r="P6003" s="3">
        <v>-2860.169492</v>
      </c>
      <c r="S6003" s="9"/>
      <c r="T6003" s="2"/>
      <c r="U6003" s="9"/>
    </row>
    <row r="6004" spans="2:21" x14ac:dyDescent="0.35">
      <c r="B6004" s="9"/>
      <c r="C6004" s="2"/>
      <c r="D6004" s="2"/>
      <c r="I6004" s="9"/>
      <c r="J6004" s="2"/>
      <c r="L6004" s="9"/>
      <c r="M6004" s="2"/>
      <c r="N6004" s="9"/>
      <c r="P6004" s="3">
        <v>-2860.169492</v>
      </c>
      <c r="S6004" s="9"/>
      <c r="T6004" s="2"/>
      <c r="U6004" s="9"/>
    </row>
    <row r="6005" spans="2:21" x14ac:dyDescent="0.35">
      <c r="B6005" s="9"/>
      <c r="C6005" s="2"/>
      <c r="D6005" s="2"/>
      <c r="I6005" s="9"/>
      <c r="J6005" s="2"/>
      <c r="L6005" s="9"/>
      <c r="M6005" s="2"/>
      <c r="N6005" s="9"/>
      <c r="P6005" s="3">
        <v>-2701.9170488599998</v>
      </c>
      <c r="S6005" s="9"/>
      <c r="T6005" s="2"/>
      <c r="U6005" s="9"/>
    </row>
    <row r="6006" spans="2:21" x14ac:dyDescent="0.35">
      <c r="B6006" s="9"/>
      <c r="C6006" s="2"/>
      <c r="D6006" s="2"/>
      <c r="I6006" s="9"/>
      <c r="J6006" s="2"/>
      <c r="L6006" s="9"/>
      <c r="M6006" s="2"/>
      <c r="N6006" s="9"/>
      <c r="P6006" s="3">
        <v>-2267.15704886</v>
      </c>
      <c r="S6006" s="9"/>
      <c r="T6006" s="2"/>
      <c r="U6006" s="9"/>
    </row>
    <row r="6007" spans="2:21" x14ac:dyDescent="0.35">
      <c r="B6007" s="9"/>
      <c r="C6007" s="2"/>
      <c r="D6007" s="2"/>
      <c r="I6007" s="9"/>
      <c r="J6007" s="2"/>
      <c r="L6007" s="9"/>
      <c r="M6007" s="2"/>
      <c r="N6007" s="9"/>
      <c r="P6007" s="3">
        <v>-2144.5851783899998</v>
      </c>
      <c r="S6007" s="9"/>
      <c r="T6007" s="2"/>
      <c r="U6007" s="9"/>
    </row>
    <row r="6008" spans="2:21" x14ac:dyDescent="0.35">
      <c r="B6008" s="9"/>
      <c r="C6008" s="2"/>
      <c r="D6008" s="2"/>
      <c r="I6008" s="9"/>
      <c r="J6008" s="2"/>
      <c r="L6008" s="9"/>
      <c r="M6008" s="2"/>
      <c r="N6008" s="9"/>
      <c r="P6008" s="3">
        <v>-2087.26332839</v>
      </c>
      <c r="S6008" s="9"/>
      <c r="T6008" s="2"/>
      <c r="U6008" s="9"/>
    </row>
    <row r="6009" spans="2:21" x14ac:dyDescent="0.35">
      <c r="B6009" s="9"/>
      <c r="C6009" s="2"/>
      <c r="D6009" s="2"/>
      <c r="I6009" s="9"/>
      <c r="J6009" s="2"/>
      <c r="L6009" s="9"/>
      <c r="M6009" s="2"/>
      <c r="N6009" s="9"/>
      <c r="P6009" s="3">
        <v>-1951.2869683900001</v>
      </c>
      <c r="S6009" s="9"/>
      <c r="T6009" s="2"/>
      <c r="U6009" s="9"/>
    </row>
    <row r="6010" spans="2:21" x14ac:dyDescent="0.35">
      <c r="B6010" s="9"/>
      <c r="C6010" s="2"/>
      <c r="D6010" s="2"/>
      <c r="I6010" s="9"/>
      <c r="J6010" s="2"/>
      <c r="L6010" s="9"/>
      <c r="M6010" s="2"/>
      <c r="N6010" s="9"/>
      <c r="P6010" s="3">
        <v>-1776.6099283900001</v>
      </c>
      <c r="S6010" s="9"/>
      <c r="T6010" s="2"/>
      <c r="U6010" s="9"/>
    </row>
    <row r="6011" spans="2:21" x14ac:dyDescent="0.35">
      <c r="B6011" s="9"/>
      <c r="C6011" s="2"/>
      <c r="D6011" s="2"/>
      <c r="I6011" s="9"/>
      <c r="J6011" s="2"/>
      <c r="L6011" s="9"/>
      <c r="M6011" s="2"/>
      <c r="N6011" s="9"/>
      <c r="P6011" s="3">
        <v>-1566.38318839</v>
      </c>
      <c r="S6011" s="9"/>
      <c r="T6011" s="2"/>
      <c r="U6011" s="9"/>
    </row>
    <row r="6012" spans="2:21" x14ac:dyDescent="0.35">
      <c r="B6012" s="9"/>
      <c r="C6012" s="2"/>
      <c r="D6012" s="2"/>
      <c r="I6012" s="9"/>
      <c r="J6012" s="2"/>
      <c r="L6012" s="9"/>
      <c r="M6012" s="2"/>
      <c r="N6012" s="9"/>
      <c r="P6012" s="3">
        <v>-1280.22620839</v>
      </c>
      <c r="S6012" s="9"/>
      <c r="T6012" s="2"/>
      <c r="U6012" s="9"/>
    </row>
    <row r="6013" spans="2:21" x14ac:dyDescent="0.35">
      <c r="B6013" s="9"/>
      <c r="C6013" s="2"/>
      <c r="D6013" s="2"/>
      <c r="I6013" s="9"/>
      <c r="J6013" s="2"/>
      <c r="L6013" s="9"/>
      <c r="M6013" s="2"/>
      <c r="N6013" s="9"/>
      <c r="P6013" s="3">
        <v>-1048.0107683900001</v>
      </c>
      <c r="S6013" s="9"/>
      <c r="T6013" s="2"/>
      <c r="U6013" s="9"/>
    </row>
    <row r="6014" spans="2:21" x14ac:dyDescent="0.35">
      <c r="B6014" s="9"/>
      <c r="C6014" s="2"/>
      <c r="D6014" s="2"/>
      <c r="I6014" s="9"/>
      <c r="J6014" s="2"/>
      <c r="L6014" s="9"/>
      <c r="M6014" s="2"/>
      <c r="N6014" s="9"/>
      <c r="P6014" s="3">
        <v>-1473.0778283899999</v>
      </c>
      <c r="S6014" s="9"/>
      <c r="T6014" s="2"/>
      <c r="U6014" s="9"/>
    </row>
    <row r="6015" spans="2:21" x14ac:dyDescent="0.35">
      <c r="B6015" s="9"/>
      <c r="C6015" s="2"/>
      <c r="D6015" s="2"/>
      <c r="I6015" s="9"/>
      <c r="J6015" s="2"/>
      <c r="L6015" s="9"/>
      <c r="M6015" s="2"/>
      <c r="N6015" s="9"/>
      <c r="P6015" s="3">
        <v>-1907.8378283899999</v>
      </c>
      <c r="S6015" s="9"/>
      <c r="T6015" s="2"/>
      <c r="U6015" s="9"/>
    </row>
    <row r="6016" spans="2:21" x14ac:dyDescent="0.35">
      <c r="B6016" s="9"/>
      <c r="C6016" s="2"/>
      <c r="D6016" s="2"/>
      <c r="I6016" s="9"/>
      <c r="J6016" s="2"/>
      <c r="L6016" s="9"/>
      <c r="M6016" s="2"/>
      <c r="N6016" s="9"/>
      <c r="P6016" s="3">
        <v>-2342.5978283899999</v>
      </c>
      <c r="S6016" s="9"/>
      <c r="T6016" s="2"/>
      <c r="U6016" s="9"/>
    </row>
    <row r="6017" spans="2:21" x14ac:dyDescent="0.35">
      <c r="B6017" s="9"/>
      <c r="C6017" s="2"/>
      <c r="D6017" s="2"/>
      <c r="I6017" s="9"/>
      <c r="J6017" s="2"/>
      <c r="L6017" s="9"/>
      <c r="M6017" s="2"/>
      <c r="N6017" s="9"/>
      <c r="P6017" s="3">
        <v>-2777.3578283900001</v>
      </c>
      <c r="S6017" s="9"/>
      <c r="T6017" s="2"/>
      <c r="U6017" s="9"/>
    </row>
    <row r="6018" spans="2:21" x14ac:dyDescent="0.35">
      <c r="B6018" s="9"/>
      <c r="C6018" s="2"/>
      <c r="D6018" s="2"/>
      <c r="I6018" s="9"/>
      <c r="J6018" s="2"/>
      <c r="L6018" s="9"/>
      <c r="M6018" s="2"/>
      <c r="N6018" s="9"/>
      <c r="P6018" s="3">
        <v>-2860.169492</v>
      </c>
      <c r="S6018" s="9"/>
      <c r="T6018" s="2"/>
      <c r="U6018" s="9"/>
    </row>
    <row r="6019" spans="2:21" x14ac:dyDescent="0.35">
      <c r="B6019" s="9"/>
      <c r="C6019" s="2"/>
      <c r="D6019" s="2"/>
      <c r="I6019" s="9"/>
      <c r="J6019" s="2"/>
      <c r="L6019" s="9"/>
      <c r="M6019" s="2"/>
      <c r="N6019" s="9"/>
      <c r="P6019" s="3">
        <v>-2860.169492</v>
      </c>
      <c r="S6019" s="9"/>
      <c r="T6019" s="2"/>
      <c r="U6019" s="9"/>
    </row>
    <row r="6020" spans="2:21" x14ac:dyDescent="0.35">
      <c r="B6020" s="9"/>
      <c r="C6020" s="2"/>
      <c r="D6020" s="2"/>
      <c r="I6020" s="9"/>
      <c r="J6020" s="2"/>
      <c r="L6020" s="9"/>
      <c r="M6020" s="2"/>
      <c r="N6020" s="9"/>
      <c r="P6020" s="3">
        <v>-2860.169492</v>
      </c>
      <c r="S6020" s="9"/>
      <c r="T6020" s="2"/>
      <c r="U6020" s="9"/>
    </row>
    <row r="6021" spans="2:21" x14ac:dyDescent="0.35">
      <c r="B6021" s="9"/>
      <c r="C6021" s="2"/>
      <c r="D6021" s="2"/>
      <c r="I6021" s="9"/>
      <c r="J6021" s="2"/>
      <c r="L6021" s="9"/>
      <c r="M6021" s="2"/>
      <c r="N6021" s="9"/>
      <c r="P6021" s="3">
        <v>-2860.169492</v>
      </c>
      <c r="S6021" s="9"/>
      <c r="T6021" s="2"/>
      <c r="U6021" s="9"/>
    </row>
    <row r="6022" spans="2:21" x14ac:dyDescent="0.35">
      <c r="B6022" s="9"/>
      <c r="C6022" s="2"/>
      <c r="D6022" s="2"/>
      <c r="I6022" s="9"/>
      <c r="J6022" s="2"/>
      <c r="L6022" s="9"/>
      <c r="M6022" s="2"/>
      <c r="N6022" s="9"/>
      <c r="P6022" s="3">
        <v>-2561.9218183900002</v>
      </c>
      <c r="S6022" s="9"/>
      <c r="T6022" s="2"/>
      <c r="U6022" s="9"/>
    </row>
    <row r="6023" spans="2:21" x14ac:dyDescent="0.35">
      <c r="B6023" s="9"/>
      <c r="C6023" s="2"/>
      <c r="D6023" s="2"/>
      <c r="I6023" s="9"/>
      <c r="J6023" s="2"/>
      <c r="L6023" s="9"/>
      <c r="M6023" s="2"/>
      <c r="N6023" s="9"/>
      <c r="P6023" s="3">
        <v>-2127.16181839</v>
      </c>
      <c r="S6023" s="9"/>
      <c r="T6023" s="2"/>
      <c r="U6023" s="9"/>
    </row>
    <row r="6024" spans="2:21" x14ac:dyDescent="0.35">
      <c r="B6024" s="9"/>
      <c r="C6024" s="2"/>
      <c r="D6024" s="2"/>
      <c r="I6024" s="9"/>
      <c r="J6024" s="2"/>
      <c r="L6024" s="9"/>
      <c r="M6024" s="2"/>
      <c r="N6024" s="9"/>
      <c r="P6024" s="3">
        <v>-1692.40181839</v>
      </c>
      <c r="S6024" s="9"/>
      <c r="T6024" s="2"/>
      <c r="U6024" s="9"/>
    </row>
    <row r="6025" spans="2:21" x14ac:dyDescent="0.35">
      <c r="B6025" s="9"/>
      <c r="C6025" s="2"/>
      <c r="D6025" s="2"/>
      <c r="I6025" s="9"/>
      <c r="J6025" s="2"/>
      <c r="L6025" s="9"/>
      <c r="M6025" s="2"/>
      <c r="N6025" s="9"/>
      <c r="P6025" s="3">
        <v>-1257.64181839</v>
      </c>
      <c r="S6025" s="9"/>
      <c r="T6025" s="2"/>
      <c r="U6025" s="9"/>
    </row>
    <row r="6026" spans="2:21" x14ac:dyDescent="0.35">
      <c r="B6026" s="9"/>
      <c r="C6026" s="2"/>
      <c r="D6026" s="2"/>
      <c r="I6026" s="9"/>
      <c r="J6026" s="2"/>
      <c r="L6026" s="9"/>
      <c r="M6026" s="2"/>
      <c r="N6026" s="9"/>
      <c r="P6026" s="3">
        <v>-1114.19128839</v>
      </c>
      <c r="S6026" s="9"/>
      <c r="T6026" s="2"/>
      <c r="U6026" s="9"/>
    </row>
    <row r="6027" spans="2:21" x14ac:dyDescent="0.35">
      <c r="B6027" s="9"/>
      <c r="C6027" s="2"/>
      <c r="D6027" s="2"/>
      <c r="I6027" s="9"/>
      <c r="J6027" s="2"/>
      <c r="L6027" s="9"/>
      <c r="M6027" s="2"/>
      <c r="N6027" s="9"/>
      <c r="P6027" s="3">
        <v>-963.91481839000005</v>
      </c>
      <c r="S6027" s="9"/>
      <c r="T6027" s="2"/>
      <c r="U6027" s="9"/>
    </row>
    <row r="6028" spans="2:21" x14ac:dyDescent="0.35">
      <c r="B6028" s="9"/>
      <c r="C6028" s="2"/>
      <c r="D6028" s="2"/>
      <c r="I6028" s="9"/>
      <c r="J6028" s="2"/>
      <c r="L6028" s="9"/>
      <c r="M6028" s="2"/>
      <c r="N6028" s="9"/>
      <c r="P6028" s="3">
        <v>-604.82024838999996</v>
      </c>
      <c r="S6028" s="9"/>
      <c r="T6028" s="2"/>
      <c r="U6028" s="9"/>
    </row>
    <row r="6029" spans="2:21" x14ac:dyDescent="0.35">
      <c r="B6029" s="9"/>
      <c r="C6029" s="2"/>
      <c r="D6029" s="2"/>
      <c r="I6029" s="9"/>
      <c r="J6029" s="2"/>
      <c r="L6029" s="9"/>
      <c r="M6029" s="2"/>
      <c r="N6029" s="9"/>
      <c r="P6029" s="3">
        <v>-464.19693839000001</v>
      </c>
      <c r="S6029" s="9"/>
      <c r="T6029" s="2"/>
      <c r="U6029" s="9"/>
    </row>
    <row r="6030" spans="2:21" x14ac:dyDescent="0.35">
      <c r="B6030" s="9"/>
      <c r="C6030" s="2"/>
      <c r="D6030" s="2"/>
      <c r="I6030" s="9"/>
      <c r="J6030" s="2"/>
      <c r="L6030" s="9"/>
      <c r="M6030" s="2"/>
      <c r="N6030" s="9"/>
      <c r="P6030" s="3">
        <v>-278.69381838999999</v>
      </c>
      <c r="S6030" s="9"/>
      <c r="T6030" s="2"/>
      <c r="U6030" s="9"/>
    </row>
    <row r="6031" spans="2:21" x14ac:dyDescent="0.35">
      <c r="B6031" s="9"/>
      <c r="C6031" s="2"/>
      <c r="D6031" s="2"/>
      <c r="I6031" s="9"/>
      <c r="J6031" s="2"/>
      <c r="L6031" s="9"/>
      <c r="M6031" s="2"/>
      <c r="N6031" s="9"/>
      <c r="P6031" s="3">
        <v>-262.26725838999999</v>
      </c>
      <c r="S6031" s="9"/>
      <c r="T6031" s="2"/>
      <c r="U6031" s="9"/>
    </row>
    <row r="6032" spans="2:21" x14ac:dyDescent="0.35">
      <c r="B6032" s="9"/>
      <c r="C6032" s="2"/>
      <c r="D6032" s="2"/>
      <c r="I6032" s="9"/>
      <c r="J6032" s="2"/>
      <c r="L6032" s="9"/>
      <c r="M6032" s="2"/>
      <c r="N6032" s="9"/>
      <c r="P6032" s="3">
        <v>-225.71006839</v>
      </c>
      <c r="S6032" s="9"/>
      <c r="T6032" s="2"/>
      <c r="U6032" s="9"/>
    </row>
    <row r="6033" spans="2:21" x14ac:dyDescent="0.35">
      <c r="B6033" s="9"/>
      <c r="C6033" s="2"/>
      <c r="D6033" s="2"/>
      <c r="I6033" s="9"/>
      <c r="J6033" s="2"/>
      <c r="L6033" s="9"/>
      <c r="M6033" s="2"/>
      <c r="N6033" s="9"/>
      <c r="P6033" s="3">
        <v>-134.28620839000001</v>
      </c>
      <c r="S6033" s="9"/>
      <c r="T6033" s="2"/>
      <c r="U6033" s="9"/>
    </row>
    <row r="6034" spans="2:21" x14ac:dyDescent="0.35">
      <c r="B6034" s="9"/>
      <c r="C6034" s="2"/>
      <c r="D6034" s="2"/>
      <c r="I6034" s="9"/>
      <c r="J6034" s="2"/>
      <c r="L6034" s="9"/>
      <c r="M6034" s="2"/>
      <c r="N6034" s="9"/>
      <c r="P6034" s="3">
        <v>-19.842728390000001</v>
      </c>
      <c r="S6034" s="9"/>
      <c r="T6034" s="2"/>
      <c r="U6034" s="9"/>
    </row>
    <row r="6035" spans="2:21" x14ac:dyDescent="0.35">
      <c r="B6035" s="9"/>
      <c r="C6035" s="2"/>
      <c r="D6035" s="2"/>
      <c r="I6035" s="9"/>
      <c r="J6035" s="2"/>
      <c r="L6035" s="9"/>
      <c r="M6035" s="2"/>
      <c r="N6035" s="9"/>
      <c r="P6035" s="3">
        <v>89.584601610000007</v>
      </c>
      <c r="S6035" s="9"/>
      <c r="T6035" s="2"/>
      <c r="U6035" s="9"/>
    </row>
    <row r="6036" spans="2:21" x14ac:dyDescent="0.35">
      <c r="B6036" s="9"/>
      <c r="C6036" s="2"/>
      <c r="D6036" s="2"/>
      <c r="I6036" s="9"/>
      <c r="J6036" s="2"/>
      <c r="L6036" s="9"/>
      <c r="M6036" s="2"/>
      <c r="N6036" s="9"/>
      <c r="P6036" s="3">
        <v>199.79009160999999</v>
      </c>
      <c r="S6036" s="9"/>
      <c r="T6036" s="2"/>
      <c r="U6036" s="9"/>
    </row>
    <row r="6037" spans="2:21" x14ac:dyDescent="0.35">
      <c r="B6037" s="9"/>
      <c r="C6037" s="2"/>
      <c r="D6037" s="2"/>
      <c r="I6037" s="9"/>
      <c r="J6037" s="2"/>
      <c r="L6037" s="9"/>
      <c r="M6037" s="2"/>
      <c r="N6037" s="9"/>
      <c r="P6037" s="3">
        <v>168.83551161</v>
      </c>
      <c r="S6037" s="9"/>
      <c r="T6037" s="2"/>
      <c r="U6037" s="9"/>
    </row>
    <row r="6038" spans="2:21" x14ac:dyDescent="0.35">
      <c r="B6038" s="9"/>
      <c r="C6038" s="2"/>
      <c r="D6038" s="2"/>
      <c r="I6038" s="9"/>
      <c r="J6038" s="2"/>
      <c r="L6038" s="9"/>
      <c r="M6038" s="2"/>
      <c r="N6038" s="9"/>
      <c r="P6038" s="3">
        <v>-265.92448839000002</v>
      </c>
      <c r="S6038" s="9"/>
      <c r="T6038" s="2"/>
      <c r="U6038" s="9"/>
    </row>
    <row r="6039" spans="2:21" x14ac:dyDescent="0.35">
      <c r="B6039" s="9"/>
      <c r="C6039" s="2"/>
      <c r="D6039" s="2"/>
      <c r="I6039" s="9"/>
      <c r="J6039" s="2"/>
      <c r="L6039" s="9"/>
      <c r="M6039" s="2"/>
      <c r="N6039" s="9"/>
      <c r="P6039" s="3">
        <v>-700.68448838999996</v>
      </c>
      <c r="S6039" s="9"/>
      <c r="T6039" s="2"/>
      <c r="U6039" s="9"/>
    </row>
    <row r="6040" spans="2:21" x14ac:dyDescent="0.35">
      <c r="B6040" s="9"/>
      <c r="C6040" s="2"/>
      <c r="D6040" s="2"/>
      <c r="I6040" s="9"/>
      <c r="J6040" s="2"/>
      <c r="L6040" s="9"/>
      <c r="M6040" s="2"/>
      <c r="N6040" s="9"/>
      <c r="P6040" s="3">
        <v>-1135.4444883900001</v>
      </c>
      <c r="S6040" s="9"/>
      <c r="T6040" s="2"/>
      <c r="U6040" s="9"/>
    </row>
    <row r="6041" spans="2:21" x14ac:dyDescent="0.35">
      <c r="B6041" s="9"/>
      <c r="C6041" s="2"/>
      <c r="D6041" s="2"/>
      <c r="I6041" s="9"/>
      <c r="J6041" s="2"/>
      <c r="L6041" s="9"/>
      <c r="M6041" s="2"/>
      <c r="N6041" s="9"/>
      <c r="P6041" s="3">
        <v>-1570.2044883900001</v>
      </c>
      <c r="S6041" s="9"/>
      <c r="T6041" s="2"/>
      <c r="U6041" s="9"/>
    </row>
    <row r="6042" spans="2:21" x14ac:dyDescent="0.35">
      <c r="B6042" s="9"/>
      <c r="C6042" s="2"/>
      <c r="D6042" s="2"/>
      <c r="I6042" s="9"/>
      <c r="J6042" s="2"/>
      <c r="L6042" s="9"/>
      <c r="M6042" s="2"/>
      <c r="N6042" s="9"/>
      <c r="P6042" s="3">
        <v>-2004.96448839</v>
      </c>
      <c r="S6042" s="9"/>
      <c r="T6042" s="2"/>
      <c r="U6042" s="9"/>
    </row>
    <row r="6043" spans="2:21" x14ac:dyDescent="0.35">
      <c r="B6043" s="9"/>
      <c r="C6043" s="2"/>
      <c r="D6043" s="2"/>
      <c r="I6043" s="9"/>
      <c r="J6043" s="2"/>
      <c r="L6043" s="9"/>
      <c r="M6043" s="2"/>
      <c r="N6043" s="9"/>
      <c r="P6043" s="3">
        <v>-2439.7244883899998</v>
      </c>
      <c r="S6043" s="9"/>
      <c r="T6043" s="2"/>
      <c r="U6043" s="9"/>
    </row>
    <row r="6044" spans="2:21" x14ac:dyDescent="0.35">
      <c r="B6044" s="9"/>
      <c r="C6044" s="2"/>
      <c r="D6044" s="2"/>
      <c r="I6044" s="9"/>
      <c r="J6044" s="2"/>
      <c r="L6044" s="9"/>
      <c r="M6044" s="2"/>
      <c r="N6044" s="9"/>
      <c r="P6044" s="3">
        <v>-2557.0775283900002</v>
      </c>
      <c r="S6044" s="9"/>
      <c r="T6044" s="2"/>
      <c r="U6044" s="9"/>
    </row>
    <row r="6045" spans="2:21" x14ac:dyDescent="0.35">
      <c r="B6045" s="9"/>
      <c r="C6045" s="2"/>
      <c r="D6045" s="2"/>
      <c r="I6045" s="9"/>
      <c r="J6045" s="2"/>
      <c r="L6045" s="9"/>
      <c r="M6045" s="2"/>
      <c r="N6045" s="9"/>
      <c r="P6045" s="3">
        <v>-2122.31752839</v>
      </c>
      <c r="S6045" s="9"/>
      <c r="T6045" s="2"/>
      <c r="U6045" s="9"/>
    </row>
    <row r="6046" spans="2:21" x14ac:dyDescent="0.35">
      <c r="B6046" s="9"/>
      <c r="C6046" s="2"/>
      <c r="D6046" s="2"/>
      <c r="I6046" s="9"/>
      <c r="J6046" s="2"/>
      <c r="L6046" s="9"/>
      <c r="M6046" s="2"/>
      <c r="N6046" s="9"/>
      <c r="P6046" s="3">
        <v>-1687.55752839</v>
      </c>
      <c r="S6046" s="9"/>
      <c r="T6046" s="2"/>
      <c r="U6046" s="9"/>
    </row>
    <row r="6047" spans="2:21" x14ac:dyDescent="0.35">
      <c r="B6047" s="9"/>
      <c r="C6047" s="2"/>
      <c r="D6047" s="2"/>
      <c r="I6047" s="9"/>
      <c r="J6047" s="2"/>
      <c r="L6047" s="9"/>
      <c r="M6047" s="2"/>
      <c r="N6047" s="9"/>
      <c r="P6047" s="3">
        <v>-1252.79752839</v>
      </c>
      <c r="S6047" s="9"/>
      <c r="T6047" s="2"/>
      <c r="U6047" s="9"/>
    </row>
    <row r="6048" spans="2:21" x14ac:dyDescent="0.35">
      <c r="B6048" s="9"/>
      <c r="C6048" s="2"/>
      <c r="D6048" s="2"/>
      <c r="I6048" s="9"/>
      <c r="J6048" s="2"/>
      <c r="L6048" s="9"/>
      <c r="M6048" s="2"/>
      <c r="N6048" s="9"/>
      <c r="P6048" s="3">
        <v>-818.03752839000003</v>
      </c>
      <c r="S6048" s="9"/>
      <c r="T6048" s="2"/>
      <c r="U6048" s="9"/>
    </row>
    <row r="6049" spans="2:21" x14ac:dyDescent="0.35">
      <c r="B6049" s="9"/>
      <c r="C6049" s="2"/>
      <c r="D6049" s="2"/>
      <c r="I6049" s="9"/>
      <c r="J6049" s="2"/>
      <c r="L6049" s="9"/>
      <c r="M6049" s="2"/>
      <c r="N6049" s="9"/>
      <c r="P6049" s="3">
        <v>-383.27752838999999</v>
      </c>
      <c r="S6049" s="9"/>
      <c r="T6049" s="2"/>
      <c r="U6049" s="9"/>
    </row>
    <row r="6050" spans="2:21" x14ac:dyDescent="0.35">
      <c r="B6050" s="9"/>
      <c r="C6050" s="2"/>
      <c r="D6050" s="2"/>
      <c r="I6050" s="9"/>
      <c r="J6050" s="2"/>
      <c r="L6050" s="9"/>
      <c r="M6050" s="2"/>
      <c r="N6050" s="9"/>
      <c r="P6050" s="3">
        <v>-263.64252839</v>
      </c>
      <c r="S6050" s="9"/>
      <c r="T6050" s="2"/>
      <c r="U6050" s="9"/>
    </row>
    <row r="6051" spans="2:21" x14ac:dyDescent="0.35">
      <c r="B6051" s="9"/>
      <c r="C6051" s="2"/>
      <c r="D6051" s="2"/>
      <c r="I6051" s="9"/>
      <c r="J6051" s="2"/>
      <c r="L6051" s="9"/>
      <c r="M6051" s="2"/>
      <c r="N6051" s="9"/>
      <c r="P6051" s="3">
        <v>-177.51029839</v>
      </c>
      <c r="S6051" s="9"/>
      <c r="T6051" s="2"/>
      <c r="U6051" s="9"/>
    </row>
    <row r="6052" spans="2:21" x14ac:dyDescent="0.35">
      <c r="B6052" s="9"/>
      <c r="C6052" s="2"/>
      <c r="D6052" s="2"/>
      <c r="I6052" s="9"/>
      <c r="J6052" s="2"/>
      <c r="L6052" s="9"/>
      <c r="M6052" s="2"/>
      <c r="N6052" s="9"/>
      <c r="P6052" s="3">
        <v>-9.7131583900000003</v>
      </c>
      <c r="S6052" s="9"/>
      <c r="T6052" s="2"/>
      <c r="U6052" s="9"/>
    </row>
    <row r="6053" spans="2:21" x14ac:dyDescent="0.35">
      <c r="B6053" s="9"/>
      <c r="C6053" s="2"/>
      <c r="D6053" s="2"/>
      <c r="I6053" s="9"/>
      <c r="J6053" s="2"/>
      <c r="L6053" s="9"/>
      <c r="M6053" s="2"/>
      <c r="N6053" s="9"/>
      <c r="P6053" s="3">
        <v>25.211741610000001</v>
      </c>
      <c r="S6053" s="9"/>
      <c r="T6053" s="2"/>
      <c r="U6053" s="9"/>
    </row>
    <row r="6054" spans="2:21" x14ac:dyDescent="0.35">
      <c r="B6054" s="9"/>
      <c r="C6054" s="2"/>
      <c r="D6054" s="2"/>
      <c r="I6054" s="9"/>
      <c r="J6054" s="2"/>
      <c r="L6054" s="9"/>
      <c r="M6054" s="2"/>
      <c r="N6054" s="9"/>
      <c r="P6054" s="3">
        <v>-199.80533886000001</v>
      </c>
      <c r="S6054" s="9"/>
      <c r="T6054" s="2"/>
      <c r="U6054" s="9"/>
    </row>
    <row r="6055" spans="2:21" x14ac:dyDescent="0.35">
      <c r="B6055" s="9"/>
      <c r="C6055" s="2"/>
      <c r="D6055" s="2"/>
      <c r="I6055" s="9"/>
      <c r="J6055" s="2"/>
      <c r="L6055" s="9"/>
      <c r="M6055" s="2"/>
      <c r="N6055" s="9"/>
      <c r="P6055" s="3">
        <v>-140.36200886</v>
      </c>
      <c r="S6055" s="9"/>
      <c r="T6055" s="2"/>
      <c r="U6055" s="9"/>
    </row>
    <row r="6056" spans="2:21" x14ac:dyDescent="0.35">
      <c r="B6056" s="9"/>
      <c r="C6056" s="2"/>
      <c r="D6056" s="2"/>
      <c r="I6056" s="9"/>
      <c r="J6056" s="2"/>
      <c r="L6056" s="9"/>
      <c r="M6056" s="2"/>
      <c r="N6056" s="9"/>
      <c r="P6056" s="3">
        <v>-96.702688859999995</v>
      </c>
      <c r="S6056" s="9"/>
      <c r="T6056" s="2"/>
      <c r="U6056" s="9"/>
    </row>
    <row r="6057" spans="2:21" x14ac:dyDescent="0.35">
      <c r="B6057" s="9"/>
      <c r="C6057" s="2"/>
      <c r="D6057" s="2"/>
      <c r="I6057" s="9"/>
      <c r="J6057" s="2"/>
      <c r="L6057" s="9"/>
      <c r="M6057" s="2"/>
      <c r="N6057" s="9"/>
      <c r="P6057" s="3">
        <v>-7.4329688599999999</v>
      </c>
      <c r="S6057" s="9"/>
      <c r="T6057" s="2"/>
      <c r="U6057" s="9"/>
    </row>
    <row r="6058" spans="2:21" x14ac:dyDescent="0.35">
      <c r="B6058" s="9"/>
      <c r="C6058" s="2"/>
      <c r="D6058" s="2"/>
      <c r="I6058" s="9"/>
      <c r="J6058" s="2"/>
      <c r="L6058" s="9"/>
      <c r="M6058" s="2"/>
      <c r="N6058" s="9"/>
      <c r="P6058" s="3">
        <v>88.652751140000007</v>
      </c>
      <c r="S6058" s="9"/>
      <c r="T6058" s="2"/>
      <c r="U6058" s="9"/>
    </row>
    <row r="6059" spans="2:21" x14ac:dyDescent="0.35">
      <c r="B6059" s="9"/>
      <c r="C6059" s="2"/>
      <c r="D6059" s="2"/>
      <c r="I6059" s="9"/>
      <c r="J6059" s="2"/>
      <c r="L6059" s="9"/>
      <c r="M6059" s="2"/>
      <c r="N6059" s="9"/>
      <c r="P6059" s="3">
        <v>290.10095761999997</v>
      </c>
      <c r="S6059" s="9"/>
      <c r="T6059" s="2"/>
      <c r="U6059" s="9"/>
    </row>
    <row r="6060" spans="2:21" x14ac:dyDescent="0.35">
      <c r="B6060" s="9"/>
      <c r="C6060" s="2"/>
      <c r="D6060" s="2"/>
      <c r="I6060" s="9"/>
      <c r="J6060" s="2"/>
      <c r="L6060" s="9"/>
      <c r="M6060" s="2"/>
      <c r="N6060" s="9"/>
      <c r="P6060" s="3">
        <v>475.9312941</v>
      </c>
      <c r="S6060" s="9"/>
      <c r="T6060" s="2"/>
      <c r="U6060" s="9"/>
    </row>
    <row r="6061" spans="2:21" x14ac:dyDescent="0.35">
      <c r="B6061" s="9"/>
      <c r="C6061" s="2"/>
      <c r="D6061" s="2"/>
      <c r="I6061" s="9"/>
      <c r="J6061" s="2"/>
      <c r="L6061" s="9"/>
      <c r="M6061" s="2"/>
      <c r="N6061" s="9"/>
      <c r="P6061" s="3">
        <v>510.39075654999999</v>
      </c>
      <c r="S6061" s="9"/>
      <c r="T6061" s="2"/>
      <c r="U6061" s="9"/>
    </row>
    <row r="6062" spans="2:21" x14ac:dyDescent="0.35">
      <c r="B6062" s="9"/>
      <c r="C6062" s="2"/>
      <c r="D6062" s="2"/>
      <c r="I6062" s="9"/>
      <c r="J6062" s="2"/>
      <c r="L6062" s="9"/>
      <c r="M6062" s="2"/>
      <c r="N6062" s="9"/>
      <c r="P6062" s="3">
        <v>75.630756550000001</v>
      </c>
      <c r="S6062" s="9"/>
      <c r="T6062" s="2"/>
      <c r="U6062" s="9"/>
    </row>
    <row r="6063" spans="2:21" x14ac:dyDescent="0.35">
      <c r="B6063" s="9"/>
      <c r="C6063" s="2"/>
      <c r="D6063" s="2"/>
      <c r="I6063" s="9"/>
      <c r="J6063" s="2"/>
      <c r="L6063" s="9"/>
      <c r="M6063" s="2"/>
      <c r="N6063" s="9"/>
      <c r="P6063" s="3">
        <v>-359.12924344999999</v>
      </c>
      <c r="S6063" s="9"/>
      <c r="T6063" s="2"/>
      <c r="U6063" s="9"/>
    </row>
    <row r="6064" spans="2:21" x14ac:dyDescent="0.35">
      <c r="B6064" s="9"/>
      <c r="C6064" s="2"/>
      <c r="D6064" s="2"/>
      <c r="I6064" s="9"/>
      <c r="J6064" s="2"/>
      <c r="L6064" s="9"/>
      <c r="M6064" s="2"/>
      <c r="N6064" s="9"/>
      <c r="P6064" s="3">
        <v>-793.88924344999998</v>
      </c>
      <c r="S6064" s="9"/>
      <c r="T6064" s="2"/>
      <c r="U6064" s="9"/>
    </row>
    <row r="6065" spans="2:21" x14ac:dyDescent="0.35">
      <c r="B6065" s="9"/>
      <c r="C6065" s="2"/>
      <c r="D6065" s="2"/>
      <c r="I6065" s="9"/>
      <c r="J6065" s="2"/>
      <c r="L6065" s="9"/>
      <c r="M6065" s="2"/>
      <c r="N6065" s="9"/>
      <c r="P6065" s="3">
        <v>-1228.6492434500001</v>
      </c>
      <c r="S6065" s="9"/>
      <c r="T6065" s="2"/>
      <c r="U6065" s="9"/>
    </row>
    <row r="6066" spans="2:21" x14ac:dyDescent="0.35">
      <c r="B6066" s="9"/>
      <c r="C6066" s="2"/>
      <c r="D6066" s="2"/>
      <c r="I6066" s="9"/>
      <c r="J6066" s="2"/>
      <c r="L6066" s="9"/>
      <c r="M6066" s="2"/>
      <c r="N6066" s="9"/>
      <c r="P6066" s="3">
        <v>-1084.1041653699999</v>
      </c>
      <c r="S6066" s="9"/>
      <c r="T6066" s="2"/>
      <c r="U6066" s="9"/>
    </row>
    <row r="6067" spans="2:21" x14ac:dyDescent="0.35">
      <c r="B6067" s="9"/>
      <c r="C6067" s="2"/>
      <c r="D6067" s="2"/>
      <c r="I6067" s="9"/>
      <c r="J6067" s="2"/>
      <c r="L6067" s="9"/>
      <c r="M6067" s="2"/>
      <c r="N6067" s="9"/>
      <c r="P6067" s="3">
        <v>-649.34416537000004</v>
      </c>
      <c r="S6067" s="9"/>
      <c r="T6067" s="2"/>
      <c r="U6067" s="9"/>
    </row>
    <row r="6068" spans="2:21" x14ac:dyDescent="0.35">
      <c r="B6068" s="9"/>
      <c r="C6068" s="2"/>
      <c r="D6068" s="2"/>
      <c r="I6068" s="9"/>
      <c r="J6068" s="2"/>
      <c r="L6068" s="9"/>
      <c r="M6068" s="2"/>
      <c r="N6068" s="9"/>
      <c r="P6068" s="3">
        <v>-381.00345893000002</v>
      </c>
      <c r="S6068" s="9"/>
      <c r="T6068" s="2"/>
      <c r="U6068" s="9"/>
    </row>
    <row r="6069" spans="2:21" x14ac:dyDescent="0.35">
      <c r="B6069" s="9"/>
      <c r="C6069" s="2"/>
      <c r="D6069" s="2"/>
      <c r="I6069" s="9"/>
      <c r="J6069" s="2"/>
      <c r="L6069" s="9"/>
      <c r="M6069" s="2"/>
      <c r="N6069" s="9"/>
      <c r="P6069" s="3">
        <v>-687.16989264999995</v>
      </c>
      <c r="S6069" s="9"/>
      <c r="T6069" s="2"/>
      <c r="U6069" s="9"/>
    </row>
    <row r="6070" spans="2:21" x14ac:dyDescent="0.35">
      <c r="B6070" s="9"/>
      <c r="C6070" s="2"/>
      <c r="D6070" s="2"/>
      <c r="I6070" s="9"/>
      <c r="J6070" s="2"/>
      <c r="L6070" s="9"/>
      <c r="M6070" s="2"/>
      <c r="N6070" s="9"/>
      <c r="P6070" s="3">
        <v>-1121.9298926500001</v>
      </c>
      <c r="S6070" s="9"/>
      <c r="T6070" s="2"/>
      <c r="U6070" s="9"/>
    </row>
    <row r="6071" spans="2:21" x14ac:dyDescent="0.35">
      <c r="B6071" s="9"/>
      <c r="C6071" s="2"/>
      <c r="D6071" s="2"/>
      <c r="I6071" s="9"/>
      <c r="J6071" s="2"/>
      <c r="L6071" s="9"/>
      <c r="M6071" s="2"/>
      <c r="N6071" s="9"/>
      <c r="P6071" s="3">
        <v>-1505.0781577299999</v>
      </c>
      <c r="S6071" s="9"/>
      <c r="T6071" s="2"/>
      <c r="U6071" s="9"/>
    </row>
    <row r="6072" spans="2:21" x14ac:dyDescent="0.35">
      <c r="B6072" s="9"/>
      <c r="C6072" s="2"/>
      <c r="D6072" s="2"/>
      <c r="I6072" s="9"/>
      <c r="J6072" s="2"/>
      <c r="L6072" s="9"/>
      <c r="M6072" s="2"/>
      <c r="N6072" s="9"/>
      <c r="P6072" s="3">
        <v>-1070.3181577299999</v>
      </c>
      <c r="S6072" s="9"/>
      <c r="T6072" s="2"/>
      <c r="U6072" s="9"/>
    </row>
    <row r="6073" spans="2:21" x14ac:dyDescent="0.35">
      <c r="B6073" s="9"/>
      <c r="C6073" s="2"/>
      <c r="D6073" s="2"/>
      <c r="I6073" s="9"/>
      <c r="J6073" s="2"/>
      <c r="L6073" s="9"/>
      <c r="M6073" s="2"/>
      <c r="N6073" s="9"/>
      <c r="P6073" s="3">
        <v>-635.55815772999995</v>
      </c>
      <c r="S6073" s="9"/>
      <c r="T6073" s="2"/>
      <c r="U6073" s="9"/>
    </row>
    <row r="6074" spans="2:21" x14ac:dyDescent="0.35">
      <c r="B6074" s="9"/>
      <c r="C6074" s="2"/>
      <c r="D6074" s="2"/>
      <c r="I6074" s="9"/>
      <c r="J6074" s="2"/>
      <c r="L6074" s="9"/>
      <c r="M6074" s="2"/>
      <c r="N6074" s="9"/>
      <c r="P6074" s="3">
        <v>-629.83717822999995</v>
      </c>
      <c r="S6074" s="9"/>
      <c r="T6074" s="2"/>
      <c r="U6074" s="9"/>
    </row>
    <row r="6075" spans="2:21" x14ac:dyDescent="0.35">
      <c r="B6075" s="9"/>
      <c r="C6075" s="2"/>
      <c r="D6075" s="2"/>
      <c r="I6075" s="9"/>
      <c r="J6075" s="2"/>
      <c r="L6075" s="9"/>
      <c r="M6075" s="2"/>
      <c r="N6075" s="9"/>
      <c r="P6075" s="3">
        <v>-642.93114860000003</v>
      </c>
      <c r="S6075" s="9"/>
      <c r="T6075" s="2"/>
      <c r="U6075" s="9"/>
    </row>
    <row r="6076" spans="2:21" x14ac:dyDescent="0.35">
      <c r="B6076" s="9"/>
      <c r="C6076" s="2"/>
      <c r="D6076" s="2"/>
      <c r="I6076" s="9"/>
      <c r="J6076" s="2"/>
      <c r="L6076" s="9"/>
      <c r="M6076" s="2"/>
      <c r="N6076" s="9"/>
      <c r="P6076" s="3">
        <v>-522.64091886000006</v>
      </c>
      <c r="S6076" s="9"/>
      <c r="T6076" s="2"/>
      <c r="U6076" s="9"/>
    </row>
    <row r="6077" spans="2:21" x14ac:dyDescent="0.35">
      <c r="B6077" s="9"/>
      <c r="C6077" s="2"/>
      <c r="D6077" s="2"/>
      <c r="I6077" s="9"/>
      <c r="J6077" s="2"/>
      <c r="L6077" s="9"/>
      <c r="M6077" s="2"/>
      <c r="N6077" s="9"/>
      <c r="P6077" s="3">
        <v>-503.84792886000002</v>
      </c>
      <c r="S6077" s="9"/>
      <c r="T6077" s="2"/>
      <c r="U6077" s="9"/>
    </row>
    <row r="6078" spans="2:21" x14ac:dyDescent="0.35">
      <c r="B6078" s="9"/>
      <c r="C6078" s="2"/>
      <c r="D6078" s="2"/>
      <c r="I6078" s="9"/>
      <c r="J6078" s="2"/>
      <c r="L6078" s="9"/>
      <c r="M6078" s="2"/>
      <c r="N6078" s="9"/>
      <c r="P6078" s="3">
        <v>-566.40318886</v>
      </c>
      <c r="S6078" s="9"/>
      <c r="T6078" s="2"/>
      <c r="U6078" s="9"/>
    </row>
    <row r="6079" spans="2:21" x14ac:dyDescent="0.35">
      <c r="B6079" s="9"/>
      <c r="C6079" s="2"/>
      <c r="D6079" s="2"/>
      <c r="I6079" s="9"/>
      <c r="J6079" s="2"/>
      <c r="L6079" s="9"/>
      <c r="M6079" s="2"/>
      <c r="N6079" s="9"/>
      <c r="P6079" s="3">
        <v>-685.87914885999999</v>
      </c>
      <c r="S6079" s="9"/>
      <c r="T6079" s="2"/>
      <c r="U6079" s="9"/>
    </row>
    <row r="6080" spans="2:21" x14ac:dyDescent="0.35">
      <c r="B6080" s="9"/>
      <c r="C6080" s="2"/>
      <c r="D6080" s="2"/>
      <c r="I6080" s="9"/>
      <c r="J6080" s="2"/>
      <c r="L6080" s="9"/>
      <c r="M6080" s="2"/>
      <c r="N6080" s="9"/>
      <c r="P6080" s="3">
        <v>-757.58275886000001</v>
      </c>
      <c r="S6080" s="9"/>
      <c r="T6080" s="2"/>
      <c r="U6080" s="9"/>
    </row>
    <row r="6081" spans="2:21" x14ac:dyDescent="0.35">
      <c r="B6081" s="9"/>
      <c r="C6081" s="2"/>
      <c r="D6081" s="2"/>
      <c r="I6081" s="9"/>
      <c r="J6081" s="2"/>
      <c r="L6081" s="9"/>
      <c r="M6081" s="2"/>
      <c r="N6081" s="9"/>
      <c r="P6081" s="3">
        <v>-754.91102885999999</v>
      </c>
      <c r="S6081" s="9"/>
      <c r="T6081" s="2"/>
      <c r="U6081" s="9"/>
    </row>
    <row r="6082" spans="2:21" x14ac:dyDescent="0.35">
      <c r="B6082" s="9"/>
      <c r="C6082" s="2"/>
      <c r="D6082" s="2"/>
      <c r="I6082" s="9"/>
      <c r="J6082" s="2"/>
      <c r="L6082" s="9"/>
      <c r="M6082" s="2"/>
      <c r="N6082" s="9"/>
      <c r="P6082" s="3">
        <v>-709.36736886000006</v>
      </c>
      <c r="S6082" s="9"/>
      <c r="T6082" s="2"/>
      <c r="U6082" s="9"/>
    </row>
    <row r="6083" spans="2:21" x14ac:dyDescent="0.35">
      <c r="B6083" s="9"/>
      <c r="C6083" s="2"/>
      <c r="D6083" s="2"/>
      <c r="I6083" s="9"/>
      <c r="J6083" s="2"/>
      <c r="L6083" s="9"/>
      <c r="M6083" s="2"/>
      <c r="N6083" s="9"/>
      <c r="P6083" s="3">
        <v>-497.41258238</v>
      </c>
      <c r="S6083" s="9"/>
      <c r="T6083" s="2"/>
      <c r="U6083" s="9"/>
    </row>
    <row r="6084" spans="2:21" x14ac:dyDescent="0.35">
      <c r="B6084" s="9"/>
      <c r="C6084" s="2"/>
      <c r="D6084" s="2"/>
      <c r="I6084" s="9"/>
      <c r="J6084" s="2"/>
      <c r="L6084" s="9"/>
      <c r="M6084" s="2"/>
      <c r="N6084" s="9"/>
      <c r="P6084" s="3">
        <v>-340.28470590000001</v>
      </c>
      <c r="S6084" s="9"/>
      <c r="T6084" s="2"/>
      <c r="U6084" s="9"/>
    </row>
    <row r="6085" spans="2:21" x14ac:dyDescent="0.35">
      <c r="B6085" s="9"/>
      <c r="C6085" s="2"/>
      <c r="D6085" s="2"/>
      <c r="I6085" s="9"/>
      <c r="J6085" s="2"/>
      <c r="L6085" s="9"/>
      <c r="M6085" s="2"/>
      <c r="N6085" s="9"/>
      <c r="P6085" s="3">
        <v>-340.39727345</v>
      </c>
      <c r="S6085" s="9"/>
      <c r="T6085" s="2"/>
      <c r="U6085" s="9"/>
    </row>
    <row r="6086" spans="2:21" x14ac:dyDescent="0.35">
      <c r="B6086" s="9"/>
      <c r="C6086" s="2"/>
      <c r="D6086" s="2"/>
      <c r="I6086" s="9"/>
      <c r="J6086" s="2"/>
      <c r="L6086" s="9"/>
      <c r="M6086" s="2"/>
      <c r="N6086" s="9"/>
      <c r="P6086" s="3">
        <v>-775.15727345000005</v>
      </c>
      <c r="S6086" s="9"/>
      <c r="T6086" s="2"/>
      <c r="U6086" s="9"/>
    </row>
    <row r="6087" spans="2:21" x14ac:dyDescent="0.35">
      <c r="B6087" s="9"/>
      <c r="C6087" s="2"/>
      <c r="D6087" s="2"/>
      <c r="I6087" s="9"/>
      <c r="J6087" s="2"/>
      <c r="L6087" s="9"/>
      <c r="M6087" s="2"/>
      <c r="N6087" s="9"/>
      <c r="P6087" s="3">
        <v>-1209.91727345</v>
      </c>
      <c r="S6087" s="9"/>
      <c r="T6087" s="2"/>
      <c r="U6087" s="9"/>
    </row>
    <row r="6088" spans="2:21" x14ac:dyDescent="0.35">
      <c r="B6088" s="9"/>
      <c r="C6088" s="2"/>
      <c r="D6088" s="2"/>
      <c r="I6088" s="9"/>
      <c r="J6088" s="2"/>
      <c r="L6088" s="9"/>
      <c r="M6088" s="2"/>
      <c r="N6088" s="9"/>
      <c r="P6088" s="3">
        <v>-1644.67727345</v>
      </c>
      <c r="S6088" s="9"/>
      <c r="T6088" s="2"/>
      <c r="U6088" s="9"/>
    </row>
    <row r="6089" spans="2:21" x14ac:dyDescent="0.35">
      <c r="B6089" s="9"/>
      <c r="C6089" s="2"/>
      <c r="D6089" s="2"/>
      <c r="I6089" s="9"/>
      <c r="J6089" s="2"/>
      <c r="L6089" s="9"/>
      <c r="M6089" s="2"/>
      <c r="N6089" s="9"/>
      <c r="P6089" s="3">
        <v>-1209.91727345</v>
      </c>
      <c r="S6089" s="9"/>
      <c r="T6089" s="2"/>
      <c r="U6089" s="9"/>
    </row>
    <row r="6090" spans="2:21" x14ac:dyDescent="0.35">
      <c r="B6090" s="9"/>
      <c r="C6090" s="2"/>
      <c r="D6090" s="2"/>
      <c r="I6090" s="9"/>
      <c r="J6090" s="2"/>
      <c r="L6090" s="9"/>
      <c r="M6090" s="2"/>
      <c r="N6090" s="9"/>
      <c r="P6090" s="3">
        <v>-775.15727345000005</v>
      </c>
      <c r="S6090" s="9"/>
      <c r="T6090" s="2"/>
      <c r="U6090" s="9"/>
    </row>
    <row r="6091" spans="2:21" x14ac:dyDescent="0.35">
      <c r="B6091" s="9"/>
      <c r="C6091" s="2"/>
      <c r="D6091" s="2"/>
      <c r="I6091" s="9"/>
      <c r="J6091" s="2"/>
      <c r="L6091" s="9"/>
      <c r="M6091" s="2"/>
      <c r="N6091" s="9"/>
      <c r="P6091" s="3">
        <v>-576.61391773000003</v>
      </c>
      <c r="S6091" s="9"/>
      <c r="T6091" s="2"/>
      <c r="U6091" s="9"/>
    </row>
    <row r="6092" spans="2:21" x14ac:dyDescent="0.35">
      <c r="B6092" s="9"/>
      <c r="C6092" s="2"/>
      <c r="D6092" s="2"/>
      <c r="I6092" s="9"/>
      <c r="J6092" s="2"/>
      <c r="L6092" s="9"/>
      <c r="M6092" s="2"/>
      <c r="N6092" s="9"/>
      <c r="P6092" s="3">
        <v>-1011.37391773</v>
      </c>
      <c r="S6092" s="9"/>
      <c r="T6092" s="2"/>
      <c r="U6092" s="9"/>
    </row>
    <row r="6093" spans="2:21" x14ac:dyDescent="0.35">
      <c r="B6093" s="9"/>
      <c r="C6093" s="2"/>
      <c r="D6093" s="2"/>
      <c r="I6093" s="9"/>
      <c r="J6093" s="2"/>
      <c r="L6093" s="9"/>
      <c r="M6093" s="2"/>
      <c r="N6093" s="9"/>
      <c r="P6093" s="3">
        <v>-1446.1339177299999</v>
      </c>
      <c r="S6093" s="9"/>
      <c r="T6093" s="2"/>
      <c r="U6093" s="9"/>
    </row>
    <row r="6094" spans="2:21" x14ac:dyDescent="0.35">
      <c r="B6094" s="9"/>
      <c r="C6094" s="2"/>
      <c r="D6094" s="2"/>
      <c r="I6094" s="9"/>
      <c r="J6094" s="2"/>
      <c r="L6094" s="9"/>
      <c r="M6094" s="2"/>
      <c r="N6094" s="9"/>
      <c r="P6094" s="3">
        <v>-1880.8939177300001</v>
      </c>
      <c r="S6094" s="9"/>
      <c r="T6094" s="2"/>
      <c r="U6094" s="9"/>
    </row>
    <row r="6095" spans="2:21" x14ac:dyDescent="0.35">
      <c r="B6095" s="9"/>
      <c r="C6095" s="2"/>
      <c r="D6095" s="2"/>
      <c r="I6095" s="9"/>
      <c r="J6095" s="2"/>
      <c r="L6095" s="9"/>
      <c r="M6095" s="2"/>
      <c r="N6095" s="9"/>
      <c r="P6095" s="3">
        <v>-2315.6539177300001</v>
      </c>
      <c r="S6095" s="9"/>
      <c r="T6095" s="2"/>
      <c r="U6095" s="9"/>
    </row>
    <row r="6096" spans="2:21" x14ac:dyDescent="0.35">
      <c r="B6096" s="9"/>
      <c r="C6096" s="2"/>
      <c r="D6096" s="2"/>
      <c r="I6096" s="9"/>
      <c r="J6096" s="2"/>
      <c r="L6096" s="9"/>
      <c r="M6096" s="2"/>
      <c r="N6096" s="9"/>
      <c r="P6096" s="3">
        <v>-1880.8939177300001</v>
      </c>
      <c r="S6096" s="9"/>
      <c r="T6096" s="2"/>
      <c r="U6096" s="9"/>
    </row>
    <row r="6097" spans="2:21" x14ac:dyDescent="0.35">
      <c r="B6097" s="9"/>
      <c r="C6097" s="2"/>
      <c r="D6097" s="2"/>
      <c r="I6097" s="9"/>
      <c r="J6097" s="2"/>
      <c r="L6097" s="9"/>
      <c r="M6097" s="2"/>
      <c r="N6097" s="9"/>
      <c r="P6097" s="3">
        <v>-1446.1339177299999</v>
      </c>
      <c r="S6097" s="9"/>
      <c r="T6097" s="2"/>
      <c r="U6097" s="9"/>
    </row>
    <row r="6098" spans="2:21" x14ac:dyDescent="0.35">
      <c r="B6098" s="9"/>
      <c r="C6098" s="2"/>
      <c r="D6098" s="2"/>
      <c r="I6098" s="9"/>
      <c r="J6098" s="2"/>
      <c r="L6098" s="9"/>
      <c r="M6098" s="2"/>
      <c r="N6098" s="9"/>
      <c r="P6098" s="3">
        <v>-1551.8133582299999</v>
      </c>
      <c r="S6098" s="9"/>
      <c r="T6098" s="2"/>
      <c r="U6098" s="9"/>
    </row>
    <row r="6099" spans="2:21" x14ac:dyDescent="0.35">
      <c r="B6099" s="9"/>
      <c r="C6099" s="2"/>
      <c r="D6099" s="2"/>
      <c r="I6099" s="9"/>
      <c r="J6099" s="2"/>
      <c r="L6099" s="9"/>
      <c r="M6099" s="2"/>
      <c r="N6099" s="9"/>
      <c r="P6099" s="3">
        <v>-1634.4731286000001</v>
      </c>
      <c r="S6099" s="9"/>
      <c r="T6099" s="2"/>
      <c r="U6099" s="9"/>
    </row>
    <row r="6100" spans="2:21" x14ac:dyDescent="0.35">
      <c r="B6100" s="9"/>
      <c r="C6100" s="2"/>
      <c r="D6100" s="2"/>
      <c r="I6100" s="9"/>
      <c r="J6100" s="2"/>
      <c r="L6100" s="9"/>
      <c r="M6100" s="2"/>
      <c r="N6100" s="9"/>
      <c r="P6100" s="3">
        <v>-1464.45946886</v>
      </c>
      <c r="S6100" s="9"/>
      <c r="T6100" s="2"/>
      <c r="U6100" s="9"/>
    </row>
    <row r="6101" spans="2:21" x14ac:dyDescent="0.35">
      <c r="B6101" s="9"/>
      <c r="C6101" s="2"/>
      <c r="D6101" s="2"/>
      <c r="I6101" s="9"/>
      <c r="J6101" s="2"/>
      <c r="L6101" s="9"/>
      <c r="M6101" s="2"/>
      <c r="N6101" s="9"/>
      <c r="P6101" s="3">
        <v>-1476.51313886</v>
      </c>
      <c r="S6101" s="9"/>
      <c r="T6101" s="2"/>
      <c r="U6101" s="9"/>
    </row>
    <row r="6102" spans="2:21" x14ac:dyDescent="0.35">
      <c r="B6102" s="9"/>
      <c r="C6102" s="2"/>
      <c r="D6102" s="2"/>
      <c r="I6102" s="9"/>
      <c r="J6102" s="2"/>
      <c r="L6102" s="9"/>
      <c r="M6102" s="2"/>
      <c r="N6102" s="9"/>
      <c r="P6102" s="3">
        <v>-1355.19046886</v>
      </c>
      <c r="S6102" s="9"/>
      <c r="T6102" s="2"/>
      <c r="U6102" s="9"/>
    </row>
    <row r="6103" spans="2:21" x14ac:dyDescent="0.35">
      <c r="B6103" s="9"/>
      <c r="C6103" s="2"/>
      <c r="D6103" s="2"/>
      <c r="I6103" s="9"/>
      <c r="J6103" s="2"/>
      <c r="L6103" s="9"/>
      <c r="M6103" s="2"/>
      <c r="N6103" s="9"/>
      <c r="P6103" s="3">
        <v>-1288.55412886</v>
      </c>
      <c r="S6103" s="9"/>
      <c r="T6103" s="2"/>
      <c r="U6103" s="9"/>
    </row>
    <row r="6104" spans="2:21" x14ac:dyDescent="0.35">
      <c r="B6104" s="9"/>
      <c r="C6104" s="2"/>
      <c r="D6104" s="2"/>
      <c r="I6104" s="9"/>
      <c r="J6104" s="2"/>
      <c r="L6104" s="9"/>
      <c r="M6104" s="2"/>
      <c r="N6104" s="9"/>
      <c r="P6104" s="3">
        <v>-1198.4444788599999</v>
      </c>
      <c r="S6104" s="9"/>
      <c r="T6104" s="2"/>
      <c r="U6104" s="9"/>
    </row>
    <row r="6105" spans="2:21" x14ac:dyDescent="0.35">
      <c r="B6105" s="9"/>
      <c r="C6105" s="2"/>
      <c r="D6105" s="2"/>
      <c r="I6105" s="9"/>
      <c r="J6105" s="2"/>
      <c r="L6105" s="9"/>
      <c r="M6105" s="2"/>
      <c r="N6105" s="9"/>
      <c r="P6105" s="3">
        <v>-1187.4664588600001</v>
      </c>
      <c r="S6105" s="9"/>
      <c r="T6105" s="2"/>
      <c r="U6105" s="9"/>
    </row>
    <row r="6106" spans="2:21" x14ac:dyDescent="0.35">
      <c r="B6106" s="9"/>
      <c r="C6106" s="2"/>
      <c r="D6106" s="2"/>
      <c r="I6106" s="9"/>
      <c r="J6106" s="2"/>
      <c r="L6106" s="9"/>
      <c r="M6106" s="2"/>
      <c r="N6106" s="9"/>
      <c r="P6106" s="3">
        <v>-1294.2128288599999</v>
      </c>
      <c r="S6106" s="9"/>
      <c r="T6106" s="2"/>
      <c r="U6106" s="9"/>
    </row>
    <row r="6107" spans="2:21" x14ac:dyDescent="0.35">
      <c r="B6107" s="9"/>
      <c r="C6107" s="2"/>
      <c r="D6107" s="2"/>
      <c r="I6107" s="9"/>
      <c r="J6107" s="2"/>
      <c r="L6107" s="9"/>
      <c r="M6107" s="2"/>
      <c r="N6107" s="9"/>
      <c r="P6107" s="3">
        <v>-1322.0371123800001</v>
      </c>
      <c r="S6107" s="9"/>
      <c r="T6107" s="2"/>
      <c r="U6107" s="9"/>
    </row>
    <row r="6108" spans="2:21" x14ac:dyDescent="0.35">
      <c r="B6108" s="9"/>
      <c r="C6108" s="2"/>
      <c r="D6108" s="2"/>
      <c r="I6108" s="9"/>
      <c r="J6108" s="2"/>
      <c r="L6108" s="9"/>
      <c r="M6108" s="2"/>
      <c r="N6108" s="9"/>
      <c r="P6108" s="3">
        <v>-1340.5554259</v>
      </c>
      <c r="S6108" s="9"/>
      <c r="T6108" s="2"/>
      <c r="U6108" s="9"/>
    </row>
    <row r="6109" spans="2:21" x14ac:dyDescent="0.35">
      <c r="B6109" s="9"/>
      <c r="C6109" s="2"/>
      <c r="D6109" s="2"/>
      <c r="I6109" s="9"/>
      <c r="J6109" s="2"/>
      <c r="L6109" s="9"/>
      <c r="M6109" s="2"/>
      <c r="N6109" s="9"/>
      <c r="P6109" s="3">
        <v>-1590.0270934499999</v>
      </c>
      <c r="S6109" s="9"/>
      <c r="T6109" s="2"/>
      <c r="U6109" s="9"/>
    </row>
    <row r="6110" spans="2:21" x14ac:dyDescent="0.35">
      <c r="B6110" s="9"/>
      <c r="C6110" s="2"/>
      <c r="D6110" s="2"/>
      <c r="I6110" s="9"/>
      <c r="J6110" s="2"/>
      <c r="L6110" s="9"/>
      <c r="M6110" s="2"/>
      <c r="N6110" s="9"/>
      <c r="P6110" s="3">
        <v>-2024.7870934499999</v>
      </c>
      <c r="S6110" s="9"/>
      <c r="T6110" s="2"/>
      <c r="U6110" s="9"/>
    </row>
    <row r="6111" spans="2:21" x14ac:dyDescent="0.35">
      <c r="B6111" s="9"/>
      <c r="C6111" s="2"/>
      <c r="D6111" s="2"/>
      <c r="I6111" s="9"/>
      <c r="J6111" s="2"/>
      <c r="L6111" s="9"/>
      <c r="M6111" s="2"/>
      <c r="N6111" s="9"/>
      <c r="P6111" s="3">
        <v>-2459.5470934499999</v>
      </c>
      <c r="S6111" s="9"/>
      <c r="T6111" s="2"/>
      <c r="U6111" s="9"/>
    </row>
    <row r="6112" spans="2:21" x14ac:dyDescent="0.35">
      <c r="B6112" s="9"/>
      <c r="C6112" s="2"/>
      <c r="D6112" s="2"/>
      <c r="I6112" s="9"/>
      <c r="J6112" s="2"/>
      <c r="L6112" s="9"/>
      <c r="M6112" s="2"/>
      <c r="N6112" s="9"/>
      <c r="P6112" s="3">
        <v>-2860.169492</v>
      </c>
      <c r="S6112" s="9"/>
      <c r="T6112" s="2"/>
      <c r="U6112" s="9"/>
    </row>
    <row r="6113" spans="2:21" x14ac:dyDescent="0.35">
      <c r="B6113" s="9"/>
      <c r="C6113" s="2"/>
      <c r="D6113" s="2"/>
      <c r="I6113" s="9"/>
      <c r="J6113" s="2"/>
      <c r="L6113" s="9"/>
      <c r="M6113" s="2"/>
      <c r="N6113" s="9"/>
      <c r="P6113" s="3">
        <v>-2860.169492</v>
      </c>
      <c r="S6113" s="9"/>
      <c r="T6113" s="2"/>
      <c r="U6113" s="9"/>
    </row>
    <row r="6114" spans="2:21" x14ac:dyDescent="0.35">
      <c r="B6114" s="9"/>
      <c r="C6114" s="2"/>
      <c r="D6114" s="2"/>
      <c r="I6114" s="9"/>
      <c r="J6114" s="2"/>
      <c r="L6114" s="9"/>
      <c r="M6114" s="2"/>
      <c r="N6114" s="9"/>
      <c r="P6114" s="3">
        <v>-2860.169492</v>
      </c>
      <c r="S6114" s="9"/>
      <c r="T6114" s="2"/>
      <c r="U6114" s="9"/>
    </row>
    <row r="6115" spans="2:21" x14ac:dyDescent="0.35">
      <c r="B6115" s="9"/>
      <c r="C6115" s="2"/>
      <c r="D6115" s="2"/>
      <c r="I6115" s="9"/>
      <c r="J6115" s="2"/>
      <c r="L6115" s="9"/>
      <c r="M6115" s="2"/>
      <c r="N6115" s="9"/>
      <c r="P6115" s="3">
        <v>-2860.169492</v>
      </c>
      <c r="S6115" s="9"/>
      <c r="T6115" s="2"/>
      <c r="U6115" s="9"/>
    </row>
    <row r="6116" spans="2:21" x14ac:dyDescent="0.35">
      <c r="B6116" s="9"/>
      <c r="C6116" s="2"/>
      <c r="D6116" s="2"/>
      <c r="I6116" s="9"/>
      <c r="J6116" s="2"/>
      <c r="L6116" s="9"/>
      <c r="M6116" s="2"/>
      <c r="N6116" s="9"/>
      <c r="P6116" s="3">
        <v>-2860.169492</v>
      </c>
      <c r="S6116" s="9"/>
      <c r="T6116" s="2"/>
      <c r="U6116" s="9"/>
    </row>
    <row r="6117" spans="2:21" x14ac:dyDescent="0.35">
      <c r="B6117" s="9"/>
      <c r="C6117" s="2"/>
      <c r="D6117" s="2"/>
      <c r="I6117" s="9"/>
      <c r="J6117" s="2"/>
      <c r="L6117" s="9"/>
      <c r="M6117" s="2"/>
      <c r="N6117" s="9"/>
      <c r="P6117" s="3">
        <v>-2860.169492</v>
      </c>
      <c r="S6117" s="9"/>
      <c r="T6117" s="2"/>
      <c r="U6117" s="9"/>
    </row>
    <row r="6118" spans="2:21" x14ac:dyDescent="0.35">
      <c r="B6118" s="9"/>
      <c r="C6118" s="2"/>
      <c r="D6118" s="2"/>
      <c r="I6118" s="9"/>
      <c r="J6118" s="2"/>
      <c r="L6118" s="9"/>
      <c r="M6118" s="2"/>
      <c r="N6118" s="9"/>
      <c r="P6118" s="3">
        <v>-2860.169492</v>
      </c>
      <c r="S6118" s="9"/>
      <c r="T6118" s="2"/>
      <c r="U6118" s="9"/>
    </row>
    <row r="6119" spans="2:21" x14ac:dyDescent="0.35">
      <c r="B6119" s="9"/>
      <c r="C6119" s="2"/>
      <c r="D6119" s="2"/>
      <c r="I6119" s="9"/>
      <c r="J6119" s="2"/>
      <c r="L6119" s="9"/>
      <c r="M6119" s="2"/>
      <c r="N6119" s="9"/>
      <c r="P6119" s="3">
        <v>-2860.169492</v>
      </c>
      <c r="S6119" s="9"/>
      <c r="T6119" s="2"/>
      <c r="U6119" s="9"/>
    </row>
    <row r="6120" spans="2:21" x14ac:dyDescent="0.35">
      <c r="B6120" s="9"/>
      <c r="C6120" s="2"/>
      <c r="D6120" s="2"/>
      <c r="I6120" s="9"/>
      <c r="J6120" s="2"/>
      <c r="L6120" s="9"/>
      <c r="M6120" s="2"/>
      <c r="N6120" s="9"/>
      <c r="P6120" s="3">
        <v>-2860.169492</v>
      </c>
      <c r="S6120" s="9"/>
      <c r="T6120" s="2"/>
      <c r="U6120" s="9"/>
    </row>
    <row r="6121" spans="2:21" x14ac:dyDescent="0.35">
      <c r="B6121" s="9"/>
      <c r="C6121" s="2"/>
      <c r="D6121" s="2"/>
      <c r="I6121" s="9"/>
      <c r="J6121" s="2"/>
      <c r="L6121" s="9"/>
      <c r="M6121" s="2"/>
      <c r="N6121" s="9"/>
      <c r="P6121" s="3">
        <v>-2860.169492</v>
      </c>
      <c r="S6121" s="9"/>
      <c r="T6121" s="2"/>
      <c r="U6121" s="9"/>
    </row>
    <row r="6122" spans="2:21" x14ac:dyDescent="0.35">
      <c r="B6122" s="9"/>
      <c r="C6122" s="2"/>
      <c r="D6122" s="2"/>
      <c r="I6122" s="9"/>
      <c r="J6122" s="2"/>
      <c r="L6122" s="9"/>
      <c r="M6122" s="2"/>
      <c r="N6122" s="9"/>
      <c r="P6122" s="3">
        <v>-2860.169492</v>
      </c>
      <c r="S6122" s="9"/>
      <c r="T6122" s="2"/>
      <c r="U6122" s="9"/>
    </row>
    <row r="6123" spans="2:21" x14ac:dyDescent="0.35">
      <c r="B6123" s="9"/>
      <c r="C6123" s="2"/>
      <c r="D6123" s="2"/>
      <c r="I6123" s="9"/>
      <c r="J6123" s="2"/>
      <c r="L6123" s="9"/>
      <c r="M6123" s="2"/>
      <c r="N6123" s="9"/>
      <c r="P6123" s="3">
        <v>-2860.169492</v>
      </c>
      <c r="S6123" s="9"/>
      <c r="T6123" s="2"/>
      <c r="U6123" s="9"/>
    </row>
    <row r="6124" spans="2:21" x14ac:dyDescent="0.35">
      <c r="B6124" s="9"/>
      <c r="C6124" s="2"/>
      <c r="D6124" s="2"/>
      <c r="I6124" s="9"/>
      <c r="J6124" s="2"/>
      <c r="L6124" s="9"/>
      <c r="M6124" s="2"/>
      <c r="N6124" s="9"/>
      <c r="P6124" s="3">
        <v>-2860.169492</v>
      </c>
      <c r="S6124" s="9"/>
      <c r="T6124" s="2"/>
      <c r="U6124" s="9"/>
    </row>
    <row r="6125" spans="2:21" x14ac:dyDescent="0.35">
      <c r="B6125" s="9"/>
      <c r="C6125" s="2"/>
      <c r="D6125" s="2"/>
      <c r="I6125" s="9"/>
      <c r="J6125" s="2"/>
      <c r="L6125" s="9"/>
      <c r="M6125" s="2"/>
      <c r="N6125" s="9"/>
      <c r="P6125" s="3">
        <v>-2860.169492</v>
      </c>
      <c r="S6125" s="9"/>
      <c r="T6125" s="2"/>
      <c r="U6125" s="9"/>
    </row>
    <row r="6126" spans="2:21" x14ac:dyDescent="0.35">
      <c r="B6126" s="9"/>
      <c r="C6126" s="2"/>
      <c r="D6126" s="2"/>
      <c r="I6126" s="9"/>
      <c r="J6126" s="2"/>
      <c r="L6126" s="9"/>
      <c r="M6126" s="2"/>
      <c r="N6126" s="9"/>
      <c r="P6126" s="3">
        <v>-2860.169492</v>
      </c>
      <c r="S6126" s="9"/>
      <c r="T6126" s="2"/>
      <c r="U6126" s="9"/>
    </row>
    <row r="6127" spans="2:21" x14ac:dyDescent="0.35">
      <c r="B6127" s="9"/>
      <c r="C6127" s="2"/>
      <c r="D6127" s="2"/>
      <c r="I6127" s="9"/>
      <c r="J6127" s="2"/>
      <c r="L6127" s="9"/>
      <c r="M6127" s="2"/>
      <c r="N6127" s="9"/>
      <c r="P6127" s="3">
        <v>-2860.169492</v>
      </c>
      <c r="S6127" s="9"/>
      <c r="T6127" s="2"/>
      <c r="U6127" s="9"/>
    </row>
    <row r="6128" spans="2:21" x14ac:dyDescent="0.35">
      <c r="B6128" s="9"/>
      <c r="C6128" s="2"/>
      <c r="D6128" s="2"/>
      <c r="I6128" s="9"/>
      <c r="J6128" s="2"/>
      <c r="L6128" s="9"/>
      <c r="M6128" s="2"/>
      <c r="N6128" s="9"/>
      <c r="P6128" s="3">
        <v>-2860.169492</v>
      </c>
      <c r="S6128" s="9"/>
      <c r="T6128" s="2"/>
      <c r="U6128" s="9"/>
    </row>
    <row r="6129" spans="2:21" x14ac:dyDescent="0.35">
      <c r="B6129" s="9"/>
      <c r="C6129" s="2"/>
      <c r="D6129" s="2"/>
      <c r="I6129" s="9"/>
      <c r="J6129" s="2"/>
      <c r="L6129" s="9"/>
      <c r="M6129" s="2"/>
      <c r="N6129" s="9"/>
      <c r="P6129" s="3">
        <v>-2860.169492</v>
      </c>
      <c r="S6129" s="9"/>
      <c r="T6129" s="2"/>
      <c r="U6129" s="9"/>
    </row>
    <row r="6130" spans="2:21" x14ac:dyDescent="0.35">
      <c r="B6130" s="9"/>
      <c r="C6130" s="2"/>
      <c r="D6130" s="2"/>
      <c r="I6130" s="9"/>
      <c r="J6130" s="2"/>
      <c r="L6130" s="9"/>
      <c r="M6130" s="2"/>
      <c r="N6130" s="9"/>
      <c r="P6130" s="3">
        <v>-2860.169492</v>
      </c>
      <c r="S6130" s="9"/>
      <c r="T6130" s="2"/>
      <c r="U6130" s="9"/>
    </row>
    <row r="6131" spans="2:21" x14ac:dyDescent="0.35">
      <c r="B6131" s="9"/>
      <c r="C6131" s="2"/>
      <c r="D6131" s="2"/>
      <c r="I6131" s="9"/>
      <c r="J6131" s="2"/>
      <c r="L6131" s="9"/>
      <c r="M6131" s="2"/>
      <c r="N6131" s="9"/>
      <c r="P6131" s="3">
        <v>-2860.169492</v>
      </c>
      <c r="S6131" s="9"/>
      <c r="T6131" s="2"/>
      <c r="U6131" s="9"/>
    </row>
    <row r="6132" spans="2:21" x14ac:dyDescent="0.35">
      <c r="B6132" s="9"/>
      <c r="C6132" s="2"/>
      <c r="D6132" s="2"/>
      <c r="I6132" s="9"/>
      <c r="J6132" s="2"/>
      <c r="L6132" s="9"/>
      <c r="M6132" s="2"/>
      <c r="N6132" s="9"/>
      <c r="P6132" s="3">
        <v>-2860.169492</v>
      </c>
      <c r="S6132" s="9"/>
      <c r="T6132" s="2"/>
      <c r="U6132" s="9"/>
    </row>
    <row r="6133" spans="2:21" x14ac:dyDescent="0.35">
      <c r="B6133" s="9"/>
      <c r="C6133" s="2"/>
      <c r="D6133" s="2"/>
      <c r="I6133" s="9"/>
      <c r="J6133" s="2"/>
      <c r="L6133" s="9"/>
      <c r="M6133" s="2"/>
      <c r="N6133" s="9"/>
      <c r="P6133" s="3">
        <v>-2860.169492</v>
      </c>
      <c r="S6133" s="9"/>
      <c r="T6133" s="2"/>
      <c r="U6133" s="9"/>
    </row>
    <row r="6134" spans="2:21" x14ac:dyDescent="0.35">
      <c r="B6134" s="9"/>
      <c r="C6134" s="2"/>
      <c r="D6134" s="2"/>
      <c r="I6134" s="9"/>
      <c r="J6134" s="2"/>
      <c r="L6134" s="9"/>
      <c r="M6134" s="2"/>
      <c r="N6134" s="9"/>
      <c r="P6134" s="3">
        <v>-2860.169492</v>
      </c>
      <c r="S6134" s="9"/>
      <c r="T6134" s="2"/>
      <c r="U6134" s="9"/>
    </row>
    <row r="6135" spans="2:21" x14ac:dyDescent="0.35">
      <c r="B6135" s="9"/>
      <c r="C6135" s="2"/>
      <c r="D6135" s="2"/>
      <c r="I6135" s="9"/>
      <c r="J6135" s="2"/>
      <c r="L6135" s="9"/>
      <c r="M6135" s="2"/>
      <c r="N6135" s="9"/>
      <c r="P6135" s="3">
        <v>-2860.169492</v>
      </c>
      <c r="S6135" s="9"/>
      <c r="T6135" s="2"/>
      <c r="U6135" s="9"/>
    </row>
    <row r="6136" spans="2:21" x14ac:dyDescent="0.35">
      <c r="B6136" s="9"/>
      <c r="C6136" s="2"/>
      <c r="D6136" s="2"/>
      <c r="I6136" s="9"/>
      <c r="J6136" s="2"/>
      <c r="L6136" s="9"/>
      <c r="M6136" s="2"/>
      <c r="N6136" s="9"/>
      <c r="P6136" s="3">
        <v>-2860.169492</v>
      </c>
      <c r="S6136" s="9"/>
      <c r="T6136" s="2"/>
      <c r="U6136" s="9"/>
    </row>
    <row r="6137" spans="2:21" x14ac:dyDescent="0.35">
      <c r="B6137" s="9"/>
      <c r="C6137" s="2"/>
      <c r="D6137" s="2"/>
      <c r="I6137" s="9"/>
      <c r="J6137" s="2"/>
      <c r="L6137" s="9"/>
      <c r="M6137" s="2"/>
      <c r="N6137" s="9"/>
      <c r="P6137" s="3">
        <v>-2425.4094919999998</v>
      </c>
      <c r="S6137" s="9"/>
      <c r="T6137" s="2"/>
      <c r="U6137" s="9"/>
    </row>
    <row r="6138" spans="2:21" x14ac:dyDescent="0.35">
      <c r="B6138" s="9"/>
      <c r="C6138" s="2"/>
      <c r="D6138" s="2"/>
      <c r="I6138" s="9"/>
      <c r="J6138" s="2"/>
      <c r="L6138" s="9"/>
      <c r="M6138" s="2"/>
      <c r="N6138" s="9"/>
      <c r="P6138" s="3">
        <v>-1990.649492</v>
      </c>
      <c r="S6138" s="9"/>
      <c r="T6138" s="2"/>
      <c r="U6138" s="9"/>
    </row>
    <row r="6139" spans="2:21" x14ac:dyDescent="0.35">
      <c r="B6139" s="9"/>
      <c r="C6139" s="2"/>
      <c r="D6139" s="2"/>
      <c r="I6139" s="9"/>
      <c r="J6139" s="2"/>
      <c r="L6139" s="9"/>
      <c r="M6139" s="2"/>
      <c r="N6139" s="9"/>
      <c r="P6139" s="3">
        <v>-1555.889492</v>
      </c>
      <c r="S6139" s="9"/>
      <c r="T6139" s="2"/>
      <c r="U6139" s="9"/>
    </row>
    <row r="6140" spans="2:21" x14ac:dyDescent="0.35">
      <c r="B6140" s="9"/>
      <c r="C6140" s="2"/>
      <c r="D6140" s="2"/>
      <c r="I6140" s="9"/>
      <c r="J6140" s="2"/>
      <c r="L6140" s="9"/>
      <c r="M6140" s="2"/>
      <c r="N6140" s="9"/>
      <c r="P6140" s="3">
        <v>-1990.649492</v>
      </c>
      <c r="S6140" s="9"/>
      <c r="T6140" s="2"/>
      <c r="U6140" s="9"/>
    </row>
    <row r="6141" spans="2:21" x14ac:dyDescent="0.35">
      <c r="B6141" s="9"/>
      <c r="C6141" s="2"/>
      <c r="D6141" s="2"/>
      <c r="I6141" s="9"/>
      <c r="J6141" s="2"/>
      <c r="L6141" s="9"/>
      <c r="M6141" s="2"/>
      <c r="N6141" s="9"/>
      <c r="P6141" s="3">
        <v>-2425.4094919999998</v>
      </c>
      <c r="S6141" s="9"/>
      <c r="T6141" s="2"/>
      <c r="U6141" s="9"/>
    </row>
    <row r="6142" spans="2:21" x14ac:dyDescent="0.35">
      <c r="B6142" s="9"/>
      <c r="C6142" s="2"/>
      <c r="D6142" s="2"/>
      <c r="I6142" s="9"/>
      <c r="J6142" s="2"/>
      <c r="L6142" s="9"/>
      <c r="M6142" s="2"/>
      <c r="N6142" s="9"/>
      <c r="P6142" s="3">
        <v>-2860.169492</v>
      </c>
      <c r="S6142" s="9"/>
      <c r="T6142" s="2"/>
      <c r="U6142" s="9"/>
    </row>
    <row r="6143" spans="2:21" x14ac:dyDescent="0.35">
      <c r="B6143" s="9"/>
      <c r="C6143" s="2"/>
      <c r="D6143" s="2"/>
      <c r="I6143" s="9"/>
      <c r="J6143" s="2"/>
      <c r="L6143" s="9"/>
      <c r="M6143" s="2"/>
      <c r="N6143" s="9"/>
      <c r="P6143" s="3">
        <v>-2860.169492</v>
      </c>
      <c r="S6143" s="9"/>
      <c r="T6143" s="2"/>
      <c r="U6143" s="9"/>
    </row>
    <row r="6144" spans="2:21" x14ac:dyDescent="0.35">
      <c r="B6144" s="9"/>
      <c r="C6144" s="2"/>
      <c r="D6144" s="2"/>
      <c r="I6144" s="9"/>
      <c r="J6144" s="2"/>
      <c r="L6144" s="9"/>
      <c r="M6144" s="2"/>
      <c r="N6144" s="9"/>
      <c r="P6144" s="3">
        <v>-2699.0936577299999</v>
      </c>
      <c r="S6144" s="9"/>
      <c r="T6144" s="2"/>
      <c r="U6144" s="9"/>
    </row>
    <row r="6145" spans="2:21" x14ac:dyDescent="0.35">
      <c r="B6145" s="9"/>
      <c r="C6145" s="2"/>
      <c r="D6145" s="2"/>
      <c r="I6145" s="9"/>
      <c r="J6145" s="2"/>
      <c r="L6145" s="9"/>
      <c r="M6145" s="2"/>
      <c r="N6145" s="9"/>
      <c r="P6145" s="3">
        <v>-2264.3336577300001</v>
      </c>
      <c r="S6145" s="9"/>
      <c r="T6145" s="2"/>
      <c r="U6145" s="9"/>
    </row>
    <row r="6146" spans="2:21" x14ac:dyDescent="0.35">
      <c r="B6146" s="9"/>
      <c r="C6146" s="2"/>
      <c r="D6146" s="2"/>
      <c r="I6146" s="9"/>
      <c r="J6146" s="2"/>
      <c r="L6146" s="9"/>
      <c r="M6146" s="2"/>
      <c r="N6146" s="9"/>
      <c r="P6146" s="3">
        <v>-2247.2469982299999</v>
      </c>
      <c r="S6146" s="9"/>
      <c r="T6146" s="2"/>
      <c r="U6146" s="9"/>
    </row>
    <row r="6147" spans="2:21" x14ac:dyDescent="0.35">
      <c r="B6147" s="9"/>
      <c r="C6147" s="2"/>
      <c r="D6147" s="2"/>
      <c r="I6147" s="9"/>
      <c r="J6147" s="2"/>
      <c r="L6147" s="9"/>
      <c r="M6147" s="2"/>
      <c r="N6147" s="9"/>
      <c r="P6147" s="3">
        <v>-2100.5632786000001</v>
      </c>
      <c r="S6147" s="9"/>
      <c r="T6147" s="2"/>
      <c r="U6147" s="9"/>
    </row>
    <row r="6148" spans="2:21" x14ac:dyDescent="0.35">
      <c r="B6148" s="9"/>
      <c r="C6148" s="2"/>
      <c r="D6148" s="2"/>
      <c r="I6148" s="9"/>
      <c r="J6148" s="2"/>
      <c r="L6148" s="9"/>
      <c r="M6148" s="2"/>
      <c r="N6148" s="9"/>
      <c r="P6148" s="3">
        <v>-1683.1415988599999</v>
      </c>
      <c r="S6148" s="9"/>
      <c r="T6148" s="2"/>
      <c r="U6148" s="9"/>
    </row>
    <row r="6149" spans="2:21" x14ac:dyDescent="0.35">
      <c r="B6149" s="9"/>
      <c r="C6149" s="2"/>
      <c r="D6149" s="2"/>
      <c r="I6149" s="9"/>
      <c r="J6149" s="2"/>
      <c r="L6149" s="9"/>
      <c r="M6149" s="2"/>
      <c r="N6149" s="9"/>
      <c r="P6149" s="3">
        <v>-1346.7698688600001</v>
      </c>
      <c r="S6149" s="9"/>
      <c r="T6149" s="2"/>
      <c r="U6149" s="9"/>
    </row>
    <row r="6150" spans="2:21" x14ac:dyDescent="0.35">
      <c r="B6150" s="9"/>
      <c r="C6150" s="2"/>
      <c r="D6150" s="2"/>
      <c r="I6150" s="9"/>
      <c r="J6150" s="2"/>
      <c r="L6150" s="9"/>
      <c r="M6150" s="2"/>
      <c r="N6150" s="9"/>
      <c r="P6150" s="3">
        <v>-1011.71376886</v>
      </c>
      <c r="S6150" s="9"/>
      <c r="T6150" s="2"/>
      <c r="U6150" s="9"/>
    </row>
    <row r="6151" spans="2:21" x14ac:dyDescent="0.35">
      <c r="B6151" s="9"/>
      <c r="C6151" s="2"/>
      <c r="D6151" s="2"/>
      <c r="I6151" s="9"/>
      <c r="J6151" s="2"/>
      <c r="L6151" s="9"/>
      <c r="M6151" s="2"/>
      <c r="N6151" s="9"/>
      <c r="P6151" s="3">
        <v>-761.76536885999997</v>
      </c>
      <c r="S6151" s="9"/>
      <c r="T6151" s="2"/>
      <c r="U6151" s="9"/>
    </row>
    <row r="6152" spans="2:21" x14ac:dyDescent="0.35">
      <c r="B6152" s="9"/>
      <c r="C6152" s="2"/>
      <c r="D6152" s="2"/>
      <c r="I6152" s="9"/>
      <c r="J6152" s="2"/>
      <c r="L6152" s="9"/>
      <c r="M6152" s="2"/>
      <c r="N6152" s="9"/>
      <c r="P6152" s="3">
        <v>-535.92927885999995</v>
      </c>
      <c r="S6152" s="9"/>
      <c r="T6152" s="2"/>
      <c r="U6152" s="9"/>
    </row>
    <row r="6153" spans="2:21" x14ac:dyDescent="0.35">
      <c r="B6153" s="9"/>
      <c r="C6153" s="2"/>
      <c r="D6153" s="2"/>
      <c r="I6153" s="9"/>
      <c r="J6153" s="2"/>
      <c r="L6153" s="9"/>
      <c r="M6153" s="2"/>
      <c r="N6153" s="9"/>
      <c r="P6153" s="3">
        <v>-354.99429886000001</v>
      </c>
      <c r="S6153" s="9"/>
      <c r="T6153" s="2"/>
      <c r="U6153" s="9"/>
    </row>
    <row r="6154" spans="2:21" x14ac:dyDescent="0.35">
      <c r="B6154" s="9"/>
      <c r="C6154" s="2"/>
      <c r="D6154" s="2"/>
      <c r="I6154" s="9"/>
      <c r="J6154" s="2"/>
      <c r="L6154" s="9"/>
      <c r="M6154" s="2"/>
      <c r="N6154" s="9"/>
      <c r="P6154" s="3">
        <v>-280.31578886</v>
      </c>
      <c r="S6154" s="9"/>
      <c r="T6154" s="2"/>
      <c r="U6154" s="9"/>
    </row>
    <row r="6155" spans="2:21" x14ac:dyDescent="0.35">
      <c r="B6155" s="9"/>
      <c r="C6155" s="2"/>
      <c r="D6155" s="2"/>
      <c r="I6155" s="9"/>
      <c r="J6155" s="2"/>
      <c r="L6155" s="9"/>
      <c r="M6155" s="2"/>
      <c r="N6155" s="9"/>
      <c r="P6155" s="3">
        <v>-99.126012380000006</v>
      </c>
      <c r="S6155" s="9"/>
      <c r="T6155" s="2"/>
      <c r="U6155" s="9"/>
    </row>
    <row r="6156" spans="2:21" x14ac:dyDescent="0.35">
      <c r="B6156" s="9"/>
      <c r="C6156" s="2"/>
      <c r="D6156" s="2"/>
      <c r="I6156" s="9"/>
      <c r="J6156" s="2"/>
      <c r="L6156" s="9"/>
      <c r="M6156" s="2"/>
      <c r="N6156" s="9"/>
      <c r="P6156" s="3">
        <v>26.741274099999998</v>
      </c>
      <c r="S6156" s="9"/>
      <c r="T6156" s="2"/>
      <c r="U6156" s="9"/>
    </row>
    <row r="6157" spans="2:21" x14ac:dyDescent="0.35">
      <c r="B6157" s="9"/>
      <c r="C6157" s="2"/>
      <c r="D6157" s="2"/>
      <c r="I6157" s="9"/>
      <c r="J6157" s="2"/>
      <c r="L6157" s="9"/>
      <c r="M6157" s="2"/>
      <c r="N6157" s="9"/>
      <c r="P6157" s="3">
        <v>4.35884655</v>
      </c>
      <c r="S6157" s="9"/>
      <c r="T6157" s="2"/>
      <c r="U6157" s="9"/>
    </row>
    <row r="6158" spans="2:21" x14ac:dyDescent="0.35">
      <c r="B6158" s="9"/>
      <c r="C6158" s="2"/>
      <c r="D6158" s="2"/>
      <c r="I6158" s="9"/>
      <c r="J6158" s="2"/>
      <c r="L6158" s="9"/>
      <c r="M6158" s="2"/>
      <c r="N6158" s="9"/>
      <c r="P6158" s="3">
        <v>-430.40115344999998</v>
      </c>
      <c r="S6158" s="9"/>
      <c r="T6158" s="2"/>
      <c r="U6158" s="9"/>
    </row>
    <row r="6159" spans="2:21" x14ac:dyDescent="0.35">
      <c r="B6159" s="9"/>
      <c r="C6159" s="2"/>
      <c r="D6159" s="2"/>
      <c r="I6159" s="9"/>
      <c r="J6159" s="2"/>
      <c r="L6159" s="9"/>
      <c r="M6159" s="2"/>
      <c r="N6159" s="9"/>
      <c r="P6159" s="3">
        <v>-865.16115345000003</v>
      </c>
      <c r="S6159" s="9"/>
      <c r="T6159" s="2"/>
      <c r="U6159" s="9"/>
    </row>
    <row r="6160" spans="2:21" x14ac:dyDescent="0.35">
      <c r="B6160" s="9"/>
      <c r="C6160" s="2"/>
      <c r="D6160" s="2"/>
      <c r="I6160" s="9"/>
      <c r="J6160" s="2"/>
      <c r="L6160" s="9"/>
      <c r="M6160" s="2"/>
      <c r="N6160" s="9"/>
      <c r="P6160" s="3">
        <v>-1265.0787297700001</v>
      </c>
      <c r="S6160" s="9"/>
      <c r="T6160" s="2"/>
      <c r="U6160" s="9"/>
    </row>
    <row r="6161" spans="2:21" x14ac:dyDescent="0.35">
      <c r="B6161" s="9"/>
      <c r="C6161" s="2"/>
      <c r="D6161" s="2"/>
      <c r="I6161" s="9"/>
      <c r="J6161" s="2"/>
      <c r="L6161" s="9"/>
      <c r="M6161" s="2"/>
      <c r="N6161" s="9"/>
      <c r="P6161" s="3">
        <v>-830.31872977</v>
      </c>
      <c r="S6161" s="9"/>
      <c r="T6161" s="2"/>
      <c r="U6161" s="9"/>
    </row>
    <row r="6162" spans="2:21" x14ac:dyDescent="0.35">
      <c r="B6162" s="9"/>
      <c r="C6162" s="2"/>
      <c r="D6162" s="2"/>
      <c r="I6162" s="9"/>
      <c r="J6162" s="2"/>
      <c r="L6162" s="9"/>
      <c r="M6162" s="2"/>
      <c r="N6162" s="9"/>
      <c r="P6162" s="3">
        <v>-395.55872977000001</v>
      </c>
      <c r="S6162" s="9"/>
      <c r="T6162" s="2"/>
      <c r="U6162" s="9"/>
    </row>
    <row r="6163" spans="2:21" x14ac:dyDescent="0.35">
      <c r="B6163" s="9"/>
      <c r="C6163" s="2"/>
      <c r="D6163" s="2"/>
      <c r="I6163" s="9"/>
      <c r="J6163" s="2"/>
      <c r="L6163" s="9"/>
      <c r="M6163" s="2"/>
      <c r="N6163" s="9"/>
      <c r="P6163" s="3">
        <v>-223.10428773000001</v>
      </c>
      <c r="S6163" s="9"/>
      <c r="T6163" s="2"/>
      <c r="U6163" s="9"/>
    </row>
    <row r="6164" spans="2:21" x14ac:dyDescent="0.35">
      <c r="B6164" s="9"/>
      <c r="C6164" s="2"/>
      <c r="D6164" s="2"/>
      <c r="I6164" s="9"/>
      <c r="J6164" s="2"/>
      <c r="L6164" s="9"/>
      <c r="M6164" s="2"/>
      <c r="N6164" s="9"/>
      <c r="P6164" s="3">
        <v>-657.86428773</v>
      </c>
      <c r="S6164" s="9"/>
      <c r="T6164" s="2"/>
      <c r="U6164" s="9"/>
    </row>
    <row r="6165" spans="2:21" x14ac:dyDescent="0.35">
      <c r="B6165" s="9"/>
      <c r="C6165" s="2"/>
      <c r="D6165" s="2"/>
      <c r="I6165" s="9"/>
      <c r="J6165" s="2"/>
      <c r="L6165" s="9"/>
      <c r="M6165" s="2"/>
      <c r="N6165" s="9"/>
      <c r="P6165" s="3">
        <v>-1092.6242877300001</v>
      </c>
      <c r="S6165" s="9"/>
      <c r="T6165" s="2"/>
      <c r="U6165" s="9"/>
    </row>
    <row r="6166" spans="2:21" x14ac:dyDescent="0.35">
      <c r="B6166" s="9"/>
      <c r="C6166" s="2"/>
      <c r="D6166" s="2"/>
      <c r="I6166" s="9"/>
      <c r="J6166" s="2"/>
      <c r="L6166" s="9"/>
      <c r="M6166" s="2"/>
      <c r="N6166" s="9"/>
      <c r="P6166" s="3">
        <v>-657.86428773</v>
      </c>
      <c r="S6166" s="9"/>
      <c r="T6166" s="2"/>
      <c r="U6166" s="9"/>
    </row>
    <row r="6167" spans="2:21" x14ac:dyDescent="0.35">
      <c r="B6167" s="9"/>
      <c r="C6167" s="2"/>
      <c r="D6167" s="2"/>
      <c r="I6167" s="9"/>
      <c r="J6167" s="2"/>
      <c r="L6167" s="9"/>
      <c r="M6167" s="2"/>
      <c r="N6167" s="9"/>
      <c r="P6167" s="3">
        <v>-223.10428773000001</v>
      </c>
      <c r="S6167" s="9"/>
      <c r="T6167" s="2"/>
      <c r="U6167" s="9"/>
    </row>
    <row r="6168" spans="2:21" x14ac:dyDescent="0.35">
      <c r="B6168" s="9"/>
      <c r="C6168" s="2"/>
      <c r="D6168" s="2"/>
      <c r="I6168" s="9"/>
      <c r="J6168" s="2"/>
      <c r="L6168" s="9"/>
      <c r="M6168" s="2"/>
      <c r="N6168" s="9"/>
      <c r="P6168" s="3">
        <v>211.65571227000001</v>
      </c>
      <c r="S6168" s="9"/>
      <c r="T6168" s="2"/>
      <c r="U6168" s="9"/>
    </row>
    <row r="6169" spans="2:21" x14ac:dyDescent="0.35">
      <c r="B6169" s="9"/>
      <c r="C6169" s="2"/>
      <c r="D6169" s="2"/>
      <c r="I6169" s="9"/>
      <c r="J6169" s="2"/>
      <c r="L6169" s="9"/>
      <c r="M6169" s="2"/>
      <c r="N6169" s="9"/>
      <c r="P6169" s="3">
        <v>646.41571226999997</v>
      </c>
      <c r="S6169" s="9"/>
      <c r="T6169" s="2"/>
      <c r="U6169" s="9"/>
    </row>
    <row r="6170" spans="2:21" x14ac:dyDescent="0.35">
      <c r="B6170" s="9"/>
      <c r="C6170" s="2"/>
      <c r="D6170" s="2"/>
      <c r="I6170" s="9"/>
      <c r="J6170" s="2"/>
      <c r="L6170" s="9"/>
      <c r="M6170" s="2"/>
      <c r="N6170" s="9"/>
      <c r="P6170" s="3">
        <v>674.60819176999996</v>
      </c>
      <c r="S6170" s="9"/>
      <c r="T6170" s="2"/>
      <c r="U6170" s="9"/>
    </row>
    <row r="6171" spans="2:21" x14ac:dyDescent="0.35">
      <c r="B6171" s="9"/>
      <c r="C6171" s="2"/>
      <c r="D6171" s="2"/>
      <c r="I6171" s="9"/>
      <c r="J6171" s="2"/>
      <c r="L6171" s="9"/>
      <c r="M6171" s="2"/>
      <c r="N6171" s="9"/>
      <c r="P6171" s="3">
        <v>584.4600514</v>
      </c>
      <c r="S6171" s="9"/>
      <c r="T6171" s="2"/>
      <c r="U6171" s="9"/>
    </row>
    <row r="6172" spans="2:21" x14ac:dyDescent="0.35">
      <c r="B6172" s="9"/>
      <c r="C6172" s="2"/>
      <c r="D6172" s="2"/>
      <c r="I6172" s="9"/>
      <c r="J6172" s="2"/>
      <c r="L6172" s="9"/>
      <c r="M6172" s="2"/>
      <c r="N6172" s="9"/>
      <c r="P6172" s="3">
        <v>537.30175113999996</v>
      </c>
      <c r="S6172" s="9"/>
      <c r="T6172" s="2"/>
      <c r="U6172" s="9"/>
    </row>
    <row r="6173" spans="2:21" x14ac:dyDescent="0.35">
      <c r="B6173" s="9"/>
      <c r="C6173" s="2"/>
      <c r="D6173" s="2"/>
      <c r="I6173" s="9"/>
      <c r="J6173" s="2"/>
      <c r="L6173" s="9"/>
      <c r="M6173" s="2"/>
      <c r="N6173" s="9"/>
      <c r="P6173" s="3">
        <v>548.56661113999996</v>
      </c>
      <c r="S6173" s="9"/>
      <c r="T6173" s="2"/>
      <c r="U6173" s="9"/>
    </row>
    <row r="6174" spans="2:21" x14ac:dyDescent="0.35">
      <c r="B6174" s="9"/>
      <c r="C6174" s="2"/>
      <c r="D6174" s="2"/>
      <c r="I6174" s="9"/>
      <c r="J6174" s="2"/>
      <c r="L6174" s="9"/>
      <c r="M6174" s="2"/>
      <c r="N6174" s="9"/>
      <c r="P6174" s="3">
        <v>846.45312161000004</v>
      </c>
      <c r="S6174" s="9"/>
      <c r="T6174" s="2"/>
      <c r="U6174" s="9"/>
    </row>
    <row r="6175" spans="2:21" x14ac:dyDescent="0.35">
      <c r="B6175" s="9"/>
      <c r="C6175" s="2"/>
      <c r="D6175" s="2"/>
      <c r="I6175" s="9"/>
      <c r="J6175" s="2"/>
      <c r="L6175" s="9"/>
      <c r="M6175" s="2"/>
      <c r="N6175" s="9"/>
      <c r="P6175" s="3">
        <v>865.29652161000001</v>
      </c>
      <c r="S6175" s="9"/>
      <c r="T6175" s="2"/>
      <c r="U6175" s="9"/>
    </row>
    <row r="6176" spans="2:21" x14ac:dyDescent="0.35">
      <c r="B6176" s="9"/>
      <c r="C6176" s="2"/>
      <c r="D6176" s="2"/>
      <c r="I6176" s="9"/>
      <c r="J6176" s="2"/>
      <c r="L6176" s="9"/>
      <c r="M6176" s="2"/>
      <c r="N6176" s="9"/>
      <c r="P6176" s="3">
        <v>865.81979161000004</v>
      </c>
      <c r="S6176" s="9"/>
      <c r="T6176" s="2"/>
      <c r="U6176" s="9"/>
    </row>
    <row r="6177" spans="2:21" x14ac:dyDescent="0.35">
      <c r="B6177" s="9"/>
      <c r="C6177" s="2"/>
      <c r="D6177" s="2"/>
      <c r="I6177" s="9"/>
      <c r="J6177" s="2"/>
      <c r="L6177" s="9"/>
      <c r="M6177" s="2"/>
      <c r="N6177" s="9"/>
      <c r="P6177" s="3">
        <v>861.21402161000003</v>
      </c>
      <c r="S6177" s="9"/>
      <c r="T6177" s="2"/>
      <c r="U6177" s="9"/>
    </row>
    <row r="6178" spans="2:21" x14ac:dyDescent="0.35">
      <c r="B6178" s="9"/>
      <c r="C6178" s="2"/>
      <c r="D6178" s="2"/>
      <c r="I6178" s="9"/>
      <c r="J6178" s="2"/>
      <c r="L6178" s="9"/>
      <c r="M6178" s="2"/>
      <c r="N6178" s="9"/>
      <c r="P6178" s="3">
        <v>878.88095161000001</v>
      </c>
      <c r="S6178" s="9"/>
      <c r="T6178" s="2"/>
      <c r="U6178" s="9"/>
    </row>
    <row r="6179" spans="2:21" x14ac:dyDescent="0.35">
      <c r="B6179" s="9"/>
      <c r="C6179" s="2"/>
      <c r="D6179" s="2"/>
      <c r="I6179" s="9"/>
      <c r="J6179" s="2"/>
      <c r="L6179" s="9"/>
      <c r="M6179" s="2"/>
      <c r="N6179" s="9"/>
      <c r="P6179" s="3">
        <v>883.71605161000002</v>
      </c>
      <c r="S6179" s="9"/>
      <c r="T6179" s="2"/>
      <c r="U6179" s="9"/>
    </row>
    <row r="6180" spans="2:21" x14ac:dyDescent="0.35">
      <c r="B6180" s="9"/>
      <c r="C6180" s="2"/>
      <c r="D6180" s="2"/>
      <c r="I6180" s="9"/>
      <c r="J6180" s="2"/>
      <c r="L6180" s="9"/>
      <c r="M6180" s="2"/>
      <c r="N6180" s="9"/>
      <c r="P6180" s="3">
        <v>889.75176161000002</v>
      </c>
      <c r="S6180" s="9"/>
      <c r="T6180" s="2"/>
      <c r="U6180" s="9"/>
    </row>
    <row r="6181" spans="2:21" x14ac:dyDescent="0.35">
      <c r="B6181" s="9"/>
      <c r="C6181" s="2"/>
      <c r="D6181" s="2"/>
      <c r="I6181" s="9"/>
      <c r="J6181" s="2"/>
      <c r="L6181" s="9"/>
      <c r="M6181" s="2"/>
      <c r="N6181" s="9"/>
      <c r="P6181" s="3">
        <v>754.89081161000001</v>
      </c>
      <c r="S6181" s="9"/>
      <c r="T6181" s="2"/>
      <c r="U6181" s="9"/>
    </row>
    <row r="6182" spans="2:21" x14ac:dyDescent="0.35">
      <c r="B6182" s="9"/>
      <c r="C6182" s="2"/>
      <c r="D6182" s="2"/>
      <c r="I6182" s="9"/>
      <c r="J6182" s="2"/>
      <c r="L6182" s="9"/>
      <c r="M6182" s="2"/>
      <c r="N6182" s="9"/>
      <c r="P6182" s="3">
        <v>320.13081161000002</v>
      </c>
      <c r="S6182" s="9"/>
      <c r="T6182" s="2"/>
      <c r="U6182" s="9"/>
    </row>
    <row r="6183" spans="2:21" x14ac:dyDescent="0.35">
      <c r="B6183" s="9"/>
      <c r="C6183" s="2"/>
      <c r="D6183" s="2"/>
      <c r="I6183" s="9"/>
      <c r="J6183" s="2"/>
      <c r="L6183" s="9"/>
      <c r="M6183" s="2"/>
      <c r="N6183" s="9"/>
      <c r="P6183" s="3">
        <v>-114.62918839</v>
      </c>
      <c r="S6183" s="9"/>
      <c r="T6183" s="2"/>
      <c r="U6183" s="9"/>
    </row>
    <row r="6184" spans="2:21" x14ac:dyDescent="0.35">
      <c r="B6184" s="9"/>
      <c r="C6184" s="2"/>
      <c r="D6184" s="2"/>
      <c r="I6184" s="9"/>
      <c r="J6184" s="2"/>
      <c r="L6184" s="9"/>
      <c r="M6184" s="2"/>
      <c r="N6184" s="9"/>
      <c r="P6184" s="3">
        <v>-549.38918838999996</v>
      </c>
      <c r="S6184" s="9"/>
      <c r="T6184" s="2"/>
      <c r="U6184" s="9"/>
    </row>
    <row r="6185" spans="2:21" x14ac:dyDescent="0.35">
      <c r="B6185" s="9"/>
      <c r="C6185" s="2"/>
      <c r="D6185" s="2"/>
      <c r="I6185" s="9"/>
      <c r="J6185" s="2"/>
      <c r="L6185" s="9"/>
      <c r="M6185" s="2"/>
      <c r="N6185" s="9"/>
      <c r="P6185" s="3">
        <v>-984.14918838999995</v>
      </c>
      <c r="S6185" s="9"/>
      <c r="T6185" s="2"/>
      <c r="U6185" s="9"/>
    </row>
    <row r="6186" spans="2:21" x14ac:dyDescent="0.35">
      <c r="B6186" s="9"/>
      <c r="C6186" s="2"/>
      <c r="D6186" s="2"/>
      <c r="I6186" s="9"/>
      <c r="J6186" s="2"/>
      <c r="L6186" s="9"/>
      <c r="M6186" s="2"/>
      <c r="N6186" s="9"/>
      <c r="P6186" s="3">
        <v>-1418.9091883900001</v>
      </c>
      <c r="S6186" s="9"/>
      <c r="T6186" s="2"/>
      <c r="U6186" s="9"/>
    </row>
    <row r="6187" spans="2:21" x14ac:dyDescent="0.35">
      <c r="B6187" s="9"/>
      <c r="C6187" s="2"/>
      <c r="D6187" s="2"/>
      <c r="I6187" s="9"/>
      <c r="J6187" s="2"/>
      <c r="L6187" s="9"/>
      <c r="M6187" s="2"/>
      <c r="N6187" s="9"/>
      <c r="P6187" s="3">
        <v>-1853.66918839</v>
      </c>
      <c r="S6187" s="9"/>
      <c r="T6187" s="2"/>
      <c r="U6187" s="9"/>
    </row>
    <row r="6188" spans="2:21" x14ac:dyDescent="0.35">
      <c r="B6188" s="9"/>
      <c r="C6188" s="2"/>
      <c r="D6188" s="2"/>
      <c r="I6188" s="9"/>
      <c r="J6188" s="2"/>
      <c r="L6188" s="9"/>
      <c r="M6188" s="2"/>
      <c r="N6188" s="9"/>
      <c r="P6188" s="3">
        <v>-1695.0629783899999</v>
      </c>
      <c r="S6188" s="9"/>
      <c r="T6188" s="2"/>
      <c r="U6188" s="9"/>
    </row>
    <row r="6189" spans="2:21" x14ac:dyDescent="0.35">
      <c r="B6189" s="9"/>
      <c r="C6189" s="2"/>
      <c r="D6189" s="2"/>
      <c r="I6189" s="9"/>
      <c r="J6189" s="2"/>
      <c r="L6189" s="9"/>
      <c r="M6189" s="2"/>
      <c r="N6189" s="9"/>
      <c r="P6189" s="3">
        <v>-1260.3029783899999</v>
      </c>
      <c r="S6189" s="9"/>
      <c r="T6189" s="2"/>
      <c r="U6189" s="9"/>
    </row>
    <row r="6190" spans="2:21" x14ac:dyDescent="0.35">
      <c r="B6190" s="9"/>
      <c r="C6190" s="2"/>
      <c r="D6190" s="2"/>
      <c r="I6190" s="9"/>
      <c r="J6190" s="2"/>
      <c r="L6190" s="9"/>
      <c r="M6190" s="2"/>
      <c r="N6190" s="9"/>
      <c r="P6190" s="3">
        <v>-825.54297839000003</v>
      </c>
      <c r="S6190" s="9"/>
      <c r="T6190" s="2"/>
      <c r="U6190" s="9"/>
    </row>
    <row r="6191" spans="2:21" x14ac:dyDescent="0.35">
      <c r="B6191" s="9"/>
      <c r="C6191" s="2"/>
      <c r="D6191" s="2"/>
      <c r="I6191" s="9"/>
      <c r="J6191" s="2"/>
      <c r="L6191" s="9"/>
      <c r="M6191" s="2"/>
      <c r="N6191" s="9"/>
      <c r="P6191" s="3">
        <v>-390.78297838999998</v>
      </c>
      <c r="S6191" s="9"/>
      <c r="T6191" s="2"/>
      <c r="U6191" s="9"/>
    </row>
    <row r="6192" spans="2:21" x14ac:dyDescent="0.35">
      <c r="B6192" s="9"/>
      <c r="C6192" s="2"/>
      <c r="D6192" s="2"/>
      <c r="I6192" s="9"/>
      <c r="J6192" s="2"/>
      <c r="L6192" s="9"/>
      <c r="M6192" s="2"/>
      <c r="N6192" s="9"/>
      <c r="P6192" s="3">
        <v>43.977021610000001</v>
      </c>
      <c r="S6192" s="9"/>
      <c r="T6192" s="2"/>
      <c r="U6192" s="9"/>
    </row>
    <row r="6193" spans="2:21" x14ac:dyDescent="0.35">
      <c r="B6193" s="9"/>
      <c r="C6193" s="2"/>
      <c r="D6193" s="2"/>
      <c r="I6193" s="9"/>
      <c r="J6193" s="2"/>
      <c r="L6193" s="9"/>
      <c r="M6193" s="2"/>
      <c r="N6193" s="9"/>
      <c r="P6193" s="3">
        <v>478.73702161</v>
      </c>
      <c r="S6193" s="9"/>
      <c r="T6193" s="2"/>
      <c r="U6193" s="9"/>
    </row>
    <row r="6194" spans="2:21" x14ac:dyDescent="0.35">
      <c r="B6194" s="9"/>
      <c r="C6194" s="2"/>
      <c r="D6194" s="2"/>
      <c r="I6194" s="9"/>
      <c r="J6194" s="2"/>
      <c r="L6194" s="9"/>
      <c r="M6194" s="2"/>
      <c r="N6194" s="9"/>
      <c r="P6194" s="3">
        <v>590.43209161000004</v>
      </c>
      <c r="S6194" s="9"/>
      <c r="T6194" s="2"/>
      <c r="U6194" s="9"/>
    </row>
    <row r="6195" spans="2:21" x14ac:dyDescent="0.35">
      <c r="B6195" s="9"/>
      <c r="C6195" s="2"/>
      <c r="D6195" s="2"/>
      <c r="I6195" s="9"/>
      <c r="J6195" s="2"/>
      <c r="L6195" s="9"/>
      <c r="M6195" s="2"/>
      <c r="N6195" s="9"/>
      <c r="P6195" s="3">
        <v>634.50037161</v>
      </c>
      <c r="S6195" s="9"/>
      <c r="T6195" s="2"/>
      <c r="U6195" s="9"/>
    </row>
    <row r="6196" spans="2:21" x14ac:dyDescent="0.35">
      <c r="B6196" s="9"/>
      <c r="C6196" s="2"/>
      <c r="D6196" s="2"/>
      <c r="I6196" s="9"/>
      <c r="J6196" s="2"/>
      <c r="L6196" s="9"/>
      <c r="M6196" s="2"/>
      <c r="N6196" s="9"/>
      <c r="P6196" s="3">
        <v>692.85456161000002</v>
      </c>
      <c r="S6196" s="9"/>
      <c r="T6196" s="2"/>
      <c r="U6196" s="9"/>
    </row>
    <row r="6197" spans="2:21" x14ac:dyDescent="0.35">
      <c r="B6197" s="9"/>
      <c r="C6197" s="2"/>
      <c r="D6197" s="2"/>
      <c r="I6197" s="9"/>
      <c r="J6197" s="2"/>
      <c r="L6197" s="9"/>
      <c r="M6197" s="2"/>
      <c r="N6197" s="9"/>
      <c r="P6197" s="3">
        <v>695.29270160999999</v>
      </c>
      <c r="S6197" s="9"/>
      <c r="T6197" s="2"/>
      <c r="U6197" s="9"/>
    </row>
    <row r="6198" spans="2:21" x14ac:dyDescent="0.35">
      <c r="B6198" s="9"/>
      <c r="C6198" s="2"/>
      <c r="D6198" s="2"/>
      <c r="I6198" s="9"/>
      <c r="J6198" s="2"/>
      <c r="L6198" s="9"/>
      <c r="M6198" s="2"/>
      <c r="N6198" s="9"/>
      <c r="P6198" s="3">
        <v>683.40375160999997</v>
      </c>
      <c r="S6198" s="9"/>
      <c r="T6198" s="2"/>
      <c r="U6198" s="9"/>
    </row>
    <row r="6199" spans="2:21" x14ac:dyDescent="0.35">
      <c r="B6199" s="9"/>
      <c r="C6199" s="2"/>
      <c r="D6199" s="2"/>
      <c r="I6199" s="9"/>
      <c r="J6199" s="2"/>
      <c r="L6199" s="9"/>
      <c r="M6199" s="2"/>
      <c r="N6199" s="9"/>
      <c r="P6199" s="3">
        <v>646.16993161000005</v>
      </c>
      <c r="S6199" s="9"/>
      <c r="T6199" s="2"/>
      <c r="U6199" s="9"/>
    </row>
    <row r="6200" spans="2:21" x14ac:dyDescent="0.35">
      <c r="B6200" s="9"/>
      <c r="C6200" s="2"/>
      <c r="D6200" s="2"/>
      <c r="I6200" s="9"/>
      <c r="J6200" s="2"/>
      <c r="L6200" s="9"/>
      <c r="M6200" s="2"/>
      <c r="N6200" s="9"/>
      <c r="P6200" s="3">
        <v>622.76123160999998</v>
      </c>
      <c r="S6200" s="9"/>
      <c r="T6200" s="2"/>
      <c r="U6200" s="9"/>
    </row>
    <row r="6201" spans="2:21" x14ac:dyDescent="0.35">
      <c r="B6201" s="9"/>
      <c r="C6201" s="2"/>
      <c r="D6201" s="2"/>
      <c r="I6201" s="9"/>
      <c r="J6201" s="2"/>
      <c r="L6201" s="9"/>
      <c r="M6201" s="2"/>
      <c r="N6201" s="9"/>
      <c r="P6201" s="3">
        <v>598.79660161000004</v>
      </c>
      <c r="S6201" s="9"/>
      <c r="T6201" s="2"/>
      <c r="U6201" s="9"/>
    </row>
    <row r="6202" spans="2:21" x14ac:dyDescent="0.35">
      <c r="B6202" s="9"/>
      <c r="C6202" s="2"/>
      <c r="D6202" s="2"/>
      <c r="I6202" s="9"/>
      <c r="J6202" s="2"/>
      <c r="L6202" s="9"/>
      <c r="M6202" s="2"/>
      <c r="N6202" s="9"/>
      <c r="P6202" s="3">
        <v>594.45637161000002</v>
      </c>
      <c r="S6202" s="9"/>
      <c r="T6202" s="2"/>
      <c r="U6202" s="9"/>
    </row>
    <row r="6203" spans="2:21" x14ac:dyDescent="0.35">
      <c r="B6203" s="9"/>
      <c r="C6203" s="2"/>
      <c r="D6203" s="2"/>
      <c r="I6203" s="9"/>
      <c r="J6203" s="2"/>
      <c r="L6203" s="9"/>
      <c r="M6203" s="2"/>
      <c r="N6203" s="9"/>
      <c r="P6203" s="3">
        <v>596.77523160999999</v>
      </c>
      <c r="S6203" s="9"/>
      <c r="T6203" s="2"/>
      <c r="U6203" s="9"/>
    </row>
    <row r="6204" spans="2:21" x14ac:dyDescent="0.35">
      <c r="B6204" s="9"/>
      <c r="C6204" s="2"/>
      <c r="D6204" s="2"/>
      <c r="I6204" s="9"/>
      <c r="J6204" s="2"/>
      <c r="L6204" s="9"/>
      <c r="M6204" s="2"/>
      <c r="N6204" s="9"/>
      <c r="P6204" s="3">
        <v>608.30705161000003</v>
      </c>
      <c r="S6204" s="9"/>
      <c r="T6204" s="2"/>
      <c r="U6204" s="9"/>
    </row>
    <row r="6205" spans="2:21" x14ac:dyDescent="0.35">
      <c r="B6205" s="9"/>
      <c r="C6205" s="2"/>
      <c r="D6205" s="2"/>
      <c r="I6205" s="9"/>
      <c r="J6205" s="2"/>
      <c r="L6205" s="9"/>
      <c r="M6205" s="2"/>
      <c r="N6205" s="9"/>
      <c r="P6205" s="3">
        <v>483.74323161000001</v>
      </c>
      <c r="S6205" s="9"/>
      <c r="T6205" s="2"/>
      <c r="U6205" s="9"/>
    </row>
    <row r="6206" spans="2:21" x14ac:dyDescent="0.35">
      <c r="B6206" s="9"/>
      <c r="C6206" s="2"/>
      <c r="D6206" s="2"/>
      <c r="I6206" s="9"/>
      <c r="J6206" s="2"/>
      <c r="L6206" s="9"/>
      <c r="M6206" s="2"/>
      <c r="N6206" s="9"/>
      <c r="P6206" s="3">
        <v>48.983231609999997</v>
      </c>
      <c r="S6206" s="9"/>
      <c r="T6206" s="2"/>
      <c r="U6206" s="9"/>
    </row>
    <row r="6207" spans="2:21" x14ac:dyDescent="0.35">
      <c r="B6207" s="9"/>
      <c r="C6207" s="2"/>
      <c r="D6207" s="2"/>
      <c r="I6207" s="9"/>
      <c r="J6207" s="2"/>
      <c r="L6207" s="9"/>
      <c r="M6207" s="2"/>
      <c r="N6207" s="9"/>
      <c r="P6207" s="3">
        <v>-385.77676838999997</v>
      </c>
      <c r="S6207" s="9"/>
      <c r="T6207" s="2"/>
      <c r="U6207" s="9"/>
    </row>
    <row r="6208" spans="2:21" x14ac:dyDescent="0.35">
      <c r="B6208" s="9"/>
      <c r="C6208" s="2"/>
      <c r="D6208" s="2"/>
      <c r="I6208" s="9"/>
      <c r="J6208" s="2"/>
      <c r="L6208" s="9"/>
      <c r="M6208" s="2"/>
      <c r="N6208" s="9"/>
      <c r="P6208" s="3">
        <v>-820.53676839000002</v>
      </c>
      <c r="S6208" s="9"/>
      <c r="T6208" s="2"/>
      <c r="U6208" s="9"/>
    </row>
    <row r="6209" spans="2:21" x14ac:dyDescent="0.35">
      <c r="B6209" s="9"/>
      <c r="C6209" s="2"/>
      <c r="D6209" s="2"/>
      <c r="I6209" s="9"/>
      <c r="J6209" s="2"/>
      <c r="L6209" s="9"/>
      <c r="M6209" s="2"/>
      <c r="N6209" s="9"/>
      <c r="P6209" s="3">
        <v>-1255.2967683899999</v>
      </c>
      <c r="S6209" s="9"/>
      <c r="T6209" s="2"/>
      <c r="U6209" s="9"/>
    </row>
    <row r="6210" spans="2:21" x14ac:dyDescent="0.35">
      <c r="B6210" s="9"/>
      <c r="C6210" s="2"/>
      <c r="D6210" s="2"/>
      <c r="I6210" s="9"/>
      <c r="J6210" s="2"/>
      <c r="L6210" s="9"/>
      <c r="M6210" s="2"/>
      <c r="N6210" s="9"/>
      <c r="P6210" s="3">
        <v>-1690.0567683899999</v>
      </c>
      <c r="S6210" s="9"/>
      <c r="T6210" s="2"/>
      <c r="U6210" s="9"/>
    </row>
    <row r="6211" spans="2:21" x14ac:dyDescent="0.35">
      <c r="B6211" s="9"/>
      <c r="C6211" s="2"/>
      <c r="D6211" s="2"/>
      <c r="I6211" s="9"/>
      <c r="J6211" s="2"/>
      <c r="L6211" s="9"/>
      <c r="M6211" s="2"/>
      <c r="N6211" s="9"/>
      <c r="P6211" s="3">
        <v>-1884.8130417899999</v>
      </c>
      <c r="S6211" s="9"/>
      <c r="T6211" s="2"/>
      <c r="U6211" s="9"/>
    </row>
    <row r="6212" spans="2:21" x14ac:dyDescent="0.35">
      <c r="B6212" s="9"/>
      <c r="C6212" s="2"/>
      <c r="D6212" s="2"/>
      <c r="I6212" s="9"/>
      <c r="J6212" s="2"/>
      <c r="L6212" s="9"/>
      <c r="M6212" s="2"/>
      <c r="N6212" s="9"/>
      <c r="P6212" s="3">
        <v>-1969.6016509599999</v>
      </c>
      <c r="S6212" s="9"/>
      <c r="T6212" s="2"/>
      <c r="U6212" s="9"/>
    </row>
    <row r="6213" spans="2:21" x14ac:dyDescent="0.35">
      <c r="B6213" s="9"/>
      <c r="C6213" s="2"/>
      <c r="D6213" s="2"/>
      <c r="I6213" s="9"/>
      <c r="J6213" s="2"/>
      <c r="L6213" s="9"/>
      <c r="M6213" s="2"/>
      <c r="N6213" s="9"/>
      <c r="P6213" s="3">
        <v>-2199.3311556200001</v>
      </c>
      <c r="S6213" s="9"/>
      <c r="T6213" s="2"/>
      <c r="U6213" s="9"/>
    </row>
    <row r="6214" spans="2:21" x14ac:dyDescent="0.35">
      <c r="B6214" s="9"/>
      <c r="C6214" s="2"/>
      <c r="D6214" s="2"/>
      <c r="I6214" s="9"/>
      <c r="J6214" s="2"/>
      <c r="L6214" s="9"/>
      <c r="M6214" s="2"/>
      <c r="N6214" s="9"/>
      <c r="P6214" s="3">
        <v>-1959.6415983899999</v>
      </c>
      <c r="S6214" s="9"/>
      <c r="T6214" s="2"/>
      <c r="U6214" s="9"/>
    </row>
    <row r="6215" spans="2:21" x14ac:dyDescent="0.35">
      <c r="B6215" s="9"/>
      <c r="C6215" s="2"/>
      <c r="D6215" s="2"/>
      <c r="I6215" s="9"/>
      <c r="J6215" s="2"/>
      <c r="L6215" s="9"/>
      <c r="M6215" s="2"/>
      <c r="N6215" s="9"/>
      <c r="P6215" s="3">
        <v>-1524.8815983899999</v>
      </c>
      <c r="S6215" s="9"/>
      <c r="T6215" s="2"/>
      <c r="U6215" s="9"/>
    </row>
    <row r="6216" spans="2:21" x14ac:dyDescent="0.35">
      <c r="B6216" s="9"/>
      <c r="C6216" s="2"/>
      <c r="D6216" s="2"/>
      <c r="I6216" s="9"/>
      <c r="J6216" s="2"/>
      <c r="L6216" s="9"/>
      <c r="M6216" s="2"/>
      <c r="N6216" s="9"/>
      <c r="P6216" s="3">
        <v>-1090.1215983899999</v>
      </c>
      <c r="S6216" s="9"/>
      <c r="T6216" s="2"/>
      <c r="U6216" s="9"/>
    </row>
    <row r="6217" spans="2:21" x14ac:dyDescent="0.35">
      <c r="B6217" s="9"/>
      <c r="C6217" s="2"/>
      <c r="D6217" s="2"/>
      <c r="I6217" s="9"/>
      <c r="J6217" s="2"/>
      <c r="L6217" s="9"/>
      <c r="M6217" s="2"/>
      <c r="N6217" s="9"/>
      <c r="P6217" s="3">
        <v>-655.36159839000004</v>
      </c>
      <c r="S6217" s="9"/>
      <c r="T6217" s="2"/>
      <c r="U6217" s="9"/>
    </row>
    <row r="6218" spans="2:21" x14ac:dyDescent="0.35">
      <c r="B6218" s="9"/>
      <c r="C6218" s="2"/>
      <c r="D6218" s="2"/>
      <c r="I6218" s="9"/>
      <c r="J6218" s="2"/>
      <c r="L6218" s="9"/>
      <c r="M6218" s="2"/>
      <c r="N6218" s="9"/>
      <c r="P6218" s="3">
        <v>-543.59623839000005</v>
      </c>
      <c r="S6218" s="9"/>
      <c r="T6218" s="2"/>
      <c r="U6218" s="9"/>
    </row>
    <row r="6219" spans="2:21" x14ac:dyDescent="0.35">
      <c r="B6219" s="9"/>
      <c r="C6219" s="2"/>
      <c r="D6219" s="2"/>
      <c r="I6219" s="9"/>
      <c r="J6219" s="2"/>
      <c r="L6219" s="9"/>
      <c r="M6219" s="2"/>
      <c r="N6219" s="9"/>
      <c r="P6219" s="3">
        <v>-465.56794839000003</v>
      </c>
      <c r="S6219" s="9"/>
      <c r="T6219" s="2"/>
      <c r="U6219" s="9"/>
    </row>
    <row r="6220" spans="2:21" x14ac:dyDescent="0.35">
      <c r="B6220" s="9"/>
      <c r="C6220" s="2"/>
      <c r="D6220" s="2"/>
      <c r="I6220" s="9"/>
      <c r="J6220" s="2"/>
      <c r="L6220" s="9"/>
      <c r="M6220" s="2"/>
      <c r="N6220" s="9"/>
      <c r="P6220" s="3">
        <v>-359.77439838999999</v>
      </c>
      <c r="S6220" s="9"/>
      <c r="T6220" s="2"/>
      <c r="U6220" s="9"/>
    </row>
    <row r="6221" spans="2:21" x14ac:dyDescent="0.35">
      <c r="B6221" s="9"/>
      <c r="C6221" s="2"/>
      <c r="D6221" s="2"/>
      <c r="I6221" s="9"/>
      <c r="J6221" s="2"/>
      <c r="L6221" s="9"/>
      <c r="M6221" s="2"/>
      <c r="N6221" s="9"/>
      <c r="P6221" s="3">
        <v>-418.62274839000003</v>
      </c>
      <c r="S6221" s="9"/>
      <c r="T6221" s="2"/>
      <c r="U6221" s="9"/>
    </row>
    <row r="6222" spans="2:21" x14ac:dyDescent="0.35">
      <c r="B6222" s="9"/>
      <c r="C6222" s="2"/>
      <c r="D6222" s="2"/>
      <c r="I6222" s="9"/>
      <c r="J6222" s="2"/>
      <c r="L6222" s="9"/>
      <c r="M6222" s="2"/>
      <c r="N6222" s="9"/>
      <c r="P6222" s="3">
        <v>-722.39515886000004</v>
      </c>
      <c r="S6222" s="9"/>
      <c r="T6222" s="2"/>
      <c r="U6222" s="9"/>
    </row>
    <row r="6223" spans="2:21" x14ac:dyDescent="0.35">
      <c r="B6223" s="9"/>
      <c r="C6223" s="2"/>
      <c r="D6223" s="2"/>
      <c r="I6223" s="9"/>
      <c r="J6223" s="2"/>
      <c r="L6223" s="9"/>
      <c r="M6223" s="2"/>
      <c r="N6223" s="9"/>
      <c r="P6223" s="3">
        <v>-823.92302886000004</v>
      </c>
      <c r="S6223" s="9"/>
      <c r="T6223" s="2"/>
      <c r="U6223" s="9"/>
    </row>
    <row r="6224" spans="2:21" x14ac:dyDescent="0.35">
      <c r="B6224" s="9"/>
      <c r="C6224" s="2"/>
      <c r="D6224" s="2"/>
      <c r="I6224" s="9"/>
      <c r="J6224" s="2"/>
      <c r="L6224" s="9"/>
      <c r="M6224" s="2"/>
      <c r="N6224" s="9"/>
      <c r="P6224" s="3">
        <v>-929.25720885999999</v>
      </c>
      <c r="S6224" s="9"/>
      <c r="T6224" s="2"/>
      <c r="U6224" s="9"/>
    </row>
    <row r="6225" spans="2:21" x14ac:dyDescent="0.35">
      <c r="B6225" s="9"/>
      <c r="C6225" s="2"/>
      <c r="D6225" s="2"/>
      <c r="I6225" s="9"/>
      <c r="J6225" s="2"/>
      <c r="L6225" s="9"/>
      <c r="M6225" s="2"/>
      <c r="N6225" s="9"/>
      <c r="P6225" s="3">
        <v>-1046.80338886</v>
      </c>
      <c r="S6225" s="9"/>
      <c r="T6225" s="2"/>
      <c r="U6225" s="9"/>
    </row>
    <row r="6226" spans="2:21" x14ac:dyDescent="0.35">
      <c r="B6226" s="9"/>
      <c r="C6226" s="2"/>
      <c r="D6226" s="2"/>
      <c r="I6226" s="9"/>
      <c r="J6226" s="2"/>
      <c r="L6226" s="9"/>
      <c r="M6226" s="2"/>
      <c r="N6226" s="9"/>
      <c r="P6226" s="3">
        <v>-1099.03169886</v>
      </c>
      <c r="S6226" s="9"/>
      <c r="T6226" s="2"/>
      <c r="U6226" s="9"/>
    </row>
    <row r="6227" spans="2:21" x14ac:dyDescent="0.35">
      <c r="B6227" s="9"/>
      <c r="C6227" s="2"/>
      <c r="D6227" s="2"/>
      <c r="I6227" s="9"/>
      <c r="J6227" s="2"/>
      <c r="L6227" s="9"/>
      <c r="M6227" s="2"/>
      <c r="N6227" s="9"/>
      <c r="P6227" s="3">
        <v>-1051.7102923800001</v>
      </c>
      <c r="S6227" s="9"/>
      <c r="T6227" s="2"/>
      <c r="U6227" s="9"/>
    </row>
    <row r="6228" spans="2:21" x14ac:dyDescent="0.35">
      <c r="B6228" s="9"/>
      <c r="C6228" s="2"/>
      <c r="D6228" s="2"/>
      <c r="I6228" s="9"/>
      <c r="J6228" s="2"/>
      <c r="L6228" s="9"/>
      <c r="M6228" s="2"/>
      <c r="N6228" s="9"/>
      <c r="P6228" s="3">
        <v>-960.94398590000003</v>
      </c>
      <c r="S6228" s="9"/>
      <c r="T6228" s="2"/>
      <c r="U6228" s="9"/>
    </row>
    <row r="6229" spans="2:21" x14ac:dyDescent="0.35">
      <c r="B6229" s="9"/>
      <c r="C6229" s="2"/>
      <c r="D6229" s="2"/>
      <c r="I6229" s="9"/>
      <c r="J6229" s="2"/>
      <c r="L6229" s="9"/>
      <c r="M6229" s="2"/>
      <c r="N6229" s="9"/>
      <c r="P6229" s="3">
        <v>-962.24651344999995</v>
      </c>
      <c r="S6229" s="9"/>
      <c r="T6229" s="2"/>
      <c r="U6229" s="9"/>
    </row>
    <row r="6230" spans="2:21" x14ac:dyDescent="0.35">
      <c r="B6230" s="9"/>
      <c r="C6230" s="2"/>
      <c r="D6230" s="2"/>
      <c r="I6230" s="9"/>
      <c r="J6230" s="2"/>
      <c r="L6230" s="9"/>
      <c r="M6230" s="2"/>
      <c r="N6230" s="9"/>
      <c r="P6230" s="3">
        <v>-1397.0065134500001</v>
      </c>
      <c r="S6230" s="9"/>
      <c r="T6230" s="2"/>
      <c r="U6230" s="9"/>
    </row>
    <row r="6231" spans="2:21" x14ac:dyDescent="0.35">
      <c r="B6231" s="9"/>
      <c r="C6231" s="2"/>
      <c r="D6231" s="2"/>
      <c r="I6231" s="9"/>
      <c r="J6231" s="2"/>
      <c r="L6231" s="9"/>
      <c r="M6231" s="2"/>
      <c r="N6231" s="9"/>
      <c r="P6231" s="3">
        <v>-1831.76651345</v>
      </c>
      <c r="S6231" s="9"/>
      <c r="T6231" s="2"/>
      <c r="U6231" s="9"/>
    </row>
    <row r="6232" spans="2:21" x14ac:dyDescent="0.35">
      <c r="B6232" s="9"/>
      <c r="C6232" s="2"/>
      <c r="D6232" s="2"/>
      <c r="I6232" s="9"/>
      <c r="J6232" s="2"/>
      <c r="L6232" s="9"/>
      <c r="M6232" s="2"/>
      <c r="N6232" s="9"/>
      <c r="P6232" s="3">
        <v>-2266.52651345</v>
      </c>
      <c r="S6232" s="9"/>
      <c r="T6232" s="2"/>
      <c r="U6232" s="9"/>
    </row>
    <row r="6233" spans="2:21" x14ac:dyDescent="0.35">
      <c r="B6233" s="9"/>
      <c r="C6233" s="2"/>
      <c r="D6233" s="2"/>
      <c r="I6233" s="9"/>
      <c r="J6233" s="2"/>
      <c r="L6233" s="9"/>
      <c r="M6233" s="2"/>
      <c r="N6233" s="9"/>
      <c r="P6233" s="3">
        <v>-2701.2865134499998</v>
      </c>
      <c r="S6233" s="9"/>
      <c r="T6233" s="2"/>
      <c r="U6233" s="9"/>
    </row>
    <row r="6234" spans="2:21" x14ac:dyDescent="0.35">
      <c r="B6234" s="9"/>
      <c r="C6234" s="2"/>
      <c r="D6234" s="2"/>
      <c r="I6234" s="9"/>
      <c r="J6234" s="2"/>
      <c r="L6234" s="9"/>
      <c r="M6234" s="2"/>
      <c r="N6234" s="9"/>
      <c r="P6234" s="3">
        <v>-2860.169492</v>
      </c>
      <c r="S6234" s="9"/>
      <c r="T6234" s="2"/>
      <c r="U6234" s="9"/>
    </row>
    <row r="6235" spans="2:21" x14ac:dyDescent="0.35">
      <c r="B6235" s="9"/>
      <c r="C6235" s="2"/>
      <c r="D6235" s="2"/>
      <c r="I6235" s="9"/>
      <c r="J6235" s="2"/>
      <c r="L6235" s="9"/>
      <c r="M6235" s="2"/>
      <c r="N6235" s="9"/>
      <c r="P6235" s="3">
        <v>-2860.169492</v>
      </c>
      <c r="S6235" s="9"/>
      <c r="T6235" s="2"/>
      <c r="U6235" s="9"/>
    </row>
    <row r="6236" spans="2:21" x14ac:dyDescent="0.35">
      <c r="B6236" s="9"/>
      <c r="C6236" s="2"/>
      <c r="D6236" s="2"/>
      <c r="I6236" s="9"/>
      <c r="J6236" s="2"/>
      <c r="L6236" s="9"/>
      <c r="M6236" s="2"/>
      <c r="N6236" s="9"/>
      <c r="P6236" s="3">
        <v>-2860.169492</v>
      </c>
      <c r="S6236" s="9"/>
      <c r="T6236" s="2"/>
      <c r="U6236" s="9"/>
    </row>
    <row r="6237" spans="2:21" x14ac:dyDescent="0.35">
      <c r="B6237" s="9"/>
      <c r="C6237" s="2"/>
      <c r="D6237" s="2"/>
      <c r="I6237" s="9"/>
      <c r="J6237" s="2"/>
      <c r="L6237" s="9"/>
      <c r="M6237" s="2"/>
      <c r="N6237" s="9"/>
      <c r="P6237" s="3">
        <v>-2860.169492</v>
      </c>
      <c r="S6237" s="9"/>
      <c r="T6237" s="2"/>
      <c r="U6237" s="9"/>
    </row>
    <row r="6238" spans="2:21" x14ac:dyDescent="0.35">
      <c r="B6238" s="9"/>
      <c r="C6238" s="2"/>
      <c r="D6238" s="2"/>
      <c r="I6238" s="9"/>
      <c r="J6238" s="2"/>
      <c r="L6238" s="9"/>
      <c r="M6238" s="2"/>
      <c r="N6238" s="9"/>
      <c r="P6238" s="3">
        <v>-2860.169492</v>
      </c>
      <c r="S6238" s="9"/>
      <c r="T6238" s="2"/>
      <c r="U6238" s="9"/>
    </row>
    <row r="6239" spans="2:21" x14ac:dyDescent="0.35">
      <c r="B6239" s="9"/>
      <c r="C6239" s="2"/>
      <c r="D6239" s="2"/>
      <c r="I6239" s="9"/>
      <c r="J6239" s="2"/>
      <c r="L6239" s="9"/>
      <c r="M6239" s="2"/>
      <c r="N6239" s="9"/>
      <c r="P6239" s="3">
        <v>-2860.169492</v>
      </c>
      <c r="S6239" s="9"/>
      <c r="T6239" s="2"/>
      <c r="U6239" s="9"/>
    </row>
    <row r="6240" spans="2:21" x14ac:dyDescent="0.35">
      <c r="B6240" s="9"/>
      <c r="C6240" s="2"/>
      <c r="D6240" s="2"/>
      <c r="I6240" s="9"/>
      <c r="J6240" s="2"/>
      <c r="L6240" s="9"/>
      <c r="M6240" s="2"/>
      <c r="N6240" s="9"/>
      <c r="P6240" s="3">
        <v>-2860.169492</v>
      </c>
      <c r="S6240" s="9"/>
      <c r="T6240" s="2"/>
      <c r="U6240" s="9"/>
    </row>
    <row r="6241" spans="2:21" x14ac:dyDescent="0.35">
      <c r="B6241" s="9"/>
      <c r="C6241" s="2"/>
      <c r="D6241" s="2"/>
      <c r="I6241" s="9"/>
      <c r="J6241" s="2"/>
      <c r="L6241" s="9"/>
      <c r="M6241" s="2"/>
      <c r="N6241" s="9"/>
      <c r="P6241" s="3">
        <v>-2860.169492</v>
      </c>
      <c r="S6241" s="9"/>
      <c r="T6241" s="2"/>
      <c r="U6241" s="9"/>
    </row>
    <row r="6242" spans="2:21" x14ac:dyDescent="0.35">
      <c r="B6242" s="9"/>
      <c r="C6242" s="2"/>
      <c r="D6242" s="2"/>
      <c r="I6242" s="9"/>
      <c r="J6242" s="2"/>
      <c r="L6242" s="9"/>
      <c r="M6242" s="2"/>
      <c r="N6242" s="9"/>
      <c r="P6242" s="3">
        <v>-2860.169492</v>
      </c>
      <c r="S6242" s="9"/>
      <c r="T6242" s="2"/>
      <c r="U6242" s="9"/>
    </row>
    <row r="6243" spans="2:21" x14ac:dyDescent="0.35">
      <c r="B6243" s="9"/>
      <c r="C6243" s="2"/>
      <c r="D6243" s="2"/>
      <c r="I6243" s="9"/>
      <c r="J6243" s="2"/>
      <c r="L6243" s="9"/>
      <c r="M6243" s="2"/>
      <c r="N6243" s="9"/>
      <c r="P6243" s="3">
        <v>-2860.169492</v>
      </c>
      <c r="S6243" s="9"/>
      <c r="T6243" s="2"/>
      <c r="U6243" s="9"/>
    </row>
    <row r="6244" spans="2:21" x14ac:dyDescent="0.35">
      <c r="B6244" s="9"/>
      <c r="C6244" s="2"/>
      <c r="D6244" s="2"/>
      <c r="I6244" s="9"/>
      <c r="J6244" s="2"/>
      <c r="L6244" s="9"/>
      <c r="M6244" s="2"/>
      <c r="N6244" s="9"/>
      <c r="P6244" s="3">
        <v>-2860.169492</v>
      </c>
      <c r="S6244" s="9"/>
      <c r="T6244" s="2"/>
      <c r="U6244" s="9"/>
    </row>
    <row r="6245" spans="2:21" x14ac:dyDescent="0.35">
      <c r="B6245" s="9"/>
      <c r="C6245" s="2"/>
      <c r="D6245" s="2"/>
      <c r="I6245" s="9"/>
      <c r="J6245" s="2"/>
      <c r="L6245" s="9"/>
      <c r="M6245" s="2"/>
      <c r="N6245" s="9"/>
      <c r="P6245" s="3">
        <v>-2860.169492</v>
      </c>
      <c r="S6245" s="9"/>
      <c r="T6245" s="2"/>
      <c r="U6245" s="9"/>
    </row>
    <row r="6246" spans="2:21" x14ac:dyDescent="0.35">
      <c r="B6246" s="9"/>
      <c r="C6246" s="2"/>
      <c r="D6246" s="2"/>
      <c r="I6246" s="9"/>
      <c r="J6246" s="2"/>
      <c r="L6246" s="9"/>
      <c r="M6246" s="2"/>
      <c r="N6246" s="9"/>
      <c r="P6246" s="3">
        <v>-2860.169492</v>
      </c>
      <c r="S6246" s="9"/>
      <c r="T6246" s="2"/>
      <c r="U6246" s="9"/>
    </row>
    <row r="6247" spans="2:21" x14ac:dyDescent="0.35">
      <c r="B6247" s="9"/>
      <c r="C6247" s="2"/>
      <c r="D6247" s="2"/>
      <c r="I6247" s="9"/>
      <c r="J6247" s="2"/>
      <c r="L6247" s="9"/>
      <c r="M6247" s="2"/>
      <c r="N6247" s="9"/>
      <c r="P6247" s="3">
        <v>-2860.169492</v>
      </c>
      <c r="S6247" s="9"/>
      <c r="T6247" s="2"/>
      <c r="U6247" s="9"/>
    </row>
    <row r="6248" spans="2:21" x14ac:dyDescent="0.35">
      <c r="B6248" s="9"/>
      <c r="C6248" s="2"/>
      <c r="D6248" s="2"/>
      <c r="I6248" s="9"/>
      <c r="J6248" s="2"/>
      <c r="L6248" s="9"/>
      <c r="M6248" s="2"/>
      <c r="N6248" s="9"/>
      <c r="P6248" s="3">
        <v>-2860.169492</v>
      </c>
      <c r="S6248" s="9"/>
      <c r="T6248" s="2"/>
      <c r="U6248" s="9"/>
    </row>
    <row r="6249" spans="2:21" x14ac:dyDescent="0.35">
      <c r="B6249" s="9"/>
      <c r="C6249" s="2"/>
      <c r="D6249" s="2"/>
      <c r="I6249" s="9"/>
      <c r="J6249" s="2"/>
      <c r="L6249" s="9"/>
      <c r="M6249" s="2"/>
      <c r="N6249" s="9"/>
      <c r="P6249" s="3">
        <v>-2860.169492</v>
      </c>
      <c r="S6249" s="9"/>
      <c r="T6249" s="2"/>
      <c r="U6249" s="9"/>
    </row>
    <row r="6250" spans="2:21" x14ac:dyDescent="0.35">
      <c r="B6250" s="9"/>
      <c r="C6250" s="2"/>
      <c r="D6250" s="2"/>
      <c r="I6250" s="9"/>
      <c r="J6250" s="2"/>
      <c r="L6250" s="9"/>
      <c r="M6250" s="2"/>
      <c r="N6250" s="9"/>
      <c r="P6250" s="3">
        <v>-2860.169492</v>
      </c>
      <c r="S6250" s="9"/>
      <c r="T6250" s="2"/>
      <c r="U6250" s="9"/>
    </row>
    <row r="6251" spans="2:21" x14ac:dyDescent="0.35">
      <c r="B6251" s="9"/>
      <c r="C6251" s="2"/>
      <c r="D6251" s="2"/>
      <c r="I6251" s="9"/>
      <c r="J6251" s="2"/>
      <c r="L6251" s="9"/>
      <c r="M6251" s="2"/>
      <c r="N6251" s="9"/>
      <c r="P6251" s="3">
        <v>-2860.169492</v>
      </c>
      <c r="S6251" s="9"/>
      <c r="T6251" s="2"/>
      <c r="U6251" s="9"/>
    </row>
    <row r="6252" spans="2:21" x14ac:dyDescent="0.35">
      <c r="B6252" s="9"/>
      <c r="C6252" s="2"/>
      <c r="D6252" s="2"/>
      <c r="I6252" s="9"/>
      <c r="J6252" s="2"/>
      <c r="L6252" s="9"/>
      <c r="M6252" s="2"/>
      <c r="N6252" s="9"/>
      <c r="P6252" s="3">
        <v>-2860.169492</v>
      </c>
      <c r="S6252" s="9"/>
      <c r="T6252" s="2"/>
      <c r="U6252" s="9"/>
    </row>
    <row r="6253" spans="2:21" x14ac:dyDescent="0.35">
      <c r="B6253" s="9"/>
      <c r="C6253" s="2"/>
      <c r="D6253" s="2"/>
      <c r="I6253" s="9"/>
      <c r="J6253" s="2"/>
      <c r="L6253" s="9"/>
      <c r="M6253" s="2"/>
      <c r="N6253" s="9"/>
      <c r="P6253" s="3">
        <v>-2860.169492</v>
      </c>
      <c r="S6253" s="9"/>
      <c r="T6253" s="2"/>
      <c r="U6253" s="9"/>
    </row>
    <row r="6254" spans="2:21" x14ac:dyDescent="0.35">
      <c r="B6254" s="9"/>
      <c r="C6254" s="2"/>
      <c r="D6254" s="2"/>
      <c r="I6254" s="9"/>
      <c r="J6254" s="2"/>
      <c r="L6254" s="9"/>
      <c r="M6254" s="2"/>
      <c r="N6254" s="9"/>
      <c r="P6254" s="3">
        <v>-2860.169492</v>
      </c>
      <c r="S6254" s="9"/>
      <c r="T6254" s="2"/>
      <c r="U6254" s="9"/>
    </row>
    <row r="6255" spans="2:21" x14ac:dyDescent="0.35">
      <c r="B6255" s="9"/>
      <c r="C6255" s="2"/>
      <c r="D6255" s="2"/>
      <c r="I6255" s="9"/>
      <c r="J6255" s="2"/>
      <c r="L6255" s="9"/>
      <c r="M6255" s="2"/>
      <c r="N6255" s="9"/>
      <c r="P6255" s="3">
        <v>-2425.4094919999998</v>
      </c>
      <c r="S6255" s="9"/>
      <c r="T6255" s="2"/>
      <c r="U6255" s="9"/>
    </row>
    <row r="6256" spans="2:21" x14ac:dyDescent="0.35">
      <c r="B6256" s="9"/>
      <c r="C6256" s="2"/>
      <c r="D6256" s="2"/>
      <c r="I6256" s="9"/>
      <c r="J6256" s="2"/>
      <c r="L6256" s="9"/>
      <c r="M6256" s="2"/>
      <c r="N6256" s="9"/>
      <c r="P6256" s="3">
        <v>-1990.649492</v>
      </c>
      <c r="S6256" s="9"/>
      <c r="T6256" s="2"/>
      <c r="U6256" s="9"/>
    </row>
    <row r="6257" spans="2:21" x14ac:dyDescent="0.35">
      <c r="B6257" s="9"/>
      <c r="C6257" s="2"/>
      <c r="D6257" s="2"/>
      <c r="I6257" s="9"/>
      <c r="J6257" s="2"/>
      <c r="L6257" s="9"/>
      <c r="M6257" s="2"/>
      <c r="N6257" s="9"/>
      <c r="P6257" s="3">
        <v>-1555.889492</v>
      </c>
      <c r="S6257" s="9"/>
      <c r="T6257" s="2"/>
      <c r="U6257" s="9"/>
    </row>
    <row r="6258" spans="2:21" x14ac:dyDescent="0.35">
      <c r="B6258" s="9"/>
      <c r="C6258" s="2"/>
      <c r="D6258" s="2"/>
      <c r="I6258" s="9"/>
      <c r="J6258" s="2"/>
      <c r="L6258" s="9"/>
      <c r="M6258" s="2"/>
      <c r="N6258" s="9"/>
      <c r="P6258" s="3">
        <v>-1121.129492</v>
      </c>
      <c r="S6258" s="9"/>
      <c r="T6258" s="2"/>
      <c r="U6258" s="9"/>
    </row>
    <row r="6259" spans="2:21" x14ac:dyDescent="0.35">
      <c r="B6259" s="9"/>
      <c r="C6259" s="2"/>
      <c r="D6259" s="2"/>
      <c r="I6259" s="9"/>
      <c r="J6259" s="2"/>
      <c r="L6259" s="9"/>
      <c r="M6259" s="2"/>
      <c r="N6259" s="9"/>
      <c r="P6259" s="3">
        <v>-686.36949200000004</v>
      </c>
      <c r="S6259" s="9"/>
      <c r="T6259" s="2"/>
      <c r="U6259" s="9"/>
    </row>
    <row r="6260" spans="2:21" x14ac:dyDescent="0.35">
      <c r="B6260" s="9"/>
      <c r="C6260" s="2"/>
      <c r="D6260" s="2"/>
      <c r="I6260" s="9"/>
      <c r="J6260" s="2"/>
      <c r="L6260" s="9"/>
      <c r="M6260" s="2"/>
      <c r="N6260" s="9"/>
      <c r="P6260" s="3">
        <v>-1121.129492</v>
      </c>
      <c r="S6260" s="9"/>
      <c r="T6260" s="2"/>
      <c r="U6260" s="9"/>
    </row>
    <row r="6261" spans="2:21" x14ac:dyDescent="0.35">
      <c r="B6261" s="9"/>
      <c r="C6261" s="2"/>
      <c r="D6261" s="2"/>
      <c r="I6261" s="9"/>
      <c r="J6261" s="2"/>
      <c r="L6261" s="9"/>
      <c r="M6261" s="2"/>
      <c r="N6261" s="9"/>
      <c r="P6261" s="3">
        <v>-1555.889492</v>
      </c>
      <c r="S6261" s="9"/>
      <c r="T6261" s="2"/>
      <c r="U6261" s="9"/>
    </row>
    <row r="6262" spans="2:21" x14ac:dyDescent="0.35">
      <c r="B6262" s="9"/>
      <c r="C6262" s="2"/>
      <c r="D6262" s="2"/>
      <c r="I6262" s="9"/>
      <c r="J6262" s="2"/>
      <c r="L6262" s="9"/>
      <c r="M6262" s="2"/>
      <c r="N6262" s="9"/>
      <c r="P6262" s="3">
        <v>-1990.649492</v>
      </c>
      <c r="S6262" s="9"/>
      <c r="T6262" s="2"/>
      <c r="U6262" s="9"/>
    </row>
    <row r="6263" spans="2:21" x14ac:dyDescent="0.35">
      <c r="B6263" s="9"/>
      <c r="C6263" s="2"/>
      <c r="D6263" s="2"/>
      <c r="I6263" s="9"/>
      <c r="J6263" s="2"/>
      <c r="L6263" s="9"/>
      <c r="M6263" s="2"/>
      <c r="N6263" s="9"/>
      <c r="P6263" s="3">
        <v>-2425.4094919999998</v>
      </c>
      <c r="S6263" s="9"/>
      <c r="T6263" s="2"/>
      <c r="U6263" s="9"/>
    </row>
    <row r="6264" spans="2:21" x14ac:dyDescent="0.35">
      <c r="B6264" s="9"/>
      <c r="C6264" s="2"/>
      <c r="D6264" s="2"/>
      <c r="I6264" s="9"/>
      <c r="J6264" s="2"/>
      <c r="L6264" s="9"/>
      <c r="M6264" s="2"/>
      <c r="N6264" s="9"/>
      <c r="P6264" s="3">
        <v>-2860.169492</v>
      </c>
      <c r="S6264" s="9"/>
      <c r="T6264" s="2"/>
      <c r="U6264" s="9"/>
    </row>
    <row r="6265" spans="2:21" x14ac:dyDescent="0.35">
      <c r="B6265" s="9"/>
      <c r="C6265" s="2"/>
      <c r="D6265" s="2"/>
      <c r="I6265" s="9"/>
      <c r="J6265" s="2"/>
      <c r="L6265" s="9"/>
      <c r="M6265" s="2"/>
      <c r="N6265" s="9"/>
      <c r="P6265" s="3">
        <v>-2860.169492</v>
      </c>
      <c r="S6265" s="9"/>
      <c r="T6265" s="2"/>
      <c r="U6265" s="9"/>
    </row>
    <row r="6266" spans="2:21" x14ac:dyDescent="0.35">
      <c r="B6266" s="9"/>
      <c r="C6266" s="2"/>
      <c r="D6266" s="2"/>
      <c r="I6266" s="9"/>
      <c r="J6266" s="2"/>
      <c r="L6266" s="9"/>
      <c r="M6266" s="2"/>
      <c r="N6266" s="9"/>
      <c r="P6266" s="3">
        <v>-2860.169492</v>
      </c>
      <c r="S6266" s="9"/>
      <c r="T6266" s="2"/>
      <c r="U6266" s="9"/>
    </row>
    <row r="6267" spans="2:21" x14ac:dyDescent="0.35">
      <c r="B6267" s="9"/>
      <c r="C6267" s="2"/>
      <c r="D6267" s="2"/>
      <c r="I6267" s="9"/>
      <c r="J6267" s="2"/>
      <c r="L6267" s="9"/>
      <c r="M6267" s="2"/>
      <c r="N6267" s="9"/>
      <c r="P6267" s="3">
        <v>-2860.169492</v>
      </c>
      <c r="S6267" s="9"/>
      <c r="T6267" s="2"/>
      <c r="U6267" s="9"/>
    </row>
    <row r="6268" spans="2:21" x14ac:dyDescent="0.35">
      <c r="B6268" s="9"/>
      <c r="C6268" s="2"/>
      <c r="D6268" s="2"/>
      <c r="I6268" s="9"/>
      <c r="J6268" s="2"/>
      <c r="L6268" s="9"/>
      <c r="M6268" s="2"/>
      <c r="N6268" s="9"/>
      <c r="P6268" s="3">
        <v>-2860.169492</v>
      </c>
      <c r="S6268" s="9"/>
      <c r="T6268" s="2"/>
      <c r="U6268" s="9"/>
    </row>
    <row r="6269" spans="2:21" x14ac:dyDescent="0.35">
      <c r="B6269" s="9"/>
      <c r="C6269" s="2"/>
      <c r="D6269" s="2"/>
      <c r="I6269" s="9"/>
      <c r="J6269" s="2"/>
      <c r="L6269" s="9"/>
      <c r="M6269" s="2"/>
      <c r="N6269" s="9"/>
      <c r="P6269" s="3">
        <v>-2860.169492</v>
      </c>
      <c r="S6269" s="9"/>
      <c r="T6269" s="2"/>
      <c r="U6269" s="9"/>
    </row>
    <row r="6270" spans="2:21" x14ac:dyDescent="0.35">
      <c r="B6270" s="9"/>
      <c r="C6270" s="2"/>
      <c r="D6270" s="2"/>
      <c r="I6270" s="9"/>
      <c r="J6270" s="2"/>
      <c r="L6270" s="9"/>
      <c r="M6270" s="2"/>
      <c r="N6270" s="9"/>
      <c r="P6270" s="3">
        <v>-2860.169492</v>
      </c>
      <c r="S6270" s="9"/>
      <c r="T6270" s="2"/>
      <c r="U6270" s="9"/>
    </row>
    <row r="6271" spans="2:21" x14ac:dyDescent="0.35">
      <c r="B6271" s="9"/>
      <c r="C6271" s="2"/>
      <c r="D6271" s="2"/>
      <c r="I6271" s="9"/>
      <c r="J6271" s="2"/>
      <c r="L6271" s="9"/>
      <c r="M6271" s="2"/>
      <c r="N6271" s="9"/>
      <c r="P6271" s="3">
        <v>-2860.169492</v>
      </c>
      <c r="S6271" s="9"/>
      <c r="T6271" s="2"/>
      <c r="U6271" s="9"/>
    </row>
    <row r="6272" spans="2:21" x14ac:dyDescent="0.35">
      <c r="B6272" s="9"/>
      <c r="C6272" s="2"/>
      <c r="D6272" s="2"/>
      <c r="I6272" s="9"/>
      <c r="J6272" s="2"/>
      <c r="L6272" s="9"/>
      <c r="M6272" s="2"/>
      <c r="N6272" s="9"/>
      <c r="P6272" s="3">
        <v>-2860.169492</v>
      </c>
      <c r="S6272" s="9"/>
      <c r="T6272" s="2"/>
      <c r="U6272" s="9"/>
    </row>
    <row r="6273" spans="2:21" x14ac:dyDescent="0.35">
      <c r="B6273" s="9"/>
      <c r="C6273" s="2"/>
      <c r="D6273" s="2"/>
      <c r="I6273" s="9"/>
      <c r="J6273" s="2"/>
      <c r="L6273" s="9"/>
      <c r="M6273" s="2"/>
      <c r="N6273" s="9"/>
      <c r="P6273" s="3">
        <v>-2860.169492</v>
      </c>
      <c r="S6273" s="9"/>
      <c r="T6273" s="2"/>
      <c r="U6273" s="9"/>
    </row>
    <row r="6274" spans="2:21" x14ac:dyDescent="0.35">
      <c r="B6274" s="9"/>
      <c r="C6274" s="2"/>
      <c r="D6274" s="2"/>
      <c r="I6274" s="9"/>
      <c r="J6274" s="2"/>
      <c r="L6274" s="9"/>
      <c r="M6274" s="2"/>
      <c r="N6274" s="9"/>
      <c r="P6274" s="3">
        <v>-2860.169492</v>
      </c>
      <c r="S6274" s="9"/>
      <c r="T6274" s="2"/>
      <c r="U6274" s="9"/>
    </row>
    <row r="6275" spans="2:21" x14ac:dyDescent="0.35">
      <c r="B6275" s="9"/>
      <c r="C6275" s="2"/>
      <c r="D6275" s="2"/>
      <c r="I6275" s="9"/>
      <c r="J6275" s="2"/>
      <c r="L6275" s="9"/>
      <c r="M6275" s="2"/>
      <c r="N6275" s="9"/>
      <c r="P6275" s="3">
        <v>-2860.169492</v>
      </c>
      <c r="S6275" s="9"/>
      <c r="T6275" s="2"/>
      <c r="U6275" s="9"/>
    </row>
    <row r="6276" spans="2:21" x14ac:dyDescent="0.35">
      <c r="B6276" s="9"/>
      <c r="C6276" s="2"/>
      <c r="D6276" s="2"/>
      <c r="I6276" s="9"/>
      <c r="J6276" s="2"/>
      <c r="L6276" s="9"/>
      <c r="M6276" s="2"/>
      <c r="N6276" s="9"/>
      <c r="P6276" s="3">
        <v>-2860.169492</v>
      </c>
      <c r="S6276" s="9"/>
      <c r="T6276" s="2"/>
      <c r="U6276" s="9"/>
    </row>
    <row r="6277" spans="2:21" x14ac:dyDescent="0.35">
      <c r="B6277" s="9"/>
      <c r="C6277" s="2"/>
      <c r="D6277" s="2"/>
      <c r="I6277" s="9"/>
      <c r="J6277" s="2"/>
      <c r="L6277" s="9"/>
      <c r="M6277" s="2"/>
      <c r="N6277" s="9"/>
      <c r="P6277" s="3">
        <v>-2860.169492</v>
      </c>
      <c r="S6277" s="9"/>
      <c r="T6277" s="2"/>
      <c r="U6277" s="9"/>
    </row>
    <row r="6278" spans="2:21" x14ac:dyDescent="0.35">
      <c r="B6278" s="9"/>
      <c r="C6278" s="2"/>
      <c r="D6278" s="2"/>
      <c r="I6278" s="9"/>
      <c r="J6278" s="2"/>
      <c r="L6278" s="9"/>
      <c r="M6278" s="2"/>
      <c r="N6278" s="9"/>
      <c r="P6278" s="3">
        <v>-2860.169492</v>
      </c>
      <c r="S6278" s="9"/>
      <c r="T6278" s="2"/>
      <c r="U6278" s="9"/>
    </row>
    <row r="6279" spans="2:21" x14ac:dyDescent="0.35">
      <c r="B6279" s="9"/>
      <c r="C6279" s="2"/>
      <c r="D6279" s="2"/>
      <c r="I6279" s="9"/>
      <c r="J6279" s="2"/>
      <c r="L6279" s="9"/>
      <c r="M6279" s="2"/>
      <c r="N6279" s="9"/>
      <c r="P6279" s="3">
        <v>-2425.4094919999998</v>
      </c>
      <c r="S6279" s="9"/>
      <c r="T6279" s="2"/>
      <c r="U6279" s="9"/>
    </row>
    <row r="6280" spans="2:21" x14ac:dyDescent="0.35">
      <c r="B6280" s="9"/>
      <c r="C6280" s="2"/>
      <c r="D6280" s="2"/>
      <c r="I6280" s="9"/>
      <c r="J6280" s="2"/>
      <c r="L6280" s="9"/>
      <c r="M6280" s="2"/>
      <c r="N6280" s="9"/>
      <c r="P6280" s="3">
        <v>-1990.649492</v>
      </c>
      <c r="S6280" s="9"/>
      <c r="T6280" s="2"/>
      <c r="U6280" s="9"/>
    </row>
    <row r="6281" spans="2:21" x14ac:dyDescent="0.35">
      <c r="B6281" s="9"/>
      <c r="C6281" s="2"/>
      <c r="D6281" s="2"/>
      <c r="I6281" s="9"/>
      <c r="J6281" s="2"/>
      <c r="L6281" s="9"/>
      <c r="M6281" s="2"/>
      <c r="N6281" s="9"/>
      <c r="P6281" s="3">
        <v>-1555.889492</v>
      </c>
      <c r="S6281" s="9"/>
      <c r="T6281" s="2"/>
      <c r="U6281" s="9"/>
    </row>
    <row r="6282" spans="2:21" x14ac:dyDescent="0.35">
      <c r="B6282" s="9"/>
      <c r="C6282" s="2"/>
      <c r="D6282" s="2"/>
      <c r="I6282" s="9"/>
      <c r="J6282" s="2"/>
      <c r="L6282" s="9"/>
      <c r="M6282" s="2"/>
      <c r="N6282" s="9"/>
      <c r="P6282" s="3">
        <v>-1121.129492</v>
      </c>
      <c r="S6282" s="9"/>
      <c r="T6282" s="2"/>
      <c r="U6282" s="9"/>
    </row>
    <row r="6283" spans="2:21" x14ac:dyDescent="0.35">
      <c r="B6283" s="9"/>
      <c r="C6283" s="2"/>
      <c r="D6283" s="2"/>
      <c r="I6283" s="9"/>
      <c r="J6283" s="2"/>
      <c r="L6283" s="9"/>
      <c r="M6283" s="2"/>
      <c r="N6283" s="9"/>
      <c r="P6283" s="3">
        <v>-686.36949200000004</v>
      </c>
      <c r="S6283" s="9"/>
      <c r="T6283" s="2"/>
      <c r="U6283" s="9"/>
    </row>
    <row r="6284" spans="2:21" x14ac:dyDescent="0.35">
      <c r="B6284" s="9"/>
      <c r="C6284" s="2"/>
      <c r="D6284" s="2"/>
      <c r="I6284" s="9"/>
      <c r="J6284" s="2"/>
      <c r="L6284" s="9"/>
      <c r="M6284" s="2"/>
      <c r="N6284" s="9"/>
      <c r="P6284" s="3">
        <v>-1121.129492</v>
      </c>
      <c r="S6284" s="9"/>
      <c r="T6284" s="2"/>
      <c r="U6284" s="9"/>
    </row>
    <row r="6285" spans="2:21" x14ac:dyDescent="0.35">
      <c r="B6285" s="9"/>
      <c r="C6285" s="2"/>
      <c r="D6285" s="2"/>
      <c r="I6285" s="9"/>
      <c r="J6285" s="2"/>
      <c r="L6285" s="9"/>
      <c r="M6285" s="2"/>
      <c r="N6285" s="9"/>
      <c r="P6285" s="3">
        <v>-1555.889492</v>
      </c>
      <c r="S6285" s="9"/>
      <c r="T6285" s="2"/>
      <c r="U6285" s="9"/>
    </row>
    <row r="6286" spans="2:21" x14ac:dyDescent="0.35">
      <c r="B6286" s="9"/>
      <c r="C6286" s="2"/>
      <c r="D6286" s="2"/>
      <c r="I6286" s="9"/>
      <c r="J6286" s="2"/>
      <c r="L6286" s="9"/>
      <c r="M6286" s="2"/>
      <c r="N6286" s="9"/>
      <c r="P6286" s="3">
        <v>-1990.649492</v>
      </c>
      <c r="S6286" s="9"/>
      <c r="T6286" s="2"/>
      <c r="U6286" s="9"/>
    </row>
    <row r="6287" spans="2:21" x14ac:dyDescent="0.35">
      <c r="B6287" s="9"/>
      <c r="C6287" s="2"/>
      <c r="D6287" s="2"/>
      <c r="I6287" s="9"/>
      <c r="J6287" s="2"/>
      <c r="L6287" s="9"/>
      <c r="M6287" s="2"/>
      <c r="N6287" s="9"/>
      <c r="P6287" s="3">
        <v>-2425.4094919999998</v>
      </c>
      <c r="S6287" s="9"/>
      <c r="T6287" s="2"/>
      <c r="U6287" s="9"/>
    </row>
    <row r="6288" spans="2:21" x14ac:dyDescent="0.35">
      <c r="B6288" s="9"/>
      <c r="C6288" s="2"/>
      <c r="D6288" s="2"/>
      <c r="I6288" s="9"/>
      <c r="J6288" s="2"/>
      <c r="L6288" s="9"/>
      <c r="M6288" s="2"/>
      <c r="N6288" s="9"/>
      <c r="P6288" s="3">
        <v>-2860.169492</v>
      </c>
      <c r="S6288" s="9"/>
      <c r="T6288" s="2"/>
      <c r="U6288" s="9"/>
    </row>
    <row r="6289" spans="2:21" x14ac:dyDescent="0.35">
      <c r="B6289" s="9"/>
      <c r="C6289" s="2"/>
      <c r="D6289" s="2"/>
      <c r="I6289" s="9"/>
      <c r="J6289" s="2"/>
      <c r="L6289" s="9"/>
      <c r="M6289" s="2"/>
      <c r="N6289" s="9"/>
      <c r="P6289" s="3">
        <v>-2860.169492</v>
      </c>
      <c r="S6289" s="9"/>
      <c r="T6289" s="2"/>
      <c r="U6289" s="9"/>
    </row>
    <row r="6290" spans="2:21" x14ac:dyDescent="0.35">
      <c r="B6290" s="9"/>
      <c r="C6290" s="2"/>
      <c r="D6290" s="2"/>
      <c r="I6290" s="9"/>
      <c r="J6290" s="2"/>
      <c r="L6290" s="9"/>
      <c r="M6290" s="2"/>
      <c r="N6290" s="9"/>
      <c r="P6290" s="3">
        <v>-2860.169492</v>
      </c>
      <c r="S6290" s="9"/>
      <c r="T6290" s="2"/>
      <c r="U6290" s="9"/>
    </row>
    <row r="6291" spans="2:21" x14ac:dyDescent="0.35">
      <c r="B6291" s="9"/>
      <c r="C6291" s="2"/>
      <c r="D6291" s="2"/>
      <c r="I6291" s="9"/>
      <c r="J6291" s="2"/>
      <c r="L6291" s="9"/>
      <c r="M6291" s="2"/>
      <c r="N6291" s="9"/>
      <c r="P6291" s="3">
        <v>-2860.169492</v>
      </c>
      <c r="S6291" s="9"/>
      <c r="T6291" s="2"/>
      <c r="U6291" s="9"/>
    </row>
    <row r="6292" spans="2:21" x14ac:dyDescent="0.35">
      <c r="B6292" s="9"/>
      <c r="C6292" s="2"/>
      <c r="D6292" s="2"/>
      <c r="I6292" s="9"/>
      <c r="J6292" s="2"/>
      <c r="L6292" s="9"/>
      <c r="M6292" s="2"/>
      <c r="N6292" s="9"/>
      <c r="P6292" s="3">
        <v>-2860.169492</v>
      </c>
      <c r="S6292" s="9"/>
      <c r="T6292" s="2"/>
      <c r="U6292" s="9"/>
    </row>
    <row r="6293" spans="2:21" x14ac:dyDescent="0.35">
      <c r="B6293" s="9"/>
      <c r="C6293" s="2"/>
      <c r="D6293" s="2"/>
      <c r="I6293" s="9"/>
      <c r="J6293" s="2"/>
      <c r="L6293" s="9"/>
      <c r="M6293" s="2"/>
      <c r="N6293" s="9"/>
      <c r="P6293" s="3">
        <v>-2860.169492</v>
      </c>
      <c r="S6293" s="9"/>
      <c r="T6293" s="2"/>
      <c r="U6293" s="9"/>
    </row>
    <row r="6294" spans="2:21" x14ac:dyDescent="0.35">
      <c r="B6294" s="9"/>
      <c r="C6294" s="2"/>
      <c r="D6294" s="2"/>
      <c r="I6294" s="9"/>
      <c r="J6294" s="2"/>
      <c r="L6294" s="9"/>
      <c r="M6294" s="2"/>
      <c r="N6294" s="9"/>
      <c r="P6294" s="3">
        <v>-2485.5260888600001</v>
      </c>
      <c r="S6294" s="9"/>
      <c r="T6294" s="2"/>
      <c r="U6294" s="9"/>
    </row>
    <row r="6295" spans="2:21" x14ac:dyDescent="0.35">
      <c r="B6295" s="9"/>
      <c r="C6295" s="2"/>
      <c r="D6295" s="2"/>
      <c r="I6295" s="9"/>
      <c r="J6295" s="2"/>
      <c r="L6295" s="9"/>
      <c r="M6295" s="2"/>
      <c r="N6295" s="9"/>
      <c r="P6295" s="3">
        <v>-2202.97235886</v>
      </c>
      <c r="S6295" s="9"/>
      <c r="T6295" s="2"/>
      <c r="U6295" s="9"/>
    </row>
    <row r="6296" spans="2:21" x14ac:dyDescent="0.35">
      <c r="B6296" s="9"/>
      <c r="C6296" s="2"/>
      <c r="D6296" s="2"/>
      <c r="I6296" s="9"/>
      <c r="J6296" s="2"/>
      <c r="L6296" s="9"/>
      <c r="M6296" s="2"/>
      <c r="N6296" s="9"/>
      <c r="P6296" s="3">
        <v>-1871.46838886</v>
      </c>
      <c r="S6296" s="9"/>
      <c r="T6296" s="2"/>
      <c r="U6296" s="9"/>
    </row>
    <row r="6297" spans="2:21" x14ac:dyDescent="0.35">
      <c r="B6297" s="9"/>
      <c r="C6297" s="2"/>
      <c r="D6297" s="2"/>
      <c r="I6297" s="9"/>
      <c r="J6297" s="2"/>
      <c r="L6297" s="9"/>
      <c r="M6297" s="2"/>
      <c r="N6297" s="9"/>
      <c r="P6297" s="3">
        <v>-1487.65019886</v>
      </c>
      <c r="S6297" s="9"/>
      <c r="T6297" s="2"/>
      <c r="U6297" s="9"/>
    </row>
    <row r="6298" spans="2:21" x14ac:dyDescent="0.35">
      <c r="B6298" s="9"/>
      <c r="C6298" s="2"/>
      <c r="D6298" s="2"/>
      <c r="I6298" s="9"/>
      <c r="J6298" s="2"/>
      <c r="L6298" s="9"/>
      <c r="M6298" s="2"/>
      <c r="N6298" s="9"/>
      <c r="P6298" s="3">
        <v>-1146.4043188600001</v>
      </c>
      <c r="S6298" s="9"/>
      <c r="T6298" s="2"/>
      <c r="U6298" s="9"/>
    </row>
    <row r="6299" spans="2:21" x14ac:dyDescent="0.35">
      <c r="B6299" s="9"/>
      <c r="C6299" s="2"/>
      <c r="D6299" s="2"/>
      <c r="I6299" s="9"/>
      <c r="J6299" s="2"/>
      <c r="L6299" s="9"/>
      <c r="M6299" s="2"/>
      <c r="N6299" s="9"/>
      <c r="P6299" s="3">
        <v>-792.07536238</v>
      </c>
      <c r="S6299" s="9"/>
      <c r="T6299" s="2"/>
      <c r="U6299" s="9"/>
    </row>
    <row r="6300" spans="2:21" x14ac:dyDescent="0.35">
      <c r="B6300" s="9"/>
      <c r="C6300" s="2"/>
      <c r="D6300" s="2"/>
      <c r="I6300" s="9"/>
      <c r="J6300" s="2"/>
      <c r="L6300" s="9"/>
      <c r="M6300" s="2"/>
      <c r="N6300" s="9"/>
      <c r="P6300" s="3">
        <v>-372.79844589999999</v>
      </c>
      <c r="S6300" s="9"/>
      <c r="T6300" s="2"/>
      <c r="U6300" s="9"/>
    </row>
    <row r="6301" spans="2:21" x14ac:dyDescent="0.35">
      <c r="B6301" s="9"/>
      <c r="C6301" s="2"/>
      <c r="D6301" s="2"/>
      <c r="I6301" s="9"/>
      <c r="J6301" s="2"/>
      <c r="L6301" s="9"/>
      <c r="M6301" s="2"/>
      <c r="N6301" s="9"/>
      <c r="P6301" s="3">
        <v>-32.202603449999998</v>
      </c>
      <c r="S6301" s="9"/>
      <c r="T6301" s="2"/>
      <c r="U6301" s="9"/>
    </row>
    <row r="6302" spans="2:21" x14ac:dyDescent="0.35">
      <c r="B6302" s="9"/>
      <c r="C6302" s="2"/>
      <c r="D6302" s="2"/>
      <c r="I6302" s="9"/>
      <c r="J6302" s="2"/>
      <c r="L6302" s="9"/>
      <c r="M6302" s="2"/>
      <c r="N6302" s="9"/>
      <c r="P6302" s="3">
        <v>0</v>
      </c>
      <c r="S6302" s="9"/>
      <c r="T6302" s="2"/>
      <c r="U6302" s="9"/>
    </row>
    <row r="6303" spans="2:21" x14ac:dyDescent="0.35">
      <c r="B6303" s="9"/>
      <c r="C6303" s="2"/>
      <c r="D6303" s="2"/>
      <c r="I6303" s="9"/>
      <c r="J6303" s="2"/>
      <c r="L6303" s="9"/>
      <c r="M6303" s="2"/>
      <c r="N6303" s="9"/>
      <c r="P6303" s="3">
        <v>0</v>
      </c>
      <c r="S6303" s="9"/>
      <c r="T6303" s="2"/>
      <c r="U6303" s="9"/>
    </row>
    <row r="6304" spans="2:21" x14ac:dyDescent="0.35">
      <c r="B6304" s="9"/>
      <c r="C6304" s="2"/>
      <c r="D6304" s="2"/>
      <c r="I6304" s="9"/>
      <c r="J6304" s="2"/>
      <c r="L6304" s="9"/>
      <c r="M6304" s="2"/>
      <c r="N6304" s="9"/>
      <c r="P6304" s="3">
        <v>0</v>
      </c>
      <c r="S6304" s="9"/>
      <c r="T6304" s="2"/>
      <c r="U6304" s="9"/>
    </row>
    <row r="6305" spans="2:21" x14ac:dyDescent="0.35">
      <c r="B6305" s="9"/>
      <c r="C6305" s="2"/>
      <c r="D6305" s="2"/>
      <c r="I6305" s="9"/>
      <c r="J6305" s="2"/>
      <c r="L6305" s="9"/>
      <c r="M6305" s="2"/>
      <c r="N6305" s="9"/>
      <c r="P6305" s="3">
        <v>0</v>
      </c>
      <c r="S6305" s="9"/>
      <c r="T6305" s="2"/>
      <c r="U6305" s="9"/>
    </row>
    <row r="6306" spans="2:21" x14ac:dyDescent="0.35">
      <c r="B6306" s="9"/>
      <c r="C6306" s="2"/>
      <c r="D6306" s="2"/>
      <c r="I6306" s="9"/>
      <c r="J6306" s="2"/>
      <c r="L6306" s="9"/>
      <c r="M6306" s="2"/>
      <c r="N6306" s="9"/>
      <c r="P6306" s="3">
        <v>0</v>
      </c>
      <c r="S6306" s="9"/>
      <c r="T6306" s="2"/>
      <c r="U6306" s="9"/>
    </row>
    <row r="6307" spans="2:21" x14ac:dyDescent="0.35">
      <c r="B6307" s="9"/>
      <c r="C6307" s="2"/>
      <c r="D6307" s="2"/>
      <c r="I6307" s="9"/>
      <c r="J6307" s="2"/>
      <c r="L6307" s="9"/>
      <c r="M6307" s="2"/>
      <c r="N6307" s="9"/>
      <c r="P6307" s="3">
        <v>0</v>
      </c>
      <c r="S6307" s="9"/>
      <c r="T6307" s="2"/>
      <c r="U6307" s="9"/>
    </row>
    <row r="6308" spans="2:21" x14ac:dyDescent="0.35">
      <c r="B6308" s="9"/>
      <c r="C6308" s="2"/>
      <c r="D6308" s="2"/>
      <c r="I6308" s="9"/>
      <c r="J6308" s="2"/>
      <c r="L6308" s="9"/>
      <c r="M6308" s="2"/>
      <c r="N6308" s="9"/>
      <c r="P6308" s="3">
        <v>0</v>
      </c>
      <c r="S6308" s="9"/>
      <c r="T6308" s="2"/>
      <c r="U6308" s="9"/>
    </row>
    <row r="6309" spans="2:21" x14ac:dyDescent="0.35">
      <c r="B6309" s="9"/>
      <c r="C6309" s="2"/>
      <c r="D6309" s="2"/>
      <c r="I6309" s="9"/>
      <c r="J6309" s="2"/>
      <c r="L6309" s="9"/>
      <c r="M6309" s="2"/>
      <c r="N6309" s="9"/>
      <c r="P6309" s="3">
        <v>0</v>
      </c>
      <c r="S6309" s="9"/>
      <c r="T6309" s="2"/>
      <c r="U6309" s="9"/>
    </row>
    <row r="6310" spans="2:21" x14ac:dyDescent="0.35">
      <c r="B6310" s="9"/>
      <c r="C6310" s="2"/>
      <c r="D6310" s="2"/>
      <c r="I6310" s="9"/>
      <c r="J6310" s="2"/>
      <c r="L6310" s="9"/>
      <c r="M6310" s="2"/>
      <c r="N6310" s="9"/>
      <c r="P6310" s="3">
        <v>0</v>
      </c>
      <c r="S6310" s="9"/>
      <c r="T6310" s="2"/>
      <c r="U6310" s="9"/>
    </row>
    <row r="6311" spans="2:21" x14ac:dyDescent="0.35">
      <c r="B6311" s="9"/>
      <c r="C6311" s="2"/>
      <c r="D6311" s="2"/>
      <c r="I6311" s="9"/>
      <c r="J6311" s="2"/>
      <c r="L6311" s="9"/>
      <c r="M6311" s="2"/>
      <c r="N6311" s="9"/>
      <c r="P6311" s="3">
        <v>0</v>
      </c>
      <c r="S6311" s="9"/>
      <c r="T6311" s="2"/>
      <c r="U6311" s="9"/>
    </row>
    <row r="6312" spans="2:21" x14ac:dyDescent="0.35">
      <c r="B6312" s="9"/>
      <c r="C6312" s="2"/>
      <c r="D6312" s="2"/>
      <c r="I6312" s="9"/>
      <c r="J6312" s="2"/>
      <c r="L6312" s="9"/>
      <c r="M6312" s="2"/>
      <c r="N6312" s="9"/>
      <c r="P6312" s="3">
        <v>274.86772227</v>
      </c>
      <c r="S6312" s="9"/>
      <c r="T6312" s="2"/>
      <c r="U6312" s="9"/>
    </row>
    <row r="6313" spans="2:21" x14ac:dyDescent="0.35">
      <c r="B6313" s="9"/>
      <c r="C6313" s="2"/>
      <c r="D6313" s="2"/>
      <c r="I6313" s="9"/>
      <c r="J6313" s="2"/>
      <c r="L6313" s="9"/>
      <c r="M6313" s="2"/>
      <c r="N6313" s="9"/>
      <c r="P6313" s="3">
        <v>709.62772227000005</v>
      </c>
      <c r="S6313" s="9"/>
      <c r="T6313" s="2"/>
      <c r="U6313" s="9"/>
    </row>
    <row r="6314" spans="2:21" x14ac:dyDescent="0.35">
      <c r="B6314" s="9"/>
      <c r="C6314" s="2"/>
      <c r="D6314" s="2"/>
      <c r="I6314" s="9"/>
      <c r="J6314" s="2"/>
      <c r="L6314" s="9"/>
      <c r="M6314" s="2"/>
      <c r="N6314" s="9"/>
      <c r="P6314" s="3">
        <v>681.92190176999998</v>
      </c>
      <c r="S6314" s="9"/>
      <c r="T6314" s="2"/>
      <c r="U6314" s="9"/>
    </row>
    <row r="6315" spans="2:21" x14ac:dyDescent="0.35">
      <c r="B6315" s="9"/>
      <c r="C6315" s="2"/>
      <c r="D6315" s="2"/>
      <c r="I6315" s="9"/>
      <c r="J6315" s="2"/>
      <c r="L6315" s="9"/>
      <c r="M6315" s="2"/>
      <c r="N6315" s="9"/>
      <c r="P6315" s="3">
        <v>619.05622140000003</v>
      </c>
      <c r="S6315" s="9"/>
      <c r="T6315" s="2"/>
      <c r="U6315" s="9"/>
    </row>
    <row r="6316" spans="2:21" x14ac:dyDescent="0.35">
      <c r="B6316" s="9"/>
      <c r="C6316" s="2"/>
      <c r="D6316" s="2"/>
      <c r="I6316" s="9"/>
      <c r="J6316" s="2"/>
      <c r="L6316" s="9"/>
      <c r="M6316" s="2"/>
      <c r="N6316" s="9"/>
      <c r="P6316" s="3">
        <v>580.62808113999995</v>
      </c>
      <c r="S6316" s="9"/>
      <c r="T6316" s="2"/>
      <c r="U6316" s="9"/>
    </row>
    <row r="6317" spans="2:21" x14ac:dyDescent="0.35">
      <c r="B6317" s="9"/>
      <c r="C6317" s="2"/>
      <c r="D6317" s="2"/>
      <c r="I6317" s="9"/>
      <c r="J6317" s="2"/>
      <c r="L6317" s="9"/>
      <c r="M6317" s="2"/>
      <c r="N6317" s="9"/>
      <c r="P6317" s="3">
        <v>574.00733114000002</v>
      </c>
      <c r="S6317" s="9"/>
      <c r="T6317" s="2"/>
      <c r="U6317" s="9"/>
    </row>
    <row r="6318" spans="2:21" x14ac:dyDescent="0.35">
      <c r="B6318" s="9"/>
      <c r="C6318" s="2"/>
      <c r="D6318" s="2"/>
      <c r="I6318" s="9"/>
      <c r="J6318" s="2"/>
      <c r="L6318" s="9"/>
      <c r="M6318" s="2"/>
      <c r="N6318" s="9"/>
      <c r="P6318" s="3">
        <v>570.55602113999998</v>
      </c>
      <c r="S6318" s="9"/>
      <c r="T6318" s="2"/>
      <c r="U6318" s="9"/>
    </row>
    <row r="6319" spans="2:21" x14ac:dyDescent="0.35">
      <c r="B6319" s="9"/>
      <c r="C6319" s="2"/>
      <c r="D6319" s="2"/>
      <c r="I6319" s="9"/>
      <c r="J6319" s="2"/>
      <c r="L6319" s="9"/>
      <c r="M6319" s="2"/>
      <c r="N6319" s="9"/>
      <c r="P6319" s="3">
        <v>543.07334114000003</v>
      </c>
      <c r="S6319" s="9"/>
      <c r="T6319" s="2"/>
      <c r="U6319" s="9"/>
    </row>
    <row r="6320" spans="2:21" x14ac:dyDescent="0.35">
      <c r="B6320" s="9"/>
      <c r="C6320" s="2"/>
      <c r="D6320" s="2"/>
      <c r="I6320" s="9"/>
      <c r="J6320" s="2"/>
      <c r="L6320" s="9"/>
      <c r="M6320" s="2"/>
      <c r="N6320" s="9"/>
      <c r="P6320" s="3">
        <v>525.63219114000003</v>
      </c>
      <c r="S6320" s="9"/>
      <c r="T6320" s="2"/>
      <c r="U6320" s="9"/>
    </row>
    <row r="6321" spans="2:21" x14ac:dyDescent="0.35">
      <c r="B6321" s="9"/>
      <c r="C6321" s="2"/>
      <c r="D6321" s="2"/>
      <c r="I6321" s="9"/>
      <c r="J6321" s="2"/>
      <c r="L6321" s="9"/>
      <c r="M6321" s="2"/>
      <c r="N6321" s="9"/>
      <c r="P6321" s="3">
        <v>518.25529114000005</v>
      </c>
      <c r="S6321" s="9"/>
      <c r="T6321" s="2"/>
      <c r="U6321" s="9"/>
    </row>
    <row r="6322" spans="2:21" x14ac:dyDescent="0.35">
      <c r="B6322" s="9"/>
      <c r="C6322" s="2"/>
      <c r="D6322" s="2"/>
      <c r="I6322" s="9"/>
      <c r="J6322" s="2"/>
      <c r="L6322" s="9"/>
      <c r="M6322" s="2"/>
      <c r="N6322" s="9"/>
      <c r="P6322" s="3">
        <v>514.63145113999997</v>
      </c>
      <c r="S6322" s="9"/>
      <c r="T6322" s="2"/>
      <c r="U6322" s="9"/>
    </row>
    <row r="6323" spans="2:21" x14ac:dyDescent="0.35">
      <c r="B6323" s="9"/>
      <c r="C6323" s="2"/>
      <c r="D6323" s="2"/>
      <c r="I6323" s="9"/>
      <c r="J6323" s="2"/>
      <c r="L6323" s="9"/>
      <c r="M6323" s="2"/>
      <c r="N6323" s="9"/>
      <c r="P6323" s="3">
        <v>611.09053761999996</v>
      </c>
      <c r="S6323" s="9"/>
      <c r="T6323" s="2"/>
      <c r="U6323" s="9"/>
    </row>
    <row r="6324" spans="2:21" x14ac:dyDescent="0.35">
      <c r="B6324" s="9"/>
      <c r="C6324" s="2"/>
      <c r="D6324" s="2"/>
      <c r="I6324" s="9"/>
      <c r="J6324" s="2"/>
      <c r="L6324" s="9"/>
      <c r="M6324" s="2"/>
      <c r="N6324" s="9"/>
      <c r="P6324" s="3">
        <v>662.83453410000004</v>
      </c>
      <c r="S6324" s="9"/>
      <c r="T6324" s="2"/>
      <c r="U6324" s="9"/>
    </row>
    <row r="6325" spans="2:21" x14ac:dyDescent="0.35">
      <c r="B6325" s="9"/>
      <c r="C6325" s="2"/>
      <c r="D6325" s="2"/>
      <c r="I6325" s="9"/>
      <c r="J6325" s="2"/>
      <c r="L6325" s="9"/>
      <c r="M6325" s="2"/>
      <c r="N6325" s="9"/>
      <c r="P6325" s="3">
        <v>633.25625654999999</v>
      </c>
      <c r="S6325" s="9"/>
      <c r="T6325" s="2"/>
      <c r="U6325" s="9"/>
    </row>
    <row r="6326" spans="2:21" x14ac:dyDescent="0.35">
      <c r="B6326" s="9"/>
      <c r="C6326" s="2"/>
      <c r="D6326" s="2"/>
      <c r="I6326" s="9"/>
      <c r="J6326" s="2"/>
      <c r="L6326" s="9"/>
      <c r="M6326" s="2"/>
      <c r="N6326" s="9"/>
      <c r="P6326" s="3">
        <v>198.49625655</v>
      </c>
      <c r="S6326" s="9"/>
      <c r="T6326" s="2"/>
      <c r="U6326" s="9"/>
    </row>
    <row r="6327" spans="2:21" x14ac:dyDescent="0.35">
      <c r="B6327" s="9"/>
      <c r="C6327" s="2"/>
      <c r="D6327" s="2"/>
      <c r="I6327" s="9"/>
      <c r="J6327" s="2"/>
      <c r="L6327" s="9"/>
      <c r="M6327" s="2"/>
      <c r="N6327" s="9"/>
      <c r="P6327" s="3">
        <v>0</v>
      </c>
      <c r="S6327" s="9"/>
      <c r="T6327" s="2"/>
      <c r="U6327" s="9"/>
    </row>
    <row r="6328" spans="2:21" x14ac:dyDescent="0.35">
      <c r="B6328" s="9"/>
      <c r="C6328" s="2"/>
      <c r="D6328" s="2"/>
      <c r="I6328" s="9"/>
      <c r="J6328" s="2"/>
      <c r="L6328" s="9"/>
      <c r="M6328" s="2"/>
      <c r="N6328" s="9"/>
      <c r="P6328" s="3">
        <v>0</v>
      </c>
      <c r="S6328" s="9"/>
      <c r="T6328" s="2"/>
      <c r="U6328" s="9"/>
    </row>
    <row r="6329" spans="2:21" x14ac:dyDescent="0.35">
      <c r="B6329" s="9"/>
      <c r="C6329" s="2"/>
      <c r="D6329" s="2"/>
      <c r="I6329" s="9"/>
      <c r="J6329" s="2"/>
      <c r="L6329" s="9"/>
      <c r="M6329" s="2"/>
      <c r="N6329" s="9"/>
      <c r="P6329" s="3">
        <v>0</v>
      </c>
      <c r="S6329" s="9"/>
      <c r="T6329" s="2"/>
      <c r="U6329" s="9"/>
    </row>
    <row r="6330" spans="2:21" x14ac:dyDescent="0.35">
      <c r="B6330" s="9"/>
      <c r="C6330" s="2"/>
      <c r="D6330" s="2"/>
      <c r="I6330" s="9"/>
      <c r="J6330" s="2"/>
      <c r="L6330" s="9"/>
      <c r="M6330" s="2"/>
      <c r="N6330" s="9"/>
      <c r="P6330" s="3">
        <v>0</v>
      </c>
      <c r="S6330" s="9"/>
      <c r="T6330" s="2"/>
      <c r="U6330" s="9"/>
    </row>
    <row r="6331" spans="2:21" x14ac:dyDescent="0.35">
      <c r="B6331" s="9"/>
      <c r="C6331" s="2"/>
      <c r="D6331" s="2"/>
      <c r="I6331" s="9"/>
      <c r="J6331" s="2"/>
      <c r="L6331" s="9"/>
      <c r="M6331" s="2"/>
      <c r="N6331" s="9"/>
      <c r="P6331" s="3">
        <v>0</v>
      </c>
      <c r="S6331" s="9"/>
      <c r="T6331" s="2"/>
      <c r="U6331" s="9"/>
    </row>
    <row r="6332" spans="2:21" x14ac:dyDescent="0.35">
      <c r="B6332" s="9"/>
      <c r="C6332" s="2"/>
      <c r="D6332" s="2"/>
      <c r="I6332" s="9"/>
      <c r="J6332" s="2"/>
      <c r="L6332" s="9"/>
      <c r="M6332" s="2"/>
      <c r="N6332" s="9"/>
      <c r="P6332" s="3">
        <v>0</v>
      </c>
      <c r="S6332" s="9"/>
      <c r="T6332" s="2"/>
      <c r="U6332" s="9"/>
    </row>
    <row r="6333" spans="2:21" x14ac:dyDescent="0.35">
      <c r="B6333" s="9"/>
      <c r="C6333" s="2"/>
      <c r="D6333" s="2"/>
      <c r="I6333" s="9"/>
      <c r="J6333" s="2"/>
      <c r="L6333" s="9"/>
      <c r="M6333" s="2"/>
      <c r="N6333" s="9"/>
      <c r="P6333" s="3">
        <v>0</v>
      </c>
      <c r="S6333" s="9"/>
      <c r="T6333" s="2"/>
      <c r="U6333" s="9"/>
    </row>
    <row r="6334" spans="2:21" x14ac:dyDescent="0.35">
      <c r="B6334" s="9"/>
      <c r="C6334" s="2"/>
      <c r="D6334" s="2"/>
      <c r="I6334" s="9"/>
      <c r="J6334" s="2"/>
      <c r="L6334" s="9"/>
      <c r="M6334" s="2"/>
      <c r="N6334" s="9"/>
      <c r="P6334" s="3">
        <v>0</v>
      </c>
      <c r="S6334" s="9"/>
      <c r="T6334" s="2"/>
      <c r="U6334" s="9"/>
    </row>
    <row r="6335" spans="2:21" x14ac:dyDescent="0.35">
      <c r="B6335" s="9"/>
      <c r="C6335" s="2"/>
      <c r="D6335" s="2"/>
      <c r="I6335" s="9"/>
      <c r="J6335" s="2"/>
      <c r="L6335" s="9"/>
      <c r="M6335" s="2"/>
      <c r="N6335" s="9"/>
      <c r="P6335" s="3">
        <v>0</v>
      </c>
      <c r="S6335" s="9"/>
      <c r="T6335" s="2"/>
      <c r="U6335" s="9"/>
    </row>
    <row r="6336" spans="2:21" x14ac:dyDescent="0.35">
      <c r="B6336" s="9"/>
      <c r="C6336" s="2"/>
      <c r="D6336" s="2"/>
      <c r="I6336" s="9"/>
      <c r="J6336" s="2"/>
      <c r="L6336" s="9"/>
      <c r="M6336" s="2"/>
      <c r="N6336" s="9"/>
      <c r="P6336" s="3">
        <v>210.27121227000001</v>
      </c>
      <c r="S6336" s="9"/>
      <c r="T6336" s="2"/>
      <c r="U6336" s="9"/>
    </row>
    <row r="6337" spans="2:21" x14ac:dyDescent="0.35">
      <c r="B6337" s="9"/>
      <c r="C6337" s="2"/>
      <c r="D6337" s="2"/>
      <c r="I6337" s="9"/>
      <c r="J6337" s="2"/>
      <c r="L6337" s="9"/>
      <c r="M6337" s="2"/>
      <c r="N6337" s="9"/>
      <c r="P6337" s="3">
        <v>645.03121226999997</v>
      </c>
      <c r="S6337" s="9"/>
      <c r="T6337" s="2"/>
      <c r="U6337" s="9"/>
    </row>
    <row r="6338" spans="2:21" x14ac:dyDescent="0.35">
      <c r="B6338" s="9"/>
      <c r="C6338" s="2"/>
      <c r="D6338" s="2"/>
      <c r="I6338" s="9"/>
      <c r="J6338" s="2"/>
      <c r="L6338" s="9"/>
      <c r="M6338" s="2"/>
      <c r="N6338" s="9"/>
      <c r="P6338" s="3">
        <v>608.70741177000002</v>
      </c>
      <c r="S6338" s="9"/>
      <c r="T6338" s="2"/>
      <c r="U6338" s="9"/>
    </row>
    <row r="6339" spans="2:21" x14ac:dyDescent="0.35">
      <c r="B6339" s="9"/>
      <c r="C6339" s="2"/>
      <c r="D6339" s="2"/>
      <c r="I6339" s="9"/>
      <c r="J6339" s="2"/>
      <c r="L6339" s="9"/>
      <c r="M6339" s="2"/>
      <c r="N6339" s="9"/>
      <c r="P6339" s="3">
        <v>551.10709139999994</v>
      </c>
      <c r="S6339" s="9"/>
      <c r="T6339" s="2"/>
      <c r="U6339" s="9"/>
    </row>
    <row r="6340" spans="2:21" x14ac:dyDescent="0.35">
      <c r="B6340" s="9"/>
      <c r="C6340" s="2"/>
      <c r="D6340" s="2"/>
      <c r="I6340" s="9"/>
      <c r="J6340" s="2"/>
      <c r="L6340" s="9"/>
      <c r="M6340" s="2"/>
      <c r="N6340" s="9"/>
      <c r="P6340" s="3">
        <v>513.49758113999997</v>
      </c>
      <c r="S6340" s="9"/>
      <c r="T6340" s="2"/>
      <c r="U6340" s="9"/>
    </row>
    <row r="6341" spans="2:21" x14ac:dyDescent="0.35">
      <c r="B6341" s="9"/>
      <c r="C6341" s="2"/>
      <c r="D6341" s="2"/>
      <c r="I6341" s="9"/>
      <c r="J6341" s="2"/>
      <c r="L6341" s="9"/>
      <c r="M6341" s="2"/>
      <c r="N6341" s="9"/>
      <c r="P6341" s="3">
        <v>501.72223114000002</v>
      </c>
      <c r="S6341" s="9"/>
      <c r="T6341" s="2"/>
      <c r="U6341" s="9"/>
    </row>
    <row r="6342" spans="2:21" x14ac:dyDescent="0.35">
      <c r="B6342" s="9"/>
      <c r="C6342" s="2"/>
      <c r="D6342" s="2"/>
      <c r="I6342" s="9"/>
      <c r="J6342" s="2"/>
      <c r="L6342" s="9"/>
      <c r="M6342" s="2"/>
      <c r="N6342" s="9"/>
      <c r="P6342" s="3">
        <v>774.17441160999999</v>
      </c>
      <c r="S6342" s="9"/>
      <c r="T6342" s="2"/>
      <c r="U6342" s="9"/>
    </row>
    <row r="6343" spans="2:21" x14ac:dyDescent="0.35">
      <c r="B6343" s="9"/>
      <c r="C6343" s="2"/>
      <c r="D6343" s="2"/>
      <c r="I6343" s="9"/>
      <c r="J6343" s="2"/>
      <c r="L6343" s="9"/>
      <c r="M6343" s="2"/>
      <c r="N6343" s="9"/>
      <c r="P6343" s="3">
        <v>775.98988161</v>
      </c>
      <c r="S6343" s="9"/>
      <c r="T6343" s="2"/>
      <c r="U6343" s="9"/>
    </row>
    <row r="6344" spans="2:21" x14ac:dyDescent="0.35">
      <c r="B6344" s="9"/>
      <c r="C6344" s="2"/>
      <c r="D6344" s="2"/>
      <c r="I6344" s="9"/>
      <c r="J6344" s="2"/>
      <c r="L6344" s="9"/>
      <c r="M6344" s="2"/>
      <c r="N6344" s="9"/>
      <c r="P6344" s="3">
        <v>799.58744161000004</v>
      </c>
      <c r="S6344" s="9"/>
      <c r="T6344" s="2"/>
      <c r="U6344" s="9"/>
    </row>
    <row r="6345" spans="2:21" x14ac:dyDescent="0.35">
      <c r="B6345" s="9"/>
      <c r="C6345" s="2"/>
      <c r="D6345" s="2"/>
      <c r="I6345" s="9"/>
      <c r="J6345" s="2"/>
      <c r="L6345" s="9"/>
      <c r="M6345" s="2"/>
      <c r="N6345" s="9"/>
      <c r="P6345" s="3">
        <v>828.52988160999996</v>
      </c>
      <c r="S6345" s="9"/>
      <c r="T6345" s="2"/>
      <c r="U6345" s="9"/>
    </row>
    <row r="6346" spans="2:21" x14ac:dyDescent="0.35">
      <c r="B6346" s="9"/>
      <c r="C6346" s="2"/>
      <c r="D6346" s="2"/>
      <c r="I6346" s="9"/>
      <c r="J6346" s="2"/>
      <c r="L6346" s="9"/>
      <c r="M6346" s="2"/>
      <c r="N6346" s="9"/>
      <c r="P6346" s="3">
        <v>852.54634161000001</v>
      </c>
      <c r="S6346" s="9"/>
      <c r="T6346" s="2"/>
      <c r="U6346" s="9"/>
    </row>
    <row r="6347" spans="2:21" x14ac:dyDescent="0.35">
      <c r="B6347" s="9"/>
      <c r="C6347" s="2"/>
      <c r="D6347" s="2"/>
      <c r="I6347" s="9"/>
      <c r="J6347" s="2"/>
      <c r="L6347" s="9"/>
      <c r="M6347" s="2"/>
      <c r="N6347" s="9"/>
      <c r="P6347" s="3">
        <v>857.06975161000003</v>
      </c>
      <c r="S6347" s="9"/>
      <c r="T6347" s="2"/>
      <c r="U6347" s="9"/>
    </row>
    <row r="6348" spans="2:21" x14ac:dyDescent="0.35">
      <c r="B6348" s="9"/>
      <c r="C6348" s="2"/>
      <c r="D6348" s="2"/>
      <c r="I6348" s="9"/>
      <c r="J6348" s="2"/>
      <c r="L6348" s="9"/>
      <c r="M6348" s="2"/>
      <c r="N6348" s="9"/>
      <c r="P6348" s="3">
        <v>851.90308160999996</v>
      </c>
      <c r="S6348" s="9"/>
      <c r="T6348" s="2"/>
      <c r="U6348" s="9"/>
    </row>
    <row r="6349" spans="2:21" x14ac:dyDescent="0.35">
      <c r="B6349" s="9"/>
      <c r="C6349" s="2"/>
      <c r="D6349" s="2"/>
      <c r="I6349" s="9"/>
      <c r="J6349" s="2"/>
      <c r="L6349" s="9"/>
      <c r="M6349" s="2"/>
      <c r="N6349" s="9"/>
      <c r="P6349" s="3">
        <v>784.85565161</v>
      </c>
      <c r="S6349" s="9"/>
      <c r="T6349" s="2"/>
      <c r="U6349" s="9"/>
    </row>
    <row r="6350" spans="2:21" x14ac:dyDescent="0.35">
      <c r="B6350" s="9"/>
      <c r="C6350" s="2"/>
      <c r="D6350" s="2"/>
      <c r="I6350" s="9"/>
      <c r="J6350" s="2"/>
      <c r="L6350" s="9"/>
      <c r="M6350" s="2"/>
      <c r="N6350" s="9"/>
      <c r="P6350" s="3">
        <v>350.09565161</v>
      </c>
      <c r="S6350" s="9"/>
      <c r="T6350" s="2"/>
      <c r="U6350" s="9"/>
    </row>
    <row r="6351" spans="2:21" x14ac:dyDescent="0.35">
      <c r="B6351" s="9"/>
      <c r="C6351" s="2"/>
      <c r="D6351" s="2"/>
      <c r="I6351" s="9"/>
      <c r="J6351" s="2"/>
      <c r="L6351" s="9"/>
      <c r="M6351" s="2"/>
      <c r="N6351" s="9"/>
      <c r="P6351" s="3">
        <v>-84.664348390000001</v>
      </c>
      <c r="S6351" s="9"/>
      <c r="T6351" s="2"/>
      <c r="U6351" s="9"/>
    </row>
    <row r="6352" spans="2:21" x14ac:dyDescent="0.35">
      <c r="B6352" s="9"/>
      <c r="C6352" s="2"/>
      <c r="D6352" s="2"/>
      <c r="I6352" s="9"/>
      <c r="J6352" s="2"/>
      <c r="L6352" s="9"/>
      <c r="M6352" s="2"/>
      <c r="N6352" s="9"/>
      <c r="P6352" s="3">
        <v>0</v>
      </c>
      <c r="S6352" s="9"/>
      <c r="T6352" s="2"/>
      <c r="U6352" s="9"/>
    </row>
    <row r="6353" spans="2:21" x14ac:dyDescent="0.35">
      <c r="B6353" s="9"/>
      <c r="C6353" s="2"/>
      <c r="D6353" s="2"/>
      <c r="I6353" s="9"/>
      <c r="J6353" s="2"/>
      <c r="L6353" s="9"/>
      <c r="M6353" s="2"/>
      <c r="N6353" s="9"/>
      <c r="P6353" s="3">
        <v>0</v>
      </c>
      <c r="S6353" s="9"/>
      <c r="T6353" s="2"/>
      <c r="U6353" s="9"/>
    </row>
    <row r="6354" spans="2:21" x14ac:dyDescent="0.35">
      <c r="B6354" s="9"/>
      <c r="C6354" s="2"/>
      <c r="D6354" s="2"/>
      <c r="I6354" s="9"/>
      <c r="J6354" s="2"/>
      <c r="L6354" s="9"/>
      <c r="M6354" s="2"/>
      <c r="N6354" s="9"/>
      <c r="P6354" s="3">
        <v>0</v>
      </c>
      <c r="S6354" s="9"/>
      <c r="T6354" s="2"/>
      <c r="U6354" s="9"/>
    </row>
    <row r="6355" spans="2:21" x14ac:dyDescent="0.35">
      <c r="B6355" s="9"/>
      <c r="C6355" s="2"/>
      <c r="D6355" s="2"/>
      <c r="I6355" s="9"/>
      <c r="J6355" s="2"/>
      <c r="L6355" s="9"/>
      <c r="M6355" s="2"/>
      <c r="N6355" s="9"/>
      <c r="P6355" s="3">
        <v>0</v>
      </c>
      <c r="S6355" s="9"/>
      <c r="T6355" s="2"/>
      <c r="U6355" s="9"/>
    </row>
    <row r="6356" spans="2:21" x14ac:dyDescent="0.35">
      <c r="B6356" s="9"/>
      <c r="C6356" s="2"/>
      <c r="D6356" s="2"/>
      <c r="I6356" s="9"/>
      <c r="J6356" s="2"/>
      <c r="L6356" s="9"/>
      <c r="M6356" s="2"/>
      <c r="N6356" s="9"/>
      <c r="P6356" s="3">
        <v>0</v>
      </c>
      <c r="S6356" s="9"/>
      <c r="T6356" s="2"/>
      <c r="U6356" s="9"/>
    </row>
    <row r="6357" spans="2:21" x14ac:dyDescent="0.35">
      <c r="B6357" s="9"/>
      <c r="C6357" s="2"/>
      <c r="D6357" s="2"/>
      <c r="I6357" s="9"/>
      <c r="J6357" s="2"/>
      <c r="L6357" s="9"/>
      <c r="M6357" s="2"/>
      <c r="N6357" s="9"/>
      <c r="P6357" s="3">
        <v>0</v>
      </c>
      <c r="S6357" s="9"/>
      <c r="T6357" s="2"/>
      <c r="U6357" s="9"/>
    </row>
    <row r="6358" spans="2:21" x14ac:dyDescent="0.35">
      <c r="B6358" s="9"/>
      <c r="C6358" s="2"/>
      <c r="D6358" s="2"/>
      <c r="I6358" s="9"/>
      <c r="J6358" s="2"/>
      <c r="L6358" s="9"/>
      <c r="M6358" s="2"/>
      <c r="N6358" s="9"/>
      <c r="P6358" s="3">
        <v>0</v>
      </c>
      <c r="S6358" s="9"/>
      <c r="T6358" s="2"/>
      <c r="U6358" s="9"/>
    </row>
    <row r="6359" spans="2:21" x14ac:dyDescent="0.35">
      <c r="B6359" s="9"/>
      <c r="C6359" s="2"/>
      <c r="D6359" s="2"/>
      <c r="I6359" s="9"/>
      <c r="J6359" s="2"/>
      <c r="L6359" s="9"/>
      <c r="M6359" s="2"/>
      <c r="N6359" s="9"/>
      <c r="P6359" s="3">
        <v>0</v>
      </c>
      <c r="S6359" s="9"/>
      <c r="T6359" s="2"/>
      <c r="U6359" s="9"/>
    </row>
    <row r="6360" spans="2:21" x14ac:dyDescent="0.35">
      <c r="B6360" s="9"/>
      <c r="C6360" s="2"/>
      <c r="D6360" s="2"/>
      <c r="I6360" s="9"/>
      <c r="J6360" s="2"/>
      <c r="L6360" s="9"/>
      <c r="M6360" s="2"/>
      <c r="N6360" s="9"/>
      <c r="P6360" s="3">
        <v>18.05137161</v>
      </c>
      <c r="S6360" s="9"/>
      <c r="T6360" s="2"/>
      <c r="U6360" s="9"/>
    </row>
    <row r="6361" spans="2:21" x14ac:dyDescent="0.35">
      <c r="B6361" s="9"/>
      <c r="C6361" s="2"/>
      <c r="D6361" s="2"/>
      <c r="I6361" s="9"/>
      <c r="J6361" s="2"/>
      <c r="L6361" s="9"/>
      <c r="M6361" s="2"/>
      <c r="N6361" s="9"/>
      <c r="P6361" s="3">
        <v>452.81137160999998</v>
      </c>
      <c r="S6361" s="9"/>
      <c r="T6361" s="2"/>
      <c r="U6361" s="9"/>
    </row>
    <row r="6362" spans="2:21" x14ac:dyDescent="0.35">
      <c r="B6362" s="9"/>
      <c r="C6362" s="2"/>
      <c r="D6362" s="2"/>
      <c r="I6362" s="9"/>
      <c r="J6362" s="2"/>
      <c r="L6362" s="9"/>
      <c r="M6362" s="2"/>
      <c r="N6362" s="9"/>
      <c r="P6362" s="3">
        <v>382.58953160999999</v>
      </c>
      <c r="S6362" s="9"/>
      <c r="T6362" s="2"/>
      <c r="U6362" s="9"/>
    </row>
    <row r="6363" spans="2:21" x14ac:dyDescent="0.35">
      <c r="B6363" s="9"/>
      <c r="C6363" s="2"/>
      <c r="D6363" s="2"/>
      <c r="I6363" s="9"/>
      <c r="J6363" s="2"/>
      <c r="L6363" s="9"/>
      <c r="M6363" s="2"/>
      <c r="N6363" s="9"/>
      <c r="P6363" s="3">
        <v>344.76783160999997</v>
      </c>
      <c r="S6363" s="9"/>
      <c r="T6363" s="2"/>
      <c r="U6363" s="9"/>
    </row>
    <row r="6364" spans="2:21" x14ac:dyDescent="0.35">
      <c r="B6364" s="9"/>
      <c r="C6364" s="2"/>
      <c r="D6364" s="2"/>
      <c r="I6364" s="9"/>
      <c r="J6364" s="2"/>
      <c r="L6364" s="9"/>
      <c r="M6364" s="2"/>
      <c r="N6364" s="9"/>
      <c r="P6364" s="3">
        <v>351.22173161000001</v>
      </c>
      <c r="S6364" s="9"/>
      <c r="T6364" s="2"/>
      <c r="U6364" s="9"/>
    </row>
    <row r="6365" spans="2:21" x14ac:dyDescent="0.35">
      <c r="B6365" s="9"/>
      <c r="C6365" s="2"/>
      <c r="D6365" s="2"/>
      <c r="I6365" s="9"/>
      <c r="J6365" s="2"/>
      <c r="L6365" s="9"/>
      <c r="M6365" s="2"/>
      <c r="N6365" s="9"/>
      <c r="P6365" s="3">
        <v>330.42867160999998</v>
      </c>
      <c r="S6365" s="9"/>
      <c r="T6365" s="2"/>
      <c r="U6365" s="9"/>
    </row>
    <row r="6366" spans="2:21" x14ac:dyDescent="0.35">
      <c r="B6366" s="9"/>
      <c r="C6366" s="2"/>
      <c r="D6366" s="2"/>
      <c r="I6366" s="9"/>
      <c r="J6366" s="2"/>
      <c r="L6366" s="9"/>
      <c r="M6366" s="2"/>
      <c r="N6366" s="9"/>
      <c r="P6366" s="3">
        <v>365.92867160999998</v>
      </c>
      <c r="S6366" s="9"/>
      <c r="T6366" s="2"/>
      <c r="U6366" s="9"/>
    </row>
    <row r="6367" spans="2:21" x14ac:dyDescent="0.35">
      <c r="B6367" s="9"/>
      <c r="C6367" s="2"/>
      <c r="D6367" s="2"/>
      <c r="I6367" s="9"/>
      <c r="J6367" s="2"/>
      <c r="L6367" s="9"/>
      <c r="M6367" s="2"/>
      <c r="N6367" s="9"/>
      <c r="P6367" s="3">
        <v>422.60087161000001</v>
      </c>
      <c r="S6367" s="9"/>
      <c r="T6367" s="2"/>
      <c r="U6367" s="9"/>
    </row>
    <row r="6368" spans="2:21" x14ac:dyDescent="0.35">
      <c r="B6368" s="9"/>
      <c r="C6368" s="2"/>
      <c r="D6368" s="2"/>
      <c r="I6368" s="9"/>
      <c r="J6368" s="2"/>
      <c r="L6368" s="9"/>
      <c r="M6368" s="2"/>
      <c r="N6368" s="9"/>
      <c r="P6368" s="3">
        <v>503.09428161</v>
      </c>
      <c r="S6368" s="9"/>
      <c r="T6368" s="2"/>
      <c r="U6368" s="9"/>
    </row>
    <row r="6369" spans="2:21" x14ac:dyDescent="0.35">
      <c r="B6369" s="9"/>
      <c r="C6369" s="2"/>
      <c r="D6369" s="2"/>
      <c r="I6369" s="9"/>
      <c r="J6369" s="2"/>
      <c r="L6369" s="9"/>
      <c r="M6369" s="2"/>
      <c r="N6369" s="9"/>
      <c r="P6369" s="3">
        <v>564.90972161000002</v>
      </c>
      <c r="S6369" s="9"/>
      <c r="T6369" s="2"/>
      <c r="U6369" s="9"/>
    </row>
    <row r="6370" spans="2:21" x14ac:dyDescent="0.35">
      <c r="B6370" s="9"/>
      <c r="C6370" s="2"/>
      <c r="D6370" s="2"/>
      <c r="I6370" s="9"/>
      <c r="J6370" s="2"/>
      <c r="L6370" s="9"/>
      <c r="M6370" s="2"/>
      <c r="N6370" s="9"/>
      <c r="P6370" s="3">
        <v>603.05447160999995</v>
      </c>
      <c r="S6370" s="9"/>
      <c r="T6370" s="2"/>
      <c r="U6370" s="9"/>
    </row>
    <row r="6371" spans="2:21" x14ac:dyDescent="0.35">
      <c r="B6371" s="9"/>
      <c r="C6371" s="2"/>
      <c r="D6371" s="2"/>
      <c r="I6371" s="9"/>
      <c r="J6371" s="2"/>
      <c r="L6371" s="9"/>
      <c r="M6371" s="2"/>
      <c r="N6371" s="9"/>
      <c r="P6371" s="3">
        <v>640.01068161000001</v>
      </c>
      <c r="S6371" s="9"/>
      <c r="T6371" s="2"/>
      <c r="U6371" s="9"/>
    </row>
    <row r="6372" spans="2:21" x14ac:dyDescent="0.35">
      <c r="B6372" s="9"/>
      <c r="C6372" s="2"/>
      <c r="D6372" s="2"/>
      <c r="I6372" s="9"/>
      <c r="J6372" s="2"/>
      <c r="L6372" s="9"/>
      <c r="M6372" s="2"/>
      <c r="N6372" s="9"/>
      <c r="P6372" s="3">
        <v>650.27870160999998</v>
      </c>
      <c r="S6372" s="9"/>
      <c r="T6372" s="2"/>
      <c r="U6372" s="9"/>
    </row>
    <row r="6373" spans="2:21" x14ac:dyDescent="0.35">
      <c r="B6373" s="9"/>
      <c r="C6373" s="2"/>
      <c r="D6373" s="2"/>
      <c r="I6373" s="9"/>
      <c r="J6373" s="2"/>
      <c r="L6373" s="9"/>
      <c r="M6373" s="2"/>
      <c r="N6373" s="9"/>
      <c r="P6373" s="3">
        <v>604.68676160999996</v>
      </c>
      <c r="S6373" s="9"/>
      <c r="T6373" s="2"/>
      <c r="U6373" s="9"/>
    </row>
    <row r="6374" spans="2:21" x14ac:dyDescent="0.35">
      <c r="B6374" s="9"/>
      <c r="C6374" s="2"/>
      <c r="D6374" s="2"/>
      <c r="I6374" s="9"/>
      <c r="J6374" s="2"/>
      <c r="L6374" s="9"/>
      <c r="M6374" s="2"/>
      <c r="N6374" s="9"/>
      <c r="P6374" s="3">
        <v>169.92676161</v>
      </c>
      <c r="S6374" s="9"/>
      <c r="T6374" s="2"/>
      <c r="U6374" s="9"/>
    </row>
    <row r="6375" spans="2:21" x14ac:dyDescent="0.35">
      <c r="B6375" s="9"/>
      <c r="C6375" s="2"/>
      <c r="D6375" s="2"/>
      <c r="I6375" s="9"/>
      <c r="J6375" s="2"/>
      <c r="L6375" s="9"/>
      <c r="M6375" s="2"/>
      <c r="N6375" s="9"/>
      <c r="P6375" s="3">
        <v>-264.83323839000002</v>
      </c>
      <c r="S6375" s="9"/>
      <c r="T6375" s="2"/>
      <c r="U6375" s="9"/>
    </row>
    <row r="6376" spans="2:21" x14ac:dyDescent="0.35">
      <c r="B6376" s="9"/>
      <c r="C6376" s="2"/>
      <c r="D6376" s="2"/>
      <c r="I6376" s="9"/>
      <c r="J6376" s="2"/>
      <c r="L6376" s="9"/>
      <c r="M6376" s="2"/>
      <c r="N6376" s="9"/>
      <c r="P6376" s="3">
        <v>-379.44631045</v>
      </c>
      <c r="S6376" s="9"/>
      <c r="T6376" s="2"/>
      <c r="U6376" s="9"/>
    </row>
    <row r="6377" spans="2:21" x14ac:dyDescent="0.35">
      <c r="B6377" s="9"/>
      <c r="C6377" s="2"/>
      <c r="D6377" s="2"/>
      <c r="I6377" s="9"/>
      <c r="J6377" s="2"/>
      <c r="L6377" s="9"/>
      <c r="M6377" s="2"/>
      <c r="N6377" s="9"/>
      <c r="P6377" s="3">
        <v>0</v>
      </c>
      <c r="S6377" s="9"/>
      <c r="T6377" s="2"/>
      <c r="U6377" s="9"/>
    </row>
    <row r="6378" spans="2:21" x14ac:dyDescent="0.35">
      <c r="B6378" s="9"/>
      <c r="C6378" s="2"/>
      <c r="D6378" s="2"/>
      <c r="I6378" s="9"/>
      <c r="J6378" s="2"/>
      <c r="L6378" s="9"/>
      <c r="M6378" s="2"/>
      <c r="N6378" s="9"/>
      <c r="P6378" s="3">
        <v>0</v>
      </c>
      <c r="S6378" s="9"/>
      <c r="T6378" s="2"/>
      <c r="U6378" s="9"/>
    </row>
    <row r="6379" spans="2:21" x14ac:dyDescent="0.35">
      <c r="B6379" s="9"/>
      <c r="C6379" s="2"/>
      <c r="D6379" s="2"/>
      <c r="I6379" s="9"/>
      <c r="J6379" s="2"/>
      <c r="L6379" s="9"/>
      <c r="M6379" s="2"/>
      <c r="N6379" s="9"/>
      <c r="P6379" s="3">
        <v>-397.81245340999999</v>
      </c>
      <c r="S6379" s="9"/>
      <c r="T6379" s="2"/>
      <c r="U6379" s="9"/>
    </row>
    <row r="6380" spans="2:21" x14ac:dyDescent="0.35">
      <c r="B6380" s="9"/>
      <c r="C6380" s="2"/>
      <c r="D6380" s="2"/>
      <c r="I6380" s="9"/>
      <c r="J6380" s="2"/>
      <c r="L6380" s="9"/>
      <c r="M6380" s="2"/>
      <c r="N6380" s="9"/>
      <c r="P6380" s="3">
        <v>-832.57245340999998</v>
      </c>
      <c r="S6380" s="9"/>
      <c r="T6380" s="2"/>
      <c r="U6380" s="9"/>
    </row>
    <row r="6381" spans="2:21" x14ac:dyDescent="0.35">
      <c r="B6381" s="9"/>
      <c r="C6381" s="2"/>
      <c r="D6381" s="2"/>
      <c r="I6381" s="9"/>
      <c r="J6381" s="2"/>
      <c r="L6381" s="9"/>
      <c r="M6381" s="2"/>
      <c r="N6381" s="9"/>
      <c r="P6381" s="3">
        <v>-811.22602501999995</v>
      </c>
      <c r="S6381" s="9"/>
      <c r="T6381" s="2"/>
      <c r="U6381" s="9"/>
    </row>
    <row r="6382" spans="2:21" x14ac:dyDescent="0.35">
      <c r="B6382" s="9"/>
      <c r="C6382" s="2"/>
      <c r="D6382" s="2"/>
      <c r="I6382" s="9"/>
      <c r="J6382" s="2"/>
      <c r="L6382" s="9"/>
      <c r="M6382" s="2"/>
      <c r="N6382" s="9"/>
      <c r="P6382" s="3">
        <v>-1163.7507683900001</v>
      </c>
      <c r="S6382" s="9"/>
      <c r="T6382" s="2"/>
      <c r="U6382" s="9"/>
    </row>
    <row r="6383" spans="2:21" x14ac:dyDescent="0.35">
      <c r="B6383" s="9"/>
      <c r="C6383" s="2"/>
      <c r="D6383" s="2"/>
      <c r="I6383" s="9"/>
      <c r="J6383" s="2"/>
      <c r="L6383" s="9"/>
      <c r="M6383" s="2"/>
      <c r="N6383" s="9"/>
      <c r="P6383" s="3">
        <v>-728.99076838999997</v>
      </c>
      <c r="S6383" s="9"/>
      <c r="T6383" s="2"/>
      <c r="U6383" s="9"/>
    </row>
    <row r="6384" spans="2:21" x14ac:dyDescent="0.35">
      <c r="B6384" s="9"/>
      <c r="C6384" s="2"/>
      <c r="D6384" s="2"/>
      <c r="I6384" s="9"/>
      <c r="J6384" s="2"/>
      <c r="L6384" s="9"/>
      <c r="M6384" s="2"/>
      <c r="N6384" s="9"/>
      <c r="P6384" s="3">
        <v>-294.23076838999998</v>
      </c>
      <c r="S6384" s="9"/>
      <c r="T6384" s="2"/>
      <c r="U6384" s="9"/>
    </row>
    <row r="6385" spans="2:21" x14ac:dyDescent="0.35">
      <c r="B6385" s="9"/>
      <c r="C6385" s="2"/>
      <c r="D6385" s="2"/>
      <c r="I6385" s="9"/>
      <c r="J6385" s="2"/>
      <c r="L6385" s="9"/>
      <c r="M6385" s="2"/>
      <c r="N6385" s="9"/>
      <c r="P6385" s="3">
        <v>140.52923161000001</v>
      </c>
      <c r="S6385" s="9"/>
      <c r="T6385" s="2"/>
      <c r="U6385" s="9"/>
    </row>
    <row r="6386" spans="2:21" x14ac:dyDescent="0.35">
      <c r="B6386" s="9"/>
      <c r="C6386" s="2"/>
      <c r="D6386" s="2"/>
      <c r="I6386" s="9"/>
      <c r="J6386" s="2"/>
      <c r="L6386" s="9"/>
      <c r="M6386" s="2"/>
      <c r="N6386" s="9"/>
      <c r="P6386" s="3">
        <v>245.73348161000001</v>
      </c>
      <c r="S6386" s="9"/>
      <c r="T6386" s="2"/>
      <c r="U6386" s="9"/>
    </row>
    <row r="6387" spans="2:21" x14ac:dyDescent="0.35">
      <c r="B6387" s="9"/>
      <c r="C6387" s="2"/>
      <c r="D6387" s="2"/>
      <c r="I6387" s="9"/>
      <c r="J6387" s="2"/>
      <c r="L6387" s="9"/>
      <c r="M6387" s="2"/>
      <c r="N6387" s="9"/>
      <c r="P6387" s="3">
        <v>354.01487161</v>
      </c>
      <c r="S6387" s="9"/>
      <c r="T6387" s="2"/>
      <c r="U6387" s="9"/>
    </row>
    <row r="6388" spans="2:21" x14ac:dyDescent="0.35">
      <c r="B6388" s="9"/>
      <c r="C6388" s="2"/>
      <c r="D6388" s="2"/>
      <c r="I6388" s="9"/>
      <c r="J6388" s="2"/>
      <c r="L6388" s="9"/>
      <c r="M6388" s="2"/>
      <c r="N6388" s="9"/>
      <c r="P6388" s="3">
        <v>492.24264161000002</v>
      </c>
      <c r="S6388" s="9"/>
      <c r="T6388" s="2"/>
      <c r="U6388" s="9"/>
    </row>
    <row r="6389" spans="2:21" x14ac:dyDescent="0.35">
      <c r="B6389" s="9"/>
      <c r="C6389" s="2"/>
      <c r="D6389" s="2"/>
      <c r="I6389" s="9"/>
      <c r="J6389" s="2"/>
      <c r="L6389" s="9"/>
      <c r="M6389" s="2"/>
      <c r="N6389" s="9"/>
      <c r="P6389" s="3">
        <v>553.58309161</v>
      </c>
      <c r="S6389" s="9"/>
      <c r="T6389" s="2"/>
      <c r="U6389" s="9"/>
    </row>
    <row r="6390" spans="2:21" x14ac:dyDescent="0.35">
      <c r="B6390" s="9"/>
      <c r="C6390" s="2"/>
      <c r="D6390" s="2"/>
      <c r="I6390" s="9"/>
      <c r="J6390" s="2"/>
      <c r="L6390" s="9"/>
      <c r="M6390" s="2"/>
      <c r="N6390" s="9"/>
      <c r="P6390" s="3">
        <v>328.45667114000003</v>
      </c>
      <c r="S6390" s="9"/>
      <c r="T6390" s="2"/>
      <c r="U6390" s="9"/>
    </row>
    <row r="6391" spans="2:21" x14ac:dyDescent="0.35">
      <c r="B6391" s="9"/>
      <c r="C6391" s="2"/>
      <c r="D6391" s="2"/>
      <c r="I6391" s="9"/>
      <c r="J6391" s="2"/>
      <c r="L6391" s="9"/>
      <c r="M6391" s="2"/>
      <c r="N6391" s="9"/>
      <c r="P6391" s="3">
        <v>349.89441113999999</v>
      </c>
      <c r="S6391" s="9"/>
      <c r="T6391" s="2"/>
      <c r="U6391" s="9"/>
    </row>
    <row r="6392" spans="2:21" x14ac:dyDescent="0.35">
      <c r="B6392" s="9"/>
      <c r="C6392" s="2"/>
      <c r="D6392" s="2"/>
      <c r="I6392" s="9"/>
      <c r="J6392" s="2"/>
      <c r="L6392" s="9"/>
      <c r="M6392" s="2"/>
      <c r="N6392" s="9"/>
      <c r="P6392" s="3">
        <v>371.06874113999999</v>
      </c>
      <c r="S6392" s="9"/>
      <c r="T6392" s="2"/>
      <c r="U6392" s="9"/>
    </row>
    <row r="6393" spans="2:21" x14ac:dyDescent="0.35">
      <c r="B6393" s="9"/>
      <c r="C6393" s="2"/>
      <c r="D6393" s="2"/>
      <c r="I6393" s="9"/>
      <c r="J6393" s="2"/>
      <c r="L6393" s="9"/>
      <c r="M6393" s="2"/>
      <c r="N6393" s="9"/>
      <c r="P6393" s="3">
        <v>382.41809114</v>
      </c>
      <c r="S6393" s="9"/>
      <c r="T6393" s="2"/>
      <c r="U6393" s="9"/>
    </row>
    <row r="6394" spans="2:21" x14ac:dyDescent="0.35">
      <c r="B6394" s="9"/>
      <c r="C6394" s="2"/>
      <c r="D6394" s="2"/>
      <c r="I6394" s="9"/>
      <c r="J6394" s="2"/>
      <c r="L6394" s="9"/>
      <c r="M6394" s="2"/>
      <c r="N6394" s="9"/>
      <c r="P6394" s="3">
        <v>364.11429113999998</v>
      </c>
      <c r="S6394" s="9"/>
      <c r="T6394" s="2"/>
      <c r="U6394" s="9"/>
    </row>
    <row r="6395" spans="2:21" x14ac:dyDescent="0.35">
      <c r="B6395" s="9"/>
      <c r="C6395" s="2"/>
      <c r="D6395" s="2"/>
      <c r="I6395" s="9"/>
      <c r="J6395" s="2"/>
      <c r="L6395" s="9"/>
      <c r="M6395" s="2"/>
      <c r="N6395" s="9"/>
      <c r="P6395" s="3">
        <v>439.33372761999999</v>
      </c>
      <c r="S6395" s="9"/>
      <c r="T6395" s="2"/>
      <c r="U6395" s="9"/>
    </row>
    <row r="6396" spans="2:21" x14ac:dyDescent="0.35">
      <c r="B6396" s="9"/>
      <c r="C6396" s="2"/>
      <c r="D6396" s="2"/>
      <c r="I6396" s="9"/>
      <c r="J6396" s="2"/>
      <c r="L6396" s="9"/>
      <c r="M6396" s="2"/>
      <c r="N6396" s="9"/>
      <c r="P6396" s="3">
        <v>462.05292409999998</v>
      </c>
      <c r="S6396" s="9"/>
      <c r="T6396" s="2"/>
      <c r="U6396" s="9"/>
    </row>
    <row r="6397" spans="2:21" x14ac:dyDescent="0.35">
      <c r="B6397" s="9"/>
      <c r="C6397" s="2"/>
      <c r="D6397" s="2"/>
      <c r="I6397" s="9"/>
      <c r="J6397" s="2"/>
      <c r="L6397" s="9"/>
      <c r="M6397" s="2"/>
      <c r="N6397" s="9"/>
      <c r="P6397" s="3">
        <v>380.45365655000001</v>
      </c>
      <c r="S6397" s="9"/>
      <c r="T6397" s="2"/>
      <c r="U6397" s="9"/>
    </row>
    <row r="6398" spans="2:21" x14ac:dyDescent="0.35">
      <c r="B6398" s="9"/>
      <c r="C6398" s="2"/>
      <c r="D6398" s="2"/>
      <c r="I6398" s="9"/>
      <c r="J6398" s="2"/>
      <c r="L6398" s="9"/>
      <c r="M6398" s="2"/>
      <c r="N6398" s="9"/>
      <c r="P6398" s="3">
        <v>-54.30634345</v>
      </c>
      <c r="S6398" s="9"/>
      <c r="T6398" s="2"/>
      <c r="U6398" s="9"/>
    </row>
    <row r="6399" spans="2:21" x14ac:dyDescent="0.35">
      <c r="B6399" s="9"/>
      <c r="C6399" s="2"/>
      <c r="D6399" s="2"/>
      <c r="I6399" s="9"/>
      <c r="J6399" s="2"/>
      <c r="L6399" s="9"/>
      <c r="M6399" s="2"/>
      <c r="N6399" s="9"/>
      <c r="P6399" s="3">
        <v>-489.06634344999998</v>
      </c>
      <c r="S6399" s="9"/>
      <c r="T6399" s="2"/>
      <c r="U6399" s="9"/>
    </row>
    <row r="6400" spans="2:21" x14ac:dyDescent="0.35">
      <c r="B6400" s="9"/>
      <c r="C6400" s="2"/>
      <c r="D6400" s="2"/>
      <c r="I6400" s="9"/>
      <c r="J6400" s="2"/>
      <c r="L6400" s="9"/>
      <c r="M6400" s="2"/>
      <c r="N6400" s="9"/>
      <c r="P6400" s="3">
        <v>-827.80743801000006</v>
      </c>
      <c r="S6400" s="9"/>
      <c r="T6400" s="2"/>
      <c r="U6400" s="9"/>
    </row>
    <row r="6401" spans="2:21" x14ac:dyDescent="0.35">
      <c r="B6401" s="9"/>
      <c r="C6401" s="2"/>
      <c r="D6401" s="2"/>
      <c r="I6401" s="9"/>
      <c r="J6401" s="2"/>
      <c r="L6401" s="9"/>
      <c r="M6401" s="2"/>
      <c r="N6401" s="9"/>
      <c r="P6401" s="3">
        <v>-393.04743801000001</v>
      </c>
      <c r="S6401" s="9"/>
      <c r="T6401" s="2"/>
      <c r="U6401" s="9"/>
    </row>
    <row r="6402" spans="2:21" x14ac:dyDescent="0.35">
      <c r="B6402" s="9"/>
      <c r="C6402" s="2"/>
      <c r="D6402" s="2"/>
      <c r="I6402" s="9"/>
      <c r="J6402" s="2"/>
      <c r="L6402" s="9"/>
      <c r="M6402" s="2"/>
      <c r="N6402" s="9"/>
      <c r="P6402" s="3">
        <v>0</v>
      </c>
      <c r="S6402" s="9"/>
      <c r="T6402" s="2"/>
      <c r="U6402" s="9"/>
    </row>
    <row r="6403" spans="2:21" x14ac:dyDescent="0.35">
      <c r="B6403" s="9"/>
      <c r="C6403" s="2"/>
      <c r="D6403" s="2"/>
      <c r="I6403" s="9"/>
      <c r="J6403" s="2"/>
      <c r="L6403" s="9"/>
      <c r="M6403" s="2"/>
      <c r="N6403" s="9"/>
      <c r="P6403" s="3">
        <v>0</v>
      </c>
      <c r="S6403" s="9"/>
      <c r="T6403" s="2"/>
      <c r="U6403" s="9"/>
    </row>
    <row r="6404" spans="2:21" x14ac:dyDescent="0.35">
      <c r="B6404" s="9"/>
      <c r="C6404" s="2"/>
      <c r="D6404" s="2"/>
      <c r="I6404" s="9"/>
      <c r="J6404" s="2"/>
      <c r="L6404" s="9"/>
      <c r="M6404" s="2"/>
      <c r="N6404" s="9"/>
      <c r="P6404" s="3">
        <v>-405.39427697000002</v>
      </c>
      <c r="S6404" s="9"/>
      <c r="T6404" s="2"/>
      <c r="U6404" s="9"/>
    </row>
    <row r="6405" spans="2:21" x14ac:dyDescent="0.35">
      <c r="B6405" s="9"/>
      <c r="C6405" s="2"/>
      <c r="D6405" s="2"/>
      <c r="I6405" s="9"/>
      <c r="J6405" s="2"/>
      <c r="L6405" s="9"/>
      <c r="M6405" s="2"/>
      <c r="N6405" s="9"/>
      <c r="P6405" s="3">
        <v>-840.15427696999996</v>
      </c>
      <c r="S6405" s="9"/>
      <c r="T6405" s="2"/>
      <c r="U6405" s="9"/>
    </row>
    <row r="6406" spans="2:21" x14ac:dyDescent="0.35">
      <c r="B6406" s="9"/>
      <c r="C6406" s="2"/>
      <c r="D6406" s="2"/>
      <c r="I6406" s="9"/>
      <c r="J6406" s="2"/>
      <c r="L6406" s="9"/>
      <c r="M6406" s="2"/>
      <c r="N6406" s="9"/>
      <c r="P6406" s="3">
        <v>-1274.9142769699999</v>
      </c>
      <c r="S6406" s="9"/>
      <c r="T6406" s="2"/>
      <c r="U6406" s="9"/>
    </row>
    <row r="6407" spans="2:21" x14ac:dyDescent="0.35">
      <c r="B6407" s="9"/>
      <c r="C6407" s="2"/>
      <c r="D6407" s="2"/>
      <c r="I6407" s="9"/>
      <c r="J6407" s="2"/>
      <c r="L6407" s="9"/>
      <c r="M6407" s="2"/>
      <c r="N6407" s="9"/>
      <c r="P6407" s="3">
        <v>-1709.6742769699999</v>
      </c>
      <c r="S6407" s="9"/>
      <c r="T6407" s="2"/>
      <c r="U6407" s="9"/>
    </row>
    <row r="6408" spans="2:21" x14ac:dyDescent="0.35">
      <c r="B6408" s="9"/>
      <c r="C6408" s="2"/>
      <c r="D6408" s="2"/>
      <c r="I6408" s="9"/>
      <c r="J6408" s="2"/>
      <c r="L6408" s="9"/>
      <c r="M6408" s="2"/>
      <c r="N6408" s="9"/>
      <c r="P6408" s="3">
        <v>-1274.9142769699999</v>
      </c>
      <c r="S6408" s="9"/>
      <c r="T6408" s="2"/>
      <c r="U6408" s="9"/>
    </row>
    <row r="6409" spans="2:21" x14ac:dyDescent="0.35">
      <c r="B6409" s="9"/>
      <c r="C6409" s="2"/>
      <c r="D6409" s="2"/>
      <c r="I6409" s="9"/>
      <c r="J6409" s="2"/>
      <c r="L6409" s="9"/>
      <c r="M6409" s="2"/>
      <c r="N6409" s="9"/>
      <c r="P6409" s="3">
        <v>-844.55730773000005</v>
      </c>
      <c r="S6409" s="9"/>
      <c r="T6409" s="2"/>
      <c r="U6409" s="9"/>
    </row>
    <row r="6410" spans="2:21" x14ac:dyDescent="0.35">
      <c r="B6410" s="9"/>
      <c r="C6410" s="2"/>
      <c r="D6410" s="2"/>
      <c r="I6410" s="9"/>
      <c r="J6410" s="2"/>
      <c r="L6410" s="9"/>
      <c r="M6410" s="2"/>
      <c r="N6410" s="9"/>
      <c r="P6410" s="3">
        <v>-691.97282823</v>
      </c>
      <c r="S6410" s="9"/>
      <c r="T6410" s="2"/>
      <c r="U6410" s="9"/>
    </row>
    <row r="6411" spans="2:21" x14ac:dyDescent="0.35">
      <c r="B6411" s="9"/>
      <c r="C6411" s="2"/>
      <c r="D6411" s="2"/>
      <c r="I6411" s="9"/>
      <c r="J6411" s="2"/>
      <c r="L6411" s="9"/>
      <c r="M6411" s="2"/>
      <c r="N6411" s="9"/>
      <c r="P6411" s="3">
        <v>-518.57535859999996</v>
      </c>
      <c r="S6411" s="9"/>
      <c r="T6411" s="2"/>
      <c r="U6411" s="9"/>
    </row>
    <row r="6412" spans="2:21" x14ac:dyDescent="0.35">
      <c r="B6412" s="9"/>
      <c r="C6412" s="2"/>
      <c r="D6412" s="2"/>
      <c r="I6412" s="9"/>
      <c r="J6412" s="2"/>
      <c r="L6412" s="9"/>
      <c r="M6412" s="2"/>
      <c r="N6412" s="9"/>
      <c r="P6412" s="3">
        <v>-360.53797886000001</v>
      </c>
      <c r="S6412" s="9"/>
      <c r="T6412" s="2"/>
      <c r="U6412" s="9"/>
    </row>
    <row r="6413" spans="2:21" x14ac:dyDescent="0.35">
      <c r="B6413" s="9"/>
      <c r="C6413" s="2"/>
      <c r="D6413" s="2"/>
      <c r="I6413" s="9"/>
      <c r="J6413" s="2"/>
      <c r="L6413" s="9"/>
      <c r="M6413" s="2"/>
      <c r="N6413" s="9"/>
      <c r="P6413" s="3">
        <v>-390.21242885999999</v>
      </c>
      <c r="S6413" s="9"/>
      <c r="T6413" s="2"/>
      <c r="U6413" s="9"/>
    </row>
    <row r="6414" spans="2:21" x14ac:dyDescent="0.35">
      <c r="B6414" s="9"/>
      <c r="C6414" s="2"/>
      <c r="D6414" s="2"/>
      <c r="I6414" s="9"/>
      <c r="J6414" s="2"/>
      <c r="L6414" s="9"/>
      <c r="M6414" s="2"/>
      <c r="N6414" s="9"/>
      <c r="P6414" s="3">
        <v>-443.60158885999999</v>
      </c>
      <c r="S6414" s="9"/>
      <c r="T6414" s="2"/>
      <c r="U6414" s="9"/>
    </row>
    <row r="6415" spans="2:21" x14ac:dyDescent="0.35">
      <c r="B6415" s="9"/>
      <c r="C6415" s="2"/>
      <c r="D6415" s="2"/>
      <c r="I6415" s="9"/>
      <c r="J6415" s="2"/>
      <c r="L6415" s="9"/>
      <c r="M6415" s="2"/>
      <c r="N6415" s="9"/>
      <c r="P6415" s="3">
        <v>-588.51826886000003</v>
      </c>
      <c r="S6415" s="9"/>
      <c r="T6415" s="2"/>
      <c r="U6415" s="9"/>
    </row>
    <row r="6416" spans="2:21" x14ac:dyDescent="0.35">
      <c r="B6416" s="9"/>
      <c r="C6416" s="2"/>
      <c r="D6416" s="2"/>
      <c r="I6416" s="9"/>
      <c r="J6416" s="2"/>
      <c r="L6416" s="9"/>
      <c r="M6416" s="2"/>
      <c r="N6416" s="9"/>
      <c r="P6416" s="3">
        <v>-732.38272886000004</v>
      </c>
      <c r="S6416" s="9"/>
      <c r="T6416" s="2"/>
      <c r="U6416" s="9"/>
    </row>
    <row r="6417" spans="2:21" x14ac:dyDescent="0.35">
      <c r="B6417" s="9"/>
      <c r="C6417" s="2"/>
      <c r="D6417" s="2"/>
      <c r="I6417" s="9"/>
      <c r="J6417" s="2"/>
      <c r="L6417" s="9"/>
      <c r="M6417" s="2"/>
      <c r="N6417" s="9"/>
      <c r="P6417" s="3">
        <v>-768.12057886000002</v>
      </c>
      <c r="S6417" s="9"/>
      <c r="T6417" s="2"/>
      <c r="U6417" s="9"/>
    </row>
    <row r="6418" spans="2:21" x14ac:dyDescent="0.35">
      <c r="B6418" s="9"/>
      <c r="C6418" s="2"/>
      <c r="D6418" s="2"/>
      <c r="I6418" s="9"/>
      <c r="J6418" s="2"/>
      <c r="L6418" s="9"/>
      <c r="M6418" s="2"/>
      <c r="N6418" s="9"/>
      <c r="P6418" s="3">
        <v>-887.26212885999996</v>
      </c>
      <c r="S6418" s="9"/>
      <c r="T6418" s="2"/>
      <c r="U6418" s="9"/>
    </row>
    <row r="6419" spans="2:21" x14ac:dyDescent="0.35">
      <c r="B6419" s="9"/>
      <c r="C6419" s="2"/>
      <c r="D6419" s="2"/>
      <c r="I6419" s="9"/>
      <c r="J6419" s="2"/>
      <c r="L6419" s="9"/>
      <c r="M6419" s="2"/>
      <c r="N6419" s="9"/>
      <c r="P6419" s="3">
        <v>-903.79599238000003</v>
      </c>
      <c r="S6419" s="9"/>
      <c r="T6419" s="2"/>
      <c r="U6419" s="9"/>
    </row>
    <row r="6420" spans="2:21" x14ac:dyDescent="0.35">
      <c r="B6420" s="9"/>
      <c r="C6420" s="2"/>
      <c r="D6420" s="2"/>
      <c r="I6420" s="9"/>
      <c r="J6420" s="2"/>
      <c r="L6420" s="9"/>
      <c r="M6420" s="2"/>
      <c r="N6420" s="9"/>
      <c r="P6420" s="3">
        <v>-876.65136589999997</v>
      </c>
      <c r="S6420" s="9"/>
      <c r="T6420" s="2"/>
      <c r="U6420" s="9"/>
    </row>
    <row r="6421" spans="2:21" x14ac:dyDescent="0.35">
      <c r="B6421" s="9"/>
      <c r="C6421" s="2"/>
      <c r="D6421" s="2"/>
      <c r="I6421" s="9"/>
      <c r="J6421" s="2"/>
      <c r="L6421" s="9"/>
      <c r="M6421" s="2"/>
      <c r="N6421" s="9"/>
      <c r="P6421" s="3">
        <v>-1010.70046345</v>
      </c>
      <c r="S6421" s="9"/>
      <c r="T6421" s="2"/>
      <c r="U6421" s="9"/>
    </row>
    <row r="6422" spans="2:21" x14ac:dyDescent="0.35">
      <c r="B6422" s="9"/>
      <c r="C6422" s="2"/>
      <c r="D6422" s="2"/>
      <c r="I6422" s="9"/>
      <c r="J6422" s="2"/>
      <c r="L6422" s="9"/>
      <c r="M6422" s="2"/>
      <c r="N6422" s="9"/>
      <c r="P6422" s="3">
        <v>-1445.4604634499999</v>
      </c>
      <c r="S6422" s="9"/>
      <c r="T6422" s="2"/>
      <c r="U6422" s="9"/>
    </row>
    <row r="6423" spans="2:21" x14ac:dyDescent="0.35">
      <c r="B6423" s="9"/>
      <c r="C6423" s="2"/>
      <c r="D6423" s="2"/>
      <c r="I6423" s="9"/>
      <c r="J6423" s="2"/>
      <c r="L6423" s="9"/>
      <c r="M6423" s="2"/>
      <c r="N6423" s="9"/>
      <c r="P6423" s="3">
        <v>-1880.2204634499999</v>
      </c>
      <c r="S6423" s="9"/>
      <c r="T6423" s="2"/>
      <c r="U6423" s="9"/>
    </row>
    <row r="6424" spans="2:21" x14ac:dyDescent="0.35">
      <c r="B6424" s="9"/>
      <c r="C6424" s="2"/>
      <c r="D6424" s="2"/>
      <c r="I6424" s="9"/>
      <c r="J6424" s="2"/>
      <c r="L6424" s="9"/>
      <c r="M6424" s="2"/>
      <c r="N6424" s="9"/>
      <c r="P6424" s="3">
        <v>-1445.4604634499999</v>
      </c>
      <c r="S6424" s="9"/>
      <c r="T6424" s="2"/>
      <c r="U6424" s="9"/>
    </row>
    <row r="6425" spans="2:21" x14ac:dyDescent="0.35">
      <c r="B6425" s="9"/>
      <c r="C6425" s="2"/>
      <c r="D6425" s="2"/>
      <c r="I6425" s="9"/>
      <c r="J6425" s="2"/>
      <c r="L6425" s="9"/>
      <c r="M6425" s="2"/>
      <c r="N6425" s="9"/>
      <c r="P6425" s="3">
        <v>-1010.70046345</v>
      </c>
      <c r="S6425" s="9"/>
      <c r="T6425" s="2"/>
      <c r="U6425" s="9"/>
    </row>
    <row r="6426" spans="2:21" x14ac:dyDescent="0.35">
      <c r="B6426" s="9"/>
      <c r="C6426" s="2"/>
      <c r="D6426" s="2"/>
      <c r="I6426" s="9"/>
      <c r="J6426" s="2"/>
      <c r="L6426" s="9"/>
      <c r="M6426" s="2"/>
      <c r="N6426" s="9"/>
      <c r="P6426" s="3">
        <v>-575.94046345000004</v>
      </c>
      <c r="S6426" s="9"/>
      <c r="T6426" s="2"/>
      <c r="U6426" s="9"/>
    </row>
    <row r="6427" spans="2:21" x14ac:dyDescent="0.35">
      <c r="B6427" s="9"/>
      <c r="C6427" s="2"/>
      <c r="D6427" s="2"/>
      <c r="I6427" s="9"/>
      <c r="J6427" s="2"/>
      <c r="L6427" s="9"/>
      <c r="M6427" s="2"/>
      <c r="N6427" s="9"/>
      <c r="P6427" s="3">
        <v>-141.18046344999999</v>
      </c>
      <c r="S6427" s="9"/>
      <c r="T6427" s="2"/>
      <c r="U6427" s="9"/>
    </row>
    <row r="6428" spans="2:21" x14ac:dyDescent="0.35">
      <c r="B6428" s="9"/>
      <c r="C6428" s="2"/>
      <c r="D6428" s="2"/>
      <c r="I6428" s="9"/>
      <c r="J6428" s="2"/>
      <c r="L6428" s="9"/>
      <c r="M6428" s="2"/>
      <c r="N6428" s="9"/>
      <c r="P6428" s="3">
        <v>0</v>
      </c>
      <c r="S6428" s="9"/>
      <c r="T6428" s="2"/>
      <c r="U6428" s="9"/>
    </row>
    <row r="6429" spans="2:21" x14ac:dyDescent="0.35">
      <c r="B6429" s="9"/>
      <c r="C6429" s="2"/>
      <c r="D6429" s="2"/>
      <c r="I6429" s="9"/>
      <c r="J6429" s="2"/>
      <c r="L6429" s="9"/>
      <c r="M6429" s="2"/>
      <c r="N6429" s="9"/>
      <c r="P6429" s="3">
        <v>-362.81516772999998</v>
      </c>
      <c r="S6429" s="9"/>
      <c r="T6429" s="2"/>
      <c r="U6429" s="9"/>
    </row>
    <row r="6430" spans="2:21" x14ac:dyDescent="0.35">
      <c r="B6430" s="9"/>
      <c r="C6430" s="2"/>
      <c r="D6430" s="2"/>
      <c r="I6430" s="9"/>
      <c r="J6430" s="2"/>
      <c r="L6430" s="9"/>
      <c r="M6430" s="2"/>
      <c r="N6430" s="9"/>
      <c r="P6430" s="3">
        <v>-797.57516772999998</v>
      </c>
      <c r="S6430" s="9"/>
      <c r="T6430" s="2"/>
      <c r="U6430" s="9"/>
    </row>
    <row r="6431" spans="2:21" x14ac:dyDescent="0.35">
      <c r="B6431" s="9"/>
      <c r="C6431" s="2"/>
      <c r="D6431" s="2"/>
      <c r="I6431" s="9"/>
      <c r="J6431" s="2"/>
      <c r="L6431" s="9"/>
      <c r="M6431" s="2"/>
      <c r="N6431" s="9"/>
      <c r="P6431" s="3">
        <v>-1232.33516773</v>
      </c>
      <c r="S6431" s="9"/>
      <c r="T6431" s="2"/>
      <c r="U6431" s="9"/>
    </row>
    <row r="6432" spans="2:21" x14ac:dyDescent="0.35">
      <c r="B6432" s="9"/>
      <c r="C6432" s="2"/>
      <c r="D6432" s="2"/>
      <c r="I6432" s="9"/>
      <c r="J6432" s="2"/>
      <c r="L6432" s="9"/>
      <c r="M6432" s="2"/>
      <c r="N6432" s="9"/>
      <c r="P6432" s="3">
        <v>-1667.09516773</v>
      </c>
      <c r="S6432" s="9"/>
      <c r="T6432" s="2"/>
      <c r="U6432" s="9"/>
    </row>
    <row r="6433" spans="2:21" x14ac:dyDescent="0.35">
      <c r="B6433" s="9"/>
      <c r="C6433" s="2"/>
      <c r="D6433" s="2"/>
      <c r="I6433" s="9"/>
      <c r="J6433" s="2"/>
      <c r="L6433" s="9"/>
      <c r="M6433" s="2"/>
      <c r="N6433" s="9"/>
      <c r="P6433" s="3">
        <v>-1232.33516773</v>
      </c>
      <c r="S6433" s="9"/>
      <c r="T6433" s="2"/>
      <c r="U6433" s="9"/>
    </row>
    <row r="6434" spans="2:21" x14ac:dyDescent="0.35">
      <c r="B6434" s="9"/>
      <c r="C6434" s="2"/>
      <c r="D6434" s="2"/>
      <c r="I6434" s="9"/>
      <c r="J6434" s="2"/>
      <c r="L6434" s="9"/>
      <c r="M6434" s="2"/>
      <c r="N6434" s="9"/>
      <c r="P6434" s="3">
        <v>-1016.02534823</v>
      </c>
      <c r="S6434" s="9"/>
      <c r="T6434" s="2"/>
      <c r="U6434" s="9"/>
    </row>
    <row r="6435" spans="2:21" x14ac:dyDescent="0.35">
      <c r="B6435" s="9"/>
      <c r="C6435" s="2"/>
      <c r="D6435" s="2"/>
      <c r="I6435" s="9"/>
      <c r="J6435" s="2"/>
      <c r="L6435" s="9"/>
      <c r="M6435" s="2"/>
      <c r="N6435" s="9"/>
      <c r="P6435" s="3">
        <v>-766.94045860000006</v>
      </c>
      <c r="S6435" s="9"/>
      <c r="T6435" s="2"/>
      <c r="U6435" s="9"/>
    </row>
    <row r="6436" spans="2:21" x14ac:dyDescent="0.35">
      <c r="B6436" s="9"/>
      <c r="C6436" s="2"/>
      <c r="D6436" s="2"/>
      <c r="I6436" s="9"/>
      <c r="J6436" s="2"/>
      <c r="L6436" s="9"/>
      <c r="M6436" s="2"/>
      <c r="N6436" s="9"/>
      <c r="P6436" s="3">
        <v>-497.62619885999999</v>
      </c>
      <c r="S6436" s="9"/>
      <c r="T6436" s="2"/>
      <c r="U6436" s="9"/>
    </row>
    <row r="6437" spans="2:21" x14ac:dyDescent="0.35">
      <c r="B6437" s="9"/>
      <c r="C6437" s="2"/>
      <c r="D6437" s="2"/>
      <c r="I6437" s="9"/>
      <c r="J6437" s="2"/>
      <c r="L6437" s="9"/>
      <c r="M6437" s="2"/>
      <c r="N6437" s="9"/>
      <c r="P6437" s="3">
        <v>-395.02764886</v>
      </c>
      <c r="S6437" s="9"/>
      <c r="T6437" s="2"/>
      <c r="U6437" s="9"/>
    </row>
    <row r="6438" spans="2:21" x14ac:dyDescent="0.35">
      <c r="B6438" s="9"/>
      <c r="C6438" s="2"/>
      <c r="D6438" s="2"/>
      <c r="I6438" s="9"/>
      <c r="J6438" s="2"/>
      <c r="L6438" s="9"/>
      <c r="M6438" s="2"/>
      <c r="N6438" s="9"/>
      <c r="P6438" s="3">
        <v>-255.34366886000001</v>
      </c>
      <c r="S6438" s="9"/>
      <c r="T6438" s="2"/>
      <c r="U6438" s="9"/>
    </row>
    <row r="6439" spans="2:21" x14ac:dyDescent="0.35">
      <c r="B6439" s="9"/>
      <c r="C6439" s="2"/>
      <c r="D6439" s="2"/>
      <c r="I6439" s="9"/>
      <c r="J6439" s="2"/>
      <c r="L6439" s="9"/>
      <c r="M6439" s="2"/>
      <c r="N6439" s="9"/>
      <c r="P6439" s="3">
        <v>-168.34026886000001</v>
      </c>
      <c r="S6439" s="9"/>
      <c r="T6439" s="2"/>
      <c r="U6439" s="9"/>
    </row>
    <row r="6440" spans="2:21" x14ac:dyDescent="0.35">
      <c r="B6440" s="9"/>
      <c r="C6440" s="2"/>
      <c r="D6440" s="2"/>
      <c r="I6440" s="9"/>
      <c r="J6440" s="2"/>
      <c r="L6440" s="9"/>
      <c r="M6440" s="2"/>
      <c r="N6440" s="9"/>
      <c r="P6440" s="3">
        <v>-105.47260885999999</v>
      </c>
      <c r="S6440" s="9"/>
      <c r="T6440" s="2"/>
      <c r="U6440" s="9"/>
    </row>
    <row r="6441" spans="2:21" x14ac:dyDescent="0.35">
      <c r="B6441" s="9"/>
      <c r="C6441" s="2"/>
      <c r="D6441" s="2"/>
      <c r="I6441" s="9"/>
      <c r="J6441" s="2"/>
      <c r="L6441" s="9"/>
      <c r="M6441" s="2"/>
      <c r="N6441" s="9"/>
      <c r="P6441" s="3">
        <v>-38.976848859999997</v>
      </c>
      <c r="S6441" s="9"/>
      <c r="T6441" s="2"/>
      <c r="U6441" s="9"/>
    </row>
    <row r="6442" spans="2:21" x14ac:dyDescent="0.35">
      <c r="B6442" s="9"/>
      <c r="C6442" s="2"/>
      <c r="D6442" s="2"/>
      <c r="I6442" s="9"/>
      <c r="J6442" s="2"/>
      <c r="L6442" s="9"/>
      <c r="M6442" s="2"/>
      <c r="N6442" s="9"/>
      <c r="P6442" s="3">
        <v>-9.3343488600000004</v>
      </c>
      <c r="S6442" s="9"/>
      <c r="T6442" s="2"/>
      <c r="U6442" s="9"/>
    </row>
    <row r="6443" spans="2:21" x14ac:dyDescent="0.35">
      <c r="B6443" s="9"/>
      <c r="C6443" s="2"/>
      <c r="D6443" s="2"/>
      <c r="I6443" s="9"/>
      <c r="J6443" s="2"/>
      <c r="L6443" s="9"/>
      <c r="M6443" s="2"/>
      <c r="N6443" s="9"/>
      <c r="P6443" s="3">
        <v>152.12239761999999</v>
      </c>
      <c r="S6443" s="9"/>
      <c r="T6443" s="2"/>
      <c r="U6443" s="9"/>
    </row>
    <row r="6444" spans="2:21" x14ac:dyDescent="0.35">
      <c r="B6444" s="9"/>
      <c r="C6444" s="2"/>
      <c r="D6444" s="2"/>
      <c r="I6444" s="9"/>
      <c r="J6444" s="2"/>
      <c r="L6444" s="9"/>
      <c r="M6444" s="2"/>
      <c r="N6444" s="9"/>
      <c r="P6444" s="3">
        <v>278.23889409999998</v>
      </c>
      <c r="S6444" s="9"/>
      <c r="T6444" s="2"/>
      <c r="U6444" s="9"/>
    </row>
    <row r="6445" spans="2:21" x14ac:dyDescent="0.35">
      <c r="B6445" s="9"/>
      <c r="C6445" s="2"/>
      <c r="D6445" s="2"/>
      <c r="I6445" s="9"/>
      <c r="J6445" s="2"/>
      <c r="L6445" s="9"/>
      <c r="M6445" s="2"/>
      <c r="N6445" s="9"/>
      <c r="P6445" s="3">
        <v>368.97082655000003</v>
      </c>
      <c r="S6445" s="9"/>
      <c r="T6445" s="2"/>
      <c r="U6445" s="9"/>
    </row>
    <row r="6446" spans="2:21" x14ac:dyDescent="0.35">
      <c r="B6446" s="9"/>
      <c r="C6446" s="2"/>
      <c r="D6446" s="2"/>
      <c r="I6446" s="9"/>
      <c r="J6446" s="2"/>
      <c r="L6446" s="9"/>
      <c r="M6446" s="2"/>
      <c r="N6446" s="9"/>
      <c r="P6446" s="3">
        <v>-65.789173450000007</v>
      </c>
      <c r="S6446" s="9"/>
      <c r="T6446" s="2"/>
      <c r="U6446" s="9"/>
    </row>
    <row r="6447" spans="2:21" x14ac:dyDescent="0.35">
      <c r="B6447" s="9"/>
      <c r="C6447" s="2"/>
      <c r="D6447" s="2"/>
      <c r="I6447" s="9"/>
      <c r="J6447" s="2"/>
      <c r="L6447" s="9"/>
      <c r="M6447" s="2"/>
      <c r="N6447" s="9"/>
      <c r="P6447" s="3">
        <v>-500.54917345000001</v>
      </c>
      <c r="S6447" s="9"/>
      <c r="T6447" s="2"/>
      <c r="U6447" s="9"/>
    </row>
    <row r="6448" spans="2:21" x14ac:dyDescent="0.35">
      <c r="B6448" s="9"/>
      <c r="C6448" s="2"/>
      <c r="D6448" s="2"/>
      <c r="I6448" s="9"/>
      <c r="J6448" s="2"/>
      <c r="L6448" s="9"/>
      <c r="M6448" s="2"/>
      <c r="N6448" s="9"/>
      <c r="P6448" s="3">
        <v>-935.30917345</v>
      </c>
      <c r="S6448" s="9"/>
      <c r="T6448" s="2"/>
      <c r="U6448" s="9"/>
    </row>
    <row r="6449" spans="2:21" x14ac:dyDescent="0.35">
      <c r="B6449" s="9"/>
      <c r="C6449" s="2"/>
      <c r="D6449" s="2"/>
      <c r="I6449" s="9"/>
      <c r="J6449" s="2"/>
      <c r="L6449" s="9"/>
      <c r="M6449" s="2"/>
      <c r="N6449" s="9"/>
      <c r="P6449" s="3">
        <v>-1060.3003557100001</v>
      </c>
      <c r="S6449" s="9"/>
      <c r="T6449" s="2"/>
      <c r="U6449" s="9"/>
    </row>
    <row r="6450" spans="2:21" x14ac:dyDescent="0.35">
      <c r="B6450" s="9"/>
      <c r="C6450" s="2"/>
      <c r="D6450" s="2"/>
      <c r="I6450" s="9"/>
      <c r="J6450" s="2"/>
      <c r="L6450" s="9"/>
      <c r="M6450" s="2"/>
      <c r="N6450" s="9"/>
      <c r="P6450" s="3">
        <v>-625.54035570999997</v>
      </c>
      <c r="S6450" s="9"/>
      <c r="T6450" s="2"/>
      <c r="U6450" s="9"/>
    </row>
    <row r="6451" spans="2:21" x14ac:dyDescent="0.35">
      <c r="B6451" s="9"/>
      <c r="C6451" s="2"/>
      <c r="D6451" s="2"/>
      <c r="I6451" s="9"/>
      <c r="J6451" s="2"/>
      <c r="L6451" s="9"/>
      <c r="M6451" s="2"/>
      <c r="N6451" s="9"/>
      <c r="P6451" s="3">
        <v>-469.41800854000002</v>
      </c>
      <c r="S6451" s="9"/>
      <c r="T6451" s="2"/>
      <c r="U6451" s="9"/>
    </row>
    <row r="6452" spans="2:21" x14ac:dyDescent="0.35">
      <c r="B6452" s="9"/>
      <c r="C6452" s="2"/>
      <c r="D6452" s="2"/>
      <c r="I6452" s="9"/>
      <c r="J6452" s="2"/>
      <c r="L6452" s="9"/>
      <c r="M6452" s="2"/>
      <c r="N6452" s="9"/>
      <c r="P6452" s="3">
        <v>-904.17800853999995</v>
      </c>
      <c r="S6452" s="9"/>
      <c r="T6452" s="2"/>
      <c r="U6452" s="9"/>
    </row>
    <row r="6453" spans="2:21" x14ac:dyDescent="0.35">
      <c r="B6453" s="9"/>
      <c r="C6453" s="2"/>
      <c r="D6453" s="2"/>
      <c r="I6453" s="9"/>
      <c r="J6453" s="2"/>
      <c r="L6453" s="9"/>
      <c r="M6453" s="2"/>
      <c r="N6453" s="9"/>
      <c r="P6453" s="3">
        <v>-1338.9380085400001</v>
      </c>
      <c r="S6453" s="9"/>
      <c r="T6453" s="2"/>
      <c r="U6453" s="9"/>
    </row>
    <row r="6454" spans="2:21" x14ac:dyDescent="0.35">
      <c r="B6454" s="9"/>
      <c r="C6454" s="2"/>
      <c r="D6454" s="2"/>
      <c r="I6454" s="9"/>
      <c r="J6454" s="2"/>
      <c r="L6454" s="9"/>
      <c r="M6454" s="2"/>
      <c r="N6454" s="9"/>
      <c r="P6454" s="3">
        <v>-1089.7569669699999</v>
      </c>
      <c r="S6454" s="9"/>
      <c r="T6454" s="2"/>
      <c r="U6454" s="9"/>
    </row>
    <row r="6455" spans="2:21" x14ac:dyDescent="0.35">
      <c r="B6455" s="9"/>
      <c r="C6455" s="2"/>
      <c r="D6455" s="2"/>
      <c r="I6455" s="9"/>
      <c r="J6455" s="2"/>
      <c r="L6455" s="9"/>
      <c r="M6455" s="2"/>
      <c r="N6455" s="9"/>
      <c r="P6455" s="3">
        <v>-654.99696697000002</v>
      </c>
      <c r="S6455" s="9"/>
      <c r="T6455" s="2"/>
      <c r="U6455" s="9"/>
    </row>
    <row r="6456" spans="2:21" x14ac:dyDescent="0.35">
      <c r="B6456" s="9"/>
      <c r="C6456" s="2"/>
      <c r="D6456" s="2"/>
      <c r="I6456" s="9"/>
      <c r="J6456" s="2"/>
      <c r="L6456" s="9"/>
      <c r="M6456" s="2"/>
      <c r="N6456" s="9"/>
      <c r="P6456" s="3">
        <v>-220.23696697</v>
      </c>
      <c r="S6456" s="9"/>
      <c r="T6456" s="2"/>
      <c r="U6456" s="9"/>
    </row>
    <row r="6457" spans="2:21" x14ac:dyDescent="0.35">
      <c r="B6457" s="9"/>
      <c r="C6457" s="2"/>
      <c r="D6457" s="2"/>
      <c r="I6457" s="9"/>
      <c r="J6457" s="2"/>
      <c r="L6457" s="9"/>
      <c r="M6457" s="2"/>
      <c r="N6457" s="9"/>
      <c r="P6457" s="3">
        <v>22.777272270000001</v>
      </c>
      <c r="S6457" s="9"/>
      <c r="T6457" s="2"/>
      <c r="U6457" s="9"/>
    </row>
    <row r="6458" spans="2:21" x14ac:dyDescent="0.35">
      <c r="B6458" s="9"/>
      <c r="C6458" s="2"/>
      <c r="D6458" s="2"/>
      <c r="I6458" s="9"/>
      <c r="J6458" s="2"/>
      <c r="L6458" s="9"/>
      <c r="M6458" s="2"/>
      <c r="N6458" s="9"/>
      <c r="P6458" s="3">
        <v>-10.09237823</v>
      </c>
      <c r="S6458" s="9"/>
      <c r="T6458" s="2"/>
      <c r="U6458" s="9"/>
    </row>
    <row r="6459" spans="2:21" x14ac:dyDescent="0.35">
      <c r="B6459" s="9"/>
      <c r="C6459" s="2"/>
      <c r="D6459" s="2"/>
      <c r="I6459" s="9"/>
      <c r="J6459" s="2"/>
      <c r="L6459" s="9"/>
      <c r="M6459" s="2"/>
      <c r="N6459" s="9"/>
      <c r="P6459" s="3">
        <v>6.1962913999999998</v>
      </c>
      <c r="S6459" s="9"/>
      <c r="T6459" s="2"/>
      <c r="U6459" s="9"/>
    </row>
    <row r="6460" spans="2:21" x14ac:dyDescent="0.35">
      <c r="B6460" s="9"/>
      <c r="C6460" s="2"/>
      <c r="D6460" s="2"/>
      <c r="I6460" s="9"/>
      <c r="J6460" s="2"/>
      <c r="L6460" s="9"/>
      <c r="M6460" s="2"/>
      <c r="N6460" s="9"/>
      <c r="P6460" s="3">
        <v>30.470381140000001</v>
      </c>
      <c r="S6460" s="9"/>
      <c r="T6460" s="2"/>
      <c r="U6460" s="9"/>
    </row>
    <row r="6461" spans="2:21" x14ac:dyDescent="0.35">
      <c r="B6461" s="9"/>
      <c r="C6461" s="2"/>
      <c r="D6461" s="2"/>
      <c r="I6461" s="9"/>
      <c r="J6461" s="2"/>
      <c r="L6461" s="9"/>
      <c r="M6461" s="2"/>
      <c r="N6461" s="9"/>
      <c r="P6461" s="3">
        <v>37.733681140000002</v>
      </c>
      <c r="S6461" s="9"/>
      <c r="T6461" s="2"/>
      <c r="U6461" s="9"/>
    </row>
    <row r="6462" spans="2:21" x14ac:dyDescent="0.35">
      <c r="B6462" s="9"/>
      <c r="C6462" s="2"/>
      <c r="D6462" s="2"/>
      <c r="I6462" s="9"/>
      <c r="J6462" s="2"/>
      <c r="L6462" s="9"/>
      <c r="M6462" s="2"/>
      <c r="N6462" s="9"/>
      <c r="P6462" s="3">
        <v>31.896771139999998</v>
      </c>
      <c r="S6462" s="9"/>
      <c r="T6462" s="2"/>
      <c r="U6462" s="9"/>
    </row>
    <row r="6463" spans="2:21" x14ac:dyDescent="0.35">
      <c r="B6463" s="9"/>
      <c r="C6463" s="2"/>
      <c r="D6463" s="2"/>
      <c r="I6463" s="9"/>
      <c r="J6463" s="2"/>
      <c r="L6463" s="9"/>
      <c r="M6463" s="2"/>
      <c r="N6463" s="9"/>
      <c r="P6463" s="3">
        <v>-25.061558860000002</v>
      </c>
      <c r="S6463" s="9"/>
      <c r="T6463" s="2"/>
      <c r="U6463" s="9"/>
    </row>
    <row r="6464" spans="2:21" x14ac:dyDescent="0.35">
      <c r="B6464" s="9"/>
      <c r="C6464" s="2"/>
      <c r="D6464" s="2"/>
      <c r="I6464" s="9"/>
      <c r="J6464" s="2"/>
      <c r="L6464" s="9"/>
      <c r="M6464" s="2"/>
      <c r="N6464" s="9"/>
      <c r="P6464" s="3">
        <v>-108.35307886</v>
      </c>
      <c r="S6464" s="9"/>
      <c r="T6464" s="2"/>
      <c r="U6464" s="9"/>
    </row>
    <row r="6465" spans="2:21" x14ac:dyDescent="0.35">
      <c r="B6465" s="9"/>
      <c r="C6465" s="2"/>
      <c r="D6465" s="2"/>
      <c r="I6465" s="9"/>
      <c r="J6465" s="2"/>
      <c r="L6465" s="9"/>
      <c r="M6465" s="2"/>
      <c r="N6465" s="9"/>
      <c r="P6465" s="3">
        <v>-184.30461886000001</v>
      </c>
      <c r="S6465" s="9"/>
      <c r="T6465" s="2"/>
      <c r="U6465" s="9"/>
    </row>
    <row r="6466" spans="2:21" x14ac:dyDescent="0.35">
      <c r="B6466" s="9"/>
      <c r="C6466" s="2"/>
      <c r="D6466" s="2"/>
      <c r="I6466" s="9"/>
      <c r="J6466" s="2"/>
      <c r="L6466" s="9"/>
      <c r="M6466" s="2"/>
      <c r="N6466" s="9"/>
      <c r="P6466" s="3">
        <v>-198.00406885999999</v>
      </c>
      <c r="S6466" s="9"/>
      <c r="T6466" s="2"/>
      <c r="U6466" s="9"/>
    </row>
    <row r="6467" spans="2:21" x14ac:dyDescent="0.35">
      <c r="B6467" s="9"/>
      <c r="C6467" s="2"/>
      <c r="D6467" s="2"/>
      <c r="I6467" s="9"/>
      <c r="J6467" s="2"/>
      <c r="L6467" s="9"/>
      <c r="M6467" s="2"/>
      <c r="N6467" s="9"/>
      <c r="P6467" s="3">
        <v>-55.984992380000001</v>
      </c>
      <c r="S6467" s="9"/>
      <c r="T6467" s="2"/>
      <c r="U6467" s="9"/>
    </row>
    <row r="6468" spans="2:21" x14ac:dyDescent="0.35">
      <c r="B6468" s="9"/>
      <c r="C6468" s="2"/>
      <c r="D6468" s="2"/>
      <c r="I6468" s="9"/>
      <c r="J6468" s="2"/>
      <c r="L6468" s="9"/>
      <c r="M6468" s="2"/>
      <c r="N6468" s="9"/>
      <c r="P6468" s="3">
        <v>144.0623841</v>
      </c>
      <c r="S6468" s="9"/>
      <c r="T6468" s="2"/>
      <c r="U6468" s="9"/>
    </row>
    <row r="6469" spans="2:21" x14ac:dyDescent="0.35">
      <c r="B6469" s="9"/>
      <c r="C6469" s="2"/>
      <c r="D6469" s="2"/>
      <c r="I6469" s="9"/>
      <c r="J6469" s="2"/>
      <c r="L6469" s="9"/>
      <c r="M6469" s="2"/>
      <c r="N6469" s="9"/>
      <c r="P6469" s="3">
        <v>272.48892654999997</v>
      </c>
      <c r="S6469" s="9"/>
      <c r="T6469" s="2"/>
      <c r="U6469" s="9"/>
    </row>
    <row r="6470" spans="2:21" x14ac:dyDescent="0.35">
      <c r="B6470" s="9"/>
      <c r="C6470" s="2"/>
      <c r="D6470" s="2"/>
      <c r="I6470" s="9"/>
      <c r="J6470" s="2"/>
      <c r="L6470" s="9"/>
      <c r="M6470" s="2"/>
      <c r="N6470" s="9"/>
      <c r="P6470" s="3">
        <v>-162.27107344999999</v>
      </c>
      <c r="S6470" s="9"/>
      <c r="T6470" s="2"/>
      <c r="U6470" s="9"/>
    </row>
    <row r="6471" spans="2:21" x14ac:dyDescent="0.35">
      <c r="B6471" s="9"/>
      <c r="C6471" s="2"/>
      <c r="D6471" s="2"/>
      <c r="I6471" s="9"/>
      <c r="J6471" s="2"/>
      <c r="L6471" s="9"/>
      <c r="M6471" s="2"/>
      <c r="N6471" s="9"/>
      <c r="P6471" s="3">
        <v>-597.03107345000001</v>
      </c>
      <c r="S6471" s="9"/>
      <c r="T6471" s="2"/>
      <c r="U6471" s="9"/>
    </row>
    <row r="6472" spans="2:21" x14ac:dyDescent="0.35">
      <c r="B6472" s="9"/>
      <c r="C6472" s="2"/>
      <c r="D6472" s="2"/>
      <c r="I6472" s="9"/>
      <c r="J6472" s="2"/>
      <c r="L6472" s="9"/>
      <c r="M6472" s="2"/>
      <c r="N6472" s="9"/>
      <c r="P6472" s="3">
        <v>-1031.7910734500001</v>
      </c>
      <c r="S6472" s="9"/>
      <c r="T6472" s="2"/>
      <c r="U6472" s="9"/>
    </row>
    <row r="6473" spans="2:21" x14ac:dyDescent="0.35">
      <c r="B6473" s="9"/>
      <c r="C6473" s="2"/>
      <c r="D6473" s="2"/>
      <c r="I6473" s="9"/>
      <c r="J6473" s="2"/>
      <c r="L6473" s="9"/>
      <c r="M6473" s="2"/>
      <c r="N6473" s="9"/>
      <c r="P6473" s="3">
        <v>-1466.5510734500001</v>
      </c>
      <c r="S6473" s="9"/>
      <c r="T6473" s="2"/>
      <c r="U6473" s="9"/>
    </row>
    <row r="6474" spans="2:21" x14ac:dyDescent="0.35">
      <c r="B6474" s="9"/>
      <c r="C6474" s="2"/>
      <c r="D6474" s="2"/>
      <c r="I6474" s="9"/>
      <c r="J6474" s="2"/>
      <c r="L6474" s="9"/>
      <c r="M6474" s="2"/>
      <c r="N6474" s="9"/>
      <c r="P6474" s="3">
        <v>-1901.3110734500001</v>
      </c>
      <c r="S6474" s="9"/>
      <c r="T6474" s="2"/>
      <c r="U6474" s="9"/>
    </row>
    <row r="6475" spans="2:21" x14ac:dyDescent="0.35">
      <c r="B6475" s="9"/>
      <c r="C6475" s="2"/>
      <c r="D6475" s="2"/>
      <c r="I6475" s="9"/>
      <c r="J6475" s="2"/>
      <c r="L6475" s="9"/>
      <c r="M6475" s="2"/>
      <c r="N6475" s="9"/>
      <c r="P6475" s="3">
        <v>-2085.5313955500001</v>
      </c>
      <c r="S6475" s="9"/>
      <c r="T6475" s="2"/>
      <c r="U6475" s="9"/>
    </row>
    <row r="6476" spans="2:21" x14ac:dyDescent="0.35">
      <c r="B6476" s="9"/>
      <c r="C6476" s="2"/>
      <c r="D6476" s="2"/>
      <c r="I6476" s="9"/>
      <c r="J6476" s="2"/>
      <c r="L6476" s="9"/>
      <c r="M6476" s="2"/>
      <c r="N6476" s="9"/>
      <c r="P6476" s="3">
        <v>-1670.36102222</v>
      </c>
      <c r="S6476" s="9"/>
      <c r="T6476" s="2"/>
      <c r="U6476" s="9"/>
    </row>
    <row r="6477" spans="2:21" x14ac:dyDescent="0.35">
      <c r="B6477" s="9"/>
      <c r="C6477" s="2"/>
      <c r="D6477" s="2"/>
      <c r="I6477" s="9"/>
      <c r="J6477" s="2"/>
      <c r="L6477" s="9"/>
      <c r="M6477" s="2"/>
      <c r="N6477" s="9"/>
      <c r="P6477" s="3">
        <v>-1822.1951169700001</v>
      </c>
      <c r="S6477" s="9"/>
      <c r="T6477" s="2"/>
      <c r="U6477" s="9"/>
    </row>
    <row r="6478" spans="2:21" x14ac:dyDescent="0.35">
      <c r="B6478" s="9"/>
      <c r="C6478" s="2"/>
      <c r="D6478" s="2"/>
      <c r="I6478" s="9"/>
      <c r="J6478" s="2"/>
      <c r="L6478" s="9"/>
      <c r="M6478" s="2"/>
      <c r="N6478" s="9"/>
      <c r="P6478" s="3">
        <v>-1387.4351169700001</v>
      </c>
      <c r="S6478" s="9"/>
      <c r="T6478" s="2"/>
      <c r="U6478" s="9"/>
    </row>
    <row r="6479" spans="2:21" x14ac:dyDescent="0.35">
      <c r="B6479" s="9"/>
      <c r="C6479" s="2"/>
      <c r="D6479" s="2"/>
      <c r="I6479" s="9"/>
      <c r="J6479" s="2"/>
      <c r="L6479" s="9"/>
      <c r="M6479" s="2"/>
      <c r="N6479" s="9"/>
      <c r="P6479" s="3">
        <v>-952.67511696999998</v>
      </c>
      <c r="S6479" s="9"/>
      <c r="T6479" s="2"/>
      <c r="U6479" s="9"/>
    </row>
    <row r="6480" spans="2:21" x14ac:dyDescent="0.35">
      <c r="B6480" s="9"/>
      <c r="C6480" s="2"/>
      <c r="D6480" s="2"/>
      <c r="I6480" s="9"/>
      <c r="J6480" s="2"/>
      <c r="L6480" s="9"/>
      <c r="M6480" s="2"/>
      <c r="N6480" s="9"/>
      <c r="P6480" s="3">
        <v>-517.91511696999999</v>
      </c>
      <c r="S6480" s="9"/>
      <c r="T6480" s="2"/>
      <c r="U6480" s="9"/>
    </row>
    <row r="6481" spans="2:21" x14ac:dyDescent="0.35">
      <c r="B6481" s="9"/>
      <c r="C6481" s="2"/>
      <c r="D6481" s="2"/>
      <c r="I6481" s="9"/>
      <c r="J6481" s="2"/>
      <c r="L6481" s="9"/>
      <c r="M6481" s="2"/>
      <c r="N6481" s="9"/>
      <c r="P6481" s="3">
        <v>-267.26340772999998</v>
      </c>
      <c r="S6481" s="9"/>
      <c r="T6481" s="2"/>
      <c r="U6481" s="9"/>
    </row>
    <row r="6482" spans="2:21" x14ac:dyDescent="0.35">
      <c r="B6482" s="9"/>
      <c r="C6482" s="2"/>
      <c r="D6482" s="2"/>
      <c r="I6482" s="9"/>
      <c r="J6482" s="2"/>
      <c r="L6482" s="9"/>
      <c r="M6482" s="2"/>
      <c r="N6482" s="9"/>
      <c r="P6482" s="3">
        <v>-543.39467822999995</v>
      </c>
      <c r="S6482" s="9"/>
      <c r="T6482" s="2"/>
      <c r="U6482" s="9"/>
    </row>
    <row r="6483" spans="2:21" x14ac:dyDescent="0.35">
      <c r="B6483" s="9"/>
      <c r="C6483" s="2"/>
      <c r="D6483" s="2"/>
      <c r="I6483" s="9"/>
      <c r="J6483" s="2"/>
      <c r="L6483" s="9"/>
      <c r="M6483" s="2"/>
      <c r="N6483" s="9"/>
      <c r="P6483" s="3">
        <v>-910.0331486</v>
      </c>
      <c r="S6483" s="9"/>
      <c r="T6483" s="2"/>
      <c r="U6483" s="9"/>
    </row>
    <row r="6484" spans="2:21" x14ac:dyDescent="0.35">
      <c r="B6484" s="9"/>
      <c r="C6484" s="2"/>
      <c r="D6484" s="2"/>
      <c r="I6484" s="9"/>
      <c r="J6484" s="2"/>
      <c r="L6484" s="9"/>
      <c r="M6484" s="2"/>
      <c r="N6484" s="9"/>
      <c r="P6484" s="3">
        <v>-1187.7483288599999</v>
      </c>
      <c r="S6484" s="9"/>
      <c r="T6484" s="2"/>
      <c r="U6484" s="9"/>
    </row>
    <row r="6485" spans="2:21" x14ac:dyDescent="0.35">
      <c r="B6485" s="9"/>
      <c r="C6485" s="2"/>
      <c r="D6485" s="2"/>
      <c r="I6485" s="9"/>
      <c r="J6485" s="2"/>
      <c r="L6485" s="9"/>
      <c r="M6485" s="2"/>
      <c r="N6485" s="9"/>
      <c r="P6485" s="3">
        <v>-1622.5083288599999</v>
      </c>
      <c r="S6485" s="9"/>
      <c r="T6485" s="2"/>
      <c r="U6485" s="9"/>
    </row>
    <row r="6486" spans="2:21" x14ac:dyDescent="0.35">
      <c r="B6486" s="9"/>
      <c r="C6486" s="2"/>
      <c r="D6486" s="2"/>
      <c r="I6486" s="9"/>
      <c r="J6486" s="2"/>
      <c r="L6486" s="9"/>
      <c r="M6486" s="2"/>
      <c r="N6486" s="9"/>
      <c r="P6486" s="3">
        <v>-2057.2683288600001</v>
      </c>
      <c r="S6486" s="9"/>
      <c r="T6486" s="2"/>
      <c r="U6486" s="9"/>
    </row>
    <row r="6487" spans="2:21" x14ac:dyDescent="0.35">
      <c r="B6487" s="9"/>
      <c r="C6487" s="2"/>
      <c r="D6487" s="2"/>
      <c r="I6487" s="9"/>
      <c r="J6487" s="2"/>
      <c r="L6487" s="9"/>
      <c r="M6487" s="2"/>
      <c r="N6487" s="9"/>
      <c r="P6487" s="3">
        <v>-2455.7309388600002</v>
      </c>
      <c r="S6487" s="9"/>
      <c r="T6487" s="2"/>
      <c r="U6487" s="9"/>
    </row>
    <row r="6488" spans="2:21" x14ac:dyDescent="0.35">
      <c r="B6488" s="9"/>
      <c r="C6488" s="2"/>
      <c r="D6488" s="2"/>
      <c r="I6488" s="9"/>
      <c r="J6488" s="2"/>
      <c r="L6488" s="9"/>
      <c r="M6488" s="2"/>
      <c r="N6488" s="9"/>
      <c r="P6488" s="3">
        <v>-2780.9066788599998</v>
      </c>
      <c r="S6488" s="9"/>
      <c r="T6488" s="2"/>
      <c r="U6488" s="9"/>
    </row>
    <row r="6489" spans="2:21" x14ac:dyDescent="0.35">
      <c r="B6489" s="9"/>
      <c r="C6489" s="2"/>
      <c r="D6489" s="2"/>
      <c r="I6489" s="9"/>
      <c r="J6489" s="2"/>
      <c r="L6489" s="9"/>
      <c r="M6489" s="2"/>
      <c r="N6489" s="9"/>
      <c r="P6489" s="3">
        <v>-2860.169492</v>
      </c>
      <c r="S6489" s="9"/>
      <c r="T6489" s="2"/>
      <c r="U6489" s="9"/>
    </row>
    <row r="6490" spans="2:21" x14ac:dyDescent="0.35">
      <c r="B6490" s="9"/>
      <c r="C6490" s="2"/>
      <c r="D6490" s="2"/>
      <c r="I6490" s="9"/>
      <c r="J6490" s="2"/>
      <c r="L6490" s="9"/>
      <c r="M6490" s="2"/>
      <c r="N6490" s="9"/>
      <c r="P6490" s="3">
        <v>-2860.169492</v>
      </c>
      <c r="S6490" s="9"/>
      <c r="T6490" s="2"/>
      <c r="U6490" s="9"/>
    </row>
    <row r="6491" spans="2:21" x14ac:dyDescent="0.35">
      <c r="B6491" s="9"/>
      <c r="C6491" s="2"/>
      <c r="D6491" s="2"/>
      <c r="I6491" s="9"/>
      <c r="J6491" s="2"/>
      <c r="L6491" s="9"/>
      <c r="M6491" s="2"/>
      <c r="N6491" s="9"/>
      <c r="P6491" s="3">
        <v>-2860.169492</v>
      </c>
      <c r="S6491" s="9"/>
      <c r="T6491" s="2"/>
      <c r="U6491" s="9"/>
    </row>
    <row r="6492" spans="2:21" x14ac:dyDescent="0.35">
      <c r="B6492" s="9"/>
      <c r="C6492" s="2"/>
      <c r="D6492" s="2"/>
      <c r="I6492" s="9"/>
      <c r="J6492" s="2"/>
      <c r="L6492" s="9"/>
      <c r="M6492" s="2"/>
      <c r="N6492" s="9"/>
      <c r="P6492" s="3">
        <v>-2860.169492</v>
      </c>
      <c r="S6492" s="9"/>
      <c r="T6492" s="2"/>
      <c r="U6492" s="9"/>
    </row>
    <row r="6493" spans="2:21" x14ac:dyDescent="0.35">
      <c r="B6493" s="9"/>
      <c r="C6493" s="2"/>
      <c r="D6493" s="2"/>
      <c r="I6493" s="9"/>
      <c r="J6493" s="2"/>
      <c r="L6493" s="9"/>
      <c r="M6493" s="2"/>
      <c r="N6493" s="9"/>
      <c r="P6493" s="3">
        <v>-2860.169492</v>
      </c>
      <c r="S6493" s="9"/>
      <c r="T6493" s="2"/>
      <c r="U6493" s="9"/>
    </row>
    <row r="6494" spans="2:21" x14ac:dyDescent="0.35">
      <c r="B6494" s="9"/>
      <c r="C6494" s="2"/>
      <c r="D6494" s="2"/>
      <c r="I6494" s="9"/>
      <c r="J6494" s="2"/>
      <c r="L6494" s="9"/>
      <c r="M6494" s="2"/>
      <c r="N6494" s="9"/>
      <c r="P6494" s="3">
        <v>-2860.169492</v>
      </c>
      <c r="S6494" s="9"/>
      <c r="T6494" s="2"/>
      <c r="U6494" s="9"/>
    </row>
    <row r="6495" spans="2:21" x14ac:dyDescent="0.35">
      <c r="B6495" s="9"/>
      <c r="C6495" s="2"/>
      <c r="D6495" s="2"/>
      <c r="I6495" s="9"/>
      <c r="J6495" s="2"/>
      <c r="L6495" s="9"/>
      <c r="M6495" s="2"/>
      <c r="N6495" s="9"/>
      <c r="P6495" s="3">
        <v>-2860.169492</v>
      </c>
      <c r="S6495" s="9"/>
      <c r="T6495" s="2"/>
      <c r="U6495" s="9"/>
    </row>
    <row r="6496" spans="2:21" x14ac:dyDescent="0.35">
      <c r="B6496" s="9"/>
      <c r="C6496" s="2"/>
      <c r="D6496" s="2"/>
      <c r="I6496" s="9"/>
      <c r="J6496" s="2"/>
      <c r="L6496" s="9"/>
      <c r="M6496" s="2"/>
      <c r="N6496" s="9"/>
      <c r="P6496" s="3">
        <v>-2860.169492</v>
      </c>
      <c r="S6496" s="9"/>
      <c r="T6496" s="2"/>
      <c r="U6496" s="9"/>
    </row>
    <row r="6497" spans="2:21" x14ac:dyDescent="0.35">
      <c r="B6497" s="9"/>
      <c r="C6497" s="2"/>
      <c r="D6497" s="2"/>
      <c r="I6497" s="9"/>
      <c r="J6497" s="2"/>
      <c r="L6497" s="9"/>
      <c r="M6497" s="2"/>
      <c r="N6497" s="9"/>
      <c r="P6497" s="3">
        <v>-2425.4094919999998</v>
      </c>
      <c r="S6497" s="9"/>
      <c r="T6497" s="2"/>
      <c r="U6497" s="9"/>
    </row>
    <row r="6498" spans="2:21" x14ac:dyDescent="0.35">
      <c r="B6498" s="9"/>
      <c r="C6498" s="2"/>
      <c r="D6498" s="2"/>
      <c r="I6498" s="9"/>
      <c r="J6498" s="2"/>
      <c r="L6498" s="9"/>
      <c r="M6498" s="2"/>
      <c r="N6498" s="9"/>
      <c r="P6498" s="3">
        <v>-1990.649492</v>
      </c>
      <c r="S6498" s="9"/>
      <c r="T6498" s="2"/>
      <c r="U6498" s="9"/>
    </row>
    <row r="6499" spans="2:21" x14ac:dyDescent="0.35">
      <c r="B6499" s="9"/>
      <c r="C6499" s="2"/>
      <c r="D6499" s="2"/>
      <c r="I6499" s="9"/>
      <c r="J6499" s="2"/>
      <c r="L6499" s="9"/>
      <c r="M6499" s="2"/>
      <c r="N6499" s="9"/>
      <c r="P6499" s="3">
        <v>-1555.889492</v>
      </c>
      <c r="S6499" s="9"/>
      <c r="T6499" s="2"/>
      <c r="U6499" s="9"/>
    </row>
    <row r="6500" spans="2:21" x14ac:dyDescent="0.35">
      <c r="B6500" s="9"/>
      <c r="C6500" s="2"/>
      <c r="D6500" s="2"/>
      <c r="I6500" s="9"/>
      <c r="J6500" s="2"/>
      <c r="L6500" s="9"/>
      <c r="M6500" s="2"/>
      <c r="N6500" s="9"/>
      <c r="P6500" s="3">
        <v>-1121.129492</v>
      </c>
      <c r="S6500" s="9"/>
      <c r="T6500" s="2"/>
      <c r="U6500" s="9"/>
    </row>
    <row r="6501" spans="2:21" x14ac:dyDescent="0.35">
      <c r="B6501" s="9"/>
      <c r="C6501" s="2"/>
      <c r="D6501" s="2"/>
      <c r="I6501" s="9"/>
      <c r="J6501" s="2"/>
      <c r="L6501" s="9"/>
      <c r="M6501" s="2"/>
      <c r="N6501" s="9"/>
      <c r="P6501" s="3">
        <v>-686.36949200000004</v>
      </c>
      <c r="S6501" s="9"/>
      <c r="T6501" s="2"/>
      <c r="U6501" s="9"/>
    </row>
    <row r="6502" spans="2:21" x14ac:dyDescent="0.35">
      <c r="B6502" s="9"/>
      <c r="C6502" s="2"/>
      <c r="D6502" s="2"/>
      <c r="I6502" s="9"/>
      <c r="J6502" s="2"/>
      <c r="L6502" s="9"/>
      <c r="M6502" s="2"/>
      <c r="N6502" s="9"/>
      <c r="P6502" s="3">
        <v>-564.84852773</v>
      </c>
      <c r="S6502" s="9"/>
      <c r="T6502" s="2"/>
      <c r="U6502" s="9"/>
    </row>
    <row r="6503" spans="2:21" x14ac:dyDescent="0.35">
      <c r="B6503" s="9"/>
      <c r="C6503" s="2"/>
      <c r="D6503" s="2"/>
      <c r="I6503" s="9"/>
      <c r="J6503" s="2"/>
      <c r="L6503" s="9"/>
      <c r="M6503" s="2"/>
      <c r="N6503" s="9"/>
      <c r="P6503" s="3">
        <v>-999.60852772999999</v>
      </c>
      <c r="S6503" s="9"/>
      <c r="T6503" s="2"/>
      <c r="U6503" s="9"/>
    </row>
    <row r="6504" spans="2:21" x14ac:dyDescent="0.35">
      <c r="B6504" s="9"/>
      <c r="C6504" s="2"/>
      <c r="D6504" s="2"/>
      <c r="I6504" s="9"/>
      <c r="J6504" s="2"/>
      <c r="L6504" s="9"/>
      <c r="M6504" s="2"/>
      <c r="N6504" s="9"/>
      <c r="P6504" s="3">
        <v>-1434.3685277300001</v>
      </c>
      <c r="S6504" s="9"/>
      <c r="T6504" s="2"/>
      <c r="U6504" s="9"/>
    </row>
    <row r="6505" spans="2:21" x14ac:dyDescent="0.35">
      <c r="B6505" s="9"/>
      <c r="C6505" s="2"/>
      <c r="D6505" s="2"/>
      <c r="I6505" s="9"/>
      <c r="J6505" s="2"/>
      <c r="L6505" s="9"/>
      <c r="M6505" s="2"/>
      <c r="N6505" s="9"/>
      <c r="P6505" s="3">
        <v>-999.60852772999999</v>
      </c>
      <c r="S6505" s="9"/>
      <c r="T6505" s="2"/>
      <c r="U6505" s="9"/>
    </row>
    <row r="6506" spans="2:21" x14ac:dyDescent="0.35">
      <c r="B6506" s="9"/>
      <c r="C6506" s="2"/>
      <c r="D6506" s="2"/>
      <c r="I6506" s="9"/>
      <c r="J6506" s="2"/>
      <c r="L6506" s="9"/>
      <c r="M6506" s="2"/>
      <c r="N6506" s="9"/>
      <c r="P6506" s="3">
        <v>-723.48688822999998</v>
      </c>
      <c r="S6506" s="9"/>
      <c r="T6506" s="2"/>
      <c r="U6506" s="9"/>
    </row>
    <row r="6507" spans="2:21" x14ac:dyDescent="0.35">
      <c r="B6507" s="9"/>
      <c r="C6507" s="2"/>
      <c r="D6507" s="2"/>
      <c r="I6507" s="9"/>
      <c r="J6507" s="2"/>
      <c r="L6507" s="9"/>
      <c r="M6507" s="2"/>
      <c r="N6507" s="9"/>
      <c r="P6507" s="3">
        <v>-531.6414886</v>
      </c>
      <c r="S6507" s="9"/>
      <c r="T6507" s="2"/>
      <c r="U6507" s="9"/>
    </row>
    <row r="6508" spans="2:21" x14ac:dyDescent="0.35">
      <c r="B6508" s="9"/>
      <c r="C6508" s="2"/>
      <c r="D6508" s="2"/>
      <c r="I6508" s="9"/>
      <c r="J6508" s="2"/>
      <c r="L6508" s="9"/>
      <c r="M6508" s="2"/>
      <c r="N6508" s="9"/>
      <c r="P6508" s="3">
        <v>-265.17645886000003</v>
      </c>
      <c r="S6508" s="9"/>
      <c r="T6508" s="2"/>
      <c r="U6508" s="9"/>
    </row>
    <row r="6509" spans="2:21" x14ac:dyDescent="0.35">
      <c r="B6509" s="9"/>
      <c r="C6509" s="2"/>
      <c r="D6509" s="2"/>
      <c r="I6509" s="9"/>
      <c r="J6509" s="2"/>
      <c r="L6509" s="9"/>
      <c r="M6509" s="2"/>
      <c r="N6509" s="9"/>
      <c r="P6509" s="3">
        <v>-170.18839886000001</v>
      </c>
      <c r="S6509" s="9"/>
      <c r="T6509" s="2"/>
      <c r="U6509" s="9"/>
    </row>
    <row r="6510" spans="2:21" x14ac:dyDescent="0.35">
      <c r="B6510" s="9"/>
      <c r="C6510" s="2"/>
      <c r="D6510" s="2"/>
      <c r="I6510" s="9"/>
      <c r="J6510" s="2"/>
      <c r="L6510" s="9"/>
      <c r="M6510" s="2"/>
      <c r="N6510" s="9"/>
      <c r="P6510" s="3">
        <v>230.52812161</v>
      </c>
      <c r="S6510" s="9"/>
      <c r="T6510" s="2"/>
      <c r="U6510" s="9"/>
    </row>
    <row r="6511" spans="2:21" x14ac:dyDescent="0.35">
      <c r="B6511" s="9"/>
      <c r="C6511" s="2"/>
      <c r="D6511" s="2"/>
      <c r="I6511" s="9"/>
      <c r="J6511" s="2"/>
      <c r="L6511" s="9"/>
      <c r="M6511" s="2"/>
      <c r="N6511" s="9"/>
      <c r="P6511" s="3">
        <v>327.95929160999998</v>
      </c>
      <c r="S6511" s="9"/>
      <c r="T6511" s="2"/>
      <c r="U6511" s="9"/>
    </row>
    <row r="6512" spans="2:21" x14ac:dyDescent="0.35">
      <c r="B6512" s="9"/>
      <c r="C6512" s="2"/>
      <c r="D6512" s="2"/>
      <c r="I6512" s="9"/>
      <c r="J6512" s="2"/>
      <c r="L6512" s="9"/>
      <c r="M6512" s="2"/>
      <c r="N6512" s="9"/>
      <c r="P6512" s="3">
        <v>389.79390160999998</v>
      </c>
      <c r="S6512" s="9"/>
      <c r="T6512" s="2"/>
      <c r="U6512" s="9"/>
    </row>
    <row r="6513" spans="2:21" x14ac:dyDescent="0.35">
      <c r="B6513" s="9"/>
      <c r="C6513" s="2"/>
      <c r="D6513" s="2"/>
      <c r="I6513" s="9"/>
      <c r="J6513" s="2"/>
      <c r="L6513" s="9"/>
      <c r="M6513" s="2"/>
      <c r="N6513" s="9"/>
      <c r="P6513" s="3">
        <v>464.13942161</v>
      </c>
      <c r="S6513" s="9"/>
      <c r="T6513" s="2"/>
      <c r="U6513" s="9"/>
    </row>
    <row r="6514" spans="2:21" x14ac:dyDescent="0.35">
      <c r="B6514" s="9"/>
      <c r="C6514" s="2"/>
      <c r="D6514" s="2"/>
      <c r="I6514" s="9"/>
      <c r="J6514" s="2"/>
      <c r="L6514" s="9"/>
      <c r="M6514" s="2"/>
      <c r="N6514" s="9"/>
      <c r="P6514" s="3">
        <v>513.15782161000004</v>
      </c>
      <c r="S6514" s="9"/>
      <c r="T6514" s="2"/>
      <c r="U6514" s="9"/>
    </row>
    <row r="6515" spans="2:21" x14ac:dyDescent="0.35">
      <c r="B6515" s="9"/>
      <c r="C6515" s="2"/>
      <c r="D6515" s="2"/>
      <c r="I6515" s="9"/>
      <c r="J6515" s="2"/>
      <c r="L6515" s="9"/>
      <c r="M6515" s="2"/>
      <c r="N6515" s="9"/>
      <c r="P6515" s="3">
        <v>546.80472161</v>
      </c>
      <c r="S6515" s="9"/>
      <c r="T6515" s="2"/>
      <c r="U6515" s="9"/>
    </row>
    <row r="6516" spans="2:21" x14ac:dyDescent="0.35">
      <c r="B6516" s="9"/>
      <c r="C6516" s="2"/>
      <c r="D6516" s="2"/>
      <c r="I6516" s="9"/>
      <c r="J6516" s="2"/>
      <c r="L6516" s="9"/>
      <c r="M6516" s="2"/>
      <c r="N6516" s="9"/>
      <c r="P6516" s="3">
        <v>545.36271161000002</v>
      </c>
      <c r="S6516" s="9"/>
      <c r="T6516" s="2"/>
      <c r="U6516" s="9"/>
    </row>
    <row r="6517" spans="2:21" x14ac:dyDescent="0.35">
      <c r="B6517" s="9"/>
      <c r="C6517" s="2"/>
      <c r="D6517" s="2"/>
      <c r="I6517" s="9"/>
      <c r="J6517" s="2"/>
      <c r="L6517" s="9"/>
      <c r="M6517" s="2"/>
      <c r="N6517" s="9"/>
      <c r="P6517" s="3">
        <v>468.23612161</v>
      </c>
      <c r="S6517" s="9"/>
      <c r="T6517" s="2"/>
      <c r="U6517" s="9"/>
    </row>
    <row r="6518" spans="2:21" x14ac:dyDescent="0.35">
      <c r="B6518" s="9"/>
      <c r="C6518" s="2"/>
      <c r="D6518" s="2"/>
      <c r="I6518" s="9"/>
      <c r="J6518" s="2"/>
      <c r="L6518" s="9"/>
      <c r="M6518" s="2"/>
      <c r="N6518" s="9"/>
      <c r="P6518" s="3">
        <v>33.47612161</v>
      </c>
      <c r="S6518" s="9"/>
      <c r="T6518" s="2"/>
      <c r="U6518" s="9"/>
    </row>
    <row r="6519" spans="2:21" x14ac:dyDescent="0.35">
      <c r="B6519" s="9"/>
      <c r="C6519" s="2"/>
      <c r="D6519" s="2"/>
      <c r="I6519" s="9"/>
      <c r="J6519" s="2"/>
      <c r="L6519" s="9"/>
      <c r="M6519" s="2"/>
      <c r="N6519" s="9"/>
      <c r="P6519" s="3">
        <v>-401.28387838999998</v>
      </c>
      <c r="S6519" s="9"/>
      <c r="T6519" s="2"/>
      <c r="U6519" s="9"/>
    </row>
    <row r="6520" spans="2:21" x14ac:dyDescent="0.35">
      <c r="B6520" s="9"/>
      <c r="C6520" s="2"/>
      <c r="D6520" s="2"/>
      <c r="I6520" s="9"/>
      <c r="J6520" s="2"/>
      <c r="L6520" s="9"/>
      <c r="M6520" s="2"/>
      <c r="N6520" s="9"/>
      <c r="P6520" s="3">
        <v>0</v>
      </c>
      <c r="S6520" s="9"/>
      <c r="T6520" s="2"/>
      <c r="U6520" s="9"/>
    </row>
    <row r="6521" spans="2:21" x14ac:dyDescent="0.35">
      <c r="B6521" s="9"/>
      <c r="C6521" s="2"/>
      <c r="D6521" s="2"/>
      <c r="I6521" s="9"/>
      <c r="J6521" s="2"/>
      <c r="L6521" s="9"/>
      <c r="M6521" s="2"/>
      <c r="N6521" s="9"/>
      <c r="P6521" s="3">
        <v>0</v>
      </c>
      <c r="S6521" s="9"/>
      <c r="T6521" s="2"/>
      <c r="U6521" s="9"/>
    </row>
    <row r="6522" spans="2:21" x14ac:dyDescent="0.35">
      <c r="B6522" s="9"/>
      <c r="C6522" s="2"/>
      <c r="D6522" s="2"/>
      <c r="I6522" s="9"/>
      <c r="J6522" s="2"/>
      <c r="L6522" s="9"/>
      <c r="M6522" s="2"/>
      <c r="N6522" s="9"/>
      <c r="P6522" s="3">
        <v>0</v>
      </c>
      <c r="S6522" s="9"/>
      <c r="T6522" s="2"/>
      <c r="U6522" s="9"/>
    </row>
    <row r="6523" spans="2:21" x14ac:dyDescent="0.35">
      <c r="B6523" s="9"/>
      <c r="C6523" s="2"/>
      <c r="D6523" s="2"/>
      <c r="I6523" s="9"/>
      <c r="J6523" s="2"/>
      <c r="L6523" s="9"/>
      <c r="M6523" s="2"/>
      <c r="N6523" s="9"/>
      <c r="P6523" s="3">
        <v>0</v>
      </c>
      <c r="S6523" s="9"/>
      <c r="T6523" s="2"/>
      <c r="U6523" s="9"/>
    </row>
    <row r="6524" spans="2:21" x14ac:dyDescent="0.35">
      <c r="B6524" s="9"/>
      <c r="C6524" s="2"/>
      <c r="D6524" s="2"/>
      <c r="I6524" s="9"/>
      <c r="J6524" s="2"/>
      <c r="L6524" s="9"/>
      <c r="M6524" s="2"/>
      <c r="N6524" s="9"/>
      <c r="P6524" s="3">
        <v>0</v>
      </c>
      <c r="S6524" s="9"/>
      <c r="T6524" s="2"/>
      <c r="U6524" s="9"/>
    </row>
    <row r="6525" spans="2:21" x14ac:dyDescent="0.35">
      <c r="B6525" s="9"/>
      <c r="C6525" s="2"/>
      <c r="D6525" s="2"/>
      <c r="I6525" s="9"/>
      <c r="J6525" s="2"/>
      <c r="L6525" s="9"/>
      <c r="M6525" s="2"/>
      <c r="N6525" s="9"/>
      <c r="P6525" s="3">
        <v>0</v>
      </c>
      <c r="S6525" s="9"/>
      <c r="T6525" s="2"/>
      <c r="U6525" s="9"/>
    </row>
    <row r="6526" spans="2:21" x14ac:dyDescent="0.35">
      <c r="B6526" s="9"/>
      <c r="C6526" s="2"/>
      <c r="D6526" s="2"/>
      <c r="I6526" s="9"/>
      <c r="J6526" s="2"/>
      <c r="L6526" s="9"/>
      <c r="M6526" s="2"/>
      <c r="N6526" s="9"/>
      <c r="P6526" s="3">
        <v>0</v>
      </c>
      <c r="S6526" s="9"/>
      <c r="T6526" s="2"/>
      <c r="U6526" s="9"/>
    </row>
    <row r="6527" spans="2:21" x14ac:dyDescent="0.35">
      <c r="B6527" s="9"/>
      <c r="C6527" s="2"/>
      <c r="D6527" s="2"/>
      <c r="I6527" s="9"/>
      <c r="J6527" s="2"/>
      <c r="L6527" s="9"/>
      <c r="M6527" s="2"/>
      <c r="N6527" s="9"/>
      <c r="P6527" s="3">
        <v>0</v>
      </c>
      <c r="S6527" s="9"/>
      <c r="T6527" s="2"/>
      <c r="U6527" s="9"/>
    </row>
    <row r="6528" spans="2:21" x14ac:dyDescent="0.35">
      <c r="B6528" s="9"/>
      <c r="C6528" s="2"/>
      <c r="D6528" s="2"/>
      <c r="I6528" s="9"/>
      <c r="J6528" s="2"/>
      <c r="L6528" s="9"/>
      <c r="M6528" s="2"/>
      <c r="N6528" s="9"/>
      <c r="P6528" s="3">
        <v>-434.76</v>
      </c>
      <c r="S6528" s="9"/>
      <c r="T6528" s="2"/>
      <c r="U6528" s="9"/>
    </row>
    <row r="6529" spans="2:21" x14ac:dyDescent="0.35">
      <c r="B6529" s="9"/>
      <c r="C6529" s="2"/>
      <c r="D6529" s="2"/>
      <c r="I6529" s="9"/>
      <c r="J6529" s="2"/>
      <c r="L6529" s="9"/>
      <c r="M6529" s="2"/>
      <c r="N6529" s="9"/>
      <c r="P6529" s="3">
        <v>-351.05453523</v>
      </c>
      <c r="S6529" s="9"/>
      <c r="T6529" s="2"/>
      <c r="U6529" s="9"/>
    </row>
    <row r="6530" spans="2:21" x14ac:dyDescent="0.35">
      <c r="B6530" s="9"/>
      <c r="C6530" s="2"/>
      <c r="D6530" s="2"/>
      <c r="I6530" s="9"/>
      <c r="J6530" s="2"/>
      <c r="L6530" s="9"/>
      <c r="M6530" s="2"/>
      <c r="N6530" s="9"/>
      <c r="P6530" s="3">
        <v>0</v>
      </c>
      <c r="S6530" s="9"/>
      <c r="T6530" s="2"/>
      <c r="U6530" s="9"/>
    </row>
    <row r="6531" spans="2:21" x14ac:dyDescent="0.35">
      <c r="B6531" s="9"/>
      <c r="C6531" s="2"/>
      <c r="D6531" s="2"/>
      <c r="I6531" s="9"/>
      <c r="J6531" s="2"/>
      <c r="L6531" s="9"/>
      <c r="M6531" s="2"/>
      <c r="N6531" s="9"/>
      <c r="P6531" s="3">
        <v>-434.76</v>
      </c>
      <c r="S6531" s="9"/>
      <c r="T6531" s="2"/>
      <c r="U6531" s="9"/>
    </row>
    <row r="6532" spans="2:21" x14ac:dyDescent="0.35">
      <c r="B6532" s="9"/>
      <c r="C6532" s="2"/>
      <c r="D6532" s="2"/>
      <c r="I6532" s="9"/>
      <c r="J6532" s="2"/>
      <c r="L6532" s="9"/>
      <c r="M6532" s="2"/>
      <c r="N6532" s="9"/>
      <c r="P6532" s="3">
        <v>-434.76</v>
      </c>
      <c r="S6532" s="9"/>
      <c r="T6532" s="2"/>
      <c r="U6532" s="9"/>
    </row>
    <row r="6533" spans="2:21" x14ac:dyDescent="0.35">
      <c r="B6533" s="9"/>
      <c r="C6533" s="2"/>
      <c r="D6533" s="2"/>
      <c r="I6533" s="9"/>
      <c r="J6533" s="2"/>
      <c r="L6533" s="9"/>
      <c r="M6533" s="2"/>
      <c r="N6533" s="9"/>
      <c r="P6533" s="3">
        <v>-869.52</v>
      </c>
      <c r="S6533" s="9"/>
      <c r="T6533" s="2"/>
      <c r="U6533" s="9"/>
    </row>
    <row r="6534" spans="2:21" x14ac:dyDescent="0.35">
      <c r="B6534" s="9"/>
      <c r="C6534" s="2"/>
      <c r="D6534" s="2"/>
      <c r="I6534" s="9"/>
      <c r="J6534" s="2"/>
      <c r="L6534" s="9"/>
      <c r="M6534" s="2"/>
      <c r="N6534" s="9"/>
      <c r="P6534" s="3">
        <v>-434.76</v>
      </c>
      <c r="S6534" s="9"/>
      <c r="T6534" s="2"/>
      <c r="U6534" s="9"/>
    </row>
    <row r="6535" spans="2:21" x14ac:dyDescent="0.35">
      <c r="B6535" s="9"/>
      <c r="C6535" s="2"/>
      <c r="D6535" s="2"/>
      <c r="I6535" s="9"/>
      <c r="J6535" s="2"/>
      <c r="L6535" s="9"/>
      <c r="M6535" s="2"/>
      <c r="N6535" s="9"/>
      <c r="P6535" s="3">
        <v>0</v>
      </c>
      <c r="S6535" s="9"/>
      <c r="T6535" s="2"/>
      <c r="U6535" s="9"/>
    </row>
    <row r="6536" spans="2:21" x14ac:dyDescent="0.35">
      <c r="B6536" s="9"/>
      <c r="C6536" s="2"/>
      <c r="D6536" s="2"/>
      <c r="I6536" s="9"/>
      <c r="J6536" s="2"/>
      <c r="L6536" s="9"/>
      <c r="M6536" s="2"/>
      <c r="N6536" s="9"/>
      <c r="P6536" s="3">
        <v>0</v>
      </c>
      <c r="S6536" s="9"/>
      <c r="T6536" s="2"/>
      <c r="U6536" s="9"/>
    </row>
    <row r="6537" spans="2:21" x14ac:dyDescent="0.35">
      <c r="B6537" s="9"/>
      <c r="C6537" s="2"/>
      <c r="D6537" s="2"/>
      <c r="I6537" s="9"/>
      <c r="J6537" s="2"/>
      <c r="L6537" s="9"/>
      <c r="M6537" s="2"/>
      <c r="N6537" s="9"/>
      <c r="P6537" s="3">
        <v>0</v>
      </c>
      <c r="S6537" s="9"/>
      <c r="T6537" s="2"/>
      <c r="U6537" s="9"/>
    </row>
    <row r="6538" spans="2:21" x14ac:dyDescent="0.35">
      <c r="B6538" s="9"/>
      <c r="C6538" s="2"/>
      <c r="D6538" s="2"/>
      <c r="I6538" s="9"/>
      <c r="J6538" s="2"/>
      <c r="L6538" s="9"/>
      <c r="M6538" s="2"/>
      <c r="N6538" s="9"/>
      <c r="P6538" s="3">
        <v>0</v>
      </c>
      <c r="S6538" s="9"/>
      <c r="T6538" s="2"/>
      <c r="U6538" s="9"/>
    </row>
    <row r="6539" spans="2:21" x14ac:dyDescent="0.35">
      <c r="B6539" s="9"/>
      <c r="C6539" s="2"/>
      <c r="D6539" s="2"/>
      <c r="I6539" s="9"/>
      <c r="J6539" s="2"/>
      <c r="L6539" s="9"/>
      <c r="M6539" s="2"/>
      <c r="N6539" s="9"/>
      <c r="P6539" s="3">
        <v>0</v>
      </c>
      <c r="S6539" s="9"/>
      <c r="T6539" s="2"/>
      <c r="U6539" s="9"/>
    </row>
    <row r="6540" spans="2:21" x14ac:dyDescent="0.35">
      <c r="B6540" s="9"/>
      <c r="C6540" s="2"/>
      <c r="D6540" s="2"/>
      <c r="I6540" s="9"/>
      <c r="J6540" s="2"/>
      <c r="L6540" s="9"/>
      <c r="M6540" s="2"/>
      <c r="N6540" s="9"/>
      <c r="P6540" s="3">
        <v>0</v>
      </c>
      <c r="S6540" s="9"/>
      <c r="T6540" s="2"/>
      <c r="U6540" s="9"/>
    </row>
    <row r="6541" spans="2:21" x14ac:dyDescent="0.35">
      <c r="B6541" s="9"/>
      <c r="C6541" s="2"/>
      <c r="D6541" s="2"/>
      <c r="I6541" s="9"/>
      <c r="J6541" s="2"/>
      <c r="L6541" s="9"/>
      <c r="M6541" s="2"/>
      <c r="N6541" s="9"/>
      <c r="P6541" s="3">
        <v>0</v>
      </c>
      <c r="S6541" s="9"/>
      <c r="T6541" s="2"/>
      <c r="U6541" s="9"/>
    </row>
    <row r="6542" spans="2:21" x14ac:dyDescent="0.35">
      <c r="B6542" s="9"/>
      <c r="C6542" s="2"/>
      <c r="D6542" s="2"/>
      <c r="I6542" s="9"/>
      <c r="J6542" s="2"/>
      <c r="L6542" s="9"/>
      <c r="M6542" s="2"/>
      <c r="N6542" s="9"/>
      <c r="P6542" s="3">
        <v>0</v>
      </c>
      <c r="S6542" s="9"/>
      <c r="T6542" s="2"/>
      <c r="U6542" s="9"/>
    </row>
    <row r="6543" spans="2:21" x14ac:dyDescent="0.35">
      <c r="B6543" s="9"/>
      <c r="C6543" s="2"/>
      <c r="D6543" s="2"/>
      <c r="I6543" s="9"/>
      <c r="J6543" s="2"/>
      <c r="L6543" s="9"/>
      <c r="M6543" s="2"/>
      <c r="N6543" s="9"/>
      <c r="P6543" s="3">
        <v>0</v>
      </c>
      <c r="S6543" s="9"/>
      <c r="T6543" s="2"/>
      <c r="U6543" s="9"/>
    </row>
    <row r="6544" spans="2:21" x14ac:dyDescent="0.35">
      <c r="B6544" s="9"/>
      <c r="C6544" s="2"/>
      <c r="D6544" s="2"/>
      <c r="I6544" s="9"/>
      <c r="J6544" s="2"/>
      <c r="L6544" s="9"/>
      <c r="M6544" s="2"/>
      <c r="N6544" s="9"/>
      <c r="P6544" s="3">
        <v>0</v>
      </c>
      <c r="S6544" s="9"/>
      <c r="T6544" s="2"/>
      <c r="U6544" s="9"/>
    </row>
    <row r="6545" spans="2:21" x14ac:dyDescent="0.35">
      <c r="B6545" s="9"/>
      <c r="C6545" s="2"/>
      <c r="D6545" s="2"/>
      <c r="I6545" s="9"/>
      <c r="J6545" s="2"/>
      <c r="L6545" s="9"/>
      <c r="M6545" s="2"/>
      <c r="N6545" s="9"/>
      <c r="P6545" s="3">
        <v>0</v>
      </c>
      <c r="S6545" s="9"/>
      <c r="T6545" s="2"/>
      <c r="U6545" s="9"/>
    </row>
    <row r="6546" spans="2:21" x14ac:dyDescent="0.35">
      <c r="B6546" s="9"/>
      <c r="C6546" s="2"/>
      <c r="D6546" s="2"/>
      <c r="I6546" s="9"/>
      <c r="J6546" s="2"/>
      <c r="L6546" s="9"/>
      <c r="M6546" s="2"/>
      <c r="N6546" s="9"/>
      <c r="P6546" s="3">
        <v>0</v>
      </c>
      <c r="S6546" s="9"/>
      <c r="T6546" s="2"/>
      <c r="U6546" s="9"/>
    </row>
    <row r="6547" spans="2:21" x14ac:dyDescent="0.35">
      <c r="B6547" s="9"/>
      <c r="C6547" s="2"/>
      <c r="D6547" s="2"/>
      <c r="I6547" s="9"/>
      <c r="J6547" s="2"/>
      <c r="L6547" s="9"/>
      <c r="M6547" s="2"/>
      <c r="N6547" s="9"/>
      <c r="P6547" s="3">
        <v>0</v>
      </c>
      <c r="S6547" s="9"/>
      <c r="T6547" s="2"/>
      <c r="U6547" s="9"/>
    </row>
    <row r="6548" spans="2:21" x14ac:dyDescent="0.35">
      <c r="B6548" s="9"/>
      <c r="C6548" s="2"/>
      <c r="D6548" s="2"/>
      <c r="I6548" s="9"/>
      <c r="J6548" s="2"/>
      <c r="L6548" s="9"/>
      <c r="M6548" s="2"/>
      <c r="N6548" s="9"/>
      <c r="P6548" s="3">
        <v>0</v>
      </c>
      <c r="S6548" s="9"/>
      <c r="T6548" s="2"/>
      <c r="U6548" s="9"/>
    </row>
    <row r="6549" spans="2:21" x14ac:dyDescent="0.35">
      <c r="B6549" s="9"/>
      <c r="C6549" s="2"/>
      <c r="D6549" s="2"/>
      <c r="I6549" s="9"/>
      <c r="J6549" s="2"/>
      <c r="L6549" s="9"/>
      <c r="M6549" s="2"/>
      <c r="N6549" s="9"/>
      <c r="P6549" s="3">
        <v>0</v>
      </c>
      <c r="S6549" s="9"/>
      <c r="T6549" s="2"/>
      <c r="U6549" s="9"/>
    </row>
    <row r="6550" spans="2:21" x14ac:dyDescent="0.35">
      <c r="B6550" s="9"/>
      <c r="C6550" s="2"/>
      <c r="D6550" s="2"/>
      <c r="I6550" s="9"/>
      <c r="J6550" s="2"/>
      <c r="L6550" s="9"/>
      <c r="M6550" s="2"/>
      <c r="N6550" s="9"/>
      <c r="P6550" s="3">
        <v>0</v>
      </c>
      <c r="S6550" s="9"/>
      <c r="T6550" s="2"/>
      <c r="U6550" s="9"/>
    </row>
    <row r="6551" spans="2:21" x14ac:dyDescent="0.35">
      <c r="B6551" s="9"/>
      <c r="C6551" s="2"/>
      <c r="D6551" s="2"/>
      <c r="I6551" s="9"/>
      <c r="J6551" s="2"/>
      <c r="L6551" s="9"/>
      <c r="M6551" s="2"/>
      <c r="N6551" s="9"/>
      <c r="P6551" s="3">
        <v>0</v>
      </c>
      <c r="S6551" s="9"/>
      <c r="T6551" s="2"/>
      <c r="U6551" s="9"/>
    </row>
    <row r="6552" spans="2:21" x14ac:dyDescent="0.35">
      <c r="B6552" s="9"/>
      <c r="C6552" s="2"/>
      <c r="D6552" s="2"/>
      <c r="I6552" s="9"/>
      <c r="J6552" s="2"/>
      <c r="L6552" s="9"/>
      <c r="M6552" s="2"/>
      <c r="N6552" s="9"/>
      <c r="P6552" s="3">
        <v>0</v>
      </c>
      <c r="S6552" s="9"/>
      <c r="T6552" s="2"/>
      <c r="U6552" s="9"/>
    </row>
    <row r="6553" spans="2:21" x14ac:dyDescent="0.35">
      <c r="B6553" s="9"/>
      <c r="C6553" s="2"/>
      <c r="D6553" s="2"/>
      <c r="I6553" s="9"/>
      <c r="J6553" s="2"/>
      <c r="L6553" s="9"/>
      <c r="M6553" s="2"/>
      <c r="N6553" s="9"/>
      <c r="P6553" s="3">
        <v>0</v>
      </c>
      <c r="S6553" s="9"/>
      <c r="T6553" s="2"/>
      <c r="U6553" s="9"/>
    </row>
    <row r="6554" spans="2:21" x14ac:dyDescent="0.35">
      <c r="B6554" s="9"/>
      <c r="C6554" s="2"/>
      <c r="D6554" s="2"/>
      <c r="I6554" s="9"/>
      <c r="J6554" s="2"/>
      <c r="L6554" s="9"/>
      <c r="M6554" s="2"/>
      <c r="N6554" s="9"/>
      <c r="P6554" s="3">
        <v>95.27951161</v>
      </c>
      <c r="S6554" s="9"/>
      <c r="T6554" s="2"/>
      <c r="U6554" s="9"/>
    </row>
    <row r="6555" spans="2:21" x14ac:dyDescent="0.35">
      <c r="B6555" s="9"/>
      <c r="C6555" s="2"/>
      <c r="D6555" s="2"/>
      <c r="I6555" s="9"/>
      <c r="J6555" s="2"/>
      <c r="L6555" s="9"/>
      <c r="M6555" s="2"/>
      <c r="N6555" s="9"/>
      <c r="P6555" s="3">
        <v>239.28171161</v>
      </c>
      <c r="S6555" s="9"/>
      <c r="T6555" s="2"/>
      <c r="U6555" s="9"/>
    </row>
    <row r="6556" spans="2:21" x14ac:dyDescent="0.35">
      <c r="B6556" s="9"/>
      <c r="C6556" s="2"/>
      <c r="D6556" s="2"/>
      <c r="I6556" s="9"/>
      <c r="J6556" s="2"/>
      <c r="L6556" s="9"/>
      <c r="M6556" s="2"/>
      <c r="N6556" s="9"/>
      <c r="P6556" s="3">
        <v>340.78118160999998</v>
      </c>
      <c r="S6556" s="9"/>
      <c r="T6556" s="2"/>
      <c r="U6556" s="9"/>
    </row>
    <row r="6557" spans="2:21" x14ac:dyDescent="0.35">
      <c r="B6557" s="9"/>
      <c r="C6557" s="2"/>
      <c r="D6557" s="2"/>
      <c r="I6557" s="9"/>
      <c r="J6557" s="2"/>
      <c r="L6557" s="9"/>
      <c r="M6557" s="2"/>
      <c r="N6557" s="9"/>
      <c r="P6557" s="3">
        <v>318.74278161000001</v>
      </c>
      <c r="S6557" s="9"/>
      <c r="T6557" s="2"/>
      <c r="U6557" s="9"/>
    </row>
    <row r="6558" spans="2:21" x14ac:dyDescent="0.35">
      <c r="B6558" s="9"/>
      <c r="C6558" s="2"/>
      <c r="D6558" s="2"/>
      <c r="I6558" s="9"/>
      <c r="J6558" s="2"/>
      <c r="L6558" s="9"/>
      <c r="M6558" s="2"/>
      <c r="N6558" s="9"/>
      <c r="P6558" s="3">
        <v>171.75399114000001</v>
      </c>
      <c r="S6558" s="9"/>
      <c r="T6558" s="2"/>
      <c r="U6558" s="9"/>
    </row>
    <row r="6559" spans="2:21" x14ac:dyDescent="0.35">
      <c r="B6559" s="9"/>
      <c r="C6559" s="2"/>
      <c r="D6559" s="2"/>
      <c r="I6559" s="9"/>
      <c r="J6559" s="2"/>
      <c r="L6559" s="9"/>
      <c r="M6559" s="2"/>
      <c r="N6559" s="9"/>
      <c r="P6559" s="3">
        <v>152.80409114</v>
      </c>
      <c r="S6559" s="9"/>
      <c r="T6559" s="2"/>
      <c r="U6559" s="9"/>
    </row>
    <row r="6560" spans="2:21" x14ac:dyDescent="0.35">
      <c r="B6560" s="9"/>
      <c r="C6560" s="2"/>
      <c r="D6560" s="2"/>
      <c r="I6560" s="9"/>
      <c r="J6560" s="2"/>
      <c r="L6560" s="9"/>
      <c r="M6560" s="2"/>
      <c r="N6560" s="9"/>
      <c r="P6560" s="3">
        <v>139.19268113999999</v>
      </c>
      <c r="S6560" s="9"/>
      <c r="T6560" s="2"/>
      <c r="U6560" s="9"/>
    </row>
    <row r="6561" spans="2:21" x14ac:dyDescent="0.35">
      <c r="B6561" s="9"/>
      <c r="C6561" s="2"/>
      <c r="D6561" s="2"/>
      <c r="I6561" s="9"/>
      <c r="J6561" s="2"/>
      <c r="L6561" s="9"/>
      <c r="M6561" s="2"/>
      <c r="N6561" s="9"/>
      <c r="P6561" s="3">
        <v>152.24958114</v>
      </c>
      <c r="S6561" s="9"/>
      <c r="T6561" s="2"/>
      <c r="U6561" s="9"/>
    </row>
    <row r="6562" spans="2:21" x14ac:dyDescent="0.35">
      <c r="B6562" s="9"/>
      <c r="C6562" s="2"/>
      <c r="D6562" s="2"/>
      <c r="I6562" s="9"/>
      <c r="J6562" s="2"/>
      <c r="L6562" s="9"/>
      <c r="M6562" s="2"/>
      <c r="N6562" s="9"/>
      <c r="P6562" s="3">
        <v>184.88544114000001</v>
      </c>
      <c r="S6562" s="9"/>
      <c r="T6562" s="2"/>
      <c r="U6562" s="9"/>
    </row>
    <row r="6563" spans="2:21" x14ac:dyDescent="0.35">
      <c r="B6563" s="9"/>
      <c r="C6563" s="2"/>
      <c r="D6563" s="2"/>
      <c r="I6563" s="9"/>
      <c r="J6563" s="2"/>
      <c r="L6563" s="9"/>
      <c r="M6563" s="2"/>
      <c r="N6563" s="9"/>
      <c r="P6563" s="3">
        <v>297.00286762000002</v>
      </c>
      <c r="S6563" s="9"/>
      <c r="T6563" s="2"/>
      <c r="U6563" s="9"/>
    </row>
    <row r="6564" spans="2:21" x14ac:dyDescent="0.35">
      <c r="B6564" s="9"/>
      <c r="C6564" s="2"/>
      <c r="D6564" s="2"/>
      <c r="I6564" s="9"/>
      <c r="J6564" s="2"/>
      <c r="L6564" s="9"/>
      <c r="M6564" s="2"/>
      <c r="N6564" s="9"/>
      <c r="P6564" s="3">
        <v>386.25190409999999</v>
      </c>
      <c r="S6564" s="9"/>
      <c r="T6564" s="2"/>
      <c r="U6564" s="9"/>
    </row>
    <row r="6565" spans="2:21" x14ac:dyDescent="0.35">
      <c r="B6565" s="9"/>
      <c r="C6565" s="2"/>
      <c r="D6565" s="2"/>
      <c r="I6565" s="9"/>
      <c r="J6565" s="2"/>
      <c r="L6565" s="9"/>
      <c r="M6565" s="2"/>
      <c r="N6565" s="9"/>
      <c r="P6565" s="3">
        <v>433.07388655</v>
      </c>
      <c r="S6565" s="9"/>
      <c r="T6565" s="2"/>
      <c r="U6565" s="9"/>
    </row>
    <row r="6566" spans="2:21" x14ac:dyDescent="0.35">
      <c r="B6566" s="9"/>
      <c r="C6566" s="2"/>
      <c r="D6566" s="2"/>
      <c r="I6566" s="9"/>
      <c r="J6566" s="2"/>
      <c r="L6566" s="9"/>
      <c r="M6566" s="2"/>
      <c r="N6566" s="9"/>
      <c r="P6566" s="3">
        <v>65.053813030000001</v>
      </c>
      <c r="S6566" s="9"/>
      <c r="T6566" s="2"/>
      <c r="U6566" s="9"/>
    </row>
    <row r="6567" spans="2:21" x14ac:dyDescent="0.35">
      <c r="B6567" s="9"/>
      <c r="C6567" s="2"/>
      <c r="D6567" s="2"/>
      <c r="I6567" s="9"/>
      <c r="J6567" s="2"/>
      <c r="L6567" s="9"/>
      <c r="M6567" s="2"/>
      <c r="N6567" s="9"/>
      <c r="P6567" s="3">
        <v>-369.70618696999998</v>
      </c>
      <c r="S6567" s="9"/>
      <c r="T6567" s="2"/>
      <c r="U6567" s="9"/>
    </row>
    <row r="6568" spans="2:21" x14ac:dyDescent="0.35">
      <c r="B6568" s="9"/>
      <c r="C6568" s="2"/>
      <c r="D6568" s="2"/>
      <c r="I6568" s="9"/>
      <c r="J6568" s="2"/>
      <c r="L6568" s="9"/>
      <c r="M6568" s="2"/>
      <c r="N6568" s="9"/>
      <c r="P6568" s="3">
        <v>0</v>
      </c>
      <c r="S6568" s="9"/>
      <c r="T6568" s="2"/>
      <c r="U6568" s="9"/>
    </row>
    <row r="6569" spans="2:21" x14ac:dyDescent="0.35">
      <c r="B6569" s="9"/>
      <c r="C6569" s="2"/>
      <c r="D6569" s="2"/>
      <c r="I6569" s="9"/>
      <c r="J6569" s="2"/>
      <c r="L6569" s="9"/>
      <c r="M6569" s="2"/>
      <c r="N6569" s="9"/>
      <c r="P6569" s="3">
        <v>0</v>
      </c>
      <c r="S6569" s="9"/>
      <c r="T6569" s="2"/>
      <c r="U6569" s="9"/>
    </row>
    <row r="6570" spans="2:21" x14ac:dyDescent="0.35">
      <c r="B6570" s="9"/>
      <c r="C6570" s="2"/>
      <c r="D6570" s="2"/>
      <c r="I6570" s="9"/>
      <c r="J6570" s="2"/>
      <c r="L6570" s="9"/>
      <c r="M6570" s="2"/>
      <c r="N6570" s="9"/>
      <c r="P6570" s="3">
        <v>0</v>
      </c>
      <c r="S6570" s="9"/>
      <c r="T6570" s="2"/>
      <c r="U6570" s="9"/>
    </row>
    <row r="6571" spans="2:21" x14ac:dyDescent="0.35">
      <c r="B6571" s="9"/>
      <c r="C6571" s="2"/>
      <c r="D6571" s="2"/>
      <c r="I6571" s="9"/>
      <c r="J6571" s="2"/>
      <c r="L6571" s="9"/>
      <c r="M6571" s="2"/>
      <c r="N6571" s="9"/>
      <c r="P6571" s="3">
        <v>0</v>
      </c>
      <c r="S6571" s="9"/>
      <c r="T6571" s="2"/>
      <c r="U6571" s="9"/>
    </row>
    <row r="6572" spans="2:21" x14ac:dyDescent="0.35">
      <c r="B6572" s="9"/>
      <c r="C6572" s="2"/>
      <c r="D6572" s="2"/>
      <c r="I6572" s="9"/>
      <c r="J6572" s="2"/>
      <c r="L6572" s="9"/>
      <c r="M6572" s="2"/>
      <c r="N6572" s="9"/>
      <c r="P6572" s="3">
        <v>0</v>
      </c>
      <c r="S6572" s="9"/>
      <c r="T6572" s="2"/>
      <c r="U6572" s="9"/>
    </row>
    <row r="6573" spans="2:21" x14ac:dyDescent="0.35">
      <c r="B6573" s="9"/>
      <c r="C6573" s="2"/>
      <c r="D6573" s="2"/>
      <c r="I6573" s="9"/>
      <c r="J6573" s="2"/>
      <c r="L6573" s="9"/>
      <c r="M6573" s="2"/>
      <c r="N6573" s="9"/>
      <c r="P6573" s="3">
        <v>0</v>
      </c>
      <c r="S6573" s="9"/>
      <c r="T6573" s="2"/>
      <c r="U6573" s="9"/>
    </row>
    <row r="6574" spans="2:21" x14ac:dyDescent="0.35">
      <c r="B6574" s="9"/>
      <c r="C6574" s="2"/>
      <c r="D6574" s="2"/>
      <c r="I6574" s="9"/>
      <c r="J6574" s="2"/>
      <c r="L6574" s="9"/>
      <c r="M6574" s="2"/>
      <c r="N6574" s="9"/>
      <c r="P6574" s="3">
        <v>0</v>
      </c>
      <c r="S6574" s="9"/>
      <c r="T6574" s="2"/>
      <c r="U6574" s="9"/>
    </row>
    <row r="6575" spans="2:21" x14ac:dyDescent="0.35">
      <c r="B6575" s="9"/>
      <c r="C6575" s="2"/>
      <c r="D6575" s="2"/>
      <c r="I6575" s="9"/>
      <c r="J6575" s="2"/>
      <c r="L6575" s="9"/>
      <c r="M6575" s="2"/>
      <c r="N6575" s="9"/>
      <c r="P6575" s="3">
        <v>-302.52882697000001</v>
      </c>
      <c r="S6575" s="9"/>
      <c r="T6575" s="2"/>
      <c r="U6575" s="9"/>
    </row>
    <row r="6576" spans="2:21" x14ac:dyDescent="0.35">
      <c r="B6576" s="9"/>
      <c r="C6576" s="2"/>
      <c r="D6576" s="2"/>
      <c r="I6576" s="9"/>
      <c r="J6576" s="2"/>
      <c r="L6576" s="9"/>
      <c r="M6576" s="2"/>
      <c r="N6576" s="9"/>
      <c r="P6576" s="3">
        <v>132.23117303000001</v>
      </c>
      <c r="S6576" s="9"/>
      <c r="T6576" s="2"/>
      <c r="U6576" s="9"/>
    </row>
    <row r="6577" spans="2:21" x14ac:dyDescent="0.35">
      <c r="B6577" s="9"/>
      <c r="C6577" s="2"/>
      <c r="D6577" s="2"/>
      <c r="I6577" s="9"/>
      <c r="J6577" s="2"/>
      <c r="L6577" s="9"/>
      <c r="M6577" s="2"/>
      <c r="N6577" s="9"/>
      <c r="P6577" s="3">
        <v>445.54393227000003</v>
      </c>
      <c r="S6577" s="9"/>
      <c r="T6577" s="2"/>
      <c r="U6577" s="9"/>
    </row>
    <row r="6578" spans="2:21" x14ac:dyDescent="0.35">
      <c r="B6578" s="9"/>
      <c r="C6578" s="2"/>
      <c r="D6578" s="2"/>
      <c r="I6578" s="9"/>
      <c r="J6578" s="2"/>
      <c r="L6578" s="9"/>
      <c r="M6578" s="2"/>
      <c r="N6578" s="9"/>
      <c r="P6578" s="3">
        <v>545.94128177000005</v>
      </c>
      <c r="S6578" s="9"/>
      <c r="T6578" s="2"/>
      <c r="U6578" s="9"/>
    </row>
    <row r="6579" spans="2:21" x14ac:dyDescent="0.35">
      <c r="B6579" s="9"/>
      <c r="C6579" s="2"/>
      <c r="D6579" s="2"/>
      <c r="I6579" s="9"/>
      <c r="J6579" s="2"/>
      <c r="L6579" s="9"/>
      <c r="M6579" s="2"/>
      <c r="N6579" s="9"/>
      <c r="P6579" s="3">
        <v>608.38705140000002</v>
      </c>
      <c r="S6579" s="9"/>
      <c r="T6579" s="2"/>
      <c r="U6579" s="9"/>
    </row>
    <row r="6580" spans="2:21" x14ac:dyDescent="0.35">
      <c r="B6580" s="9"/>
      <c r="C6580" s="2"/>
      <c r="D6580" s="2"/>
      <c r="I6580" s="9"/>
      <c r="J6580" s="2"/>
      <c r="L6580" s="9"/>
      <c r="M6580" s="2"/>
      <c r="N6580" s="9"/>
      <c r="P6580" s="3">
        <v>621.56952114000001</v>
      </c>
      <c r="S6580" s="9"/>
      <c r="T6580" s="2"/>
      <c r="U6580" s="9"/>
    </row>
    <row r="6581" spans="2:21" x14ac:dyDescent="0.35">
      <c r="B6581" s="9"/>
      <c r="C6581" s="2"/>
      <c r="D6581" s="2"/>
      <c r="I6581" s="9"/>
      <c r="J6581" s="2"/>
      <c r="L6581" s="9"/>
      <c r="M6581" s="2"/>
      <c r="N6581" s="9"/>
      <c r="P6581" s="3">
        <v>617.50122113999998</v>
      </c>
      <c r="S6581" s="9"/>
      <c r="T6581" s="2"/>
      <c r="U6581" s="9"/>
    </row>
    <row r="6582" spans="2:21" x14ac:dyDescent="0.35">
      <c r="B6582" s="9"/>
      <c r="C6582" s="2"/>
      <c r="D6582" s="2"/>
      <c r="I6582" s="9"/>
      <c r="J6582" s="2"/>
      <c r="L6582" s="9"/>
      <c r="M6582" s="2"/>
      <c r="N6582" s="9"/>
      <c r="P6582" s="3">
        <v>574.13300114000003</v>
      </c>
      <c r="S6582" s="9"/>
      <c r="T6582" s="2"/>
      <c r="U6582" s="9"/>
    </row>
    <row r="6583" spans="2:21" x14ac:dyDescent="0.35">
      <c r="B6583" s="9"/>
      <c r="C6583" s="2"/>
      <c r="D6583" s="2"/>
      <c r="I6583" s="9"/>
      <c r="J6583" s="2"/>
      <c r="L6583" s="9"/>
      <c r="M6583" s="2"/>
      <c r="N6583" s="9"/>
      <c r="P6583" s="3">
        <v>440.04950114000002</v>
      </c>
      <c r="S6583" s="9"/>
      <c r="T6583" s="2"/>
      <c r="U6583" s="9"/>
    </row>
    <row r="6584" spans="2:21" x14ac:dyDescent="0.35">
      <c r="B6584" s="9"/>
      <c r="C6584" s="2"/>
      <c r="D6584" s="2"/>
      <c r="I6584" s="9"/>
      <c r="J6584" s="2"/>
      <c r="L6584" s="9"/>
      <c r="M6584" s="2"/>
      <c r="N6584" s="9"/>
      <c r="P6584" s="3">
        <v>206.96999113999999</v>
      </c>
      <c r="S6584" s="9"/>
      <c r="T6584" s="2"/>
      <c r="U6584" s="9"/>
    </row>
    <row r="6585" spans="2:21" x14ac:dyDescent="0.35">
      <c r="B6585" s="9"/>
      <c r="C6585" s="2"/>
      <c r="D6585" s="2"/>
      <c r="I6585" s="9"/>
      <c r="J6585" s="2"/>
      <c r="L6585" s="9"/>
      <c r="M6585" s="2"/>
      <c r="N6585" s="9"/>
      <c r="P6585" s="3">
        <v>-33.369268859999998</v>
      </c>
      <c r="S6585" s="9"/>
      <c r="T6585" s="2"/>
      <c r="U6585" s="9"/>
    </row>
    <row r="6586" spans="2:21" x14ac:dyDescent="0.35">
      <c r="B6586" s="9"/>
      <c r="C6586" s="2"/>
      <c r="D6586" s="2"/>
      <c r="I6586" s="9"/>
      <c r="J6586" s="2"/>
      <c r="L6586" s="9"/>
      <c r="M6586" s="2"/>
      <c r="N6586" s="9"/>
      <c r="P6586" s="3">
        <v>-249.49610885999999</v>
      </c>
      <c r="S6586" s="9"/>
      <c r="T6586" s="2"/>
      <c r="U6586" s="9"/>
    </row>
    <row r="6587" spans="2:21" x14ac:dyDescent="0.35">
      <c r="B6587" s="9"/>
      <c r="C6587" s="2"/>
      <c r="D6587" s="2"/>
      <c r="I6587" s="9"/>
      <c r="J6587" s="2"/>
      <c r="L6587" s="9"/>
      <c r="M6587" s="2"/>
      <c r="N6587" s="9"/>
      <c r="P6587" s="3">
        <v>-383.40078238000001</v>
      </c>
      <c r="S6587" s="9"/>
      <c r="T6587" s="2"/>
      <c r="U6587" s="9"/>
    </row>
    <row r="6588" spans="2:21" x14ac:dyDescent="0.35">
      <c r="B6588" s="9"/>
      <c r="C6588" s="2"/>
      <c r="D6588" s="2"/>
      <c r="I6588" s="9"/>
      <c r="J6588" s="2"/>
      <c r="L6588" s="9"/>
      <c r="M6588" s="2"/>
      <c r="N6588" s="9"/>
      <c r="P6588" s="3">
        <v>-597.92950589999998</v>
      </c>
      <c r="S6588" s="9"/>
      <c r="T6588" s="2"/>
      <c r="U6588" s="9"/>
    </row>
    <row r="6589" spans="2:21" x14ac:dyDescent="0.35">
      <c r="B6589" s="9"/>
      <c r="C6589" s="2"/>
      <c r="D6589" s="2"/>
      <c r="I6589" s="9"/>
      <c r="J6589" s="2"/>
      <c r="L6589" s="9"/>
      <c r="M6589" s="2"/>
      <c r="N6589" s="9"/>
      <c r="P6589" s="3">
        <v>-781.05309345000001</v>
      </c>
      <c r="S6589" s="9"/>
      <c r="T6589" s="2"/>
      <c r="U6589" s="9"/>
    </row>
    <row r="6590" spans="2:21" x14ac:dyDescent="0.35">
      <c r="B6590" s="9"/>
      <c r="C6590" s="2"/>
      <c r="D6590" s="2"/>
      <c r="I6590" s="9"/>
      <c r="J6590" s="2"/>
      <c r="L6590" s="9"/>
      <c r="M6590" s="2"/>
      <c r="N6590" s="9"/>
      <c r="P6590" s="3">
        <v>-1215.81309345</v>
      </c>
      <c r="S6590" s="9"/>
      <c r="T6590" s="2"/>
      <c r="U6590" s="9"/>
    </row>
    <row r="6591" spans="2:21" x14ac:dyDescent="0.35">
      <c r="B6591" s="9"/>
      <c r="C6591" s="2"/>
      <c r="D6591" s="2"/>
      <c r="I6591" s="9"/>
      <c r="J6591" s="2"/>
      <c r="L6591" s="9"/>
      <c r="M6591" s="2"/>
      <c r="N6591" s="9"/>
      <c r="P6591" s="3">
        <v>-1650.57309345</v>
      </c>
      <c r="S6591" s="9"/>
      <c r="T6591" s="2"/>
      <c r="U6591" s="9"/>
    </row>
    <row r="6592" spans="2:21" x14ac:dyDescent="0.35">
      <c r="B6592" s="9"/>
      <c r="C6592" s="2"/>
      <c r="D6592" s="2"/>
      <c r="I6592" s="9"/>
      <c r="J6592" s="2"/>
      <c r="L6592" s="9"/>
      <c r="M6592" s="2"/>
      <c r="N6592" s="9"/>
      <c r="P6592" s="3">
        <v>-1557.8704006600001</v>
      </c>
      <c r="S6592" s="9"/>
      <c r="T6592" s="2"/>
      <c r="U6592" s="9"/>
    </row>
    <row r="6593" spans="2:21" x14ac:dyDescent="0.35">
      <c r="B6593" s="9"/>
      <c r="C6593" s="2"/>
      <c r="D6593" s="2"/>
      <c r="I6593" s="9"/>
      <c r="J6593" s="2"/>
      <c r="L6593" s="9"/>
      <c r="M6593" s="2"/>
      <c r="N6593" s="9"/>
      <c r="P6593" s="3">
        <v>-1123.1104006600001</v>
      </c>
      <c r="S6593" s="9"/>
      <c r="T6593" s="2"/>
      <c r="U6593" s="9"/>
    </row>
    <row r="6594" spans="2:21" x14ac:dyDescent="0.35">
      <c r="B6594" s="9"/>
      <c r="C6594" s="2"/>
      <c r="D6594" s="2"/>
      <c r="I6594" s="9"/>
      <c r="J6594" s="2"/>
      <c r="L6594" s="9"/>
      <c r="M6594" s="2"/>
      <c r="N6594" s="9"/>
      <c r="P6594" s="3">
        <v>-688.35040065999999</v>
      </c>
      <c r="S6594" s="9"/>
      <c r="T6594" s="2"/>
      <c r="U6594" s="9"/>
    </row>
    <row r="6595" spans="2:21" x14ac:dyDescent="0.35">
      <c r="B6595" s="9"/>
      <c r="C6595" s="2"/>
      <c r="D6595" s="2"/>
      <c r="I6595" s="9"/>
      <c r="J6595" s="2"/>
      <c r="L6595" s="9"/>
      <c r="M6595" s="2"/>
      <c r="N6595" s="9"/>
      <c r="P6595" s="3">
        <v>-686.30575696999995</v>
      </c>
      <c r="S6595" s="9"/>
      <c r="T6595" s="2"/>
      <c r="U6595" s="9"/>
    </row>
    <row r="6596" spans="2:21" x14ac:dyDescent="0.35">
      <c r="B6596" s="9"/>
      <c r="C6596" s="2"/>
      <c r="D6596" s="2"/>
      <c r="I6596" s="9"/>
      <c r="J6596" s="2"/>
      <c r="L6596" s="9"/>
      <c r="M6596" s="2"/>
      <c r="N6596" s="9"/>
      <c r="P6596" s="3">
        <v>-1121.0657569699999</v>
      </c>
      <c r="S6596" s="9"/>
      <c r="T6596" s="2"/>
      <c r="U6596" s="9"/>
    </row>
    <row r="6597" spans="2:21" x14ac:dyDescent="0.35">
      <c r="B6597" s="9"/>
      <c r="C6597" s="2"/>
      <c r="D6597" s="2"/>
      <c r="I6597" s="9"/>
      <c r="J6597" s="2"/>
      <c r="L6597" s="9"/>
      <c r="M6597" s="2"/>
      <c r="N6597" s="9"/>
      <c r="P6597" s="3">
        <v>-1555.8257569699999</v>
      </c>
      <c r="S6597" s="9"/>
      <c r="T6597" s="2"/>
      <c r="U6597" s="9"/>
    </row>
    <row r="6598" spans="2:21" x14ac:dyDescent="0.35">
      <c r="B6598" s="9"/>
      <c r="C6598" s="2"/>
      <c r="D6598" s="2"/>
      <c r="I6598" s="9"/>
      <c r="J6598" s="2"/>
      <c r="L6598" s="9"/>
      <c r="M6598" s="2"/>
      <c r="N6598" s="9"/>
      <c r="P6598" s="3">
        <v>-1990.5857569699999</v>
      </c>
      <c r="S6598" s="9"/>
      <c r="T6598" s="2"/>
      <c r="U6598" s="9"/>
    </row>
    <row r="6599" spans="2:21" x14ac:dyDescent="0.35">
      <c r="B6599" s="9"/>
      <c r="C6599" s="2"/>
      <c r="D6599" s="2"/>
      <c r="I6599" s="9"/>
      <c r="J6599" s="2"/>
      <c r="L6599" s="9"/>
      <c r="M6599" s="2"/>
      <c r="N6599" s="9"/>
      <c r="P6599" s="3">
        <v>-2425.3457569699999</v>
      </c>
      <c r="S6599" s="9"/>
      <c r="T6599" s="2"/>
      <c r="U6599" s="9"/>
    </row>
    <row r="6600" spans="2:21" x14ac:dyDescent="0.35">
      <c r="B6600" s="9"/>
      <c r="C6600" s="2"/>
      <c r="D6600" s="2"/>
      <c r="I6600" s="9"/>
      <c r="J6600" s="2"/>
      <c r="L6600" s="9"/>
      <c r="M6600" s="2"/>
      <c r="N6600" s="9"/>
      <c r="P6600" s="3">
        <v>-1990.5857569699999</v>
      </c>
      <c r="S6600" s="9"/>
      <c r="T6600" s="2"/>
      <c r="U6600" s="9"/>
    </row>
    <row r="6601" spans="2:21" x14ac:dyDescent="0.35">
      <c r="B6601" s="9"/>
      <c r="C6601" s="2"/>
      <c r="D6601" s="2"/>
      <c r="I6601" s="9"/>
      <c r="J6601" s="2"/>
      <c r="L6601" s="9"/>
      <c r="M6601" s="2"/>
      <c r="N6601" s="9"/>
      <c r="P6601" s="3">
        <v>-1707.29392773</v>
      </c>
      <c r="S6601" s="9"/>
      <c r="T6601" s="2"/>
      <c r="U6601" s="9"/>
    </row>
    <row r="6602" spans="2:21" x14ac:dyDescent="0.35">
      <c r="B6602" s="9"/>
      <c r="C6602" s="2"/>
      <c r="D6602" s="2"/>
      <c r="I6602" s="9"/>
      <c r="J6602" s="2"/>
      <c r="L6602" s="9"/>
      <c r="M6602" s="2"/>
      <c r="N6602" s="9"/>
      <c r="P6602" s="3">
        <v>-1588.0687982300001</v>
      </c>
      <c r="S6602" s="9"/>
      <c r="T6602" s="2"/>
      <c r="U6602" s="9"/>
    </row>
    <row r="6603" spans="2:21" x14ac:dyDescent="0.35">
      <c r="B6603" s="9"/>
      <c r="C6603" s="2"/>
      <c r="D6603" s="2"/>
      <c r="I6603" s="9"/>
      <c r="J6603" s="2"/>
      <c r="L6603" s="9"/>
      <c r="M6603" s="2"/>
      <c r="N6603" s="9"/>
      <c r="P6603" s="3">
        <v>-1514.3638486</v>
      </c>
      <c r="S6603" s="9"/>
      <c r="T6603" s="2"/>
      <c r="U6603" s="9"/>
    </row>
    <row r="6604" spans="2:21" x14ac:dyDescent="0.35">
      <c r="B6604" s="9"/>
      <c r="C6604" s="2"/>
      <c r="D6604" s="2"/>
      <c r="I6604" s="9"/>
      <c r="J6604" s="2"/>
      <c r="L6604" s="9"/>
      <c r="M6604" s="2"/>
      <c r="N6604" s="9"/>
      <c r="P6604" s="3">
        <v>-1500.58994886</v>
      </c>
      <c r="S6604" s="9"/>
      <c r="T6604" s="2"/>
      <c r="U6604" s="9"/>
    </row>
    <row r="6605" spans="2:21" x14ac:dyDescent="0.35">
      <c r="B6605" s="9"/>
      <c r="C6605" s="2"/>
      <c r="D6605" s="2"/>
      <c r="I6605" s="9"/>
      <c r="J6605" s="2"/>
      <c r="L6605" s="9"/>
      <c r="M6605" s="2"/>
      <c r="N6605" s="9"/>
      <c r="P6605" s="3">
        <v>-1737.6617888599999</v>
      </c>
      <c r="S6605" s="9"/>
      <c r="T6605" s="2"/>
      <c r="U6605" s="9"/>
    </row>
    <row r="6606" spans="2:21" x14ac:dyDescent="0.35">
      <c r="B6606" s="9"/>
      <c r="C6606" s="2"/>
      <c r="D6606" s="2"/>
      <c r="I6606" s="9"/>
      <c r="J6606" s="2"/>
      <c r="L6606" s="9"/>
      <c r="M6606" s="2"/>
      <c r="N6606" s="9"/>
      <c r="P6606" s="3">
        <v>-2172.4217888600001</v>
      </c>
      <c r="S6606" s="9"/>
      <c r="T6606" s="2"/>
      <c r="U6606" s="9"/>
    </row>
    <row r="6607" spans="2:21" x14ac:dyDescent="0.35">
      <c r="B6607" s="9"/>
      <c r="C6607" s="2"/>
      <c r="D6607" s="2"/>
      <c r="I6607" s="9"/>
      <c r="J6607" s="2"/>
      <c r="L6607" s="9"/>
      <c r="M6607" s="2"/>
      <c r="N6607" s="9"/>
      <c r="P6607" s="3">
        <v>-2443.4997688600001</v>
      </c>
      <c r="S6607" s="9"/>
      <c r="T6607" s="2"/>
      <c r="U6607" s="9"/>
    </row>
    <row r="6608" spans="2:21" x14ac:dyDescent="0.35">
      <c r="B6608" s="9"/>
      <c r="C6608" s="2"/>
      <c r="D6608" s="2"/>
      <c r="I6608" s="9"/>
      <c r="J6608" s="2"/>
      <c r="L6608" s="9"/>
      <c r="M6608" s="2"/>
      <c r="N6608" s="9"/>
      <c r="P6608" s="3">
        <v>-2731.3650088600002</v>
      </c>
      <c r="S6608" s="9"/>
      <c r="T6608" s="2"/>
      <c r="U6608" s="9"/>
    </row>
    <row r="6609" spans="2:21" x14ac:dyDescent="0.35">
      <c r="B6609" s="9"/>
      <c r="C6609" s="2"/>
      <c r="D6609" s="2"/>
      <c r="I6609" s="9"/>
      <c r="J6609" s="2"/>
      <c r="L6609" s="9"/>
      <c r="M6609" s="2"/>
      <c r="N6609" s="9"/>
      <c r="P6609" s="3">
        <v>-2860.169492</v>
      </c>
      <c r="S6609" s="9"/>
      <c r="T6609" s="2"/>
      <c r="U6609" s="9"/>
    </row>
    <row r="6610" spans="2:21" x14ac:dyDescent="0.35">
      <c r="B6610" s="9"/>
      <c r="C6610" s="2"/>
      <c r="D6610" s="2"/>
      <c r="I6610" s="9"/>
      <c r="J6610" s="2"/>
      <c r="L6610" s="9"/>
      <c r="M6610" s="2"/>
      <c r="N6610" s="9"/>
      <c r="P6610" s="3">
        <v>-2860.169492</v>
      </c>
      <c r="S6610" s="9"/>
      <c r="T6610" s="2"/>
      <c r="U6610" s="9"/>
    </row>
    <row r="6611" spans="2:21" x14ac:dyDescent="0.35">
      <c r="B6611" s="9"/>
      <c r="C6611" s="2"/>
      <c r="D6611" s="2"/>
      <c r="I6611" s="9"/>
      <c r="J6611" s="2"/>
      <c r="L6611" s="9"/>
      <c r="M6611" s="2"/>
      <c r="N6611" s="9"/>
      <c r="P6611" s="3">
        <v>-2860.169492</v>
      </c>
      <c r="S6611" s="9"/>
      <c r="T6611" s="2"/>
      <c r="U6611" s="9"/>
    </row>
    <row r="6612" spans="2:21" x14ac:dyDescent="0.35">
      <c r="B6612" s="9"/>
      <c r="C6612" s="2"/>
      <c r="D6612" s="2"/>
      <c r="I6612" s="9"/>
      <c r="J6612" s="2"/>
      <c r="L6612" s="9"/>
      <c r="M6612" s="2"/>
      <c r="N6612" s="9"/>
      <c r="P6612" s="3">
        <v>-2860.169492</v>
      </c>
      <c r="S6612" s="9"/>
      <c r="T6612" s="2"/>
      <c r="U6612" s="9"/>
    </row>
    <row r="6613" spans="2:21" x14ac:dyDescent="0.35">
      <c r="B6613" s="9"/>
      <c r="C6613" s="2"/>
      <c r="D6613" s="2"/>
      <c r="I6613" s="9"/>
      <c r="J6613" s="2"/>
      <c r="L6613" s="9"/>
      <c r="M6613" s="2"/>
      <c r="N6613" s="9"/>
      <c r="P6613" s="3">
        <v>-2860.169492</v>
      </c>
      <c r="S6613" s="9"/>
      <c r="T6613" s="2"/>
      <c r="U6613" s="9"/>
    </row>
    <row r="6614" spans="2:21" x14ac:dyDescent="0.35">
      <c r="B6614" s="9"/>
      <c r="C6614" s="2"/>
      <c r="D6614" s="2"/>
      <c r="I6614" s="9"/>
      <c r="J6614" s="2"/>
      <c r="L6614" s="9"/>
      <c r="M6614" s="2"/>
      <c r="N6614" s="9"/>
      <c r="P6614" s="3">
        <v>-2860.169492</v>
      </c>
      <c r="S6614" s="9"/>
      <c r="T6614" s="2"/>
      <c r="U6614" s="9"/>
    </row>
    <row r="6615" spans="2:21" x14ac:dyDescent="0.35">
      <c r="B6615" s="9"/>
      <c r="C6615" s="2"/>
      <c r="D6615" s="2"/>
      <c r="I6615" s="9"/>
      <c r="J6615" s="2"/>
      <c r="L6615" s="9"/>
      <c r="M6615" s="2"/>
      <c r="N6615" s="9"/>
      <c r="P6615" s="3">
        <v>-2860.169492</v>
      </c>
      <c r="S6615" s="9"/>
      <c r="T6615" s="2"/>
      <c r="U6615" s="9"/>
    </row>
    <row r="6616" spans="2:21" x14ac:dyDescent="0.35">
      <c r="B6616" s="9"/>
      <c r="C6616" s="2"/>
      <c r="D6616" s="2"/>
      <c r="I6616" s="9"/>
      <c r="J6616" s="2"/>
      <c r="L6616" s="9"/>
      <c r="M6616" s="2"/>
      <c r="N6616" s="9"/>
      <c r="P6616" s="3">
        <v>-2860.169492</v>
      </c>
      <c r="S6616" s="9"/>
      <c r="T6616" s="2"/>
      <c r="U6616" s="9"/>
    </row>
    <row r="6617" spans="2:21" x14ac:dyDescent="0.35">
      <c r="B6617" s="9"/>
      <c r="C6617" s="2"/>
      <c r="D6617" s="2"/>
      <c r="I6617" s="9"/>
      <c r="J6617" s="2"/>
      <c r="L6617" s="9"/>
      <c r="M6617" s="2"/>
      <c r="N6617" s="9"/>
      <c r="P6617" s="3">
        <v>-2425.4094919999998</v>
      </c>
      <c r="S6617" s="9"/>
      <c r="T6617" s="2"/>
      <c r="U6617" s="9"/>
    </row>
    <row r="6618" spans="2:21" x14ac:dyDescent="0.35">
      <c r="B6618" s="9"/>
      <c r="C6618" s="2"/>
      <c r="D6618" s="2"/>
      <c r="I6618" s="9"/>
      <c r="J6618" s="2"/>
      <c r="L6618" s="9"/>
      <c r="M6618" s="2"/>
      <c r="N6618" s="9"/>
      <c r="P6618" s="3">
        <v>-1990.649492</v>
      </c>
      <c r="S6618" s="9"/>
      <c r="T6618" s="2"/>
      <c r="U6618" s="9"/>
    </row>
    <row r="6619" spans="2:21" x14ac:dyDescent="0.35">
      <c r="B6619" s="9"/>
      <c r="C6619" s="2"/>
      <c r="D6619" s="2"/>
      <c r="I6619" s="9"/>
      <c r="J6619" s="2"/>
      <c r="L6619" s="9"/>
      <c r="M6619" s="2"/>
      <c r="N6619" s="9"/>
      <c r="P6619" s="3">
        <v>-1555.889492</v>
      </c>
      <c r="S6619" s="9"/>
      <c r="T6619" s="2"/>
      <c r="U6619" s="9"/>
    </row>
    <row r="6620" spans="2:21" x14ac:dyDescent="0.35">
      <c r="B6620" s="9"/>
      <c r="C6620" s="2"/>
      <c r="D6620" s="2"/>
      <c r="I6620" s="9"/>
      <c r="J6620" s="2"/>
      <c r="L6620" s="9"/>
      <c r="M6620" s="2"/>
      <c r="N6620" s="9"/>
      <c r="P6620" s="3">
        <v>-1208.51299337</v>
      </c>
      <c r="S6620" s="9"/>
      <c r="T6620" s="2"/>
      <c r="U6620" s="9"/>
    </row>
    <row r="6621" spans="2:21" x14ac:dyDescent="0.35">
      <c r="B6621" s="9"/>
      <c r="C6621" s="2"/>
      <c r="D6621" s="2"/>
      <c r="I6621" s="9"/>
      <c r="J6621" s="2"/>
      <c r="L6621" s="9"/>
      <c r="M6621" s="2"/>
      <c r="N6621" s="9"/>
      <c r="P6621" s="3">
        <v>-1643.27299337</v>
      </c>
      <c r="S6621" s="9"/>
      <c r="T6621" s="2"/>
      <c r="U6621" s="9"/>
    </row>
    <row r="6622" spans="2:21" x14ac:dyDescent="0.35">
      <c r="B6622" s="9"/>
      <c r="C6622" s="2"/>
      <c r="D6622" s="2"/>
      <c r="I6622" s="9"/>
      <c r="J6622" s="2"/>
      <c r="L6622" s="9"/>
      <c r="M6622" s="2"/>
      <c r="N6622" s="9"/>
      <c r="P6622" s="3">
        <v>-2078.03299337</v>
      </c>
      <c r="S6622" s="9"/>
      <c r="T6622" s="2"/>
      <c r="U6622" s="9"/>
    </row>
    <row r="6623" spans="2:21" x14ac:dyDescent="0.35">
      <c r="B6623" s="9"/>
      <c r="C6623" s="2"/>
      <c r="D6623" s="2"/>
      <c r="I6623" s="9"/>
      <c r="J6623" s="2"/>
      <c r="L6623" s="9"/>
      <c r="M6623" s="2"/>
      <c r="N6623" s="9"/>
      <c r="P6623" s="3">
        <v>-2512.7929933700002</v>
      </c>
      <c r="S6623" s="9"/>
      <c r="T6623" s="2"/>
      <c r="U6623" s="9"/>
    </row>
    <row r="6624" spans="2:21" x14ac:dyDescent="0.35">
      <c r="B6624" s="9"/>
      <c r="C6624" s="2"/>
      <c r="D6624" s="2"/>
      <c r="I6624" s="9"/>
      <c r="J6624" s="2"/>
      <c r="L6624" s="9"/>
      <c r="M6624" s="2"/>
      <c r="N6624" s="9"/>
      <c r="P6624" s="3">
        <v>-2860.169492</v>
      </c>
      <c r="S6624" s="9"/>
      <c r="T6624" s="2"/>
      <c r="U6624" s="9"/>
    </row>
    <row r="6625" spans="2:21" x14ac:dyDescent="0.35">
      <c r="B6625" s="9"/>
      <c r="C6625" s="2"/>
      <c r="D6625" s="2"/>
      <c r="I6625" s="9"/>
      <c r="J6625" s="2"/>
      <c r="L6625" s="9"/>
      <c r="M6625" s="2"/>
      <c r="N6625" s="9"/>
      <c r="P6625" s="3">
        <v>-2860.169492</v>
      </c>
      <c r="S6625" s="9"/>
      <c r="T6625" s="2"/>
      <c r="U6625" s="9"/>
    </row>
    <row r="6626" spans="2:21" x14ac:dyDescent="0.35">
      <c r="B6626" s="9"/>
      <c r="C6626" s="2"/>
      <c r="D6626" s="2"/>
      <c r="I6626" s="9"/>
      <c r="J6626" s="2"/>
      <c r="L6626" s="9"/>
      <c r="M6626" s="2"/>
      <c r="N6626" s="9"/>
      <c r="P6626" s="3">
        <v>-2860.169492</v>
      </c>
      <c r="S6626" s="9"/>
      <c r="T6626" s="2"/>
      <c r="U6626" s="9"/>
    </row>
    <row r="6627" spans="2:21" x14ac:dyDescent="0.35">
      <c r="B6627" s="9"/>
      <c r="C6627" s="2"/>
      <c r="D6627" s="2"/>
      <c r="I6627" s="9"/>
      <c r="J6627" s="2"/>
      <c r="L6627" s="9"/>
      <c r="M6627" s="2"/>
      <c r="N6627" s="9"/>
      <c r="P6627" s="3">
        <v>-2860.169492</v>
      </c>
      <c r="S6627" s="9"/>
      <c r="T6627" s="2"/>
      <c r="U6627" s="9"/>
    </row>
    <row r="6628" spans="2:21" x14ac:dyDescent="0.35">
      <c r="B6628" s="9"/>
      <c r="C6628" s="2"/>
      <c r="D6628" s="2"/>
      <c r="I6628" s="9"/>
      <c r="J6628" s="2"/>
      <c r="L6628" s="9"/>
      <c r="M6628" s="2"/>
      <c r="N6628" s="9"/>
      <c r="P6628" s="3">
        <v>-2860.169492</v>
      </c>
      <c r="S6628" s="9"/>
      <c r="T6628" s="2"/>
      <c r="U6628" s="9"/>
    </row>
    <row r="6629" spans="2:21" x14ac:dyDescent="0.35">
      <c r="B6629" s="9"/>
      <c r="C6629" s="2"/>
      <c r="D6629" s="2"/>
      <c r="I6629" s="9"/>
      <c r="J6629" s="2"/>
      <c r="L6629" s="9"/>
      <c r="M6629" s="2"/>
      <c r="N6629" s="9"/>
      <c r="P6629" s="3">
        <v>-2860.169492</v>
      </c>
      <c r="S6629" s="9"/>
      <c r="T6629" s="2"/>
      <c r="U6629" s="9"/>
    </row>
    <row r="6630" spans="2:21" x14ac:dyDescent="0.35">
      <c r="B6630" s="9"/>
      <c r="C6630" s="2"/>
      <c r="D6630" s="2"/>
      <c r="I6630" s="9"/>
      <c r="J6630" s="2"/>
      <c r="L6630" s="9"/>
      <c r="M6630" s="2"/>
      <c r="N6630" s="9"/>
      <c r="P6630" s="3">
        <v>-2860.169492</v>
      </c>
      <c r="S6630" s="9"/>
      <c r="T6630" s="2"/>
      <c r="U6630" s="9"/>
    </row>
    <row r="6631" spans="2:21" x14ac:dyDescent="0.35">
      <c r="B6631" s="9"/>
      <c r="C6631" s="2"/>
      <c r="D6631" s="2"/>
      <c r="I6631" s="9"/>
      <c r="J6631" s="2"/>
      <c r="L6631" s="9"/>
      <c r="M6631" s="2"/>
      <c r="N6631" s="9"/>
      <c r="P6631" s="3">
        <v>-2860.169492</v>
      </c>
      <c r="S6631" s="9"/>
      <c r="T6631" s="2"/>
      <c r="U6631" s="9"/>
    </row>
    <row r="6632" spans="2:21" x14ac:dyDescent="0.35">
      <c r="B6632" s="9"/>
      <c r="C6632" s="2"/>
      <c r="D6632" s="2"/>
      <c r="I6632" s="9"/>
      <c r="J6632" s="2"/>
      <c r="L6632" s="9"/>
      <c r="M6632" s="2"/>
      <c r="N6632" s="9"/>
      <c r="P6632" s="3">
        <v>-2860.169492</v>
      </c>
      <c r="S6632" s="9"/>
      <c r="T6632" s="2"/>
      <c r="U6632" s="9"/>
    </row>
    <row r="6633" spans="2:21" x14ac:dyDescent="0.35">
      <c r="B6633" s="9"/>
      <c r="C6633" s="2"/>
      <c r="D6633" s="2"/>
      <c r="I6633" s="9"/>
      <c r="J6633" s="2"/>
      <c r="L6633" s="9"/>
      <c r="M6633" s="2"/>
      <c r="N6633" s="9"/>
      <c r="P6633" s="3">
        <v>-2860.169492</v>
      </c>
      <c r="S6633" s="9"/>
      <c r="T6633" s="2"/>
      <c r="U6633" s="9"/>
    </row>
    <row r="6634" spans="2:21" x14ac:dyDescent="0.35">
      <c r="B6634" s="9"/>
      <c r="C6634" s="2"/>
      <c r="D6634" s="2"/>
      <c r="I6634" s="9"/>
      <c r="J6634" s="2"/>
      <c r="L6634" s="9"/>
      <c r="M6634" s="2"/>
      <c r="N6634" s="9"/>
      <c r="P6634" s="3">
        <v>-2860.169492</v>
      </c>
      <c r="S6634" s="9"/>
      <c r="T6634" s="2"/>
      <c r="U6634" s="9"/>
    </row>
    <row r="6635" spans="2:21" x14ac:dyDescent="0.35">
      <c r="B6635" s="9"/>
      <c r="C6635" s="2"/>
      <c r="D6635" s="2"/>
      <c r="I6635" s="9"/>
      <c r="J6635" s="2"/>
      <c r="L6635" s="9"/>
      <c r="M6635" s="2"/>
      <c r="N6635" s="9"/>
      <c r="P6635" s="3">
        <v>-2860.169492</v>
      </c>
      <c r="S6635" s="9"/>
      <c r="T6635" s="2"/>
      <c r="U6635" s="9"/>
    </row>
    <row r="6636" spans="2:21" x14ac:dyDescent="0.35">
      <c r="B6636" s="9"/>
      <c r="C6636" s="2"/>
      <c r="D6636" s="2"/>
      <c r="I6636" s="9"/>
      <c r="J6636" s="2"/>
      <c r="L6636" s="9"/>
      <c r="M6636" s="2"/>
      <c r="N6636" s="9"/>
      <c r="P6636" s="3">
        <v>-2860.169492</v>
      </c>
      <c r="S6636" s="9"/>
      <c r="T6636" s="2"/>
      <c r="U6636" s="9"/>
    </row>
    <row r="6637" spans="2:21" x14ac:dyDescent="0.35">
      <c r="B6637" s="9"/>
      <c r="C6637" s="2"/>
      <c r="D6637" s="2"/>
      <c r="I6637" s="9"/>
      <c r="J6637" s="2"/>
      <c r="L6637" s="9"/>
      <c r="M6637" s="2"/>
      <c r="N6637" s="9"/>
      <c r="P6637" s="3">
        <v>-2860.169492</v>
      </c>
      <c r="S6637" s="9"/>
      <c r="T6637" s="2"/>
      <c r="U6637" s="9"/>
    </row>
    <row r="6638" spans="2:21" x14ac:dyDescent="0.35">
      <c r="B6638" s="9"/>
      <c r="C6638" s="2"/>
      <c r="D6638" s="2"/>
      <c r="I6638" s="9"/>
      <c r="J6638" s="2"/>
      <c r="L6638" s="9"/>
      <c r="M6638" s="2"/>
      <c r="N6638" s="9"/>
      <c r="P6638" s="3">
        <v>-2860.169492</v>
      </c>
      <c r="S6638" s="9"/>
      <c r="T6638" s="2"/>
      <c r="U6638" s="9"/>
    </row>
    <row r="6639" spans="2:21" x14ac:dyDescent="0.35">
      <c r="B6639" s="9"/>
      <c r="C6639" s="2"/>
      <c r="D6639" s="2"/>
      <c r="I6639" s="9"/>
      <c r="J6639" s="2"/>
      <c r="L6639" s="9"/>
      <c r="M6639" s="2"/>
      <c r="N6639" s="9"/>
      <c r="P6639" s="3">
        <v>-2860.169492</v>
      </c>
      <c r="S6639" s="9"/>
      <c r="T6639" s="2"/>
      <c r="U6639" s="9"/>
    </row>
    <row r="6640" spans="2:21" x14ac:dyDescent="0.35">
      <c r="B6640" s="9"/>
      <c r="C6640" s="2"/>
      <c r="D6640" s="2"/>
      <c r="I6640" s="9"/>
      <c r="J6640" s="2"/>
      <c r="L6640" s="9"/>
      <c r="M6640" s="2"/>
      <c r="N6640" s="9"/>
      <c r="P6640" s="3">
        <v>-2860.169492</v>
      </c>
      <c r="S6640" s="9"/>
      <c r="T6640" s="2"/>
      <c r="U6640" s="9"/>
    </row>
    <row r="6641" spans="2:21" x14ac:dyDescent="0.35">
      <c r="B6641" s="9"/>
      <c r="C6641" s="2"/>
      <c r="D6641" s="2"/>
      <c r="I6641" s="9"/>
      <c r="J6641" s="2"/>
      <c r="L6641" s="9"/>
      <c r="M6641" s="2"/>
      <c r="N6641" s="9"/>
      <c r="P6641" s="3">
        <v>-2860.169492</v>
      </c>
      <c r="S6641" s="9"/>
      <c r="T6641" s="2"/>
      <c r="U6641" s="9"/>
    </row>
    <row r="6642" spans="2:21" x14ac:dyDescent="0.35">
      <c r="B6642" s="9"/>
      <c r="C6642" s="2"/>
      <c r="D6642" s="2"/>
      <c r="I6642" s="9"/>
      <c r="J6642" s="2"/>
      <c r="L6642" s="9"/>
      <c r="M6642" s="2"/>
      <c r="N6642" s="9"/>
      <c r="P6642" s="3">
        <v>-2425.4094919999998</v>
      </c>
      <c r="S6642" s="9"/>
      <c r="T6642" s="2"/>
      <c r="U6642" s="9"/>
    </row>
    <row r="6643" spans="2:21" x14ac:dyDescent="0.35">
      <c r="B6643" s="9"/>
      <c r="C6643" s="2"/>
      <c r="D6643" s="2"/>
      <c r="I6643" s="9"/>
      <c r="J6643" s="2"/>
      <c r="L6643" s="9"/>
      <c r="M6643" s="2"/>
      <c r="N6643" s="9"/>
      <c r="P6643" s="3">
        <v>-1990.649492</v>
      </c>
      <c r="S6643" s="9"/>
      <c r="T6643" s="2"/>
      <c r="U6643" s="9"/>
    </row>
    <row r="6644" spans="2:21" x14ac:dyDescent="0.35">
      <c r="B6644" s="9"/>
      <c r="C6644" s="2"/>
      <c r="D6644" s="2"/>
      <c r="I6644" s="9"/>
      <c r="J6644" s="2"/>
      <c r="L6644" s="9"/>
      <c r="M6644" s="2"/>
      <c r="N6644" s="9"/>
      <c r="P6644" s="3">
        <v>-1555.889492</v>
      </c>
      <c r="S6644" s="9"/>
      <c r="T6644" s="2"/>
      <c r="U6644" s="9"/>
    </row>
    <row r="6645" spans="2:21" x14ac:dyDescent="0.35">
      <c r="B6645" s="9"/>
      <c r="C6645" s="2"/>
      <c r="D6645" s="2"/>
      <c r="I6645" s="9"/>
      <c r="J6645" s="2"/>
      <c r="L6645" s="9"/>
      <c r="M6645" s="2"/>
      <c r="N6645" s="9"/>
      <c r="P6645" s="3">
        <v>-1981.8331716800001</v>
      </c>
      <c r="S6645" s="9"/>
      <c r="T6645" s="2"/>
      <c r="U6645" s="9"/>
    </row>
    <row r="6646" spans="2:21" x14ac:dyDescent="0.35">
      <c r="B6646" s="9"/>
      <c r="C6646" s="2"/>
      <c r="D6646" s="2"/>
      <c r="I6646" s="9"/>
      <c r="J6646" s="2"/>
      <c r="L6646" s="9"/>
      <c r="M6646" s="2"/>
      <c r="N6646" s="9"/>
      <c r="P6646" s="3">
        <v>-2416.5931716800001</v>
      </c>
      <c r="S6646" s="9"/>
      <c r="T6646" s="2"/>
      <c r="U6646" s="9"/>
    </row>
    <row r="6647" spans="2:21" x14ac:dyDescent="0.35">
      <c r="B6647" s="9"/>
      <c r="C6647" s="2"/>
      <c r="D6647" s="2"/>
      <c r="I6647" s="9"/>
      <c r="J6647" s="2"/>
      <c r="L6647" s="9"/>
      <c r="M6647" s="2"/>
      <c r="N6647" s="9"/>
      <c r="P6647" s="3">
        <v>-2458.8357469699999</v>
      </c>
      <c r="S6647" s="9"/>
      <c r="T6647" s="2"/>
      <c r="U6647" s="9"/>
    </row>
    <row r="6648" spans="2:21" x14ac:dyDescent="0.35">
      <c r="B6648" s="9"/>
      <c r="C6648" s="2"/>
      <c r="D6648" s="2"/>
      <c r="I6648" s="9"/>
      <c r="J6648" s="2"/>
      <c r="L6648" s="9"/>
      <c r="M6648" s="2"/>
      <c r="N6648" s="9"/>
      <c r="P6648" s="3">
        <v>-2024.07574697</v>
      </c>
      <c r="S6648" s="9"/>
      <c r="T6648" s="2"/>
      <c r="U6648" s="9"/>
    </row>
    <row r="6649" spans="2:21" x14ac:dyDescent="0.35">
      <c r="B6649" s="9"/>
      <c r="C6649" s="2"/>
      <c r="D6649" s="2"/>
      <c r="I6649" s="9"/>
      <c r="J6649" s="2"/>
      <c r="L6649" s="9"/>
      <c r="M6649" s="2"/>
      <c r="N6649" s="9"/>
      <c r="P6649" s="3">
        <v>-1694.59344773</v>
      </c>
      <c r="S6649" s="9"/>
      <c r="T6649" s="2"/>
      <c r="U6649" s="9"/>
    </row>
    <row r="6650" spans="2:21" x14ac:dyDescent="0.35">
      <c r="B6650" s="9"/>
      <c r="C6650" s="2"/>
      <c r="D6650" s="2"/>
      <c r="I6650" s="9"/>
      <c r="J6650" s="2"/>
      <c r="L6650" s="9"/>
      <c r="M6650" s="2"/>
      <c r="N6650" s="9"/>
      <c r="P6650" s="3">
        <v>-1519.0553782300001</v>
      </c>
      <c r="S6650" s="9"/>
      <c r="T6650" s="2"/>
      <c r="U6650" s="9"/>
    </row>
    <row r="6651" spans="2:21" x14ac:dyDescent="0.35">
      <c r="B6651" s="9"/>
      <c r="C6651" s="2"/>
      <c r="D6651" s="2"/>
      <c r="I6651" s="9"/>
      <c r="J6651" s="2"/>
      <c r="L6651" s="9"/>
      <c r="M6651" s="2"/>
      <c r="N6651" s="9"/>
      <c r="P6651" s="3">
        <v>-1476.1885686000001</v>
      </c>
      <c r="S6651" s="9"/>
      <c r="T6651" s="2"/>
      <c r="U6651" s="9"/>
    </row>
    <row r="6652" spans="2:21" x14ac:dyDescent="0.35">
      <c r="B6652" s="9"/>
      <c r="C6652" s="2"/>
      <c r="D6652" s="2"/>
      <c r="I6652" s="9"/>
      <c r="J6652" s="2"/>
      <c r="L6652" s="9"/>
      <c r="M6652" s="2"/>
      <c r="N6652" s="9"/>
      <c r="P6652" s="3">
        <v>-1621.60021886</v>
      </c>
      <c r="S6652" s="9"/>
      <c r="T6652" s="2"/>
      <c r="U6652" s="9"/>
    </row>
    <row r="6653" spans="2:21" x14ac:dyDescent="0.35">
      <c r="B6653" s="9"/>
      <c r="C6653" s="2"/>
      <c r="D6653" s="2"/>
      <c r="I6653" s="9"/>
      <c r="J6653" s="2"/>
      <c r="L6653" s="9"/>
      <c r="M6653" s="2"/>
      <c r="N6653" s="9"/>
      <c r="P6653" s="3">
        <v>-1860.5656288600001</v>
      </c>
      <c r="S6653" s="9"/>
      <c r="T6653" s="2"/>
      <c r="U6653" s="9"/>
    </row>
    <row r="6654" spans="2:21" x14ac:dyDescent="0.35">
      <c r="B6654" s="9"/>
      <c r="C6654" s="2"/>
      <c r="D6654" s="2"/>
      <c r="I6654" s="9"/>
      <c r="J6654" s="2"/>
      <c r="L6654" s="9"/>
      <c r="M6654" s="2"/>
      <c r="N6654" s="9"/>
      <c r="P6654" s="3">
        <v>-2192.1086488599999</v>
      </c>
      <c r="S6654" s="9"/>
      <c r="T6654" s="2"/>
      <c r="U6654" s="9"/>
    </row>
    <row r="6655" spans="2:21" x14ac:dyDescent="0.35">
      <c r="B6655" s="9"/>
      <c r="C6655" s="2"/>
      <c r="D6655" s="2"/>
      <c r="I6655" s="9"/>
      <c r="J6655" s="2"/>
      <c r="L6655" s="9"/>
      <c r="M6655" s="2"/>
      <c r="N6655" s="9"/>
      <c r="P6655" s="3">
        <v>-2266.58835886</v>
      </c>
      <c r="S6655" s="9"/>
      <c r="T6655" s="2"/>
      <c r="U6655" s="9"/>
    </row>
    <row r="6656" spans="2:21" x14ac:dyDescent="0.35">
      <c r="B6656" s="9"/>
      <c r="C6656" s="2"/>
      <c r="D6656" s="2"/>
      <c r="I6656" s="9"/>
      <c r="J6656" s="2"/>
      <c r="L6656" s="9"/>
      <c r="M6656" s="2"/>
      <c r="N6656" s="9"/>
      <c r="P6656" s="3">
        <v>-2258.0470588600001</v>
      </c>
      <c r="S6656" s="9"/>
      <c r="T6656" s="2"/>
      <c r="U6656" s="9"/>
    </row>
    <row r="6657" spans="2:21" x14ac:dyDescent="0.35">
      <c r="B6657" s="9"/>
      <c r="C6657" s="2"/>
      <c r="D6657" s="2"/>
      <c r="I6657" s="9"/>
      <c r="J6657" s="2"/>
      <c r="L6657" s="9"/>
      <c r="M6657" s="2"/>
      <c r="N6657" s="9"/>
      <c r="P6657" s="3">
        <v>-2196.0818088599999</v>
      </c>
      <c r="S6657" s="9"/>
      <c r="T6657" s="2"/>
      <c r="U6657" s="9"/>
    </row>
    <row r="6658" spans="2:21" x14ac:dyDescent="0.35">
      <c r="B6658" s="9"/>
      <c r="C6658" s="2"/>
      <c r="D6658" s="2"/>
      <c r="I6658" s="9"/>
      <c r="J6658" s="2"/>
      <c r="L6658" s="9"/>
      <c r="M6658" s="2"/>
      <c r="N6658" s="9"/>
      <c r="P6658" s="3">
        <v>-2087.2963188600002</v>
      </c>
      <c r="S6658" s="9"/>
      <c r="T6658" s="2"/>
      <c r="U6658" s="9"/>
    </row>
    <row r="6659" spans="2:21" x14ac:dyDescent="0.35">
      <c r="B6659" s="9"/>
      <c r="C6659" s="2"/>
      <c r="D6659" s="2"/>
      <c r="I6659" s="9"/>
      <c r="J6659" s="2"/>
      <c r="L6659" s="9"/>
      <c r="M6659" s="2"/>
      <c r="N6659" s="9"/>
      <c r="P6659" s="3">
        <v>-1844.02769238</v>
      </c>
      <c r="S6659" s="9"/>
      <c r="T6659" s="2"/>
      <c r="U6659" s="9"/>
    </row>
    <row r="6660" spans="2:21" x14ac:dyDescent="0.35">
      <c r="B6660" s="9"/>
      <c r="C6660" s="2"/>
      <c r="D6660" s="2"/>
      <c r="I6660" s="9"/>
      <c r="J6660" s="2"/>
      <c r="L6660" s="9"/>
      <c r="M6660" s="2"/>
      <c r="N6660" s="9"/>
      <c r="P6660" s="3">
        <v>-1530.4669359</v>
      </c>
      <c r="S6660" s="9"/>
      <c r="T6660" s="2"/>
      <c r="U6660" s="9"/>
    </row>
    <row r="6661" spans="2:21" x14ac:dyDescent="0.35">
      <c r="B6661" s="9"/>
      <c r="C6661" s="2"/>
      <c r="D6661" s="2"/>
      <c r="I6661" s="9"/>
      <c r="J6661" s="2"/>
      <c r="L6661" s="9"/>
      <c r="M6661" s="2"/>
      <c r="N6661" s="9"/>
      <c r="P6661" s="3">
        <v>-1180.3698734499999</v>
      </c>
      <c r="S6661" s="9"/>
      <c r="T6661" s="2"/>
      <c r="U6661" s="9"/>
    </row>
    <row r="6662" spans="2:21" x14ac:dyDescent="0.35">
      <c r="B6662" s="9"/>
      <c r="C6662" s="2"/>
      <c r="D6662" s="2"/>
      <c r="I6662" s="9"/>
      <c r="J6662" s="2"/>
      <c r="L6662" s="9"/>
      <c r="M6662" s="2"/>
      <c r="N6662" s="9"/>
      <c r="P6662" s="3">
        <v>-1178.5232569699999</v>
      </c>
      <c r="S6662" s="9"/>
      <c r="T6662" s="2"/>
      <c r="U6662" s="9"/>
    </row>
    <row r="6663" spans="2:21" x14ac:dyDescent="0.35">
      <c r="B6663" s="9"/>
      <c r="C6663" s="2"/>
      <c r="D6663" s="2"/>
      <c r="I6663" s="9"/>
      <c r="J6663" s="2"/>
      <c r="L6663" s="9"/>
      <c r="M6663" s="2"/>
      <c r="N6663" s="9"/>
      <c r="P6663" s="3">
        <v>-1613.2832569699999</v>
      </c>
      <c r="S6663" s="9"/>
      <c r="T6663" s="2"/>
      <c r="U6663" s="9"/>
    </row>
    <row r="6664" spans="2:21" x14ac:dyDescent="0.35">
      <c r="B6664" s="9"/>
      <c r="C6664" s="2"/>
      <c r="D6664" s="2"/>
      <c r="I6664" s="9"/>
      <c r="J6664" s="2"/>
      <c r="L6664" s="9"/>
      <c r="M6664" s="2"/>
      <c r="N6664" s="9"/>
      <c r="P6664" s="3">
        <v>-1979.92553103</v>
      </c>
      <c r="S6664" s="9"/>
      <c r="T6664" s="2"/>
      <c r="U6664" s="9"/>
    </row>
    <row r="6665" spans="2:21" x14ac:dyDescent="0.35">
      <c r="B6665" s="9"/>
      <c r="C6665" s="2"/>
      <c r="D6665" s="2"/>
      <c r="I6665" s="9"/>
      <c r="J6665" s="2"/>
      <c r="L6665" s="9"/>
      <c r="M6665" s="2"/>
      <c r="N6665" s="9"/>
      <c r="P6665" s="3">
        <v>-1545.16553103</v>
      </c>
      <c r="S6665" s="9"/>
      <c r="T6665" s="2"/>
      <c r="U6665" s="9"/>
    </row>
    <row r="6666" spans="2:21" x14ac:dyDescent="0.35">
      <c r="B6666" s="9"/>
      <c r="C6666" s="2"/>
      <c r="D6666" s="2"/>
      <c r="I6666" s="9"/>
      <c r="J6666" s="2"/>
      <c r="L6666" s="9"/>
      <c r="M6666" s="2"/>
      <c r="N6666" s="9"/>
      <c r="P6666" s="3">
        <v>-1110.40553103</v>
      </c>
      <c r="S6666" s="9"/>
      <c r="T6666" s="2"/>
      <c r="U6666" s="9"/>
    </row>
    <row r="6667" spans="2:21" x14ac:dyDescent="0.35">
      <c r="B6667" s="9"/>
      <c r="C6667" s="2"/>
      <c r="D6667" s="2"/>
      <c r="I6667" s="9"/>
      <c r="J6667" s="2"/>
      <c r="L6667" s="9"/>
      <c r="M6667" s="2"/>
      <c r="N6667" s="9"/>
      <c r="P6667" s="3">
        <v>-1121.129492</v>
      </c>
      <c r="S6667" s="9"/>
      <c r="T6667" s="2"/>
      <c r="U6667" s="9"/>
    </row>
    <row r="6668" spans="2:21" x14ac:dyDescent="0.35">
      <c r="B6668" s="9"/>
      <c r="C6668" s="2"/>
      <c r="D6668" s="2"/>
      <c r="I6668" s="9"/>
      <c r="J6668" s="2"/>
      <c r="L6668" s="9"/>
      <c r="M6668" s="2"/>
      <c r="N6668" s="9"/>
      <c r="P6668" s="3">
        <v>-1555.889492</v>
      </c>
      <c r="S6668" s="9"/>
      <c r="T6668" s="2"/>
      <c r="U6668" s="9"/>
    </row>
    <row r="6669" spans="2:21" x14ac:dyDescent="0.35">
      <c r="B6669" s="9"/>
      <c r="C6669" s="2"/>
      <c r="D6669" s="2"/>
      <c r="I6669" s="9"/>
      <c r="J6669" s="2"/>
      <c r="L6669" s="9"/>
      <c r="M6669" s="2"/>
      <c r="N6669" s="9"/>
      <c r="P6669" s="3">
        <v>-1990.649492</v>
      </c>
      <c r="S6669" s="9"/>
      <c r="T6669" s="2"/>
      <c r="U6669" s="9"/>
    </row>
    <row r="6670" spans="2:21" x14ac:dyDescent="0.35">
      <c r="B6670" s="9"/>
      <c r="C6670" s="2"/>
      <c r="D6670" s="2"/>
      <c r="I6670" s="9"/>
      <c r="J6670" s="2"/>
      <c r="L6670" s="9"/>
      <c r="M6670" s="2"/>
      <c r="N6670" s="9"/>
      <c r="P6670" s="3">
        <v>-2425.4094919999998</v>
      </c>
      <c r="S6670" s="9"/>
      <c r="T6670" s="2"/>
      <c r="U6670" s="9"/>
    </row>
    <row r="6671" spans="2:21" x14ac:dyDescent="0.35">
      <c r="B6671" s="9"/>
      <c r="C6671" s="2"/>
      <c r="D6671" s="2"/>
      <c r="I6671" s="9"/>
      <c r="J6671" s="2"/>
      <c r="L6671" s="9"/>
      <c r="M6671" s="2"/>
      <c r="N6671" s="9"/>
      <c r="P6671" s="3">
        <v>-2860.169492</v>
      </c>
      <c r="S6671" s="9"/>
      <c r="T6671" s="2"/>
      <c r="U6671" s="9"/>
    </row>
    <row r="6672" spans="2:21" x14ac:dyDescent="0.35">
      <c r="B6672" s="9"/>
      <c r="C6672" s="2"/>
      <c r="D6672" s="2"/>
      <c r="I6672" s="9"/>
      <c r="J6672" s="2"/>
      <c r="L6672" s="9"/>
      <c r="M6672" s="2"/>
      <c r="N6672" s="9"/>
      <c r="P6672" s="3">
        <v>-2860.169492</v>
      </c>
      <c r="S6672" s="9"/>
      <c r="T6672" s="2"/>
      <c r="U6672" s="9"/>
    </row>
    <row r="6673" spans="2:21" x14ac:dyDescent="0.35">
      <c r="B6673" s="9"/>
      <c r="C6673" s="2"/>
      <c r="D6673" s="2"/>
      <c r="I6673" s="9"/>
      <c r="J6673" s="2"/>
      <c r="L6673" s="9"/>
      <c r="M6673" s="2"/>
      <c r="N6673" s="9"/>
      <c r="P6673" s="3">
        <v>-2860.169492</v>
      </c>
      <c r="S6673" s="9"/>
      <c r="T6673" s="2"/>
      <c r="U6673" s="9"/>
    </row>
    <row r="6674" spans="2:21" x14ac:dyDescent="0.35">
      <c r="B6674" s="9"/>
      <c r="C6674" s="2"/>
      <c r="D6674" s="2"/>
      <c r="I6674" s="9"/>
      <c r="J6674" s="2"/>
      <c r="L6674" s="9"/>
      <c r="M6674" s="2"/>
      <c r="N6674" s="9"/>
      <c r="P6674" s="3">
        <v>-2860.169492</v>
      </c>
      <c r="S6674" s="9"/>
      <c r="T6674" s="2"/>
      <c r="U6674" s="9"/>
    </row>
    <row r="6675" spans="2:21" x14ac:dyDescent="0.35">
      <c r="B6675" s="9"/>
      <c r="C6675" s="2"/>
      <c r="D6675" s="2"/>
      <c r="I6675" s="9"/>
      <c r="J6675" s="2"/>
      <c r="L6675" s="9"/>
      <c r="M6675" s="2"/>
      <c r="N6675" s="9"/>
      <c r="P6675" s="3">
        <v>-2860.169492</v>
      </c>
      <c r="S6675" s="9"/>
      <c r="T6675" s="2"/>
      <c r="U6675" s="9"/>
    </row>
    <row r="6676" spans="2:21" x14ac:dyDescent="0.35">
      <c r="B6676" s="9"/>
      <c r="C6676" s="2"/>
      <c r="D6676" s="2"/>
      <c r="I6676" s="9"/>
      <c r="J6676" s="2"/>
      <c r="L6676" s="9"/>
      <c r="M6676" s="2"/>
      <c r="N6676" s="9"/>
      <c r="P6676" s="3">
        <v>-2860.169492</v>
      </c>
      <c r="S6676" s="9"/>
      <c r="T6676" s="2"/>
      <c r="U6676" s="9"/>
    </row>
    <row r="6677" spans="2:21" x14ac:dyDescent="0.35">
      <c r="B6677" s="9"/>
      <c r="C6677" s="2"/>
      <c r="D6677" s="2"/>
      <c r="I6677" s="9"/>
      <c r="J6677" s="2"/>
      <c r="L6677" s="9"/>
      <c r="M6677" s="2"/>
      <c r="N6677" s="9"/>
      <c r="P6677" s="3">
        <v>-2791.0177888600001</v>
      </c>
      <c r="S6677" s="9"/>
      <c r="T6677" s="2"/>
      <c r="U6677" s="9"/>
    </row>
    <row r="6678" spans="2:21" x14ac:dyDescent="0.35">
      <c r="B6678" s="9"/>
      <c r="C6678" s="2"/>
      <c r="D6678" s="2"/>
      <c r="I6678" s="9"/>
      <c r="J6678" s="2"/>
      <c r="L6678" s="9"/>
      <c r="M6678" s="2"/>
      <c r="N6678" s="9"/>
      <c r="P6678" s="3">
        <v>-2592.7435683899998</v>
      </c>
      <c r="S6678" s="9"/>
      <c r="T6678" s="2"/>
      <c r="U6678" s="9"/>
    </row>
    <row r="6679" spans="2:21" x14ac:dyDescent="0.35">
      <c r="B6679" s="9"/>
      <c r="C6679" s="2"/>
      <c r="D6679" s="2"/>
      <c r="I6679" s="9"/>
      <c r="J6679" s="2"/>
      <c r="L6679" s="9"/>
      <c r="M6679" s="2"/>
      <c r="N6679" s="9"/>
      <c r="P6679" s="3">
        <v>-2774.1315283899999</v>
      </c>
      <c r="S6679" s="9"/>
      <c r="T6679" s="2"/>
      <c r="U6679" s="9"/>
    </row>
    <row r="6680" spans="2:21" x14ac:dyDescent="0.35">
      <c r="B6680" s="9"/>
      <c r="C6680" s="2"/>
      <c r="D6680" s="2"/>
      <c r="I6680" s="9"/>
      <c r="J6680" s="2"/>
      <c r="L6680" s="9"/>
      <c r="M6680" s="2"/>
      <c r="N6680" s="9"/>
      <c r="P6680" s="3">
        <v>-2860.169492</v>
      </c>
      <c r="S6680" s="9"/>
      <c r="T6680" s="2"/>
      <c r="U6680" s="9"/>
    </row>
    <row r="6681" spans="2:21" x14ac:dyDescent="0.35">
      <c r="B6681" s="9"/>
      <c r="C6681" s="2"/>
      <c r="D6681" s="2"/>
      <c r="I6681" s="9"/>
      <c r="J6681" s="2"/>
      <c r="L6681" s="9"/>
      <c r="M6681" s="2"/>
      <c r="N6681" s="9"/>
      <c r="P6681" s="3">
        <v>-2860.169492</v>
      </c>
      <c r="S6681" s="9"/>
      <c r="T6681" s="2"/>
      <c r="U6681" s="9"/>
    </row>
    <row r="6682" spans="2:21" x14ac:dyDescent="0.35">
      <c r="B6682" s="9"/>
      <c r="C6682" s="2"/>
      <c r="D6682" s="2"/>
      <c r="I6682" s="9"/>
      <c r="J6682" s="2"/>
      <c r="L6682" s="9"/>
      <c r="M6682" s="2"/>
      <c r="N6682" s="9"/>
      <c r="P6682" s="3">
        <v>-2860.169492</v>
      </c>
      <c r="S6682" s="9"/>
      <c r="T6682" s="2"/>
      <c r="U6682" s="9"/>
    </row>
    <row r="6683" spans="2:21" x14ac:dyDescent="0.35">
      <c r="B6683" s="9"/>
      <c r="C6683" s="2"/>
      <c r="D6683" s="2"/>
      <c r="I6683" s="9"/>
      <c r="J6683" s="2"/>
      <c r="L6683" s="9"/>
      <c r="M6683" s="2"/>
      <c r="N6683" s="9"/>
      <c r="P6683" s="3">
        <v>-2860.169492</v>
      </c>
      <c r="S6683" s="9"/>
      <c r="T6683" s="2"/>
      <c r="U6683" s="9"/>
    </row>
    <row r="6684" spans="2:21" x14ac:dyDescent="0.35">
      <c r="B6684" s="9"/>
      <c r="C6684" s="2"/>
      <c r="D6684" s="2"/>
      <c r="I6684" s="9"/>
      <c r="J6684" s="2"/>
      <c r="L6684" s="9"/>
      <c r="M6684" s="2"/>
      <c r="N6684" s="9"/>
      <c r="P6684" s="3">
        <v>-2458.0146983899999</v>
      </c>
      <c r="S6684" s="9"/>
      <c r="T6684" s="2"/>
      <c r="U6684" s="9"/>
    </row>
    <row r="6685" spans="2:21" x14ac:dyDescent="0.35">
      <c r="B6685" s="9"/>
      <c r="C6685" s="2"/>
      <c r="D6685" s="2"/>
      <c r="I6685" s="9"/>
      <c r="J6685" s="2"/>
      <c r="L6685" s="9"/>
      <c r="M6685" s="2"/>
      <c r="N6685" s="9"/>
      <c r="P6685" s="3">
        <v>-2023.2546983899999</v>
      </c>
      <c r="S6685" s="9"/>
      <c r="T6685" s="2"/>
      <c r="U6685" s="9"/>
    </row>
    <row r="6686" spans="2:21" x14ac:dyDescent="0.35">
      <c r="B6686" s="9"/>
      <c r="C6686" s="2"/>
      <c r="D6686" s="2"/>
      <c r="I6686" s="9"/>
      <c r="J6686" s="2"/>
      <c r="L6686" s="9"/>
      <c r="M6686" s="2"/>
      <c r="N6686" s="9"/>
      <c r="P6686" s="3">
        <v>-1844.7628283900001</v>
      </c>
      <c r="S6686" s="9"/>
      <c r="T6686" s="2"/>
      <c r="U6686" s="9"/>
    </row>
    <row r="6687" spans="2:21" x14ac:dyDescent="0.35">
      <c r="B6687" s="9"/>
      <c r="C6687" s="2"/>
      <c r="D6687" s="2"/>
      <c r="I6687" s="9"/>
      <c r="J6687" s="2"/>
      <c r="L6687" s="9"/>
      <c r="M6687" s="2"/>
      <c r="N6687" s="9"/>
      <c r="P6687" s="3">
        <v>-1410.0028283900001</v>
      </c>
      <c r="S6687" s="9"/>
      <c r="T6687" s="2"/>
      <c r="U6687" s="9"/>
    </row>
    <row r="6688" spans="2:21" x14ac:dyDescent="0.35">
      <c r="B6688" s="9"/>
      <c r="C6688" s="2"/>
      <c r="D6688" s="2"/>
      <c r="I6688" s="9"/>
      <c r="J6688" s="2"/>
      <c r="L6688" s="9"/>
      <c r="M6688" s="2"/>
      <c r="N6688" s="9"/>
      <c r="P6688" s="3">
        <v>-975.24282839</v>
      </c>
      <c r="S6688" s="9"/>
      <c r="T6688" s="2"/>
      <c r="U6688" s="9"/>
    </row>
    <row r="6689" spans="2:21" x14ac:dyDescent="0.35">
      <c r="B6689" s="9"/>
      <c r="C6689" s="2"/>
      <c r="D6689" s="2"/>
      <c r="I6689" s="9"/>
      <c r="J6689" s="2"/>
      <c r="L6689" s="9"/>
      <c r="M6689" s="2"/>
      <c r="N6689" s="9"/>
      <c r="P6689" s="3">
        <v>-540.48282839000001</v>
      </c>
      <c r="S6689" s="9"/>
      <c r="T6689" s="2"/>
      <c r="U6689" s="9"/>
    </row>
    <row r="6690" spans="2:21" x14ac:dyDescent="0.35">
      <c r="B6690" s="9"/>
      <c r="C6690" s="2"/>
      <c r="D6690" s="2"/>
      <c r="I6690" s="9"/>
      <c r="J6690" s="2"/>
      <c r="L6690" s="9"/>
      <c r="M6690" s="2"/>
      <c r="N6690" s="9"/>
      <c r="P6690" s="3">
        <v>-105.72282839</v>
      </c>
      <c r="S6690" s="9"/>
      <c r="T6690" s="2"/>
      <c r="U6690" s="9"/>
    </row>
    <row r="6691" spans="2:21" x14ac:dyDescent="0.35">
      <c r="B6691" s="9"/>
      <c r="C6691" s="2"/>
      <c r="D6691" s="2"/>
      <c r="I6691" s="9"/>
      <c r="J6691" s="2"/>
      <c r="L6691" s="9"/>
      <c r="M6691" s="2"/>
      <c r="N6691" s="9"/>
      <c r="P6691" s="3">
        <v>0</v>
      </c>
      <c r="S6691" s="9"/>
      <c r="T6691" s="2"/>
      <c r="U6691" s="9"/>
    </row>
    <row r="6692" spans="2:21" x14ac:dyDescent="0.35">
      <c r="B6692" s="9"/>
      <c r="C6692" s="2"/>
      <c r="D6692" s="2"/>
      <c r="I6692" s="9"/>
      <c r="J6692" s="2"/>
      <c r="L6692" s="9"/>
      <c r="M6692" s="2"/>
      <c r="N6692" s="9"/>
      <c r="P6692" s="3">
        <v>-1.5531118100000001</v>
      </c>
      <c r="S6692" s="9"/>
      <c r="T6692" s="2"/>
      <c r="U6692" s="9"/>
    </row>
    <row r="6693" spans="2:21" x14ac:dyDescent="0.35">
      <c r="B6693" s="9"/>
      <c r="C6693" s="2"/>
      <c r="D6693" s="2"/>
      <c r="I6693" s="9"/>
      <c r="J6693" s="2"/>
      <c r="L6693" s="9"/>
      <c r="M6693" s="2"/>
      <c r="N6693" s="9"/>
      <c r="P6693" s="3">
        <v>-436.31311181000001</v>
      </c>
      <c r="S6693" s="9"/>
      <c r="T6693" s="2"/>
      <c r="U6693" s="9"/>
    </row>
    <row r="6694" spans="2:21" x14ac:dyDescent="0.35">
      <c r="B6694" s="9"/>
      <c r="C6694" s="2"/>
      <c r="D6694" s="2"/>
      <c r="I6694" s="9"/>
      <c r="J6694" s="2"/>
      <c r="L6694" s="9"/>
      <c r="M6694" s="2"/>
      <c r="N6694" s="9"/>
      <c r="P6694" s="3">
        <v>-871.07311181</v>
      </c>
      <c r="S6694" s="9"/>
      <c r="T6694" s="2"/>
      <c r="U6694" s="9"/>
    </row>
    <row r="6695" spans="2:21" x14ac:dyDescent="0.35">
      <c r="B6695" s="9"/>
      <c r="C6695" s="2"/>
      <c r="D6695" s="2"/>
      <c r="I6695" s="9"/>
      <c r="J6695" s="2"/>
      <c r="L6695" s="9"/>
      <c r="M6695" s="2"/>
      <c r="N6695" s="9"/>
      <c r="P6695" s="3">
        <v>-1305.83311181</v>
      </c>
      <c r="S6695" s="9"/>
      <c r="T6695" s="2"/>
      <c r="U6695" s="9"/>
    </row>
    <row r="6696" spans="2:21" x14ac:dyDescent="0.35">
      <c r="B6696" s="9"/>
      <c r="C6696" s="2"/>
      <c r="D6696" s="2"/>
      <c r="I6696" s="9"/>
      <c r="J6696" s="2"/>
      <c r="L6696" s="9"/>
      <c r="M6696" s="2"/>
      <c r="N6696" s="9"/>
      <c r="P6696" s="3">
        <v>-1740.59311181</v>
      </c>
      <c r="S6696" s="9"/>
      <c r="T6696" s="2"/>
      <c r="U6696" s="9"/>
    </row>
    <row r="6697" spans="2:21" x14ac:dyDescent="0.35">
      <c r="B6697" s="9"/>
      <c r="C6697" s="2"/>
      <c r="D6697" s="2"/>
      <c r="I6697" s="9"/>
      <c r="J6697" s="2"/>
      <c r="L6697" s="9"/>
      <c r="M6697" s="2"/>
      <c r="N6697" s="9"/>
      <c r="P6697" s="3">
        <v>-2175.35311181</v>
      </c>
      <c r="S6697" s="9"/>
      <c r="T6697" s="2"/>
      <c r="U6697" s="9"/>
    </row>
    <row r="6698" spans="2:21" x14ac:dyDescent="0.35">
      <c r="B6698" s="9"/>
      <c r="C6698" s="2"/>
      <c r="D6698" s="2"/>
      <c r="I6698" s="9"/>
      <c r="J6698" s="2"/>
      <c r="L6698" s="9"/>
      <c r="M6698" s="2"/>
      <c r="N6698" s="9"/>
      <c r="P6698" s="3">
        <v>-2610.1131118100002</v>
      </c>
      <c r="S6698" s="9"/>
      <c r="T6698" s="2"/>
      <c r="U6698" s="9"/>
    </row>
    <row r="6699" spans="2:21" x14ac:dyDescent="0.35">
      <c r="B6699" s="9"/>
      <c r="C6699" s="2"/>
      <c r="D6699" s="2"/>
      <c r="I6699" s="9"/>
      <c r="J6699" s="2"/>
      <c r="L6699" s="9"/>
      <c r="M6699" s="2"/>
      <c r="N6699" s="9"/>
      <c r="P6699" s="3">
        <v>-2175.35311181</v>
      </c>
      <c r="S6699" s="9"/>
      <c r="T6699" s="2"/>
      <c r="U6699" s="9"/>
    </row>
    <row r="6700" spans="2:21" x14ac:dyDescent="0.35">
      <c r="B6700" s="9"/>
      <c r="C6700" s="2"/>
      <c r="D6700" s="2"/>
      <c r="I6700" s="9"/>
      <c r="J6700" s="2"/>
      <c r="L6700" s="9"/>
      <c r="M6700" s="2"/>
      <c r="N6700" s="9"/>
      <c r="P6700" s="3">
        <v>-1740.59311181</v>
      </c>
      <c r="S6700" s="9"/>
      <c r="T6700" s="2"/>
      <c r="U6700" s="9"/>
    </row>
    <row r="6701" spans="2:21" x14ac:dyDescent="0.35">
      <c r="B6701" s="9"/>
      <c r="C6701" s="2"/>
      <c r="D6701" s="2"/>
      <c r="I6701" s="9"/>
      <c r="J6701" s="2"/>
      <c r="L6701" s="9"/>
      <c r="M6701" s="2"/>
      <c r="N6701" s="9"/>
      <c r="P6701" s="3">
        <v>-1305.83311181</v>
      </c>
      <c r="S6701" s="9"/>
      <c r="T6701" s="2"/>
      <c r="U6701" s="9"/>
    </row>
    <row r="6702" spans="2:21" x14ac:dyDescent="0.35">
      <c r="B6702" s="9"/>
      <c r="C6702" s="2"/>
      <c r="D6702" s="2"/>
      <c r="I6702" s="9"/>
      <c r="J6702" s="2"/>
      <c r="L6702" s="9"/>
      <c r="M6702" s="2"/>
      <c r="N6702" s="9"/>
      <c r="P6702" s="3">
        <v>-871.07311181</v>
      </c>
      <c r="S6702" s="9"/>
      <c r="T6702" s="2"/>
      <c r="U6702" s="9"/>
    </row>
    <row r="6703" spans="2:21" x14ac:dyDescent="0.35">
      <c r="B6703" s="9"/>
      <c r="C6703" s="2"/>
      <c r="D6703" s="2"/>
      <c r="I6703" s="9"/>
      <c r="J6703" s="2"/>
      <c r="L6703" s="9"/>
      <c r="M6703" s="2"/>
      <c r="N6703" s="9"/>
      <c r="P6703" s="3">
        <v>-436.31311181000001</v>
      </c>
      <c r="S6703" s="9"/>
      <c r="T6703" s="2"/>
      <c r="U6703" s="9"/>
    </row>
    <row r="6704" spans="2:21" x14ac:dyDescent="0.35">
      <c r="B6704" s="9"/>
      <c r="C6704" s="2"/>
      <c r="D6704" s="2"/>
      <c r="I6704" s="9"/>
      <c r="J6704" s="2"/>
      <c r="L6704" s="9"/>
      <c r="M6704" s="2"/>
      <c r="N6704" s="9"/>
      <c r="P6704" s="3">
        <v>-1.5531118100000001</v>
      </c>
      <c r="S6704" s="9"/>
      <c r="T6704" s="2"/>
      <c r="U6704" s="9"/>
    </row>
    <row r="6705" spans="2:21" x14ac:dyDescent="0.35">
      <c r="B6705" s="9"/>
      <c r="C6705" s="2"/>
      <c r="D6705" s="2"/>
      <c r="I6705" s="9"/>
      <c r="J6705" s="2"/>
      <c r="L6705" s="9"/>
      <c r="M6705" s="2"/>
      <c r="N6705" s="9"/>
      <c r="P6705" s="3">
        <v>0</v>
      </c>
      <c r="S6705" s="9"/>
      <c r="T6705" s="2"/>
      <c r="U6705" s="9"/>
    </row>
    <row r="6706" spans="2:21" x14ac:dyDescent="0.35">
      <c r="B6706" s="9"/>
      <c r="C6706" s="2"/>
      <c r="D6706" s="2"/>
      <c r="I6706" s="9"/>
      <c r="J6706" s="2"/>
      <c r="L6706" s="9"/>
      <c r="M6706" s="2"/>
      <c r="N6706" s="9"/>
      <c r="P6706" s="3">
        <v>0</v>
      </c>
      <c r="S6706" s="9"/>
      <c r="T6706" s="2"/>
      <c r="U6706" s="9"/>
    </row>
    <row r="6707" spans="2:21" x14ac:dyDescent="0.35">
      <c r="B6707" s="9"/>
      <c r="C6707" s="2"/>
      <c r="D6707" s="2"/>
      <c r="I6707" s="9"/>
      <c r="J6707" s="2"/>
      <c r="L6707" s="9"/>
      <c r="M6707" s="2"/>
      <c r="N6707" s="9"/>
      <c r="P6707" s="3">
        <v>0</v>
      </c>
      <c r="S6707" s="9"/>
      <c r="T6707" s="2"/>
      <c r="U6707" s="9"/>
    </row>
    <row r="6708" spans="2:21" x14ac:dyDescent="0.35">
      <c r="B6708" s="9"/>
      <c r="C6708" s="2"/>
      <c r="D6708" s="2"/>
      <c r="I6708" s="9"/>
      <c r="J6708" s="2"/>
      <c r="L6708" s="9"/>
      <c r="M6708" s="2"/>
      <c r="N6708" s="9"/>
      <c r="P6708" s="3">
        <v>0</v>
      </c>
      <c r="S6708" s="9"/>
      <c r="T6708" s="2"/>
      <c r="U6708" s="9"/>
    </row>
    <row r="6709" spans="2:21" x14ac:dyDescent="0.35">
      <c r="B6709" s="9"/>
      <c r="C6709" s="2"/>
      <c r="D6709" s="2"/>
      <c r="I6709" s="9"/>
      <c r="J6709" s="2"/>
      <c r="L6709" s="9"/>
      <c r="M6709" s="2"/>
      <c r="N6709" s="9"/>
      <c r="P6709" s="3">
        <v>0</v>
      </c>
      <c r="S6709" s="9"/>
      <c r="T6709" s="2"/>
      <c r="U6709" s="9"/>
    </row>
    <row r="6710" spans="2:21" x14ac:dyDescent="0.35">
      <c r="B6710" s="9"/>
      <c r="C6710" s="2"/>
      <c r="D6710" s="2"/>
      <c r="I6710" s="9"/>
      <c r="J6710" s="2"/>
      <c r="L6710" s="9"/>
      <c r="M6710" s="2"/>
      <c r="N6710" s="9"/>
      <c r="P6710" s="3">
        <v>0</v>
      </c>
      <c r="S6710" s="9"/>
      <c r="T6710" s="2"/>
      <c r="U6710" s="9"/>
    </row>
    <row r="6711" spans="2:21" x14ac:dyDescent="0.35">
      <c r="B6711" s="9"/>
      <c r="C6711" s="2"/>
      <c r="D6711" s="2"/>
      <c r="I6711" s="9"/>
      <c r="J6711" s="2"/>
      <c r="L6711" s="9"/>
      <c r="M6711" s="2"/>
      <c r="N6711" s="9"/>
      <c r="P6711" s="3">
        <v>0</v>
      </c>
      <c r="S6711" s="9"/>
      <c r="T6711" s="2"/>
      <c r="U6711" s="9"/>
    </row>
    <row r="6712" spans="2:21" x14ac:dyDescent="0.35">
      <c r="B6712" s="9"/>
      <c r="C6712" s="2"/>
      <c r="D6712" s="2"/>
      <c r="I6712" s="9"/>
      <c r="J6712" s="2"/>
      <c r="L6712" s="9"/>
      <c r="M6712" s="2"/>
      <c r="N6712" s="9"/>
      <c r="P6712" s="3">
        <v>0</v>
      </c>
      <c r="S6712" s="9"/>
      <c r="T6712" s="2"/>
      <c r="U6712" s="9"/>
    </row>
    <row r="6713" spans="2:21" x14ac:dyDescent="0.35">
      <c r="B6713" s="9"/>
      <c r="C6713" s="2"/>
      <c r="D6713" s="2"/>
      <c r="I6713" s="9"/>
      <c r="J6713" s="2"/>
      <c r="L6713" s="9"/>
      <c r="M6713" s="2"/>
      <c r="N6713" s="9"/>
      <c r="P6713" s="3">
        <v>0</v>
      </c>
      <c r="S6713" s="9"/>
      <c r="T6713" s="2"/>
      <c r="U6713" s="9"/>
    </row>
    <row r="6714" spans="2:21" x14ac:dyDescent="0.35">
      <c r="B6714" s="9"/>
      <c r="C6714" s="2"/>
      <c r="D6714" s="2"/>
      <c r="I6714" s="9"/>
      <c r="J6714" s="2"/>
      <c r="L6714" s="9"/>
      <c r="M6714" s="2"/>
      <c r="N6714" s="9"/>
      <c r="P6714" s="3">
        <v>0</v>
      </c>
      <c r="S6714" s="9"/>
      <c r="T6714" s="2"/>
      <c r="U6714" s="9"/>
    </row>
    <row r="6715" spans="2:21" x14ac:dyDescent="0.35">
      <c r="B6715" s="9"/>
      <c r="C6715" s="2"/>
      <c r="D6715" s="2"/>
      <c r="I6715" s="9"/>
      <c r="J6715" s="2"/>
      <c r="L6715" s="9"/>
      <c r="M6715" s="2"/>
      <c r="N6715" s="9"/>
      <c r="P6715" s="3">
        <v>0</v>
      </c>
      <c r="S6715" s="9"/>
      <c r="T6715" s="2"/>
      <c r="U6715" s="9"/>
    </row>
    <row r="6716" spans="2:21" x14ac:dyDescent="0.35">
      <c r="B6716" s="9"/>
      <c r="C6716" s="2"/>
      <c r="D6716" s="2"/>
      <c r="I6716" s="9"/>
      <c r="J6716" s="2"/>
      <c r="L6716" s="9"/>
      <c r="M6716" s="2"/>
      <c r="N6716" s="9"/>
      <c r="P6716" s="3">
        <v>0</v>
      </c>
      <c r="S6716" s="9"/>
      <c r="T6716" s="2"/>
      <c r="U6716" s="9"/>
    </row>
    <row r="6717" spans="2:21" x14ac:dyDescent="0.35">
      <c r="B6717" s="9"/>
      <c r="C6717" s="2"/>
      <c r="D6717" s="2"/>
      <c r="I6717" s="9"/>
      <c r="J6717" s="2"/>
      <c r="L6717" s="9"/>
      <c r="M6717" s="2"/>
      <c r="N6717" s="9"/>
      <c r="P6717" s="3">
        <v>0</v>
      </c>
      <c r="S6717" s="9"/>
      <c r="T6717" s="2"/>
      <c r="U6717" s="9"/>
    </row>
    <row r="6718" spans="2:21" x14ac:dyDescent="0.35">
      <c r="B6718" s="9"/>
      <c r="C6718" s="2"/>
      <c r="D6718" s="2"/>
      <c r="I6718" s="9"/>
      <c r="J6718" s="2"/>
      <c r="L6718" s="9"/>
      <c r="M6718" s="2"/>
      <c r="N6718" s="9"/>
      <c r="P6718" s="3">
        <v>0</v>
      </c>
      <c r="S6718" s="9"/>
      <c r="T6718" s="2"/>
      <c r="U6718" s="9"/>
    </row>
    <row r="6719" spans="2:21" x14ac:dyDescent="0.35">
      <c r="B6719" s="9"/>
      <c r="C6719" s="2"/>
      <c r="D6719" s="2"/>
      <c r="I6719" s="9"/>
      <c r="J6719" s="2"/>
      <c r="L6719" s="9"/>
      <c r="M6719" s="2"/>
      <c r="N6719" s="9"/>
      <c r="P6719" s="3">
        <v>0</v>
      </c>
      <c r="S6719" s="9"/>
      <c r="T6719" s="2"/>
      <c r="U6719" s="9"/>
    </row>
    <row r="6720" spans="2:21" x14ac:dyDescent="0.35">
      <c r="B6720" s="9"/>
      <c r="C6720" s="2"/>
      <c r="D6720" s="2"/>
      <c r="I6720" s="9"/>
      <c r="J6720" s="2"/>
      <c r="L6720" s="9"/>
      <c r="M6720" s="2"/>
      <c r="N6720" s="9"/>
      <c r="P6720" s="3">
        <v>0</v>
      </c>
      <c r="S6720" s="9"/>
      <c r="T6720" s="2"/>
      <c r="U6720" s="9"/>
    </row>
    <row r="6721" spans="2:21" x14ac:dyDescent="0.35">
      <c r="B6721" s="9"/>
      <c r="C6721" s="2"/>
      <c r="D6721" s="2"/>
      <c r="I6721" s="9"/>
      <c r="J6721" s="2"/>
      <c r="L6721" s="9"/>
      <c r="M6721" s="2"/>
      <c r="N6721" s="9"/>
      <c r="P6721" s="3">
        <v>0</v>
      </c>
      <c r="S6721" s="9"/>
      <c r="T6721" s="2"/>
      <c r="U6721" s="9"/>
    </row>
    <row r="6722" spans="2:21" x14ac:dyDescent="0.35">
      <c r="B6722" s="9"/>
      <c r="C6722" s="2"/>
      <c r="D6722" s="2"/>
      <c r="I6722" s="9"/>
      <c r="J6722" s="2"/>
      <c r="L6722" s="9"/>
      <c r="M6722" s="2"/>
      <c r="N6722" s="9"/>
      <c r="P6722" s="3">
        <v>0</v>
      </c>
      <c r="S6722" s="9"/>
      <c r="T6722" s="2"/>
      <c r="U6722" s="9"/>
    </row>
    <row r="6723" spans="2:21" x14ac:dyDescent="0.35">
      <c r="B6723" s="9"/>
      <c r="C6723" s="2"/>
      <c r="D6723" s="2"/>
      <c r="I6723" s="9"/>
      <c r="J6723" s="2"/>
      <c r="L6723" s="9"/>
      <c r="M6723" s="2"/>
      <c r="N6723" s="9"/>
      <c r="P6723" s="3">
        <v>0</v>
      </c>
      <c r="S6723" s="9"/>
      <c r="T6723" s="2"/>
      <c r="U6723" s="9"/>
    </row>
    <row r="6724" spans="2:21" x14ac:dyDescent="0.35">
      <c r="B6724" s="9"/>
      <c r="C6724" s="2"/>
      <c r="D6724" s="2"/>
      <c r="I6724" s="9"/>
      <c r="J6724" s="2"/>
      <c r="L6724" s="9"/>
      <c r="M6724" s="2"/>
      <c r="N6724" s="9"/>
      <c r="P6724" s="3">
        <v>0</v>
      </c>
      <c r="S6724" s="9"/>
      <c r="T6724" s="2"/>
      <c r="U6724" s="9"/>
    </row>
    <row r="6725" spans="2:21" x14ac:dyDescent="0.35">
      <c r="B6725" s="9"/>
      <c r="C6725" s="2"/>
      <c r="D6725" s="2"/>
      <c r="I6725" s="9"/>
      <c r="J6725" s="2"/>
      <c r="L6725" s="9"/>
      <c r="M6725" s="2"/>
      <c r="N6725" s="9"/>
      <c r="P6725" s="3">
        <v>0</v>
      </c>
      <c r="S6725" s="9"/>
      <c r="T6725" s="2"/>
      <c r="U6725" s="9"/>
    </row>
    <row r="6726" spans="2:21" x14ac:dyDescent="0.35">
      <c r="B6726" s="9"/>
      <c r="C6726" s="2"/>
      <c r="D6726" s="2"/>
      <c r="I6726" s="9"/>
      <c r="J6726" s="2"/>
      <c r="L6726" s="9"/>
      <c r="M6726" s="2"/>
      <c r="N6726" s="9"/>
      <c r="P6726" s="3">
        <v>0</v>
      </c>
      <c r="S6726" s="9"/>
      <c r="T6726" s="2"/>
      <c r="U6726" s="9"/>
    </row>
    <row r="6727" spans="2:21" x14ac:dyDescent="0.35">
      <c r="B6727" s="9"/>
      <c r="C6727" s="2"/>
      <c r="D6727" s="2"/>
      <c r="I6727" s="9"/>
      <c r="J6727" s="2"/>
      <c r="L6727" s="9"/>
      <c r="M6727" s="2"/>
      <c r="N6727" s="9"/>
      <c r="P6727" s="3">
        <v>0</v>
      </c>
      <c r="S6727" s="9"/>
      <c r="T6727" s="2"/>
      <c r="U6727" s="9"/>
    </row>
    <row r="6728" spans="2:21" x14ac:dyDescent="0.35">
      <c r="B6728" s="9"/>
      <c r="C6728" s="2"/>
      <c r="D6728" s="2"/>
      <c r="I6728" s="9"/>
      <c r="J6728" s="2"/>
      <c r="L6728" s="9"/>
      <c r="M6728" s="2"/>
      <c r="N6728" s="9"/>
      <c r="P6728" s="3">
        <v>0</v>
      </c>
      <c r="S6728" s="9"/>
      <c r="T6728" s="2"/>
      <c r="U6728" s="9"/>
    </row>
    <row r="6729" spans="2:21" x14ac:dyDescent="0.35">
      <c r="B6729" s="9"/>
      <c r="C6729" s="2"/>
      <c r="D6729" s="2"/>
      <c r="I6729" s="9"/>
      <c r="J6729" s="2"/>
      <c r="L6729" s="9"/>
      <c r="M6729" s="2"/>
      <c r="N6729" s="9"/>
      <c r="P6729" s="3">
        <v>0</v>
      </c>
      <c r="S6729" s="9"/>
      <c r="T6729" s="2"/>
      <c r="U6729" s="9"/>
    </row>
    <row r="6730" spans="2:21" x14ac:dyDescent="0.35">
      <c r="B6730" s="9"/>
      <c r="C6730" s="2"/>
      <c r="D6730" s="2"/>
      <c r="I6730" s="9"/>
      <c r="J6730" s="2"/>
      <c r="L6730" s="9"/>
      <c r="M6730" s="2"/>
      <c r="N6730" s="9"/>
      <c r="P6730" s="3">
        <v>0</v>
      </c>
      <c r="S6730" s="9"/>
      <c r="T6730" s="2"/>
      <c r="U6730" s="9"/>
    </row>
    <row r="6731" spans="2:21" x14ac:dyDescent="0.35">
      <c r="B6731" s="9"/>
      <c r="C6731" s="2"/>
      <c r="D6731" s="2"/>
      <c r="I6731" s="9"/>
      <c r="J6731" s="2"/>
      <c r="L6731" s="9"/>
      <c r="M6731" s="2"/>
      <c r="N6731" s="9"/>
      <c r="P6731" s="3">
        <v>0</v>
      </c>
      <c r="S6731" s="9"/>
      <c r="T6731" s="2"/>
      <c r="U6731" s="9"/>
    </row>
    <row r="6732" spans="2:21" x14ac:dyDescent="0.35">
      <c r="B6732" s="9"/>
      <c r="C6732" s="2"/>
      <c r="D6732" s="2"/>
      <c r="I6732" s="9"/>
      <c r="J6732" s="2"/>
      <c r="L6732" s="9"/>
      <c r="M6732" s="2"/>
      <c r="N6732" s="9"/>
      <c r="P6732" s="3">
        <v>0</v>
      </c>
      <c r="S6732" s="9"/>
      <c r="T6732" s="2"/>
      <c r="U6732" s="9"/>
    </row>
    <row r="6733" spans="2:21" x14ac:dyDescent="0.35">
      <c r="B6733" s="9"/>
      <c r="C6733" s="2"/>
      <c r="D6733" s="2"/>
      <c r="I6733" s="9"/>
      <c r="J6733" s="2"/>
      <c r="L6733" s="9"/>
      <c r="M6733" s="2"/>
      <c r="N6733" s="9"/>
      <c r="P6733" s="3">
        <v>0</v>
      </c>
      <c r="S6733" s="9"/>
      <c r="T6733" s="2"/>
      <c r="U6733" s="9"/>
    </row>
    <row r="6734" spans="2:21" x14ac:dyDescent="0.35">
      <c r="B6734" s="9"/>
      <c r="C6734" s="2"/>
      <c r="D6734" s="2"/>
      <c r="I6734" s="9"/>
      <c r="J6734" s="2"/>
      <c r="L6734" s="9"/>
      <c r="M6734" s="2"/>
      <c r="N6734" s="9"/>
      <c r="P6734" s="3">
        <v>0</v>
      </c>
      <c r="S6734" s="9"/>
      <c r="T6734" s="2"/>
      <c r="U6734" s="9"/>
    </row>
    <row r="6735" spans="2:21" x14ac:dyDescent="0.35">
      <c r="B6735" s="9"/>
      <c r="C6735" s="2"/>
      <c r="D6735" s="2"/>
      <c r="I6735" s="9"/>
      <c r="J6735" s="2"/>
      <c r="L6735" s="9"/>
      <c r="M6735" s="2"/>
      <c r="N6735" s="9"/>
      <c r="P6735" s="3">
        <v>0</v>
      </c>
      <c r="S6735" s="9"/>
      <c r="T6735" s="2"/>
      <c r="U6735" s="9"/>
    </row>
    <row r="6736" spans="2:21" x14ac:dyDescent="0.35">
      <c r="B6736" s="9"/>
      <c r="C6736" s="2"/>
      <c r="D6736" s="2"/>
      <c r="I6736" s="9"/>
      <c r="J6736" s="2"/>
      <c r="L6736" s="9"/>
      <c r="M6736" s="2"/>
      <c r="N6736" s="9"/>
      <c r="P6736" s="3">
        <v>0</v>
      </c>
      <c r="S6736" s="9"/>
      <c r="T6736" s="2"/>
      <c r="U6736" s="9"/>
    </row>
    <row r="6737" spans="2:21" x14ac:dyDescent="0.35">
      <c r="B6737" s="9"/>
      <c r="C6737" s="2"/>
      <c r="D6737" s="2"/>
      <c r="I6737" s="9"/>
      <c r="J6737" s="2"/>
      <c r="L6737" s="9"/>
      <c r="M6737" s="2"/>
      <c r="N6737" s="9"/>
      <c r="P6737" s="3">
        <v>0</v>
      </c>
      <c r="S6737" s="9"/>
      <c r="T6737" s="2"/>
      <c r="U6737" s="9"/>
    </row>
    <row r="6738" spans="2:21" x14ac:dyDescent="0.35">
      <c r="B6738" s="9"/>
      <c r="C6738" s="2"/>
      <c r="D6738" s="2"/>
      <c r="I6738" s="9"/>
      <c r="J6738" s="2"/>
      <c r="L6738" s="9"/>
      <c r="M6738" s="2"/>
      <c r="N6738" s="9"/>
      <c r="P6738" s="3">
        <v>0</v>
      </c>
      <c r="S6738" s="9"/>
      <c r="T6738" s="2"/>
      <c r="U6738" s="9"/>
    </row>
    <row r="6739" spans="2:21" x14ac:dyDescent="0.35">
      <c r="B6739" s="9"/>
      <c r="C6739" s="2"/>
      <c r="D6739" s="2"/>
      <c r="I6739" s="9"/>
      <c r="J6739" s="2"/>
      <c r="L6739" s="9"/>
      <c r="M6739" s="2"/>
      <c r="N6739" s="9"/>
      <c r="P6739" s="3">
        <v>0</v>
      </c>
      <c r="S6739" s="9"/>
      <c r="T6739" s="2"/>
      <c r="U6739" s="9"/>
    </row>
    <row r="6740" spans="2:21" x14ac:dyDescent="0.35">
      <c r="B6740" s="9"/>
      <c r="C6740" s="2"/>
      <c r="D6740" s="2"/>
      <c r="I6740" s="9"/>
      <c r="J6740" s="2"/>
      <c r="L6740" s="9"/>
      <c r="M6740" s="2"/>
      <c r="N6740" s="9"/>
      <c r="P6740" s="3">
        <v>0</v>
      </c>
      <c r="S6740" s="9"/>
      <c r="T6740" s="2"/>
      <c r="U6740" s="9"/>
    </row>
    <row r="6741" spans="2:21" x14ac:dyDescent="0.35">
      <c r="B6741" s="9"/>
      <c r="C6741" s="2"/>
      <c r="D6741" s="2"/>
      <c r="I6741" s="9"/>
      <c r="J6741" s="2"/>
      <c r="L6741" s="9"/>
      <c r="M6741" s="2"/>
      <c r="N6741" s="9"/>
      <c r="P6741" s="3">
        <v>0</v>
      </c>
      <c r="S6741" s="9"/>
      <c r="T6741" s="2"/>
      <c r="U6741" s="9"/>
    </row>
    <row r="6742" spans="2:21" x14ac:dyDescent="0.35">
      <c r="B6742" s="9"/>
      <c r="C6742" s="2"/>
      <c r="D6742" s="2"/>
      <c r="I6742" s="9"/>
      <c r="J6742" s="2"/>
      <c r="L6742" s="9"/>
      <c r="M6742" s="2"/>
      <c r="N6742" s="9"/>
      <c r="P6742" s="3">
        <v>0</v>
      </c>
      <c r="S6742" s="9"/>
      <c r="T6742" s="2"/>
      <c r="U6742" s="9"/>
    </row>
    <row r="6743" spans="2:21" x14ac:dyDescent="0.35">
      <c r="B6743" s="9"/>
      <c r="C6743" s="2"/>
      <c r="D6743" s="2"/>
      <c r="I6743" s="9"/>
      <c r="J6743" s="2"/>
      <c r="L6743" s="9"/>
      <c r="M6743" s="2"/>
      <c r="N6743" s="9"/>
      <c r="P6743" s="3">
        <v>0</v>
      </c>
      <c r="S6743" s="9"/>
      <c r="T6743" s="2"/>
      <c r="U6743" s="9"/>
    </row>
    <row r="6744" spans="2:21" x14ac:dyDescent="0.35">
      <c r="B6744" s="9"/>
      <c r="C6744" s="2"/>
      <c r="D6744" s="2"/>
      <c r="I6744" s="9"/>
      <c r="J6744" s="2"/>
      <c r="L6744" s="9"/>
      <c r="M6744" s="2"/>
      <c r="N6744" s="9"/>
      <c r="P6744" s="3">
        <v>-317.29609697000001</v>
      </c>
      <c r="S6744" s="9"/>
      <c r="T6744" s="2"/>
      <c r="U6744" s="9"/>
    </row>
    <row r="6745" spans="2:21" x14ac:dyDescent="0.35">
      <c r="B6745" s="9"/>
      <c r="C6745" s="2"/>
      <c r="D6745" s="2"/>
      <c r="I6745" s="9"/>
      <c r="J6745" s="2"/>
      <c r="L6745" s="9"/>
      <c r="M6745" s="2"/>
      <c r="N6745" s="9"/>
      <c r="P6745" s="3">
        <v>-230.22412772999999</v>
      </c>
      <c r="S6745" s="9"/>
      <c r="T6745" s="2"/>
      <c r="U6745" s="9"/>
    </row>
    <row r="6746" spans="2:21" x14ac:dyDescent="0.35">
      <c r="B6746" s="9"/>
      <c r="C6746" s="2"/>
      <c r="D6746" s="2"/>
      <c r="I6746" s="9"/>
      <c r="J6746" s="2"/>
      <c r="L6746" s="9"/>
      <c r="M6746" s="2"/>
      <c r="N6746" s="9"/>
      <c r="P6746" s="3">
        <v>-205.32178823000001</v>
      </c>
      <c r="S6746" s="9"/>
      <c r="T6746" s="2"/>
      <c r="U6746" s="9"/>
    </row>
    <row r="6747" spans="2:21" x14ac:dyDescent="0.35">
      <c r="B6747" s="9"/>
      <c r="C6747" s="2"/>
      <c r="D6747" s="2"/>
      <c r="I6747" s="9"/>
      <c r="J6747" s="2"/>
      <c r="L6747" s="9"/>
      <c r="M6747" s="2"/>
      <c r="N6747" s="9"/>
      <c r="P6747" s="3">
        <v>-112.3247186</v>
      </c>
      <c r="S6747" s="9"/>
      <c r="T6747" s="2"/>
      <c r="U6747" s="9"/>
    </row>
    <row r="6748" spans="2:21" x14ac:dyDescent="0.35">
      <c r="B6748" s="9"/>
      <c r="C6748" s="2"/>
      <c r="D6748" s="2"/>
      <c r="I6748" s="9"/>
      <c r="J6748" s="2"/>
      <c r="L6748" s="9"/>
      <c r="M6748" s="2"/>
      <c r="N6748" s="9"/>
      <c r="P6748" s="3">
        <v>-39.147958860000003</v>
      </c>
      <c r="S6748" s="9"/>
      <c r="T6748" s="2"/>
      <c r="U6748" s="9"/>
    </row>
    <row r="6749" spans="2:21" x14ac:dyDescent="0.35">
      <c r="B6749" s="9"/>
      <c r="C6749" s="2"/>
      <c r="D6749" s="2"/>
      <c r="I6749" s="9"/>
      <c r="J6749" s="2"/>
      <c r="L6749" s="9"/>
      <c r="M6749" s="2"/>
      <c r="N6749" s="9"/>
      <c r="P6749" s="3">
        <v>25.609721140000001</v>
      </c>
      <c r="S6749" s="9"/>
      <c r="T6749" s="2"/>
      <c r="U6749" s="9"/>
    </row>
    <row r="6750" spans="2:21" x14ac:dyDescent="0.35">
      <c r="B6750" s="9"/>
      <c r="C6750" s="2"/>
      <c r="D6750" s="2"/>
      <c r="I6750" s="9"/>
      <c r="J6750" s="2"/>
      <c r="L6750" s="9"/>
      <c r="M6750" s="2"/>
      <c r="N6750" s="9"/>
      <c r="P6750" s="3">
        <v>29.61341114</v>
      </c>
      <c r="S6750" s="9"/>
      <c r="T6750" s="2"/>
      <c r="U6750" s="9"/>
    </row>
    <row r="6751" spans="2:21" x14ac:dyDescent="0.35">
      <c r="B6751" s="9"/>
      <c r="C6751" s="2"/>
      <c r="D6751" s="2"/>
      <c r="I6751" s="9"/>
      <c r="J6751" s="2"/>
      <c r="L6751" s="9"/>
      <c r="M6751" s="2"/>
      <c r="N6751" s="9"/>
      <c r="P6751" s="3">
        <v>35.588061140000001</v>
      </c>
      <c r="S6751" s="9"/>
      <c r="T6751" s="2"/>
      <c r="U6751" s="9"/>
    </row>
    <row r="6752" spans="2:21" x14ac:dyDescent="0.35">
      <c r="B6752" s="9"/>
      <c r="C6752" s="2"/>
      <c r="D6752" s="2"/>
      <c r="I6752" s="9"/>
      <c r="J6752" s="2"/>
      <c r="L6752" s="9"/>
      <c r="M6752" s="2"/>
      <c r="N6752" s="9"/>
      <c r="P6752" s="3">
        <v>-21.37878886</v>
      </c>
      <c r="S6752" s="9"/>
      <c r="T6752" s="2"/>
      <c r="U6752" s="9"/>
    </row>
    <row r="6753" spans="2:21" x14ac:dyDescent="0.35">
      <c r="B6753" s="9"/>
      <c r="C6753" s="2"/>
      <c r="D6753" s="2"/>
      <c r="I6753" s="9"/>
      <c r="J6753" s="2"/>
      <c r="L6753" s="9"/>
      <c r="M6753" s="2"/>
      <c r="N6753" s="9"/>
      <c r="P6753" s="3">
        <v>-80.874658859999997</v>
      </c>
      <c r="S6753" s="9"/>
      <c r="T6753" s="2"/>
      <c r="U6753" s="9"/>
    </row>
    <row r="6754" spans="2:21" x14ac:dyDescent="0.35">
      <c r="B6754" s="9"/>
      <c r="C6754" s="2"/>
      <c r="D6754" s="2"/>
      <c r="I6754" s="9"/>
      <c r="J6754" s="2"/>
      <c r="L6754" s="9"/>
      <c r="M6754" s="2"/>
      <c r="N6754" s="9"/>
      <c r="P6754" s="3">
        <v>-174.01671886</v>
      </c>
      <c r="S6754" s="9"/>
      <c r="T6754" s="2"/>
      <c r="U6754" s="9"/>
    </row>
    <row r="6755" spans="2:21" x14ac:dyDescent="0.35">
      <c r="B6755" s="9"/>
      <c r="C6755" s="2"/>
      <c r="D6755" s="2"/>
      <c r="I6755" s="9"/>
      <c r="J6755" s="2"/>
      <c r="L6755" s="9"/>
      <c r="M6755" s="2"/>
      <c r="N6755" s="9"/>
      <c r="P6755" s="3">
        <v>-229.27753238</v>
      </c>
      <c r="S6755" s="9"/>
      <c r="T6755" s="2"/>
      <c r="U6755" s="9"/>
    </row>
    <row r="6756" spans="2:21" x14ac:dyDescent="0.35">
      <c r="B6756" s="9"/>
      <c r="C6756" s="2"/>
      <c r="D6756" s="2"/>
      <c r="I6756" s="9"/>
      <c r="J6756" s="2"/>
      <c r="L6756" s="9"/>
      <c r="M6756" s="2"/>
      <c r="N6756" s="9"/>
      <c r="P6756" s="3">
        <v>-303.24755590000001</v>
      </c>
      <c r="S6756" s="9"/>
      <c r="T6756" s="2"/>
      <c r="U6756" s="9"/>
    </row>
    <row r="6757" spans="2:21" x14ac:dyDescent="0.35">
      <c r="B6757" s="9"/>
      <c r="C6757" s="2"/>
      <c r="D6757" s="2"/>
      <c r="I6757" s="9"/>
      <c r="J6757" s="2"/>
      <c r="L6757" s="9"/>
      <c r="M6757" s="2"/>
      <c r="N6757" s="9"/>
      <c r="P6757" s="3">
        <v>-447.50716345000001</v>
      </c>
      <c r="S6757" s="9"/>
      <c r="T6757" s="2"/>
      <c r="U6757" s="9"/>
    </row>
    <row r="6758" spans="2:21" x14ac:dyDescent="0.35">
      <c r="B6758" s="9"/>
      <c r="C6758" s="2"/>
      <c r="D6758" s="2"/>
      <c r="I6758" s="9"/>
      <c r="J6758" s="2"/>
      <c r="L6758" s="9"/>
      <c r="M6758" s="2"/>
      <c r="N6758" s="9"/>
      <c r="P6758" s="3">
        <v>-882.26716345</v>
      </c>
      <c r="S6758" s="9"/>
      <c r="T6758" s="2"/>
      <c r="U6758" s="9"/>
    </row>
    <row r="6759" spans="2:21" x14ac:dyDescent="0.35">
      <c r="B6759" s="9"/>
      <c r="C6759" s="2"/>
      <c r="D6759" s="2"/>
      <c r="I6759" s="9"/>
      <c r="J6759" s="2"/>
      <c r="L6759" s="9"/>
      <c r="M6759" s="2"/>
      <c r="N6759" s="9"/>
      <c r="P6759" s="3">
        <v>-1317.02716345</v>
      </c>
      <c r="S6759" s="9"/>
      <c r="T6759" s="2"/>
      <c r="U6759" s="9"/>
    </row>
    <row r="6760" spans="2:21" x14ac:dyDescent="0.35">
      <c r="B6760" s="9"/>
      <c r="C6760" s="2"/>
      <c r="D6760" s="2"/>
      <c r="I6760" s="9"/>
      <c r="J6760" s="2"/>
      <c r="L6760" s="9"/>
      <c r="M6760" s="2"/>
      <c r="N6760" s="9"/>
      <c r="P6760" s="3">
        <v>-882.26716345</v>
      </c>
      <c r="S6760" s="9"/>
      <c r="T6760" s="2"/>
      <c r="U6760" s="9"/>
    </row>
    <row r="6761" spans="2:21" x14ac:dyDescent="0.35">
      <c r="B6761" s="9"/>
      <c r="C6761" s="2"/>
      <c r="D6761" s="2"/>
      <c r="I6761" s="9"/>
      <c r="J6761" s="2"/>
      <c r="L6761" s="9"/>
      <c r="M6761" s="2"/>
      <c r="N6761" s="9"/>
      <c r="P6761" s="3">
        <v>-447.50716345000001</v>
      </c>
      <c r="S6761" s="9"/>
      <c r="T6761" s="2"/>
      <c r="U6761" s="9"/>
    </row>
    <row r="6762" spans="2:21" x14ac:dyDescent="0.35">
      <c r="B6762" s="9"/>
      <c r="C6762" s="2"/>
      <c r="D6762" s="2"/>
      <c r="I6762" s="9"/>
      <c r="J6762" s="2"/>
      <c r="L6762" s="9"/>
      <c r="M6762" s="2"/>
      <c r="N6762" s="9"/>
      <c r="P6762" s="3">
        <v>-12.74716345</v>
      </c>
      <c r="S6762" s="9"/>
      <c r="T6762" s="2"/>
      <c r="U6762" s="9"/>
    </row>
    <row r="6763" spans="2:21" x14ac:dyDescent="0.35">
      <c r="B6763" s="9"/>
      <c r="C6763" s="2"/>
      <c r="D6763" s="2"/>
      <c r="I6763" s="9"/>
      <c r="J6763" s="2"/>
      <c r="L6763" s="9"/>
      <c r="M6763" s="2"/>
      <c r="N6763" s="9"/>
      <c r="P6763" s="3">
        <v>0</v>
      </c>
      <c r="S6763" s="9"/>
      <c r="T6763" s="2"/>
      <c r="U6763" s="9"/>
    </row>
    <row r="6764" spans="2:21" x14ac:dyDescent="0.35">
      <c r="B6764" s="9"/>
      <c r="C6764" s="2"/>
      <c r="D6764" s="2"/>
      <c r="I6764" s="9"/>
      <c r="J6764" s="2"/>
      <c r="L6764" s="9"/>
      <c r="M6764" s="2"/>
      <c r="N6764" s="9"/>
      <c r="P6764" s="3">
        <v>0</v>
      </c>
      <c r="S6764" s="9"/>
      <c r="T6764" s="2"/>
      <c r="U6764" s="9"/>
    </row>
    <row r="6765" spans="2:21" x14ac:dyDescent="0.35">
      <c r="B6765" s="9"/>
      <c r="C6765" s="2"/>
      <c r="D6765" s="2"/>
      <c r="I6765" s="9"/>
      <c r="J6765" s="2"/>
      <c r="L6765" s="9"/>
      <c r="M6765" s="2"/>
      <c r="N6765" s="9"/>
      <c r="P6765" s="3">
        <v>0</v>
      </c>
      <c r="S6765" s="9"/>
      <c r="T6765" s="2"/>
      <c r="U6765" s="9"/>
    </row>
    <row r="6766" spans="2:21" x14ac:dyDescent="0.35">
      <c r="B6766" s="9"/>
      <c r="C6766" s="2"/>
      <c r="D6766" s="2"/>
      <c r="I6766" s="9"/>
      <c r="J6766" s="2"/>
      <c r="L6766" s="9"/>
      <c r="M6766" s="2"/>
      <c r="N6766" s="9"/>
      <c r="P6766" s="3">
        <v>0</v>
      </c>
      <c r="S6766" s="9"/>
      <c r="T6766" s="2"/>
      <c r="U6766" s="9"/>
    </row>
    <row r="6767" spans="2:21" x14ac:dyDescent="0.35">
      <c r="B6767" s="9"/>
      <c r="C6767" s="2"/>
      <c r="D6767" s="2"/>
      <c r="I6767" s="9"/>
      <c r="J6767" s="2"/>
      <c r="L6767" s="9"/>
      <c r="M6767" s="2"/>
      <c r="N6767" s="9"/>
      <c r="P6767" s="3">
        <v>0</v>
      </c>
      <c r="S6767" s="9"/>
      <c r="T6767" s="2"/>
      <c r="U6767" s="9"/>
    </row>
    <row r="6768" spans="2:21" x14ac:dyDescent="0.35">
      <c r="B6768" s="9"/>
      <c r="C6768" s="2"/>
      <c r="D6768" s="2"/>
      <c r="I6768" s="9"/>
      <c r="J6768" s="2"/>
      <c r="L6768" s="9"/>
      <c r="M6768" s="2"/>
      <c r="N6768" s="9"/>
      <c r="P6768" s="3">
        <v>0</v>
      </c>
      <c r="S6768" s="9"/>
      <c r="T6768" s="2"/>
      <c r="U6768" s="9"/>
    </row>
    <row r="6769" spans="2:21" x14ac:dyDescent="0.35">
      <c r="B6769" s="9"/>
      <c r="C6769" s="2"/>
      <c r="D6769" s="2"/>
      <c r="I6769" s="9"/>
      <c r="J6769" s="2"/>
      <c r="L6769" s="9"/>
      <c r="M6769" s="2"/>
      <c r="N6769" s="9"/>
      <c r="P6769" s="3">
        <v>0</v>
      </c>
      <c r="S6769" s="9"/>
      <c r="T6769" s="2"/>
      <c r="U6769" s="9"/>
    </row>
    <row r="6770" spans="2:21" x14ac:dyDescent="0.35">
      <c r="B6770" s="9"/>
      <c r="C6770" s="2"/>
      <c r="D6770" s="2"/>
      <c r="I6770" s="9"/>
      <c r="J6770" s="2"/>
      <c r="L6770" s="9"/>
      <c r="M6770" s="2"/>
      <c r="N6770" s="9"/>
      <c r="P6770" s="3">
        <v>0</v>
      </c>
      <c r="S6770" s="9"/>
      <c r="T6770" s="2"/>
      <c r="U6770" s="9"/>
    </row>
    <row r="6771" spans="2:21" x14ac:dyDescent="0.35">
      <c r="B6771" s="9"/>
      <c r="C6771" s="2"/>
      <c r="D6771" s="2"/>
      <c r="I6771" s="9"/>
      <c r="J6771" s="2"/>
      <c r="L6771" s="9"/>
      <c r="M6771" s="2"/>
      <c r="N6771" s="9"/>
      <c r="P6771" s="3">
        <v>0</v>
      </c>
      <c r="S6771" s="9"/>
      <c r="T6771" s="2"/>
      <c r="U6771" s="9"/>
    </row>
    <row r="6772" spans="2:21" x14ac:dyDescent="0.35">
      <c r="B6772" s="9"/>
      <c r="C6772" s="2"/>
      <c r="D6772" s="2"/>
      <c r="I6772" s="9"/>
      <c r="J6772" s="2"/>
      <c r="L6772" s="9"/>
      <c r="M6772" s="2"/>
      <c r="N6772" s="9"/>
      <c r="P6772" s="3">
        <v>0</v>
      </c>
      <c r="S6772" s="9"/>
      <c r="T6772" s="2"/>
      <c r="U6772" s="9"/>
    </row>
    <row r="6773" spans="2:21" x14ac:dyDescent="0.35">
      <c r="B6773" s="9"/>
      <c r="C6773" s="2"/>
      <c r="D6773" s="2"/>
      <c r="I6773" s="9"/>
      <c r="J6773" s="2"/>
      <c r="L6773" s="9"/>
      <c r="M6773" s="2"/>
      <c r="N6773" s="9"/>
      <c r="P6773" s="3">
        <v>0</v>
      </c>
      <c r="S6773" s="9"/>
      <c r="T6773" s="2"/>
      <c r="U6773" s="9"/>
    </row>
    <row r="6774" spans="2:21" x14ac:dyDescent="0.35">
      <c r="B6774" s="9"/>
      <c r="C6774" s="2"/>
      <c r="D6774" s="2"/>
      <c r="I6774" s="9"/>
      <c r="J6774" s="2"/>
      <c r="L6774" s="9"/>
      <c r="M6774" s="2"/>
      <c r="N6774" s="9"/>
      <c r="P6774" s="3">
        <v>0</v>
      </c>
      <c r="S6774" s="9"/>
      <c r="T6774" s="2"/>
      <c r="U6774" s="9"/>
    </row>
    <row r="6775" spans="2:21" x14ac:dyDescent="0.35">
      <c r="B6775" s="9"/>
      <c r="C6775" s="2"/>
      <c r="D6775" s="2"/>
      <c r="I6775" s="9"/>
      <c r="J6775" s="2"/>
      <c r="L6775" s="9"/>
      <c r="M6775" s="2"/>
      <c r="N6775" s="9"/>
      <c r="P6775" s="3">
        <v>0</v>
      </c>
      <c r="S6775" s="9"/>
      <c r="T6775" s="2"/>
      <c r="U6775" s="9"/>
    </row>
    <row r="6776" spans="2:21" x14ac:dyDescent="0.35">
      <c r="B6776" s="9"/>
      <c r="C6776" s="2"/>
      <c r="D6776" s="2"/>
      <c r="I6776" s="9"/>
      <c r="J6776" s="2"/>
      <c r="L6776" s="9"/>
      <c r="M6776" s="2"/>
      <c r="N6776" s="9"/>
      <c r="P6776" s="3">
        <v>0</v>
      </c>
      <c r="S6776" s="9"/>
      <c r="T6776" s="2"/>
      <c r="U6776" s="9"/>
    </row>
    <row r="6777" spans="2:21" x14ac:dyDescent="0.35">
      <c r="B6777" s="9"/>
      <c r="C6777" s="2"/>
      <c r="D6777" s="2"/>
      <c r="I6777" s="9"/>
      <c r="J6777" s="2"/>
      <c r="L6777" s="9"/>
      <c r="M6777" s="2"/>
      <c r="N6777" s="9"/>
      <c r="P6777" s="3">
        <v>0</v>
      </c>
      <c r="S6777" s="9"/>
      <c r="T6777" s="2"/>
      <c r="U6777" s="9"/>
    </row>
    <row r="6778" spans="2:21" x14ac:dyDescent="0.35">
      <c r="B6778" s="9"/>
      <c r="C6778" s="2"/>
      <c r="D6778" s="2"/>
      <c r="I6778" s="9"/>
      <c r="J6778" s="2"/>
      <c r="L6778" s="9"/>
      <c r="M6778" s="2"/>
      <c r="N6778" s="9"/>
      <c r="P6778" s="3">
        <v>0</v>
      </c>
      <c r="S6778" s="9"/>
      <c r="T6778" s="2"/>
      <c r="U6778" s="9"/>
    </row>
    <row r="6779" spans="2:21" x14ac:dyDescent="0.35">
      <c r="B6779" s="9"/>
      <c r="C6779" s="2"/>
      <c r="D6779" s="2"/>
      <c r="I6779" s="9"/>
      <c r="J6779" s="2"/>
      <c r="L6779" s="9"/>
      <c r="M6779" s="2"/>
      <c r="N6779" s="9"/>
      <c r="P6779" s="3">
        <v>0</v>
      </c>
      <c r="S6779" s="9"/>
      <c r="T6779" s="2"/>
      <c r="U6779" s="9"/>
    </row>
    <row r="6780" spans="2:21" x14ac:dyDescent="0.35">
      <c r="B6780" s="9"/>
      <c r="C6780" s="2"/>
      <c r="D6780" s="2"/>
      <c r="I6780" s="9"/>
      <c r="J6780" s="2"/>
      <c r="L6780" s="9"/>
      <c r="M6780" s="2"/>
      <c r="N6780" s="9"/>
      <c r="P6780" s="3">
        <v>0</v>
      </c>
      <c r="S6780" s="9"/>
      <c r="T6780" s="2"/>
      <c r="U6780" s="9"/>
    </row>
    <row r="6781" spans="2:21" x14ac:dyDescent="0.35">
      <c r="B6781" s="9"/>
      <c r="C6781" s="2"/>
      <c r="D6781" s="2"/>
      <c r="I6781" s="9"/>
      <c r="J6781" s="2"/>
      <c r="L6781" s="9"/>
      <c r="M6781" s="2"/>
      <c r="N6781" s="9"/>
      <c r="P6781" s="3">
        <v>0</v>
      </c>
      <c r="S6781" s="9"/>
      <c r="T6781" s="2"/>
      <c r="U6781" s="9"/>
    </row>
    <row r="6782" spans="2:21" x14ac:dyDescent="0.35">
      <c r="B6782" s="9"/>
      <c r="C6782" s="2"/>
      <c r="D6782" s="2"/>
      <c r="I6782" s="9"/>
      <c r="J6782" s="2"/>
      <c r="L6782" s="9"/>
      <c r="M6782" s="2"/>
      <c r="N6782" s="9"/>
      <c r="P6782" s="3">
        <v>0</v>
      </c>
      <c r="S6782" s="9"/>
      <c r="T6782" s="2"/>
      <c r="U6782" s="9"/>
    </row>
    <row r="6783" spans="2:21" x14ac:dyDescent="0.35">
      <c r="B6783" s="9"/>
      <c r="C6783" s="2"/>
      <c r="D6783" s="2"/>
      <c r="I6783" s="9"/>
      <c r="J6783" s="2"/>
      <c r="L6783" s="9"/>
      <c r="M6783" s="2"/>
      <c r="N6783" s="9"/>
      <c r="P6783" s="3">
        <v>0</v>
      </c>
      <c r="S6783" s="9"/>
      <c r="T6783" s="2"/>
      <c r="U6783" s="9"/>
    </row>
    <row r="6784" spans="2:21" x14ac:dyDescent="0.35">
      <c r="B6784" s="9"/>
      <c r="C6784" s="2"/>
      <c r="D6784" s="2"/>
      <c r="I6784" s="9"/>
      <c r="J6784" s="2"/>
      <c r="L6784" s="9"/>
      <c r="M6784" s="2"/>
      <c r="N6784" s="9"/>
      <c r="P6784" s="3">
        <v>0</v>
      </c>
      <c r="S6784" s="9"/>
      <c r="T6784" s="2"/>
      <c r="U6784" s="9"/>
    </row>
    <row r="6785" spans="2:21" x14ac:dyDescent="0.35">
      <c r="B6785" s="9"/>
      <c r="C6785" s="2"/>
      <c r="D6785" s="2"/>
      <c r="I6785" s="9"/>
      <c r="J6785" s="2"/>
      <c r="L6785" s="9"/>
      <c r="M6785" s="2"/>
      <c r="N6785" s="9"/>
      <c r="P6785" s="3">
        <v>0</v>
      </c>
      <c r="S6785" s="9"/>
      <c r="T6785" s="2"/>
      <c r="U6785" s="9"/>
    </row>
    <row r="6786" spans="2:21" x14ac:dyDescent="0.35">
      <c r="B6786" s="9"/>
      <c r="C6786" s="2"/>
      <c r="D6786" s="2"/>
      <c r="I6786" s="9"/>
      <c r="J6786" s="2"/>
      <c r="L6786" s="9"/>
      <c r="M6786" s="2"/>
      <c r="N6786" s="9"/>
      <c r="P6786" s="3">
        <v>0</v>
      </c>
      <c r="S6786" s="9"/>
      <c r="T6786" s="2"/>
      <c r="U6786" s="9"/>
    </row>
    <row r="6787" spans="2:21" x14ac:dyDescent="0.35">
      <c r="B6787" s="9"/>
      <c r="C6787" s="2"/>
      <c r="D6787" s="2"/>
      <c r="I6787" s="9"/>
      <c r="J6787" s="2"/>
      <c r="L6787" s="9"/>
      <c r="M6787" s="2"/>
      <c r="N6787" s="9"/>
      <c r="P6787" s="3">
        <v>0</v>
      </c>
      <c r="S6787" s="9"/>
      <c r="T6787" s="2"/>
      <c r="U6787" s="9"/>
    </row>
    <row r="6788" spans="2:21" x14ac:dyDescent="0.35">
      <c r="B6788" s="9"/>
      <c r="C6788" s="2"/>
      <c r="D6788" s="2"/>
      <c r="I6788" s="9"/>
      <c r="J6788" s="2"/>
      <c r="L6788" s="9"/>
      <c r="M6788" s="2"/>
      <c r="N6788" s="9"/>
      <c r="P6788" s="3">
        <v>0</v>
      </c>
      <c r="S6788" s="9"/>
      <c r="T6788" s="2"/>
      <c r="U6788" s="9"/>
    </row>
    <row r="6789" spans="2:21" x14ac:dyDescent="0.35">
      <c r="B6789" s="9"/>
      <c r="C6789" s="2"/>
      <c r="D6789" s="2"/>
      <c r="I6789" s="9"/>
      <c r="J6789" s="2"/>
      <c r="L6789" s="9"/>
      <c r="M6789" s="2"/>
      <c r="N6789" s="9"/>
      <c r="P6789" s="3">
        <v>0</v>
      </c>
      <c r="S6789" s="9"/>
      <c r="T6789" s="2"/>
      <c r="U6789" s="9"/>
    </row>
    <row r="6790" spans="2:21" x14ac:dyDescent="0.35">
      <c r="B6790" s="9"/>
      <c r="C6790" s="2"/>
      <c r="D6790" s="2"/>
      <c r="I6790" s="9"/>
      <c r="J6790" s="2"/>
      <c r="L6790" s="9"/>
      <c r="M6790" s="2"/>
      <c r="N6790" s="9"/>
      <c r="P6790" s="3">
        <v>0</v>
      </c>
      <c r="S6790" s="9"/>
      <c r="T6790" s="2"/>
      <c r="U6790" s="9"/>
    </row>
    <row r="6791" spans="2:21" x14ac:dyDescent="0.35">
      <c r="B6791" s="9"/>
      <c r="C6791" s="2"/>
      <c r="D6791" s="2"/>
      <c r="I6791" s="9"/>
      <c r="J6791" s="2"/>
      <c r="L6791" s="9"/>
      <c r="M6791" s="2"/>
      <c r="N6791" s="9"/>
      <c r="P6791" s="3">
        <v>0</v>
      </c>
      <c r="S6791" s="9"/>
      <c r="T6791" s="2"/>
      <c r="U6791" s="9"/>
    </row>
    <row r="6792" spans="2:21" x14ac:dyDescent="0.35">
      <c r="B6792" s="9"/>
      <c r="C6792" s="2"/>
      <c r="D6792" s="2"/>
      <c r="I6792" s="9"/>
      <c r="J6792" s="2"/>
      <c r="L6792" s="9"/>
      <c r="M6792" s="2"/>
      <c r="N6792" s="9"/>
      <c r="P6792" s="3">
        <v>206.53693303</v>
      </c>
      <c r="S6792" s="9"/>
      <c r="T6792" s="2"/>
      <c r="U6792" s="9"/>
    </row>
    <row r="6793" spans="2:21" x14ac:dyDescent="0.35">
      <c r="B6793" s="9"/>
      <c r="C6793" s="2"/>
      <c r="D6793" s="2"/>
      <c r="I6793" s="9"/>
      <c r="J6793" s="2"/>
      <c r="L6793" s="9"/>
      <c r="M6793" s="2"/>
      <c r="N6793" s="9"/>
      <c r="P6793" s="3">
        <v>505.22085227000002</v>
      </c>
      <c r="S6793" s="9"/>
      <c r="T6793" s="2"/>
      <c r="U6793" s="9"/>
    </row>
    <row r="6794" spans="2:21" x14ac:dyDescent="0.35">
      <c r="B6794" s="9"/>
      <c r="C6794" s="2"/>
      <c r="D6794" s="2"/>
      <c r="I6794" s="9"/>
      <c r="J6794" s="2"/>
      <c r="L6794" s="9"/>
      <c r="M6794" s="2"/>
      <c r="N6794" s="9"/>
      <c r="P6794" s="3">
        <v>571.90740176999998</v>
      </c>
      <c r="S6794" s="9"/>
      <c r="T6794" s="2"/>
      <c r="U6794" s="9"/>
    </row>
    <row r="6795" spans="2:21" x14ac:dyDescent="0.35">
      <c r="B6795" s="9"/>
      <c r="C6795" s="2"/>
      <c r="D6795" s="2"/>
      <c r="I6795" s="9"/>
      <c r="J6795" s="2"/>
      <c r="L6795" s="9"/>
      <c r="M6795" s="2"/>
      <c r="N6795" s="9"/>
      <c r="P6795" s="3">
        <v>641.44323139999995</v>
      </c>
      <c r="S6795" s="9"/>
      <c r="T6795" s="2"/>
      <c r="U6795" s="9"/>
    </row>
    <row r="6796" spans="2:21" x14ac:dyDescent="0.35">
      <c r="B6796" s="9"/>
      <c r="C6796" s="2"/>
      <c r="D6796" s="2"/>
      <c r="I6796" s="9"/>
      <c r="J6796" s="2"/>
      <c r="L6796" s="9"/>
      <c r="M6796" s="2"/>
      <c r="N6796" s="9"/>
      <c r="P6796" s="3">
        <v>682.03596114000004</v>
      </c>
      <c r="S6796" s="9"/>
      <c r="T6796" s="2"/>
      <c r="U6796" s="9"/>
    </row>
    <row r="6797" spans="2:21" x14ac:dyDescent="0.35">
      <c r="B6797" s="9"/>
      <c r="C6797" s="2"/>
      <c r="D6797" s="2"/>
      <c r="I6797" s="9"/>
      <c r="J6797" s="2"/>
      <c r="L6797" s="9"/>
      <c r="M6797" s="2"/>
      <c r="N6797" s="9"/>
      <c r="P6797" s="3">
        <v>712.41047114000003</v>
      </c>
      <c r="S6797" s="9"/>
      <c r="T6797" s="2"/>
      <c r="U6797" s="9"/>
    </row>
    <row r="6798" spans="2:21" x14ac:dyDescent="0.35">
      <c r="B6798" s="9"/>
      <c r="C6798" s="2"/>
      <c r="D6798" s="2"/>
      <c r="I6798" s="9"/>
      <c r="J6798" s="2"/>
      <c r="L6798" s="9"/>
      <c r="M6798" s="2"/>
      <c r="N6798" s="9"/>
      <c r="P6798" s="3">
        <v>716.73295113999995</v>
      </c>
      <c r="S6798" s="9"/>
      <c r="T6798" s="2"/>
      <c r="U6798" s="9"/>
    </row>
    <row r="6799" spans="2:21" x14ac:dyDescent="0.35">
      <c r="B6799" s="9"/>
      <c r="C6799" s="2"/>
      <c r="D6799" s="2"/>
      <c r="I6799" s="9"/>
      <c r="J6799" s="2"/>
      <c r="L6799" s="9"/>
      <c r="M6799" s="2"/>
      <c r="N6799" s="9"/>
      <c r="P6799" s="3">
        <v>717.20865114000003</v>
      </c>
      <c r="S6799" s="9"/>
      <c r="T6799" s="2"/>
      <c r="U6799" s="9"/>
    </row>
    <row r="6800" spans="2:21" x14ac:dyDescent="0.35">
      <c r="B6800" s="9"/>
      <c r="C6800" s="2"/>
      <c r="D6800" s="2"/>
      <c r="I6800" s="9"/>
      <c r="J6800" s="2"/>
      <c r="L6800" s="9"/>
      <c r="M6800" s="2"/>
      <c r="N6800" s="9"/>
      <c r="P6800" s="3">
        <v>727.96302114000002</v>
      </c>
      <c r="S6800" s="9"/>
      <c r="T6800" s="2"/>
      <c r="U6800" s="9"/>
    </row>
    <row r="6801" spans="2:21" x14ac:dyDescent="0.35">
      <c r="B6801" s="9"/>
      <c r="C6801" s="2"/>
      <c r="D6801" s="2"/>
      <c r="I6801" s="9"/>
      <c r="J6801" s="2"/>
      <c r="L6801" s="9"/>
      <c r="M6801" s="2"/>
      <c r="N6801" s="9"/>
      <c r="P6801" s="3">
        <v>733.13253113999997</v>
      </c>
      <c r="S6801" s="9"/>
      <c r="T6801" s="2"/>
      <c r="U6801" s="9"/>
    </row>
    <row r="6802" spans="2:21" x14ac:dyDescent="0.35">
      <c r="B6802" s="9"/>
      <c r="C6802" s="2"/>
      <c r="D6802" s="2"/>
      <c r="I6802" s="9"/>
      <c r="J6802" s="2"/>
      <c r="L6802" s="9"/>
      <c r="M6802" s="2"/>
      <c r="N6802" s="9"/>
      <c r="P6802" s="3">
        <v>738.05922113999998</v>
      </c>
      <c r="S6802" s="9"/>
      <c r="T6802" s="2"/>
      <c r="U6802" s="9"/>
    </row>
    <row r="6803" spans="2:21" x14ac:dyDescent="0.35">
      <c r="B6803" s="9"/>
      <c r="C6803" s="2"/>
      <c r="D6803" s="2"/>
      <c r="I6803" s="9"/>
      <c r="J6803" s="2"/>
      <c r="L6803" s="9"/>
      <c r="M6803" s="2"/>
      <c r="N6803" s="9"/>
      <c r="P6803" s="3">
        <v>863.12207762000003</v>
      </c>
      <c r="S6803" s="9"/>
      <c r="T6803" s="2"/>
      <c r="U6803" s="9"/>
    </row>
    <row r="6804" spans="2:21" x14ac:dyDescent="0.35">
      <c r="B6804" s="9"/>
      <c r="C6804" s="2"/>
      <c r="D6804" s="2"/>
      <c r="I6804" s="9"/>
      <c r="J6804" s="2"/>
      <c r="L6804" s="9"/>
      <c r="M6804" s="2"/>
      <c r="N6804" s="9"/>
      <c r="P6804" s="3">
        <v>984.03640410000003</v>
      </c>
      <c r="S6804" s="9"/>
      <c r="T6804" s="2"/>
      <c r="U6804" s="9"/>
    </row>
    <row r="6805" spans="2:21" x14ac:dyDescent="0.35">
      <c r="B6805" s="9"/>
      <c r="C6805" s="2"/>
      <c r="D6805" s="2"/>
      <c r="I6805" s="9"/>
      <c r="J6805" s="2"/>
      <c r="L6805" s="9"/>
      <c r="M6805" s="2"/>
      <c r="N6805" s="9"/>
      <c r="P6805" s="3">
        <v>1076.29128655</v>
      </c>
      <c r="S6805" s="9"/>
      <c r="T6805" s="2"/>
      <c r="U6805" s="9"/>
    </row>
    <row r="6806" spans="2:21" x14ac:dyDescent="0.35">
      <c r="B6806" s="9"/>
      <c r="C6806" s="2"/>
      <c r="D6806" s="2"/>
      <c r="I6806" s="9"/>
      <c r="J6806" s="2"/>
      <c r="L6806" s="9"/>
      <c r="M6806" s="2"/>
      <c r="N6806" s="9"/>
      <c r="P6806" s="3">
        <v>768.86261303000003</v>
      </c>
      <c r="S6806" s="9"/>
      <c r="T6806" s="2"/>
      <c r="U6806" s="9"/>
    </row>
    <row r="6807" spans="2:21" x14ac:dyDescent="0.35">
      <c r="B6807" s="9"/>
      <c r="C6807" s="2"/>
      <c r="D6807" s="2"/>
      <c r="I6807" s="9"/>
      <c r="J6807" s="2"/>
      <c r="L6807" s="9"/>
      <c r="M6807" s="2"/>
      <c r="N6807" s="9"/>
      <c r="P6807" s="3">
        <v>334.10261302999999</v>
      </c>
      <c r="S6807" s="9"/>
      <c r="T6807" s="2"/>
      <c r="U6807" s="9"/>
    </row>
    <row r="6808" spans="2:21" x14ac:dyDescent="0.35">
      <c r="B6808" s="9"/>
      <c r="C6808" s="2"/>
      <c r="D6808" s="2"/>
      <c r="I6808" s="9"/>
      <c r="J6808" s="2"/>
      <c r="L6808" s="9"/>
      <c r="M6808" s="2"/>
      <c r="N6808" s="9"/>
      <c r="P6808" s="3">
        <v>-100.65738697</v>
      </c>
      <c r="S6808" s="9"/>
      <c r="T6808" s="2"/>
      <c r="U6808" s="9"/>
    </row>
    <row r="6809" spans="2:21" x14ac:dyDescent="0.35">
      <c r="B6809" s="9"/>
      <c r="C6809" s="2"/>
      <c r="D6809" s="2"/>
      <c r="I6809" s="9"/>
      <c r="J6809" s="2"/>
      <c r="L6809" s="9"/>
      <c r="M6809" s="2"/>
      <c r="N6809" s="9"/>
      <c r="P6809" s="3">
        <v>-535.41738697000005</v>
      </c>
      <c r="S6809" s="9"/>
      <c r="T6809" s="2"/>
      <c r="U6809" s="9"/>
    </row>
    <row r="6810" spans="2:21" x14ac:dyDescent="0.35">
      <c r="B6810" s="9"/>
      <c r="C6810" s="2"/>
      <c r="D6810" s="2"/>
      <c r="I6810" s="9"/>
      <c r="J6810" s="2"/>
      <c r="L6810" s="9"/>
      <c r="M6810" s="2"/>
      <c r="N6810" s="9"/>
      <c r="P6810" s="3">
        <v>-970.17738697000004</v>
      </c>
      <c r="S6810" s="9"/>
      <c r="T6810" s="2"/>
      <c r="U6810" s="9"/>
    </row>
    <row r="6811" spans="2:21" x14ac:dyDescent="0.35">
      <c r="B6811" s="9"/>
      <c r="C6811" s="2"/>
      <c r="D6811" s="2"/>
      <c r="I6811" s="9"/>
      <c r="J6811" s="2"/>
      <c r="L6811" s="9"/>
      <c r="M6811" s="2"/>
      <c r="N6811" s="9"/>
      <c r="P6811" s="3">
        <v>-928.86460227999999</v>
      </c>
      <c r="S6811" s="9"/>
      <c r="T6811" s="2"/>
      <c r="U6811" s="9"/>
    </row>
    <row r="6812" spans="2:21" x14ac:dyDescent="0.35">
      <c r="B6812" s="9"/>
      <c r="C6812" s="2"/>
      <c r="D6812" s="2"/>
      <c r="I6812" s="9"/>
      <c r="J6812" s="2"/>
      <c r="L6812" s="9"/>
      <c r="M6812" s="2"/>
      <c r="N6812" s="9"/>
      <c r="P6812" s="3">
        <v>-908.31011696999997</v>
      </c>
      <c r="S6812" s="9"/>
      <c r="T6812" s="2"/>
      <c r="U6812" s="9"/>
    </row>
    <row r="6813" spans="2:21" x14ac:dyDescent="0.35">
      <c r="B6813" s="9"/>
      <c r="C6813" s="2"/>
      <c r="D6813" s="2"/>
      <c r="I6813" s="9"/>
      <c r="J6813" s="2"/>
      <c r="L6813" s="9"/>
      <c r="M6813" s="2"/>
      <c r="N6813" s="9"/>
      <c r="P6813" s="3">
        <v>-473.55011696999998</v>
      </c>
      <c r="S6813" s="9"/>
      <c r="T6813" s="2"/>
      <c r="U6813" s="9"/>
    </row>
    <row r="6814" spans="2:21" x14ac:dyDescent="0.35">
      <c r="B6814" s="9"/>
      <c r="C6814" s="2"/>
      <c r="D6814" s="2"/>
      <c r="I6814" s="9"/>
      <c r="J6814" s="2"/>
      <c r="L6814" s="9"/>
      <c r="M6814" s="2"/>
      <c r="N6814" s="9"/>
      <c r="P6814" s="3">
        <v>-38.79011697</v>
      </c>
      <c r="S6814" s="9"/>
      <c r="T6814" s="2"/>
      <c r="U6814" s="9"/>
    </row>
    <row r="6815" spans="2:21" x14ac:dyDescent="0.35">
      <c r="B6815" s="9"/>
      <c r="C6815" s="2"/>
      <c r="D6815" s="2"/>
      <c r="I6815" s="9"/>
      <c r="J6815" s="2"/>
      <c r="L6815" s="9"/>
      <c r="M6815" s="2"/>
      <c r="N6815" s="9"/>
      <c r="P6815" s="3">
        <v>395.96988303000001</v>
      </c>
      <c r="S6815" s="9"/>
      <c r="T6815" s="2"/>
      <c r="U6815" s="9"/>
    </row>
    <row r="6816" spans="2:21" x14ac:dyDescent="0.35">
      <c r="B6816" s="9"/>
      <c r="C6816" s="2"/>
      <c r="D6816" s="2"/>
      <c r="I6816" s="9"/>
      <c r="J6816" s="2"/>
      <c r="L6816" s="9"/>
      <c r="M6816" s="2"/>
      <c r="N6816" s="9"/>
      <c r="P6816" s="3">
        <v>830.72988303</v>
      </c>
      <c r="S6816" s="9"/>
      <c r="T6816" s="2"/>
      <c r="U6816" s="9"/>
    </row>
    <row r="6817" spans="2:21" x14ac:dyDescent="0.35">
      <c r="B6817" s="9"/>
      <c r="C6817" s="2"/>
      <c r="D6817" s="2"/>
      <c r="I6817" s="9"/>
      <c r="J6817" s="2"/>
      <c r="L6817" s="9"/>
      <c r="M6817" s="2"/>
      <c r="N6817" s="9"/>
      <c r="P6817" s="3">
        <v>685.90662226999996</v>
      </c>
      <c r="S6817" s="9"/>
      <c r="T6817" s="2"/>
      <c r="U6817" s="9"/>
    </row>
    <row r="6818" spans="2:21" x14ac:dyDescent="0.35">
      <c r="B6818" s="9"/>
      <c r="C6818" s="2"/>
      <c r="D6818" s="2"/>
      <c r="I6818" s="9"/>
      <c r="J6818" s="2"/>
      <c r="L6818" s="9"/>
      <c r="M6818" s="2"/>
      <c r="N6818" s="9"/>
      <c r="P6818" s="3">
        <v>423.43007176999998</v>
      </c>
      <c r="S6818" s="9"/>
      <c r="T6818" s="2"/>
      <c r="U6818" s="9"/>
    </row>
    <row r="6819" spans="2:21" x14ac:dyDescent="0.35">
      <c r="B6819" s="9"/>
      <c r="C6819" s="2"/>
      <c r="D6819" s="2"/>
      <c r="I6819" s="9"/>
      <c r="J6819" s="2"/>
      <c r="L6819" s="9"/>
      <c r="M6819" s="2"/>
      <c r="N6819" s="9"/>
      <c r="P6819" s="3">
        <v>212.88652139999999</v>
      </c>
      <c r="S6819" s="9"/>
      <c r="T6819" s="2"/>
      <c r="U6819" s="9"/>
    </row>
    <row r="6820" spans="2:21" x14ac:dyDescent="0.35">
      <c r="B6820" s="9"/>
      <c r="C6820" s="2"/>
      <c r="D6820" s="2"/>
      <c r="I6820" s="9"/>
      <c r="J6820" s="2"/>
      <c r="L6820" s="9"/>
      <c r="M6820" s="2"/>
      <c r="N6820" s="9"/>
      <c r="P6820" s="3">
        <v>47.84408114</v>
      </c>
      <c r="S6820" s="9"/>
      <c r="T6820" s="2"/>
      <c r="U6820" s="9"/>
    </row>
    <row r="6821" spans="2:21" x14ac:dyDescent="0.35">
      <c r="B6821" s="9"/>
      <c r="C6821" s="2"/>
      <c r="D6821" s="2"/>
      <c r="I6821" s="9"/>
      <c r="J6821" s="2"/>
      <c r="L6821" s="9"/>
      <c r="M6821" s="2"/>
      <c r="N6821" s="9"/>
      <c r="P6821" s="3">
        <v>-89.23632886</v>
      </c>
      <c r="S6821" s="9"/>
      <c r="T6821" s="2"/>
      <c r="U6821" s="9"/>
    </row>
    <row r="6822" spans="2:21" x14ac:dyDescent="0.35">
      <c r="B6822" s="9"/>
      <c r="C6822" s="2"/>
      <c r="D6822" s="2"/>
      <c r="I6822" s="9"/>
      <c r="J6822" s="2"/>
      <c r="L6822" s="9"/>
      <c r="M6822" s="2"/>
      <c r="N6822" s="9"/>
      <c r="P6822" s="3">
        <v>-294.54347885999999</v>
      </c>
      <c r="S6822" s="9"/>
      <c r="T6822" s="2"/>
      <c r="U6822" s="9"/>
    </row>
    <row r="6823" spans="2:21" x14ac:dyDescent="0.35">
      <c r="B6823" s="9"/>
      <c r="C6823" s="2"/>
      <c r="D6823" s="2"/>
      <c r="I6823" s="9"/>
      <c r="J6823" s="2"/>
      <c r="L6823" s="9"/>
      <c r="M6823" s="2"/>
      <c r="N6823" s="9"/>
      <c r="P6823" s="3">
        <v>-341.01510886</v>
      </c>
      <c r="S6823" s="9"/>
      <c r="T6823" s="2"/>
      <c r="U6823" s="9"/>
    </row>
    <row r="6824" spans="2:21" x14ac:dyDescent="0.35">
      <c r="B6824" s="9"/>
      <c r="C6824" s="2"/>
      <c r="D6824" s="2"/>
      <c r="I6824" s="9"/>
      <c r="J6824" s="2"/>
      <c r="L6824" s="9"/>
      <c r="M6824" s="2"/>
      <c r="N6824" s="9"/>
      <c r="P6824" s="3">
        <v>-357.15198886000002</v>
      </c>
      <c r="S6824" s="9"/>
      <c r="T6824" s="2"/>
      <c r="U6824" s="9"/>
    </row>
    <row r="6825" spans="2:21" x14ac:dyDescent="0.35">
      <c r="B6825" s="9"/>
      <c r="C6825" s="2"/>
      <c r="D6825" s="2"/>
      <c r="I6825" s="9"/>
      <c r="J6825" s="2"/>
      <c r="L6825" s="9"/>
      <c r="M6825" s="2"/>
      <c r="N6825" s="9"/>
      <c r="P6825" s="3">
        <v>-350.31539886000002</v>
      </c>
      <c r="S6825" s="9"/>
      <c r="T6825" s="2"/>
      <c r="U6825" s="9"/>
    </row>
    <row r="6826" spans="2:21" x14ac:dyDescent="0.35">
      <c r="B6826" s="9"/>
      <c r="C6826" s="2"/>
      <c r="D6826" s="2"/>
      <c r="I6826" s="9"/>
      <c r="J6826" s="2"/>
      <c r="L6826" s="9"/>
      <c r="M6826" s="2"/>
      <c r="N6826" s="9"/>
      <c r="P6826" s="3">
        <v>-308.84713885999997</v>
      </c>
      <c r="S6826" s="9"/>
      <c r="T6826" s="2"/>
      <c r="U6826" s="9"/>
    </row>
    <row r="6827" spans="2:21" x14ac:dyDescent="0.35">
      <c r="B6827" s="9"/>
      <c r="C6827" s="2"/>
      <c r="D6827" s="2"/>
      <c r="I6827" s="9"/>
      <c r="J6827" s="2"/>
      <c r="L6827" s="9"/>
      <c r="M6827" s="2"/>
      <c r="N6827" s="9"/>
      <c r="P6827" s="3">
        <v>-191.71427238000001</v>
      </c>
      <c r="S6827" s="9"/>
      <c r="T6827" s="2"/>
      <c r="U6827" s="9"/>
    </row>
    <row r="6828" spans="2:21" x14ac:dyDescent="0.35">
      <c r="B6828" s="9"/>
      <c r="C6828" s="2"/>
      <c r="D6828" s="2"/>
      <c r="I6828" s="9"/>
      <c r="J6828" s="2"/>
      <c r="L6828" s="9"/>
      <c r="M6828" s="2"/>
      <c r="N6828" s="9"/>
      <c r="P6828" s="3">
        <v>-94.892375900000005</v>
      </c>
      <c r="S6828" s="9"/>
      <c r="T6828" s="2"/>
      <c r="U6828" s="9"/>
    </row>
    <row r="6829" spans="2:21" x14ac:dyDescent="0.35">
      <c r="B6829" s="9"/>
      <c r="C6829" s="2"/>
      <c r="D6829" s="2"/>
      <c r="I6829" s="9"/>
      <c r="J6829" s="2"/>
      <c r="L6829" s="9"/>
      <c r="M6829" s="2"/>
      <c r="N6829" s="9"/>
      <c r="P6829" s="3">
        <v>-59.42684345</v>
      </c>
      <c r="S6829" s="9"/>
      <c r="T6829" s="2"/>
      <c r="U6829" s="9"/>
    </row>
    <row r="6830" spans="2:21" x14ac:dyDescent="0.35">
      <c r="B6830" s="9"/>
      <c r="C6830" s="2"/>
      <c r="D6830" s="2"/>
      <c r="I6830" s="9"/>
      <c r="J6830" s="2"/>
      <c r="L6830" s="9"/>
      <c r="M6830" s="2"/>
      <c r="N6830" s="9"/>
      <c r="P6830" s="3">
        <v>-183.29353696999999</v>
      </c>
      <c r="S6830" s="9"/>
      <c r="T6830" s="2"/>
      <c r="U6830" s="9"/>
    </row>
    <row r="6831" spans="2:21" x14ac:dyDescent="0.35">
      <c r="B6831" s="9"/>
      <c r="C6831" s="2"/>
      <c r="D6831" s="2"/>
      <c r="I6831" s="9"/>
      <c r="J6831" s="2"/>
      <c r="L6831" s="9"/>
      <c r="M6831" s="2"/>
      <c r="N6831" s="9"/>
      <c r="P6831" s="3">
        <v>-618.05353696999998</v>
      </c>
      <c r="S6831" s="9"/>
      <c r="T6831" s="2"/>
      <c r="U6831" s="9"/>
    </row>
    <row r="6832" spans="2:21" x14ac:dyDescent="0.35">
      <c r="B6832" s="9"/>
      <c r="C6832" s="2"/>
      <c r="D6832" s="2"/>
      <c r="I6832" s="9"/>
      <c r="J6832" s="2"/>
      <c r="L6832" s="9"/>
      <c r="M6832" s="2"/>
      <c r="N6832" s="9"/>
      <c r="P6832" s="3">
        <v>-1052.8135369700001</v>
      </c>
      <c r="S6832" s="9"/>
      <c r="T6832" s="2"/>
      <c r="U6832" s="9"/>
    </row>
    <row r="6833" spans="2:21" x14ac:dyDescent="0.35">
      <c r="B6833" s="9"/>
      <c r="C6833" s="2"/>
      <c r="D6833" s="2"/>
      <c r="I6833" s="9"/>
      <c r="J6833" s="2"/>
      <c r="L6833" s="9"/>
      <c r="M6833" s="2"/>
      <c r="N6833" s="9"/>
      <c r="P6833" s="3">
        <v>-1469.1495867199999</v>
      </c>
      <c r="S6833" s="9"/>
      <c r="T6833" s="2"/>
      <c r="U6833" s="9"/>
    </row>
    <row r="6834" spans="2:21" x14ac:dyDescent="0.35">
      <c r="B6834" s="9"/>
      <c r="C6834" s="2"/>
      <c r="D6834" s="2"/>
      <c r="I6834" s="9"/>
      <c r="J6834" s="2"/>
      <c r="L6834" s="9"/>
      <c r="M6834" s="2"/>
      <c r="N6834" s="9"/>
      <c r="P6834" s="3">
        <v>-1903.9095867200001</v>
      </c>
      <c r="S6834" s="9"/>
      <c r="T6834" s="2"/>
      <c r="U6834" s="9"/>
    </row>
    <row r="6835" spans="2:21" x14ac:dyDescent="0.35">
      <c r="B6835" s="9"/>
      <c r="C6835" s="2"/>
      <c r="D6835" s="2"/>
      <c r="I6835" s="9"/>
      <c r="J6835" s="2"/>
      <c r="L6835" s="9"/>
      <c r="M6835" s="2"/>
      <c r="N6835" s="9"/>
      <c r="P6835" s="3">
        <v>-2307.55526685</v>
      </c>
      <c r="S6835" s="9"/>
      <c r="T6835" s="2"/>
      <c r="U6835" s="9"/>
    </row>
    <row r="6836" spans="2:21" x14ac:dyDescent="0.35">
      <c r="B6836" s="9"/>
      <c r="C6836" s="2"/>
      <c r="D6836" s="2"/>
      <c r="I6836" s="9"/>
      <c r="J6836" s="2"/>
      <c r="L6836" s="9"/>
      <c r="M6836" s="2"/>
      <c r="N6836" s="9"/>
      <c r="P6836" s="3">
        <v>-2048.9691369699999</v>
      </c>
      <c r="S6836" s="9"/>
      <c r="T6836" s="2"/>
      <c r="U6836" s="9"/>
    </row>
    <row r="6837" spans="2:21" x14ac:dyDescent="0.35">
      <c r="B6837" s="9"/>
      <c r="C6837" s="2"/>
      <c r="D6837" s="2"/>
      <c r="I6837" s="9"/>
      <c r="J6837" s="2"/>
      <c r="L6837" s="9"/>
      <c r="M6837" s="2"/>
      <c r="N6837" s="9"/>
      <c r="P6837" s="3">
        <v>-1614.2091369699999</v>
      </c>
      <c r="S6837" s="9"/>
      <c r="T6837" s="2"/>
      <c r="U6837" s="9"/>
    </row>
    <row r="6838" spans="2:21" x14ac:dyDescent="0.35">
      <c r="B6838" s="9"/>
      <c r="C6838" s="2"/>
      <c r="D6838" s="2"/>
      <c r="I6838" s="9"/>
      <c r="J6838" s="2"/>
      <c r="L6838" s="9"/>
      <c r="M6838" s="2"/>
      <c r="N6838" s="9"/>
      <c r="P6838" s="3">
        <v>-1179.4491369699999</v>
      </c>
      <c r="S6838" s="9"/>
      <c r="T6838" s="2"/>
      <c r="U6838" s="9"/>
    </row>
    <row r="6839" spans="2:21" x14ac:dyDescent="0.35">
      <c r="B6839" s="9"/>
      <c r="C6839" s="2"/>
      <c r="D6839" s="2"/>
      <c r="I6839" s="9"/>
      <c r="J6839" s="2"/>
      <c r="L6839" s="9"/>
      <c r="M6839" s="2"/>
      <c r="N6839" s="9"/>
      <c r="P6839" s="3">
        <v>-744.68913697000005</v>
      </c>
      <c r="S6839" s="9"/>
      <c r="T6839" s="2"/>
      <c r="U6839" s="9"/>
    </row>
    <row r="6840" spans="2:21" x14ac:dyDescent="0.35">
      <c r="B6840" s="9"/>
      <c r="C6840" s="2"/>
      <c r="D6840" s="2"/>
      <c r="I6840" s="9"/>
      <c r="J6840" s="2"/>
      <c r="L6840" s="9"/>
      <c r="M6840" s="2"/>
      <c r="N6840" s="9"/>
      <c r="P6840" s="3">
        <v>-309.92913697</v>
      </c>
      <c r="S6840" s="9"/>
      <c r="T6840" s="2"/>
      <c r="U6840" s="9"/>
    </row>
    <row r="6841" spans="2:21" x14ac:dyDescent="0.35">
      <c r="B6841" s="9"/>
      <c r="C6841" s="2"/>
      <c r="D6841" s="2"/>
      <c r="I6841" s="9"/>
      <c r="J6841" s="2"/>
      <c r="L6841" s="9"/>
      <c r="M6841" s="2"/>
      <c r="N6841" s="9"/>
      <c r="P6841" s="3">
        <v>-342.82444772999997</v>
      </c>
      <c r="S6841" s="9"/>
      <c r="T6841" s="2"/>
      <c r="U6841" s="9"/>
    </row>
    <row r="6842" spans="2:21" x14ac:dyDescent="0.35">
      <c r="B6842" s="9"/>
      <c r="C6842" s="2"/>
      <c r="D6842" s="2"/>
      <c r="I6842" s="9"/>
      <c r="J6842" s="2"/>
      <c r="L6842" s="9"/>
      <c r="M6842" s="2"/>
      <c r="N6842" s="9"/>
      <c r="P6842" s="3">
        <v>-468.40305823</v>
      </c>
      <c r="S6842" s="9"/>
      <c r="T6842" s="2"/>
      <c r="U6842" s="9"/>
    </row>
    <row r="6843" spans="2:21" x14ac:dyDescent="0.35">
      <c r="B6843" s="9"/>
      <c r="C6843" s="2"/>
      <c r="D6843" s="2"/>
      <c r="I6843" s="9"/>
      <c r="J6843" s="2"/>
      <c r="L6843" s="9"/>
      <c r="M6843" s="2"/>
      <c r="N6843" s="9"/>
      <c r="P6843" s="3">
        <v>-477.80076860000003</v>
      </c>
      <c r="S6843" s="9"/>
      <c r="T6843" s="2"/>
      <c r="U6843" s="9"/>
    </row>
    <row r="6844" spans="2:21" x14ac:dyDescent="0.35">
      <c r="B6844" s="9"/>
      <c r="C6844" s="2"/>
      <c r="D6844" s="2"/>
      <c r="I6844" s="9"/>
      <c r="J6844" s="2"/>
      <c r="L6844" s="9"/>
      <c r="M6844" s="2"/>
      <c r="N6844" s="9"/>
      <c r="P6844" s="3">
        <v>-455.78447885999998</v>
      </c>
      <c r="S6844" s="9"/>
      <c r="T6844" s="2"/>
      <c r="U6844" s="9"/>
    </row>
    <row r="6845" spans="2:21" x14ac:dyDescent="0.35">
      <c r="B6845" s="9"/>
      <c r="C6845" s="2"/>
      <c r="D6845" s="2"/>
      <c r="I6845" s="9"/>
      <c r="J6845" s="2"/>
      <c r="L6845" s="9"/>
      <c r="M6845" s="2"/>
      <c r="N6845" s="9"/>
      <c r="P6845" s="3">
        <v>-539.16829886000005</v>
      </c>
      <c r="S6845" s="9"/>
      <c r="T6845" s="2"/>
      <c r="U6845" s="9"/>
    </row>
    <row r="6846" spans="2:21" x14ac:dyDescent="0.35">
      <c r="B6846" s="9"/>
      <c r="C6846" s="2"/>
      <c r="D6846" s="2"/>
      <c r="I6846" s="9"/>
      <c r="J6846" s="2"/>
      <c r="L6846" s="9"/>
      <c r="M6846" s="2"/>
      <c r="N6846" s="9"/>
      <c r="P6846" s="3">
        <v>-488.18499838999998</v>
      </c>
      <c r="S6846" s="9"/>
      <c r="T6846" s="2"/>
      <c r="U6846" s="9"/>
    </row>
    <row r="6847" spans="2:21" x14ac:dyDescent="0.35">
      <c r="B6847" s="9"/>
      <c r="C6847" s="2"/>
      <c r="D6847" s="2"/>
      <c r="I6847" s="9"/>
      <c r="J6847" s="2"/>
      <c r="L6847" s="9"/>
      <c r="M6847" s="2"/>
      <c r="N6847" s="9"/>
      <c r="P6847" s="3">
        <v>-610.46190838999996</v>
      </c>
      <c r="S6847" s="9"/>
      <c r="T6847" s="2"/>
      <c r="U6847" s="9"/>
    </row>
    <row r="6848" spans="2:21" x14ac:dyDescent="0.35">
      <c r="B6848" s="9"/>
      <c r="C6848" s="2"/>
      <c r="D6848" s="2"/>
      <c r="I6848" s="9"/>
      <c r="J6848" s="2"/>
      <c r="L6848" s="9"/>
      <c r="M6848" s="2"/>
      <c r="N6848" s="9"/>
      <c r="P6848" s="3">
        <v>-826.01364838999996</v>
      </c>
      <c r="S6848" s="9"/>
      <c r="T6848" s="2"/>
      <c r="U6848" s="9"/>
    </row>
    <row r="6849" spans="2:21" x14ac:dyDescent="0.35">
      <c r="B6849" s="9"/>
      <c r="C6849" s="2"/>
      <c r="D6849" s="2"/>
      <c r="I6849" s="9"/>
      <c r="J6849" s="2"/>
      <c r="L6849" s="9"/>
      <c r="M6849" s="2"/>
      <c r="N6849" s="9"/>
      <c r="P6849" s="3">
        <v>-883.13456839000003</v>
      </c>
      <c r="S6849" s="9"/>
      <c r="T6849" s="2"/>
      <c r="U6849" s="9"/>
    </row>
    <row r="6850" spans="2:21" x14ac:dyDescent="0.35">
      <c r="B6850" s="9"/>
      <c r="C6850" s="2"/>
      <c r="D6850" s="2"/>
      <c r="I6850" s="9"/>
      <c r="J6850" s="2"/>
      <c r="L6850" s="9"/>
      <c r="M6850" s="2"/>
      <c r="N6850" s="9"/>
      <c r="P6850" s="3">
        <v>-860.05104839000001</v>
      </c>
      <c r="S6850" s="9"/>
      <c r="T6850" s="2"/>
      <c r="U6850" s="9"/>
    </row>
    <row r="6851" spans="2:21" x14ac:dyDescent="0.35">
      <c r="B6851" s="9"/>
      <c r="C6851" s="2"/>
      <c r="D6851" s="2"/>
      <c r="I6851" s="9"/>
      <c r="J6851" s="2"/>
      <c r="L6851" s="9"/>
      <c r="M6851" s="2"/>
      <c r="N6851" s="9"/>
      <c r="P6851" s="3">
        <v>-810.70959839</v>
      </c>
      <c r="S6851" s="9"/>
      <c r="T6851" s="2"/>
      <c r="U6851" s="9"/>
    </row>
    <row r="6852" spans="2:21" x14ac:dyDescent="0.35">
      <c r="B6852" s="9"/>
      <c r="C6852" s="2"/>
      <c r="D6852" s="2"/>
      <c r="I6852" s="9"/>
      <c r="J6852" s="2"/>
      <c r="L6852" s="9"/>
      <c r="M6852" s="2"/>
      <c r="N6852" s="9"/>
      <c r="P6852" s="3">
        <v>-642.46373839</v>
      </c>
      <c r="S6852" s="9"/>
      <c r="T6852" s="2"/>
      <c r="U6852" s="9"/>
    </row>
    <row r="6853" spans="2:21" x14ac:dyDescent="0.35">
      <c r="B6853" s="9"/>
      <c r="C6853" s="2"/>
      <c r="D6853" s="2"/>
      <c r="I6853" s="9"/>
      <c r="J6853" s="2"/>
      <c r="L6853" s="9"/>
      <c r="M6853" s="2"/>
      <c r="N6853" s="9"/>
      <c r="P6853" s="3">
        <v>-525.50969839000004</v>
      </c>
      <c r="S6853" s="9"/>
      <c r="T6853" s="2"/>
      <c r="U6853" s="9"/>
    </row>
    <row r="6854" spans="2:21" x14ac:dyDescent="0.35">
      <c r="B6854" s="9"/>
      <c r="C6854" s="2"/>
      <c r="D6854" s="2"/>
      <c r="I6854" s="9"/>
      <c r="J6854" s="2"/>
      <c r="L6854" s="9"/>
      <c r="M6854" s="2"/>
      <c r="N6854" s="9"/>
      <c r="P6854" s="3">
        <v>-960.26969839000003</v>
      </c>
      <c r="S6854" s="9"/>
      <c r="T6854" s="2"/>
      <c r="U6854" s="9"/>
    </row>
    <row r="6855" spans="2:21" x14ac:dyDescent="0.35">
      <c r="B6855" s="9"/>
      <c r="C6855" s="2"/>
      <c r="D6855" s="2"/>
      <c r="I6855" s="9"/>
      <c r="J6855" s="2"/>
      <c r="L6855" s="9"/>
      <c r="M6855" s="2"/>
      <c r="N6855" s="9"/>
      <c r="P6855" s="3">
        <v>-869.52</v>
      </c>
      <c r="S6855" s="9"/>
      <c r="T6855" s="2"/>
      <c r="U6855" s="9"/>
    </row>
    <row r="6856" spans="2:21" x14ac:dyDescent="0.35">
      <c r="B6856" s="9"/>
      <c r="C6856" s="2"/>
      <c r="D6856" s="2"/>
      <c r="I6856" s="9"/>
      <c r="J6856" s="2"/>
      <c r="L6856" s="9"/>
      <c r="M6856" s="2"/>
      <c r="N6856" s="9"/>
      <c r="P6856" s="3">
        <v>-434.76</v>
      </c>
      <c r="S6856" s="9"/>
      <c r="T6856" s="2"/>
      <c r="U6856" s="9"/>
    </row>
    <row r="6857" spans="2:21" x14ac:dyDescent="0.35">
      <c r="B6857" s="9"/>
      <c r="C6857" s="2"/>
      <c r="D6857" s="2"/>
      <c r="I6857" s="9"/>
      <c r="J6857" s="2"/>
      <c r="L6857" s="9"/>
      <c r="M6857" s="2"/>
      <c r="N6857" s="9"/>
      <c r="P6857" s="3">
        <v>0</v>
      </c>
      <c r="S6857" s="9"/>
      <c r="T6857" s="2"/>
      <c r="U6857" s="9"/>
    </row>
    <row r="6858" spans="2:21" x14ac:dyDescent="0.35">
      <c r="B6858" s="9"/>
      <c r="C6858" s="2"/>
      <c r="D6858" s="2"/>
      <c r="I6858" s="9"/>
      <c r="J6858" s="2"/>
      <c r="L6858" s="9"/>
      <c r="M6858" s="2"/>
      <c r="N6858" s="9"/>
      <c r="P6858" s="3">
        <v>0</v>
      </c>
      <c r="S6858" s="9"/>
      <c r="T6858" s="2"/>
      <c r="U6858" s="9"/>
    </row>
    <row r="6859" spans="2:21" x14ac:dyDescent="0.35">
      <c r="B6859" s="9"/>
      <c r="C6859" s="2"/>
      <c r="D6859" s="2"/>
      <c r="I6859" s="9"/>
      <c r="J6859" s="2"/>
      <c r="L6859" s="9"/>
      <c r="M6859" s="2"/>
      <c r="N6859" s="9"/>
      <c r="P6859" s="3">
        <v>0</v>
      </c>
      <c r="S6859" s="9"/>
      <c r="T6859" s="2"/>
      <c r="U6859" s="9"/>
    </row>
    <row r="6860" spans="2:21" x14ac:dyDescent="0.35">
      <c r="B6860" s="9"/>
      <c r="C6860" s="2"/>
      <c r="D6860" s="2"/>
      <c r="I6860" s="9"/>
      <c r="J6860" s="2"/>
      <c r="L6860" s="9"/>
      <c r="M6860" s="2"/>
      <c r="N6860" s="9"/>
      <c r="P6860" s="3">
        <v>0</v>
      </c>
      <c r="S6860" s="9"/>
      <c r="T6860" s="2"/>
      <c r="U6860" s="9"/>
    </row>
    <row r="6861" spans="2:21" x14ac:dyDescent="0.35">
      <c r="B6861" s="9"/>
      <c r="C6861" s="2"/>
      <c r="D6861" s="2"/>
      <c r="I6861" s="9"/>
      <c r="J6861" s="2"/>
      <c r="L6861" s="9"/>
      <c r="M6861" s="2"/>
      <c r="N6861" s="9"/>
      <c r="P6861" s="3">
        <v>0</v>
      </c>
      <c r="S6861" s="9"/>
      <c r="T6861" s="2"/>
      <c r="U6861" s="9"/>
    </row>
    <row r="6862" spans="2:21" x14ac:dyDescent="0.35">
      <c r="B6862" s="9"/>
      <c r="C6862" s="2"/>
      <c r="D6862" s="2"/>
      <c r="I6862" s="9"/>
      <c r="J6862" s="2"/>
      <c r="L6862" s="9"/>
      <c r="M6862" s="2"/>
      <c r="N6862" s="9"/>
      <c r="P6862" s="3">
        <v>0</v>
      </c>
      <c r="S6862" s="9"/>
      <c r="T6862" s="2"/>
      <c r="U6862" s="9"/>
    </row>
    <row r="6863" spans="2:21" x14ac:dyDescent="0.35">
      <c r="B6863" s="9"/>
      <c r="C6863" s="2"/>
      <c r="D6863" s="2"/>
      <c r="I6863" s="9"/>
      <c r="J6863" s="2"/>
      <c r="L6863" s="9"/>
      <c r="M6863" s="2"/>
      <c r="N6863" s="9"/>
      <c r="P6863" s="3">
        <v>0</v>
      </c>
      <c r="S6863" s="9"/>
      <c r="T6863" s="2"/>
      <c r="U6863" s="9"/>
    </row>
    <row r="6864" spans="2:21" x14ac:dyDescent="0.35">
      <c r="B6864" s="9"/>
      <c r="C6864" s="2"/>
      <c r="D6864" s="2"/>
      <c r="I6864" s="9"/>
      <c r="J6864" s="2"/>
      <c r="L6864" s="9"/>
      <c r="M6864" s="2"/>
      <c r="N6864" s="9"/>
      <c r="P6864" s="3">
        <v>0</v>
      </c>
      <c r="S6864" s="9"/>
      <c r="T6864" s="2"/>
      <c r="U6864" s="9"/>
    </row>
    <row r="6865" spans="2:21" x14ac:dyDescent="0.35">
      <c r="B6865" s="9"/>
      <c r="C6865" s="2"/>
      <c r="D6865" s="2"/>
      <c r="I6865" s="9"/>
      <c r="J6865" s="2"/>
      <c r="L6865" s="9"/>
      <c r="M6865" s="2"/>
      <c r="N6865" s="9"/>
      <c r="P6865" s="3">
        <v>0</v>
      </c>
      <c r="S6865" s="9"/>
      <c r="T6865" s="2"/>
      <c r="U6865" s="9"/>
    </row>
    <row r="6866" spans="2:21" x14ac:dyDescent="0.35">
      <c r="B6866" s="9"/>
      <c r="C6866" s="2"/>
      <c r="D6866" s="2"/>
      <c r="I6866" s="9"/>
      <c r="J6866" s="2"/>
      <c r="L6866" s="9"/>
      <c r="M6866" s="2"/>
      <c r="N6866" s="9"/>
      <c r="P6866" s="3">
        <v>0</v>
      </c>
      <c r="S6866" s="9"/>
      <c r="T6866" s="2"/>
      <c r="U6866" s="9"/>
    </row>
    <row r="6867" spans="2:21" x14ac:dyDescent="0.35">
      <c r="B6867" s="9"/>
      <c r="C6867" s="2"/>
      <c r="D6867" s="2"/>
      <c r="I6867" s="9"/>
      <c r="J6867" s="2"/>
      <c r="L6867" s="9"/>
      <c r="M6867" s="2"/>
      <c r="N6867" s="9"/>
      <c r="P6867" s="3">
        <v>0</v>
      </c>
      <c r="S6867" s="9"/>
      <c r="T6867" s="2"/>
      <c r="U6867" s="9"/>
    </row>
    <row r="6868" spans="2:21" x14ac:dyDescent="0.35">
      <c r="B6868" s="9"/>
      <c r="C6868" s="2"/>
      <c r="D6868" s="2"/>
      <c r="I6868" s="9"/>
      <c r="J6868" s="2"/>
      <c r="L6868" s="9"/>
      <c r="M6868" s="2"/>
      <c r="N6868" s="9"/>
      <c r="P6868" s="3">
        <v>0</v>
      </c>
      <c r="S6868" s="9"/>
      <c r="T6868" s="2"/>
      <c r="U6868" s="9"/>
    </row>
    <row r="6869" spans="2:21" x14ac:dyDescent="0.35">
      <c r="B6869" s="9"/>
      <c r="C6869" s="2"/>
      <c r="D6869" s="2"/>
      <c r="I6869" s="9"/>
      <c r="J6869" s="2"/>
      <c r="L6869" s="9"/>
      <c r="M6869" s="2"/>
      <c r="N6869" s="9"/>
      <c r="P6869" s="3">
        <v>0</v>
      </c>
      <c r="S6869" s="9"/>
      <c r="T6869" s="2"/>
      <c r="U6869" s="9"/>
    </row>
    <row r="6870" spans="2:21" x14ac:dyDescent="0.35">
      <c r="B6870" s="9"/>
      <c r="C6870" s="2"/>
      <c r="D6870" s="2"/>
      <c r="I6870" s="9"/>
      <c r="J6870" s="2"/>
      <c r="L6870" s="9"/>
      <c r="M6870" s="2"/>
      <c r="N6870" s="9"/>
      <c r="P6870" s="3">
        <v>0</v>
      </c>
      <c r="S6870" s="9"/>
      <c r="T6870" s="2"/>
      <c r="U6870" s="9"/>
    </row>
    <row r="6871" spans="2:21" x14ac:dyDescent="0.35">
      <c r="B6871" s="9"/>
      <c r="C6871" s="2"/>
      <c r="D6871" s="2"/>
      <c r="I6871" s="9"/>
      <c r="J6871" s="2"/>
      <c r="L6871" s="9"/>
      <c r="M6871" s="2"/>
      <c r="N6871" s="9"/>
      <c r="P6871" s="3">
        <v>0</v>
      </c>
      <c r="S6871" s="9"/>
      <c r="T6871" s="2"/>
      <c r="U6871" s="9"/>
    </row>
    <row r="6872" spans="2:21" x14ac:dyDescent="0.35">
      <c r="B6872" s="9"/>
      <c r="C6872" s="2"/>
      <c r="D6872" s="2"/>
      <c r="I6872" s="9"/>
      <c r="J6872" s="2"/>
      <c r="L6872" s="9"/>
      <c r="M6872" s="2"/>
      <c r="N6872" s="9"/>
      <c r="P6872" s="3">
        <v>0</v>
      </c>
      <c r="S6872" s="9"/>
      <c r="T6872" s="2"/>
      <c r="U6872" s="9"/>
    </row>
    <row r="6873" spans="2:21" x14ac:dyDescent="0.35">
      <c r="B6873" s="9"/>
      <c r="C6873" s="2"/>
      <c r="D6873" s="2"/>
      <c r="I6873" s="9"/>
      <c r="J6873" s="2"/>
      <c r="L6873" s="9"/>
      <c r="M6873" s="2"/>
      <c r="N6873" s="9"/>
      <c r="P6873" s="3">
        <v>0</v>
      </c>
      <c r="S6873" s="9"/>
      <c r="T6873" s="2"/>
      <c r="U6873" s="9"/>
    </row>
    <row r="6874" spans="2:21" x14ac:dyDescent="0.35">
      <c r="B6874" s="9"/>
      <c r="C6874" s="2"/>
      <c r="D6874" s="2"/>
      <c r="I6874" s="9"/>
      <c r="J6874" s="2"/>
      <c r="L6874" s="9"/>
      <c r="M6874" s="2"/>
      <c r="N6874" s="9"/>
      <c r="P6874" s="3">
        <v>0</v>
      </c>
      <c r="S6874" s="9"/>
      <c r="T6874" s="2"/>
      <c r="U6874" s="9"/>
    </row>
    <row r="6875" spans="2:21" x14ac:dyDescent="0.35">
      <c r="B6875" s="9"/>
      <c r="C6875" s="2"/>
      <c r="D6875" s="2"/>
      <c r="I6875" s="9"/>
      <c r="J6875" s="2"/>
      <c r="L6875" s="9"/>
      <c r="M6875" s="2"/>
      <c r="N6875" s="9"/>
      <c r="P6875" s="3">
        <v>0</v>
      </c>
      <c r="S6875" s="9"/>
      <c r="T6875" s="2"/>
      <c r="U6875" s="9"/>
    </row>
    <row r="6876" spans="2:21" x14ac:dyDescent="0.35">
      <c r="B6876" s="9"/>
      <c r="C6876" s="2"/>
      <c r="D6876" s="2"/>
      <c r="I6876" s="9"/>
      <c r="J6876" s="2"/>
      <c r="L6876" s="9"/>
      <c r="M6876" s="2"/>
      <c r="N6876" s="9"/>
      <c r="P6876" s="3">
        <v>0</v>
      </c>
      <c r="S6876" s="9"/>
      <c r="T6876" s="2"/>
      <c r="U6876" s="9"/>
    </row>
    <row r="6877" spans="2:21" x14ac:dyDescent="0.35">
      <c r="B6877" s="9"/>
      <c r="C6877" s="2"/>
      <c r="D6877" s="2"/>
      <c r="I6877" s="9"/>
      <c r="J6877" s="2"/>
      <c r="L6877" s="9"/>
      <c r="M6877" s="2"/>
      <c r="N6877" s="9"/>
      <c r="P6877" s="3">
        <v>0</v>
      </c>
      <c r="S6877" s="9"/>
      <c r="T6877" s="2"/>
      <c r="U6877" s="9"/>
    </row>
    <row r="6878" spans="2:21" x14ac:dyDescent="0.35">
      <c r="B6878" s="9"/>
      <c r="C6878" s="2"/>
      <c r="D6878" s="2"/>
      <c r="I6878" s="9"/>
      <c r="J6878" s="2"/>
      <c r="L6878" s="9"/>
      <c r="M6878" s="2"/>
      <c r="N6878" s="9"/>
      <c r="P6878" s="3">
        <v>0</v>
      </c>
      <c r="S6878" s="9"/>
      <c r="T6878" s="2"/>
      <c r="U6878" s="9"/>
    </row>
    <row r="6879" spans="2:21" x14ac:dyDescent="0.35">
      <c r="B6879" s="9"/>
      <c r="C6879" s="2"/>
      <c r="D6879" s="2"/>
      <c r="I6879" s="9"/>
      <c r="J6879" s="2"/>
      <c r="L6879" s="9"/>
      <c r="M6879" s="2"/>
      <c r="N6879" s="9"/>
      <c r="P6879" s="3">
        <v>0</v>
      </c>
      <c r="S6879" s="9"/>
      <c r="T6879" s="2"/>
      <c r="U6879" s="9"/>
    </row>
    <row r="6880" spans="2:21" x14ac:dyDescent="0.35">
      <c r="B6880" s="9"/>
      <c r="C6880" s="2"/>
      <c r="D6880" s="2"/>
      <c r="I6880" s="9"/>
      <c r="J6880" s="2"/>
      <c r="L6880" s="9"/>
      <c r="M6880" s="2"/>
      <c r="N6880" s="9"/>
      <c r="P6880" s="3">
        <v>0</v>
      </c>
      <c r="S6880" s="9"/>
      <c r="T6880" s="2"/>
      <c r="U6880" s="9"/>
    </row>
    <row r="6881" spans="2:21" x14ac:dyDescent="0.35">
      <c r="B6881" s="9"/>
      <c r="C6881" s="2"/>
      <c r="D6881" s="2"/>
      <c r="I6881" s="9"/>
      <c r="J6881" s="2"/>
      <c r="L6881" s="9"/>
      <c r="M6881" s="2"/>
      <c r="N6881" s="9"/>
      <c r="P6881" s="3">
        <v>0</v>
      </c>
      <c r="S6881" s="9"/>
      <c r="T6881" s="2"/>
      <c r="U6881" s="9"/>
    </row>
    <row r="6882" spans="2:21" x14ac:dyDescent="0.35">
      <c r="B6882" s="9"/>
      <c r="C6882" s="2"/>
      <c r="D6882" s="2"/>
      <c r="I6882" s="9"/>
      <c r="J6882" s="2"/>
      <c r="L6882" s="9"/>
      <c r="M6882" s="2"/>
      <c r="N6882" s="9"/>
      <c r="P6882" s="3">
        <v>0</v>
      </c>
      <c r="S6882" s="9"/>
      <c r="T6882" s="2"/>
      <c r="U6882" s="9"/>
    </row>
    <row r="6883" spans="2:21" x14ac:dyDescent="0.35">
      <c r="B6883" s="9"/>
      <c r="C6883" s="2"/>
      <c r="D6883" s="2"/>
      <c r="I6883" s="9"/>
      <c r="J6883" s="2"/>
      <c r="L6883" s="9"/>
      <c r="M6883" s="2"/>
      <c r="N6883" s="9"/>
      <c r="P6883" s="3">
        <v>0</v>
      </c>
      <c r="S6883" s="9"/>
      <c r="T6883" s="2"/>
      <c r="U6883" s="9"/>
    </row>
    <row r="6884" spans="2:21" x14ac:dyDescent="0.35">
      <c r="B6884" s="9"/>
      <c r="C6884" s="2"/>
      <c r="D6884" s="2"/>
      <c r="I6884" s="9"/>
      <c r="J6884" s="2"/>
      <c r="L6884" s="9"/>
      <c r="M6884" s="2"/>
      <c r="N6884" s="9"/>
      <c r="P6884" s="3">
        <v>0</v>
      </c>
      <c r="S6884" s="9"/>
      <c r="T6884" s="2"/>
      <c r="U6884" s="9"/>
    </row>
    <row r="6885" spans="2:21" x14ac:dyDescent="0.35">
      <c r="B6885" s="9"/>
      <c r="C6885" s="2"/>
      <c r="D6885" s="2"/>
      <c r="I6885" s="9"/>
      <c r="J6885" s="2"/>
      <c r="L6885" s="9"/>
      <c r="M6885" s="2"/>
      <c r="N6885" s="9"/>
      <c r="P6885" s="3">
        <v>0</v>
      </c>
      <c r="S6885" s="9"/>
      <c r="T6885" s="2"/>
      <c r="U6885" s="9"/>
    </row>
    <row r="6886" spans="2:21" x14ac:dyDescent="0.35">
      <c r="B6886" s="9"/>
      <c r="C6886" s="2"/>
      <c r="D6886" s="2"/>
      <c r="I6886" s="9"/>
      <c r="J6886" s="2"/>
      <c r="L6886" s="9"/>
      <c r="M6886" s="2"/>
      <c r="N6886" s="9"/>
      <c r="P6886" s="3">
        <v>0</v>
      </c>
      <c r="S6886" s="9"/>
      <c r="T6886" s="2"/>
      <c r="U6886" s="9"/>
    </row>
    <row r="6887" spans="2:21" x14ac:dyDescent="0.35">
      <c r="B6887" s="9"/>
      <c r="C6887" s="2"/>
      <c r="D6887" s="2"/>
      <c r="I6887" s="9"/>
      <c r="J6887" s="2"/>
      <c r="L6887" s="9"/>
      <c r="M6887" s="2"/>
      <c r="N6887" s="9"/>
      <c r="P6887" s="3">
        <v>0</v>
      </c>
      <c r="S6887" s="9"/>
      <c r="T6887" s="2"/>
      <c r="U6887" s="9"/>
    </row>
    <row r="6888" spans="2:21" x14ac:dyDescent="0.35">
      <c r="B6888" s="9"/>
      <c r="C6888" s="2"/>
      <c r="D6888" s="2"/>
      <c r="I6888" s="9"/>
      <c r="J6888" s="2"/>
      <c r="L6888" s="9"/>
      <c r="M6888" s="2"/>
      <c r="N6888" s="9"/>
      <c r="P6888" s="3">
        <v>0</v>
      </c>
      <c r="S6888" s="9"/>
      <c r="T6888" s="2"/>
      <c r="U6888" s="9"/>
    </row>
    <row r="6889" spans="2:21" x14ac:dyDescent="0.35">
      <c r="B6889" s="9"/>
      <c r="C6889" s="2"/>
      <c r="D6889" s="2"/>
      <c r="I6889" s="9"/>
      <c r="J6889" s="2"/>
      <c r="L6889" s="9"/>
      <c r="M6889" s="2"/>
      <c r="N6889" s="9"/>
      <c r="P6889" s="3">
        <v>0</v>
      </c>
      <c r="S6889" s="9"/>
      <c r="T6889" s="2"/>
      <c r="U6889" s="9"/>
    </row>
    <row r="6890" spans="2:21" x14ac:dyDescent="0.35">
      <c r="B6890" s="9"/>
      <c r="C6890" s="2"/>
      <c r="D6890" s="2"/>
      <c r="I6890" s="9"/>
      <c r="J6890" s="2"/>
      <c r="L6890" s="9"/>
      <c r="M6890" s="2"/>
      <c r="N6890" s="9"/>
      <c r="P6890" s="3">
        <v>0</v>
      </c>
      <c r="S6890" s="9"/>
      <c r="T6890" s="2"/>
      <c r="U6890" s="9"/>
    </row>
    <row r="6891" spans="2:21" x14ac:dyDescent="0.35">
      <c r="B6891" s="9"/>
      <c r="C6891" s="2"/>
      <c r="D6891" s="2"/>
      <c r="I6891" s="9"/>
      <c r="J6891" s="2"/>
      <c r="L6891" s="9"/>
      <c r="M6891" s="2"/>
      <c r="N6891" s="9"/>
      <c r="P6891" s="3">
        <v>0</v>
      </c>
      <c r="S6891" s="9"/>
      <c r="T6891" s="2"/>
      <c r="U6891" s="9"/>
    </row>
    <row r="6892" spans="2:21" x14ac:dyDescent="0.35">
      <c r="B6892" s="9"/>
      <c r="C6892" s="2"/>
      <c r="D6892" s="2"/>
      <c r="I6892" s="9"/>
      <c r="J6892" s="2"/>
      <c r="L6892" s="9"/>
      <c r="M6892" s="2"/>
      <c r="N6892" s="9"/>
      <c r="P6892" s="3">
        <v>0</v>
      </c>
      <c r="S6892" s="9"/>
      <c r="T6892" s="2"/>
      <c r="U6892" s="9"/>
    </row>
    <row r="6893" spans="2:21" x14ac:dyDescent="0.35">
      <c r="B6893" s="9"/>
      <c r="C6893" s="2"/>
      <c r="D6893" s="2"/>
      <c r="I6893" s="9"/>
      <c r="J6893" s="2"/>
      <c r="L6893" s="9"/>
      <c r="M6893" s="2"/>
      <c r="N6893" s="9"/>
      <c r="P6893" s="3">
        <v>0</v>
      </c>
      <c r="S6893" s="9"/>
      <c r="T6893" s="2"/>
      <c r="U6893" s="9"/>
    </row>
    <row r="6894" spans="2:21" x14ac:dyDescent="0.35">
      <c r="B6894" s="9"/>
      <c r="C6894" s="2"/>
      <c r="D6894" s="2"/>
      <c r="I6894" s="9"/>
      <c r="J6894" s="2"/>
      <c r="L6894" s="9"/>
      <c r="M6894" s="2"/>
      <c r="N6894" s="9"/>
      <c r="P6894" s="3">
        <v>0</v>
      </c>
      <c r="S6894" s="9"/>
      <c r="T6894" s="2"/>
      <c r="U6894" s="9"/>
    </row>
    <row r="6895" spans="2:21" x14ac:dyDescent="0.35">
      <c r="B6895" s="9"/>
      <c r="C6895" s="2"/>
      <c r="D6895" s="2"/>
      <c r="I6895" s="9"/>
      <c r="J6895" s="2"/>
      <c r="L6895" s="9"/>
      <c r="M6895" s="2"/>
      <c r="N6895" s="9"/>
      <c r="P6895" s="3">
        <v>0</v>
      </c>
      <c r="S6895" s="9"/>
      <c r="T6895" s="2"/>
      <c r="U6895" s="9"/>
    </row>
    <row r="6896" spans="2:21" x14ac:dyDescent="0.35">
      <c r="B6896" s="9"/>
      <c r="C6896" s="2"/>
      <c r="D6896" s="2"/>
      <c r="I6896" s="9"/>
      <c r="J6896" s="2"/>
      <c r="L6896" s="9"/>
      <c r="M6896" s="2"/>
      <c r="N6896" s="9"/>
      <c r="P6896" s="3">
        <v>0</v>
      </c>
      <c r="S6896" s="9"/>
      <c r="T6896" s="2"/>
      <c r="U6896" s="9"/>
    </row>
    <row r="6897" spans="2:21" x14ac:dyDescent="0.35">
      <c r="B6897" s="9"/>
      <c r="C6897" s="2"/>
      <c r="D6897" s="2"/>
      <c r="I6897" s="9"/>
      <c r="J6897" s="2"/>
      <c r="L6897" s="9"/>
      <c r="M6897" s="2"/>
      <c r="N6897" s="9"/>
      <c r="P6897" s="3">
        <v>0</v>
      </c>
      <c r="S6897" s="9"/>
      <c r="T6897" s="2"/>
      <c r="U6897" s="9"/>
    </row>
    <row r="6898" spans="2:21" x14ac:dyDescent="0.35">
      <c r="B6898" s="9"/>
      <c r="C6898" s="2"/>
      <c r="D6898" s="2"/>
      <c r="I6898" s="9"/>
      <c r="J6898" s="2"/>
      <c r="L6898" s="9"/>
      <c r="M6898" s="2"/>
      <c r="N6898" s="9"/>
      <c r="P6898" s="3">
        <v>0</v>
      </c>
      <c r="S6898" s="9"/>
      <c r="T6898" s="2"/>
      <c r="U6898" s="9"/>
    </row>
    <row r="6899" spans="2:21" x14ac:dyDescent="0.35">
      <c r="B6899" s="9"/>
      <c r="C6899" s="2"/>
      <c r="D6899" s="2"/>
      <c r="I6899" s="9"/>
      <c r="J6899" s="2"/>
      <c r="L6899" s="9"/>
      <c r="M6899" s="2"/>
      <c r="N6899" s="9"/>
      <c r="P6899" s="3">
        <v>0</v>
      </c>
      <c r="S6899" s="9"/>
      <c r="T6899" s="2"/>
      <c r="U6899" s="9"/>
    </row>
    <row r="6900" spans="2:21" x14ac:dyDescent="0.35">
      <c r="B6900" s="9"/>
      <c r="C6900" s="2"/>
      <c r="D6900" s="2"/>
      <c r="I6900" s="9"/>
      <c r="J6900" s="2"/>
      <c r="L6900" s="9"/>
      <c r="M6900" s="2"/>
      <c r="N6900" s="9"/>
      <c r="P6900" s="3">
        <v>0</v>
      </c>
      <c r="S6900" s="9"/>
      <c r="T6900" s="2"/>
      <c r="U6900" s="9"/>
    </row>
    <row r="6901" spans="2:21" x14ac:dyDescent="0.35">
      <c r="B6901" s="9"/>
      <c r="C6901" s="2"/>
      <c r="D6901" s="2"/>
      <c r="I6901" s="9"/>
      <c r="J6901" s="2"/>
      <c r="L6901" s="9"/>
      <c r="M6901" s="2"/>
      <c r="N6901" s="9"/>
      <c r="P6901" s="3">
        <v>0</v>
      </c>
      <c r="S6901" s="9"/>
      <c r="T6901" s="2"/>
      <c r="U6901" s="9"/>
    </row>
    <row r="6902" spans="2:21" x14ac:dyDescent="0.35">
      <c r="B6902" s="9"/>
      <c r="C6902" s="2"/>
      <c r="D6902" s="2"/>
      <c r="I6902" s="9"/>
      <c r="J6902" s="2"/>
      <c r="L6902" s="9"/>
      <c r="M6902" s="2"/>
      <c r="N6902" s="9"/>
      <c r="P6902" s="3">
        <v>0</v>
      </c>
      <c r="S6902" s="9"/>
      <c r="T6902" s="2"/>
      <c r="U6902" s="9"/>
    </row>
    <row r="6903" spans="2:21" x14ac:dyDescent="0.35">
      <c r="B6903" s="9"/>
      <c r="C6903" s="2"/>
      <c r="D6903" s="2"/>
      <c r="I6903" s="9"/>
      <c r="J6903" s="2"/>
      <c r="L6903" s="9"/>
      <c r="M6903" s="2"/>
      <c r="N6903" s="9"/>
      <c r="P6903" s="3">
        <v>0</v>
      </c>
      <c r="S6903" s="9"/>
      <c r="T6903" s="2"/>
      <c r="U6903" s="9"/>
    </row>
    <row r="6904" spans="2:21" x14ac:dyDescent="0.35">
      <c r="B6904" s="9"/>
      <c r="C6904" s="2"/>
      <c r="D6904" s="2"/>
      <c r="I6904" s="9"/>
      <c r="J6904" s="2"/>
      <c r="L6904" s="9"/>
      <c r="M6904" s="2"/>
      <c r="N6904" s="9"/>
      <c r="P6904" s="3">
        <v>0</v>
      </c>
      <c r="S6904" s="9"/>
      <c r="T6904" s="2"/>
      <c r="U6904" s="9"/>
    </row>
    <row r="6905" spans="2:21" x14ac:dyDescent="0.35">
      <c r="B6905" s="9"/>
      <c r="C6905" s="2"/>
      <c r="D6905" s="2"/>
      <c r="I6905" s="9"/>
      <c r="J6905" s="2"/>
      <c r="L6905" s="9"/>
      <c r="M6905" s="2"/>
      <c r="N6905" s="9"/>
      <c r="P6905" s="3">
        <v>0</v>
      </c>
      <c r="S6905" s="9"/>
      <c r="T6905" s="2"/>
      <c r="U6905" s="9"/>
    </row>
    <row r="6906" spans="2:21" x14ac:dyDescent="0.35">
      <c r="B6906" s="9"/>
      <c r="C6906" s="2"/>
      <c r="D6906" s="2"/>
      <c r="I6906" s="9"/>
      <c r="J6906" s="2"/>
      <c r="L6906" s="9"/>
      <c r="M6906" s="2"/>
      <c r="N6906" s="9"/>
      <c r="P6906" s="3">
        <v>0</v>
      </c>
      <c r="S6906" s="9"/>
      <c r="T6906" s="2"/>
      <c r="U6906" s="9"/>
    </row>
    <row r="6907" spans="2:21" x14ac:dyDescent="0.35">
      <c r="B6907" s="9"/>
      <c r="C6907" s="2"/>
      <c r="D6907" s="2"/>
      <c r="I6907" s="9"/>
      <c r="J6907" s="2"/>
      <c r="L6907" s="9"/>
      <c r="M6907" s="2"/>
      <c r="N6907" s="9"/>
      <c r="P6907" s="3">
        <v>-13.01283224</v>
      </c>
      <c r="S6907" s="9"/>
      <c r="T6907" s="2"/>
      <c r="U6907" s="9"/>
    </row>
    <row r="6908" spans="2:21" x14ac:dyDescent="0.35">
      <c r="B6908" s="9"/>
      <c r="C6908" s="2"/>
      <c r="D6908" s="2"/>
      <c r="I6908" s="9"/>
      <c r="J6908" s="2"/>
      <c r="L6908" s="9"/>
      <c r="M6908" s="2"/>
      <c r="N6908" s="9"/>
      <c r="P6908" s="3">
        <v>-447.77283224000001</v>
      </c>
      <c r="S6908" s="9"/>
      <c r="T6908" s="2"/>
      <c r="U6908" s="9"/>
    </row>
    <row r="6909" spans="2:21" x14ac:dyDescent="0.35">
      <c r="B6909" s="9"/>
      <c r="C6909" s="2"/>
      <c r="D6909" s="2"/>
      <c r="I6909" s="9"/>
      <c r="J6909" s="2"/>
      <c r="L6909" s="9"/>
      <c r="M6909" s="2"/>
      <c r="N6909" s="9"/>
      <c r="P6909" s="3">
        <v>-882.53283223999995</v>
      </c>
      <c r="S6909" s="9"/>
      <c r="T6909" s="2"/>
      <c r="U6909" s="9"/>
    </row>
    <row r="6910" spans="2:21" x14ac:dyDescent="0.35">
      <c r="B6910" s="9"/>
      <c r="C6910" s="2"/>
      <c r="D6910" s="2"/>
      <c r="I6910" s="9"/>
      <c r="J6910" s="2"/>
      <c r="L6910" s="9"/>
      <c r="M6910" s="2"/>
      <c r="N6910" s="9"/>
      <c r="P6910" s="3">
        <v>-1317.2928322400001</v>
      </c>
      <c r="S6910" s="9"/>
      <c r="T6910" s="2"/>
      <c r="U6910" s="9"/>
    </row>
    <row r="6911" spans="2:21" x14ac:dyDescent="0.35">
      <c r="B6911" s="9"/>
      <c r="C6911" s="2"/>
      <c r="D6911" s="2"/>
      <c r="I6911" s="9"/>
      <c r="J6911" s="2"/>
      <c r="L6911" s="9"/>
      <c r="M6911" s="2"/>
      <c r="N6911" s="9"/>
      <c r="P6911" s="3">
        <v>-1752.05283224</v>
      </c>
      <c r="S6911" s="9"/>
      <c r="T6911" s="2"/>
      <c r="U6911" s="9"/>
    </row>
    <row r="6912" spans="2:21" x14ac:dyDescent="0.35">
      <c r="B6912" s="9"/>
      <c r="C6912" s="2"/>
      <c r="D6912" s="2"/>
      <c r="I6912" s="9"/>
      <c r="J6912" s="2"/>
      <c r="L6912" s="9"/>
      <c r="M6912" s="2"/>
      <c r="N6912" s="9"/>
      <c r="P6912" s="3">
        <v>-1750.69450697</v>
      </c>
      <c r="S6912" s="9"/>
      <c r="T6912" s="2"/>
      <c r="U6912" s="9"/>
    </row>
    <row r="6913" spans="2:21" x14ac:dyDescent="0.35">
      <c r="B6913" s="9"/>
      <c r="C6913" s="2"/>
      <c r="D6913" s="2"/>
      <c r="I6913" s="9"/>
      <c r="J6913" s="2"/>
      <c r="L6913" s="9"/>
      <c r="M6913" s="2"/>
      <c r="N6913" s="9"/>
      <c r="P6913" s="3">
        <v>-1959.78057773</v>
      </c>
      <c r="S6913" s="9"/>
      <c r="T6913" s="2"/>
      <c r="U6913" s="9"/>
    </row>
    <row r="6914" spans="2:21" x14ac:dyDescent="0.35">
      <c r="B6914" s="9"/>
      <c r="C6914" s="2"/>
      <c r="D6914" s="2"/>
      <c r="I6914" s="9"/>
      <c r="J6914" s="2"/>
      <c r="L6914" s="9"/>
      <c r="M6914" s="2"/>
      <c r="N6914" s="9"/>
      <c r="P6914" s="3">
        <v>-2256.8667882300001</v>
      </c>
      <c r="S6914" s="9"/>
      <c r="T6914" s="2"/>
      <c r="U6914" s="9"/>
    </row>
    <row r="6915" spans="2:21" x14ac:dyDescent="0.35">
      <c r="B6915" s="9"/>
      <c r="C6915" s="2"/>
      <c r="D6915" s="2"/>
      <c r="I6915" s="9"/>
      <c r="J6915" s="2"/>
      <c r="L6915" s="9"/>
      <c r="M6915" s="2"/>
      <c r="N6915" s="9"/>
      <c r="P6915" s="3">
        <v>-2269.4502686000001</v>
      </c>
      <c r="S6915" s="9"/>
      <c r="T6915" s="2"/>
      <c r="U6915" s="9"/>
    </row>
    <row r="6916" spans="2:21" x14ac:dyDescent="0.35">
      <c r="B6916" s="9"/>
      <c r="C6916" s="2"/>
      <c r="D6916" s="2"/>
      <c r="I6916" s="9"/>
      <c r="J6916" s="2"/>
      <c r="L6916" s="9"/>
      <c r="M6916" s="2"/>
      <c r="N6916" s="9"/>
      <c r="P6916" s="3">
        <v>-1856.2445688600001</v>
      </c>
      <c r="S6916" s="9"/>
      <c r="T6916" s="2"/>
      <c r="U6916" s="9"/>
    </row>
    <row r="6917" spans="2:21" x14ac:dyDescent="0.35">
      <c r="B6917" s="9"/>
      <c r="C6917" s="2"/>
      <c r="D6917" s="2"/>
      <c r="I6917" s="9"/>
      <c r="J6917" s="2"/>
      <c r="L6917" s="9"/>
      <c r="M6917" s="2"/>
      <c r="N6917" s="9"/>
      <c r="P6917" s="3">
        <v>-1583.29287886</v>
      </c>
      <c r="S6917" s="9"/>
      <c r="T6917" s="2"/>
      <c r="U6917" s="9"/>
    </row>
    <row r="6918" spans="2:21" x14ac:dyDescent="0.35">
      <c r="B6918" s="9"/>
      <c r="C6918" s="2"/>
      <c r="D6918" s="2"/>
      <c r="I6918" s="9"/>
      <c r="J6918" s="2"/>
      <c r="L6918" s="9"/>
      <c r="M6918" s="2"/>
      <c r="N6918" s="9"/>
      <c r="P6918" s="3">
        <v>-1357.1912488600001</v>
      </c>
      <c r="S6918" s="9"/>
      <c r="T6918" s="2"/>
      <c r="U6918" s="9"/>
    </row>
    <row r="6919" spans="2:21" x14ac:dyDescent="0.35">
      <c r="B6919" s="9"/>
      <c r="C6919" s="2"/>
      <c r="D6919" s="2"/>
      <c r="I6919" s="9"/>
      <c r="J6919" s="2"/>
      <c r="L6919" s="9"/>
      <c r="M6919" s="2"/>
      <c r="N6919" s="9"/>
      <c r="P6919" s="3">
        <v>-1089.21026886</v>
      </c>
      <c r="S6919" s="9"/>
      <c r="T6919" s="2"/>
      <c r="U6919" s="9"/>
    </row>
    <row r="6920" spans="2:21" x14ac:dyDescent="0.35">
      <c r="B6920" s="9"/>
      <c r="C6920" s="2"/>
      <c r="D6920" s="2"/>
      <c r="I6920" s="9"/>
      <c r="J6920" s="2"/>
      <c r="L6920" s="9"/>
      <c r="M6920" s="2"/>
      <c r="N6920" s="9"/>
      <c r="P6920" s="3">
        <v>-912.46144886000002</v>
      </c>
      <c r="S6920" s="9"/>
      <c r="T6920" s="2"/>
      <c r="U6920" s="9"/>
    </row>
    <row r="6921" spans="2:21" x14ac:dyDescent="0.35">
      <c r="B6921" s="9"/>
      <c r="C6921" s="2"/>
      <c r="D6921" s="2"/>
      <c r="I6921" s="9"/>
      <c r="J6921" s="2"/>
      <c r="L6921" s="9"/>
      <c r="M6921" s="2"/>
      <c r="N6921" s="9"/>
      <c r="P6921" s="3">
        <v>-721.56800885999996</v>
      </c>
      <c r="S6921" s="9"/>
      <c r="T6921" s="2"/>
      <c r="U6921" s="9"/>
    </row>
    <row r="6922" spans="2:21" x14ac:dyDescent="0.35">
      <c r="B6922" s="9"/>
      <c r="C6922" s="2"/>
      <c r="D6922" s="2"/>
      <c r="I6922" s="9"/>
      <c r="J6922" s="2"/>
      <c r="L6922" s="9"/>
      <c r="M6922" s="2"/>
      <c r="N6922" s="9"/>
      <c r="P6922" s="3">
        <v>-561.66322886</v>
      </c>
      <c r="S6922" s="9"/>
      <c r="T6922" s="2"/>
      <c r="U6922" s="9"/>
    </row>
    <row r="6923" spans="2:21" x14ac:dyDescent="0.35">
      <c r="B6923" s="9"/>
      <c r="C6923" s="2"/>
      <c r="D6923" s="2"/>
      <c r="I6923" s="9"/>
      <c r="J6923" s="2"/>
      <c r="L6923" s="9"/>
      <c r="M6923" s="2"/>
      <c r="N6923" s="9"/>
      <c r="P6923" s="3">
        <v>-342.01062237999997</v>
      </c>
      <c r="S6923" s="9"/>
      <c r="T6923" s="2"/>
      <c r="U6923" s="9"/>
    </row>
    <row r="6924" spans="2:21" x14ac:dyDescent="0.35">
      <c r="B6924" s="9"/>
      <c r="C6924" s="2"/>
      <c r="D6924" s="2"/>
      <c r="I6924" s="9"/>
      <c r="J6924" s="2"/>
      <c r="L6924" s="9"/>
      <c r="M6924" s="2"/>
      <c r="N6924" s="9"/>
      <c r="P6924" s="3">
        <v>-165.82066589999999</v>
      </c>
      <c r="S6924" s="9"/>
      <c r="T6924" s="2"/>
      <c r="U6924" s="9"/>
    </row>
    <row r="6925" spans="2:21" x14ac:dyDescent="0.35">
      <c r="B6925" s="9"/>
      <c r="C6925" s="2"/>
      <c r="D6925" s="2"/>
      <c r="I6925" s="9"/>
      <c r="J6925" s="2"/>
      <c r="L6925" s="9"/>
      <c r="M6925" s="2"/>
      <c r="N6925" s="9"/>
      <c r="P6925" s="3">
        <v>4.7415365500000002</v>
      </c>
      <c r="S6925" s="9"/>
      <c r="T6925" s="2"/>
      <c r="U6925" s="9"/>
    </row>
    <row r="6926" spans="2:21" x14ac:dyDescent="0.35">
      <c r="B6926" s="9"/>
      <c r="C6926" s="2"/>
      <c r="D6926" s="2"/>
      <c r="I6926" s="9"/>
      <c r="J6926" s="2"/>
      <c r="L6926" s="9"/>
      <c r="M6926" s="2"/>
      <c r="N6926" s="9"/>
      <c r="P6926" s="3">
        <v>-430.01846345000001</v>
      </c>
      <c r="S6926" s="9"/>
      <c r="T6926" s="2"/>
      <c r="U6926" s="9"/>
    </row>
    <row r="6927" spans="2:21" x14ac:dyDescent="0.35">
      <c r="B6927" s="9"/>
      <c r="C6927" s="2"/>
      <c r="D6927" s="2"/>
      <c r="I6927" s="9"/>
      <c r="J6927" s="2"/>
      <c r="L6927" s="9"/>
      <c r="M6927" s="2"/>
      <c r="N6927" s="9"/>
      <c r="P6927" s="3">
        <v>-864.77846345</v>
      </c>
      <c r="S6927" s="9"/>
      <c r="T6927" s="2"/>
      <c r="U6927" s="9"/>
    </row>
    <row r="6928" spans="2:21" x14ac:dyDescent="0.35">
      <c r="B6928" s="9"/>
      <c r="C6928" s="2"/>
      <c r="D6928" s="2"/>
      <c r="I6928" s="9"/>
      <c r="J6928" s="2"/>
      <c r="L6928" s="9"/>
      <c r="M6928" s="2"/>
      <c r="N6928" s="9"/>
      <c r="P6928" s="3">
        <v>-430.01846345000001</v>
      </c>
      <c r="S6928" s="9"/>
      <c r="T6928" s="2"/>
      <c r="U6928" s="9"/>
    </row>
    <row r="6929" spans="2:21" x14ac:dyDescent="0.35">
      <c r="B6929" s="9"/>
      <c r="C6929" s="2"/>
      <c r="D6929" s="2"/>
      <c r="I6929" s="9"/>
      <c r="J6929" s="2"/>
      <c r="L6929" s="9"/>
      <c r="M6929" s="2"/>
      <c r="N6929" s="9"/>
      <c r="P6929" s="3">
        <v>0</v>
      </c>
      <c r="S6929" s="9"/>
      <c r="T6929" s="2"/>
      <c r="U6929" s="9"/>
    </row>
    <row r="6930" spans="2:21" x14ac:dyDescent="0.35">
      <c r="B6930" s="9"/>
      <c r="C6930" s="2"/>
      <c r="D6930" s="2"/>
      <c r="I6930" s="9"/>
      <c r="J6930" s="2"/>
      <c r="L6930" s="9"/>
      <c r="M6930" s="2"/>
      <c r="N6930" s="9"/>
      <c r="P6930" s="3">
        <v>0</v>
      </c>
      <c r="S6930" s="9"/>
      <c r="T6930" s="2"/>
      <c r="U6930" s="9"/>
    </row>
    <row r="6931" spans="2:21" x14ac:dyDescent="0.35">
      <c r="B6931" s="9"/>
      <c r="C6931" s="2"/>
      <c r="D6931" s="2"/>
      <c r="I6931" s="9"/>
      <c r="J6931" s="2"/>
      <c r="L6931" s="9"/>
      <c r="M6931" s="2"/>
      <c r="N6931" s="9"/>
      <c r="P6931" s="3">
        <v>0</v>
      </c>
      <c r="S6931" s="9"/>
      <c r="T6931" s="2"/>
      <c r="U6931" s="9"/>
    </row>
    <row r="6932" spans="2:21" x14ac:dyDescent="0.35">
      <c r="B6932" s="9"/>
      <c r="C6932" s="2"/>
      <c r="D6932" s="2"/>
      <c r="I6932" s="9"/>
      <c r="J6932" s="2"/>
      <c r="L6932" s="9"/>
      <c r="M6932" s="2"/>
      <c r="N6932" s="9"/>
      <c r="P6932" s="3">
        <v>0</v>
      </c>
      <c r="S6932" s="9"/>
      <c r="T6932" s="2"/>
      <c r="U6932" s="9"/>
    </row>
    <row r="6933" spans="2:21" x14ac:dyDescent="0.35">
      <c r="B6933" s="9"/>
      <c r="C6933" s="2"/>
      <c r="D6933" s="2"/>
      <c r="I6933" s="9"/>
      <c r="J6933" s="2"/>
      <c r="L6933" s="9"/>
      <c r="M6933" s="2"/>
      <c r="N6933" s="9"/>
      <c r="P6933" s="3">
        <v>-113.38269697</v>
      </c>
      <c r="S6933" s="9"/>
      <c r="T6933" s="2"/>
      <c r="U6933" s="9"/>
    </row>
    <row r="6934" spans="2:21" x14ac:dyDescent="0.35">
      <c r="B6934" s="9"/>
      <c r="C6934" s="2"/>
      <c r="D6934" s="2"/>
      <c r="I6934" s="9"/>
      <c r="J6934" s="2"/>
      <c r="L6934" s="9"/>
      <c r="M6934" s="2"/>
      <c r="N6934" s="9"/>
      <c r="P6934" s="3">
        <v>-548.14269696999997</v>
      </c>
      <c r="S6934" s="9"/>
      <c r="T6934" s="2"/>
      <c r="U6934" s="9"/>
    </row>
    <row r="6935" spans="2:21" x14ac:dyDescent="0.35">
      <c r="B6935" s="9"/>
      <c r="C6935" s="2"/>
      <c r="D6935" s="2"/>
      <c r="I6935" s="9"/>
      <c r="J6935" s="2"/>
      <c r="L6935" s="9"/>
      <c r="M6935" s="2"/>
      <c r="N6935" s="9"/>
      <c r="P6935" s="3">
        <v>-113.38269697</v>
      </c>
      <c r="S6935" s="9"/>
      <c r="T6935" s="2"/>
      <c r="U6935" s="9"/>
    </row>
    <row r="6936" spans="2:21" x14ac:dyDescent="0.35">
      <c r="B6936" s="9"/>
      <c r="C6936" s="2"/>
      <c r="D6936" s="2"/>
      <c r="I6936" s="9"/>
      <c r="J6936" s="2"/>
      <c r="L6936" s="9"/>
      <c r="M6936" s="2"/>
      <c r="N6936" s="9"/>
      <c r="P6936" s="3">
        <v>321.37730303000001</v>
      </c>
      <c r="S6936" s="9"/>
      <c r="T6936" s="2"/>
      <c r="U6936" s="9"/>
    </row>
    <row r="6937" spans="2:21" x14ac:dyDescent="0.35">
      <c r="B6937" s="9"/>
      <c r="C6937" s="2"/>
      <c r="D6937" s="2"/>
      <c r="I6937" s="9"/>
      <c r="J6937" s="2"/>
      <c r="L6937" s="9"/>
      <c r="M6937" s="2"/>
      <c r="N6937" s="9"/>
      <c r="P6937" s="3">
        <v>311.40860227000002</v>
      </c>
      <c r="S6937" s="9"/>
      <c r="T6937" s="2"/>
      <c r="U6937" s="9"/>
    </row>
    <row r="6938" spans="2:21" x14ac:dyDescent="0.35">
      <c r="B6938" s="9"/>
      <c r="C6938" s="2"/>
      <c r="D6938" s="2"/>
      <c r="I6938" s="9"/>
      <c r="J6938" s="2"/>
      <c r="L6938" s="9"/>
      <c r="M6938" s="2"/>
      <c r="N6938" s="9"/>
      <c r="P6938" s="3">
        <v>187.92591177</v>
      </c>
      <c r="S6938" s="9"/>
      <c r="T6938" s="2"/>
      <c r="U6938" s="9"/>
    </row>
    <row r="6939" spans="2:21" x14ac:dyDescent="0.35">
      <c r="B6939" s="9"/>
      <c r="C6939" s="2"/>
      <c r="D6939" s="2"/>
      <c r="I6939" s="9"/>
      <c r="J6939" s="2"/>
      <c r="L6939" s="9"/>
      <c r="M6939" s="2"/>
      <c r="N6939" s="9"/>
      <c r="P6939" s="3">
        <v>219.09192139999999</v>
      </c>
      <c r="S6939" s="9"/>
      <c r="T6939" s="2"/>
      <c r="U6939" s="9"/>
    </row>
    <row r="6940" spans="2:21" x14ac:dyDescent="0.35">
      <c r="B6940" s="9"/>
      <c r="C6940" s="2"/>
      <c r="D6940" s="2"/>
      <c r="I6940" s="9"/>
      <c r="J6940" s="2"/>
      <c r="L6940" s="9"/>
      <c r="M6940" s="2"/>
      <c r="N6940" s="9"/>
      <c r="P6940" s="3">
        <v>363.78272113999998</v>
      </c>
      <c r="S6940" s="9"/>
      <c r="T6940" s="2"/>
      <c r="U6940" s="9"/>
    </row>
    <row r="6941" spans="2:21" x14ac:dyDescent="0.35">
      <c r="B6941" s="9"/>
      <c r="C6941" s="2"/>
      <c r="D6941" s="2"/>
      <c r="I6941" s="9"/>
      <c r="J6941" s="2"/>
      <c r="L6941" s="9"/>
      <c r="M6941" s="2"/>
      <c r="N6941" s="9"/>
      <c r="P6941" s="3">
        <v>479.02637113999998</v>
      </c>
      <c r="S6941" s="9"/>
      <c r="T6941" s="2"/>
      <c r="U6941" s="9"/>
    </row>
    <row r="6942" spans="2:21" x14ac:dyDescent="0.35">
      <c r="B6942" s="9"/>
      <c r="C6942" s="2"/>
      <c r="D6942" s="2"/>
      <c r="I6942" s="9"/>
      <c r="J6942" s="2"/>
      <c r="L6942" s="9"/>
      <c r="M6942" s="2"/>
      <c r="N6942" s="9"/>
      <c r="P6942" s="3">
        <v>573.58275114000003</v>
      </c>
      <c r="S6942" s="9"/>
      <c r="T6942" s="2"/>
      <c r="U6942" s="9"/>
    </row>
    <row r="6943" spans="2:21" x14ac:dyDescent="0.35">
      <c r="B6943" s="9"/>
      <c r="C6943" s="2"/>
      <c r="D6943" s="2"/>
      <c r="I6943" s="9"/>
      <c r="J6943" s="2"/>
      <c r="L6943" s="9"/>
      <c r="M6943" s="2"/>
      <c r="N6943" s="9"/>
      <c r="P6943" s="3">
        <v>644.82344114</v>
      </c>
      <c r="S6943" s="9"/>
      <c r="T6943" s="2"/>
      <c r="U6943" s="9"/>
    </row>
    <row r="6944" spans="2:21" x14ac:dyDescent="0.35">
      <c r="B6944" s="9"/>
      <c r="C6944" s="2"/>
      <c r="D6944" s="2"/>
      <c r="I6944" s="9"/>
      <c r="J6944" s="2"/>
      <c r="L6944" s="9"/>
      <c r="M6944" s="2"/>
      <c r="N6944" s="9"/>
      <c r="P6944" s="3">
        <v>680.96386113999995</v>
      </c>
      <c r="S6944" s="9"/>
      <c r="T6944" s="2"/>
      <c r="U6944" s="9"/>
    </row>
    <row r="6945" spans="2:21" x14ac:dyDescent="0.35">
      <c r="B6945" s="9"/>
      <c r="C6945" s="2"/>
      <c r="D6945" s="2"/>
      <c r="I6945" s="9"/>
      <c r="J6945" s="2"/>
      <c r="L6945" s="9"/>
      <c r="M6945" s="2"/>
      <c r="N6945" s="9"/>
      <c r="P6945" s="3">
        <v>696.09183113999995</v>
      </c>
      <c r="S6945" s="9"/>
      <c r="T6945" s="2"/>
      <c r="U6945" s="9"/>
    </row>
    <row r="6946" spans="2:21" x14ac:dyDescent="0.35">
      <c r="B6946" s="9"/>
      <c r="C6946" s="2"/>
      <c r="D6946" s="2"/>
      <c r="I6946" s="9"/>
      <c r="J6946" s="2"/>
      <c r="L6946" s="9"/>
      <c r="M6946" s="2"/>
      <c r="N6946" s="9"/>
      <c r="P6946" s="3">
        <v>714.01294113999995</v>
      </c>
      <c r="S6946" s="9"/>
      <c r="T6946" s="2"/>
      <c r="U6946" s="9"/>
    </row>
    <row r="6947" spans="2:21" x14ac:dyDescent="0.35">
      <c r="B6947" s="9"/>
      <c r="C6947" s="2"/>
      <c r="D6947" s="2"/>
      <c r="I6947" s="9"/>
      <c r="J6947" s="2"/>
      <c r="L6947" s="9"/>
      <c r="M6947" s="2"/>
      <c r="N6947" s="9"/>
      <c r="P6947" s="3">
        <v>826.83255761999999</v>
      </c>
      <c r="S6947" s="9"/>
      <c r="T6947" s="2"/>
      <c r="U6947" s="9"/>
    </row>
    <row r="6948" spans="2:21" x14ac:dyDescent="0.35">
      <c r="B6948" s="9"/>
      <c r="C6948" s="2"/>
      <c r="D6948" s="2"/>
      <c r="I6948" s="9"/>
      <c r="J6948" s="2"/>
      <c r="L6948" s="9"/>
      <c r="M6948" s="2"/>
      <c r="N6948" s="9"/>
      <c r="P6948" s="3">
        <v>948.31630410000002</v>
      </c>
      <c r="S6948" s="9"/>
      <c r="T6948" s="2"/>
      <c r="U6948" s="9"/>
    </row>
    <row r="6949" spans="2:21" x14ac:dyDescent="0.35">
      <c r="B6949" s="9"/>
      <c r="C6949" s="2"/>
      <c r="D6949" s="2"/>
      <c r="I6949" s="9"/>
      <c r="J6949" s="2"/>
      <c r="L6949" s="9"/>
      <c r="M6949" s="2"/>
      <c r="N6949" s="9"/>
      <c r="P6949" s="3">
        <v>1060.9339865500001</v>
      </c>
      <c r="S6949" s="9"/>
      <c r="T6949" s="2"/>
      <c r="U6949" s="9"/>
    </row>
    <row r="6950" spans="2:21" x14ac:dyDescent="0.35">
      <c r="B6950" s="9"/>
      <c r="C6950" s="2"/>
      <c r="D6950" s="2"/>
      <c r="I6950" s="9"/>
      <c r="J6950" s="2"/>
      <c r="L6950" s="9"/>
      <c r="M6950" s="2"/>
      <c r="N6950" s="9"/>
      <c r="P6950" s="3">
        <v>670.77256303000001</v>
      </c>
      <c r="S6950" s="9"/>
      <c r="T6950" s="2"/>
      <c r="U6950" s="9"/>
    </row>
    <row r="6951" spans="2:21" x14ac:dyDescent="0.35">
      <c r="B6951" s="9"/>
      <c r="C6951" s="2"/>
      <c r="D6951" s="2"/>
      <c r="I6951" s="9"/>
      <c r="J6951" s="2"/>
      <c r="L6951" s="9"/>
      <c r="M6951" s="2"/>
      <c r="N6951" s="9"/>
      <c r="P6951" s="3">
        <v>236.01256303</v>
      </c>
      <c r="S6951" s="9"/>
      <c r="T6951" s="2"/>
      <c r="U6951" s="9"/>
    </row>
    <row r="6952" spans="2:21" x14ac:dyDescent="0.35">
      <c r="B6952" s="9"/>
      <c r="C6952" s="2"/>
      <c r="D6952" s="2"/>
      <c r="I6952" s="9"/>
      <c r="J6952" s="2"/>
      <c r="L6952" s="9"/>
      <c r="M6952" s="2"/>
      <c r="N6952" s="9"/>
      <c r="P6952" s="3">
        <v>-198.74743697</v>
      </c>
      <c r="S6952" s="9"/>
      <c r="T6952" s="2"/>
      <c r="U6952" s="9"/>
    </row>
    <row r="6953" spans="2:21" x14ac:dyDescent="0.35">
      <c r="B6953" s="9"/>
      <c r="C6953" s="2"/>
      <c r="D6953" s="2"/>
      <c r="I6953" s="9"/>
      <c r="J6953" s="2"/>
      <c r="L6953" s="9"/>
      <c r="M6953" s="2"/>
      <c r="N6953" s="9"/>
      <c r="P6953" s="3">
        <v>0</v>
      </c>
      <c r="S6953" s="9"/>
      <c r="T6953" s="2"/>
      <c r="U6953" s="9"/>
    </row>
    <row r="6954" spans="2:21" x14ac:dyDescent="0.35">
      <c r="B6954" s="9"/>
      <c r="C6954" s="2"/>
      <c r="D6954" s="2"/>
      <c r="I6954" s="9"/>
      <c r="J6954" s="2"/>
      <c r="L6954" s="9"/>
      <c r="M6954" s="2"/>
      <c r="N6954" s="9"/>
      <c r="P6954" s="3">
        <v>-341.29117330000003</v>
      </c>
      <c r="S6954" s="9"/>
      <c r="T6954" s="2"/>
      <c r="U6954" s="9"/>
    </row>
    <row r="6955" spans="2:21" x14ac:dyDescent="0.35">
      <c r="B6955" s="9"/>
      <c r="C6955" s="2"/>
      <c r="D6955" s="2"/>
      <c r="I6955" s="9"/>
      <c r="J6955" s="2"/>
      <c r="L6955" s="9"/>
      <c r="M6955" s="2"/>
      <c r="N6955" s="9"/>
      <c r="P6955" s="3">
        <v>-776.05117329999996</v>
      </c>
      <c r="S6955" s="9"/>
      <c r="T6955" s="2"/>
      <c r="U6955" s="9"/>
    </row>
    <row r="6956" spans="2:21" x14ac:dyDescent="0.35">
      <c r="B6956" s="9"/>
      <c r="C6956" s="2"/>
      <c r="D6956" s="2"/>
      <c r="I6956" s="9"/>
      <c r="J6956" s="2"/>
      <c r="L6956" s="9"/>
      <c r="M6956" s="2"/>
      <c r="N6956" s="9"/>
      <c r="P6956" s="3">
        <v>-682.28161696999996</v>
      </c>
      <c r="S6956" s="9"/>
      <c r="T6956" s="2"/>
      <c r="U6956" s="9"/>
    </row>
    <row r="6957" spans="2:21" x14ac:dyDescent="0.35">
      <c r="B6957" s="9"/>
      <c r="C6957" s="2"/>
      <c r="D6957" s="2"/>
      <c r="I6957" s="9"/>
      <c r="J6957" s="2"/>
      <c r="L6957" s="9"/>
      <c r="M6957" s="2"/>
      <c r="N6957" s="9"/>
      <c r="P6957" s="3">
        <v>-247.52161697</v>
      </c>
      <c r="S6957" s="9"/>
      <c r="T6957" s="2"/>
      <c r="U6957" s="9"/>
    </row>
    <row r="6958" spans="2:21" x14ac:dyDescent="0.35">
      <c r="B6958" s="9"/>
      <c r="C6958" s="2"/>
      <c r="D6958" s="2"/>
      <c r="I6958" s="9"/>
      <c r="J6958" s="2"/>
      <c r="L6958" s="9"/>
      <c r="M6958" s="2"/>
      <c r="N6958" s="9"/>
      <c r="P6958" s="3">
        <v>187.23838302999999</v>
      </c>
      <c r="S6958" s="9"/>
      <c r="T6958" s="2"/>
      <c r="U6958" s="9"/>
    </row>
    <row r="6959" spans="2:21" x14ac:dyDescent="0.35">
      <c r="B6959" s="9"/>
      <c r="C6959" s="2"/>
      <c r="D6959" s="2"/>
      <c r="I6959" s="9"/>
      <c r="J6959" s="2"/>
      <c r="L6959" s="9"/>
      <c r="M6959" s="2"/>
      <c r="N6959" s="9"/>
      <c r="P6959" s="3">
        <v>621.99838303000001</v>
      </c>
      <c r="S6959" s="9"/>
      <c r="T6959" s="2"/>
      <c r="U6959" s="9"/>
    </row>
    <row r="6960" spans="2:21" x14ac:dyDescent="0.35">
      <c r="B6960" s="9"/>
      <c r="C6960" s="2"/>
      <c r="D6960" s="2"/>
      <c r="I6960" s="9"/>
      <c r="J6960" s="2"/>
      <c r="L6960" s="9"/>
      <c r="M6960" s="2"/>
      <c r="N6960" s="9"/>
      <c r="P6960" s="3">
        <v>1056.75838303</v>
      </c>
      <c r="S6960" s="9"/>
      <c r="T6960" s="2"/>
      <c r="U6960" s="9"/>
    </row>
    <row r="6961" spans="2:21" x14ac:dyDescent="0.35">
      <c r="B6961" s="9"/>
      <c r="C6961" s="2"/>
      <c r="D6961" s="2"/>
      <c r="I6961" s="9"/>
      <c r="J6961" s="2"/>
      <c r="L6961" s="9"/>
      <c r="M6961" s="2"/>
      <c r="N6961" s="9"/>
      <c r="P6961" s="3">
        <v>1007.50325227</v>
      </c>
      <c r="S6961" s="9"/>
      <c r="T6961" s="2"/>
      <c r="U6961" s="9"/>
    </row>
    <row r="6962" spans="2:21" x14ac:dyDescent="0.35">
      <c r="B6962" s="9"/>
      <c r="C6962" s="2"/>
      <c r="D6962" s="2"/>
      <c r="I6962" s="9"/>
      <c r="J6962" s="2"/>
      <c r="L6962" s="9"/>
      <c r="M6962" s="2"/>
      <c r="N6962" s="9"/>
      <c r="P6962" s="3">
        <v>894.59601177000002</v>
      </c>
      <c r="S6962" s="9"/>
      <c r="T6962" s="2"/>
      <c r="U6962" s="9"/>
    </row>
    <row r="6963" spans="2:21" x14ac:dyDescent="0.35">
      <c r="B6963" s="9"/>
      <c r="C6963" s="2"/>
      <c r="D6963" s="2"/>
      <c r="I6963" s="9"/>
      <c r="J6963" s="2"/>
      <c r="L6963" s="9"/>
      <c r="M6963" s="2"/>
      <c r="N6963" s="9"/>
      <c r="P6963" s="3">
        <v>819.60637139999994</v>
      </c>
      <c r="S6963" s="9"/>
      <c r="T6963" s="2"/>
      <c r="U6963" s="9"/>
    </row>
    <row r="6964" spans="2:21" x14ac:dyDescent="0.35">
      <c r="B6964" s="9"/>
      <c r="C6964" s="2"/>
      <c r="D6964" s="2"/>
      <c r="I6964" s="9"/>
      <c r="J6964" s="2"/>
      <c r="L6964" s="9"/>
      <c r="M6964" s="2"/>
      <c r="N6964" s="9"/>
      <c r="P6964" s="3">
        <v>743.19678113999998</v>
      </c>
      <c r="S6964" s="9"/>
      <c r="T6964" s="2"/>
      <c r="U6964" s="9"/>
    </row>
    <row r="6965" spans="2:21" x14ac:dyDescent="0.35">
      <c r="B6965" s="9"/>
      <c r="C6965" s="2"/>
      <c r="D6965" s="2"/>
      <c r="I6965" s="9"/>
      <c r="J6965" s="2"/>
      <c r="L6965" s="9"/>
      <c r="M6965" s="2"/>
      <c r="N6965" s="9"/>
      <c r="P6965" s="3">
        <v>688.04398114000003</v>
      </c>
      <c r="S6965" s="9"/>
      <c r="T6965" s="2"/>
      <c r="U6965" s="9"/>
    </row>
    <row r="6966" spans="2:21" x14ac:dyDescent="0.35">
      <c r="B6966" s="9"/>
      <c r="C6966" s="2"/>
      <c r="D6966" s="2"/>
      <c r="I6966" s="9"/>
      <c r="J6966" s="2"/>
      <c r="L6966" s="9"/>
      <c r="M6966" s="2"/>
      <c r="N6966" s="9"/>
      <c r="P6966" s="3">
        <v>598.78491113999996</v>
      </c>
      <c r="S6966" s="9"/>
      <c r="T6966" s="2"/>
      <c r="U6966" s="9"/>
    </row>
    <row r="6967" spans="2:21" x14ac:dyDescent="0.35">
      <c r="B6967" s="9"/>
      <c r="C6967" s="2"/>
      <c r="D6967" s="2"/>
      <c r="I6967" s="9"/>
      <c r="J6967" s="2"/>
      <c r="L6967" s="9"/>
      <c r="M6967" s="2"/>
      <c r="N6967" s="9"/>
      <c r="P6967" s="3">
        <v>448.18184114000002</v>
      </c>
      <c r="S6967" s="9"/>
      <c r="T6967" s="2"/>
      <c r="U6967" s="9"/>
    </row>
    <row r="6968" spans="2:21" x14ac:dyDescent="0.35">
      <c r="B6968" s="9"/>
      <c r="C6968" s="2"/>
      <c r="D6968" s="2"/>
      <c r="I6968" s="9"/>
      <c r="J6968" s="2"/>
      <c r="L6968" s="9"/>
      <c r="M6968" s="2"/>
      <c r="N6968" s="9"/>
      <c r="P6968" s="3">
        <v>295.54817114000002</v>
      </c>
      <c r="S6968" s="9"/>
      <c r="T6968" s="2"/>
      <c r="U6968" s="9"/>
    </row>
    <row r="6969" spans="2:21" x14ac:dyDescent="0.35">
      <c r="B6969" s="9"/>
      <c r="C6969" s="2"/>
      <c r="D6969" s="2"/>
      <c r="I6969" s="9"/>
      <c r="J6969" s="2"/>
      <c r="L6969" s="9"/>
      <c r="M6969" s="2"/>
      <c r="N6969" s="9"/>
      <c r="P6969" s="3">
        <v>228.96650113999999</v>
      </c>
      <c r="S6969" s="9"/>
      <c r="T6969" s="2"/>
      <c r="U6969" s="9"/>
    </row>
    <row r="6970" spans="2:21" x14ac:dyDescent="0.35">
      <c r="B6970" s="9"/>
      <c r="C6970" s="2"/>
      <c r="D6970" s="2"/>
      <c r="I6970" s="9"/>
      <c r="J6970" s="2"/>
      <c r="L6970" s="9"/>
      <c r="M6970" s="2"/>
      <c r="N6970" s="9"/>
      <c r="P6970" s="3">
        <v>242.61128113999999</v>
      </c>
      <c r="S6970" s="9"/>
      <c r="T6970" s="2"/>
      <c r="U6970" s="9"/>
    </row>
    <row r="6971" spans="2:21" x14ac:dyDescent="0.35">
      <c r="B6971" s="9"/>
      <c r="C6971" s="2"/>
      <c r="D6971" s="2"/>
      <c r="I6971" s="9"/>
      <c r="J6971" s="2"/>
      <c r="L6971" s="9"/>
      <c r="M6971" s="2"/>
      <c r="N6971" s="9"/>
      <c r="P6971" s="3">
        <v>394.09607762000002</v>
      </c>
      <c r="S6971" s="9"/>
      <c r="T6971" s="2"/>
      <c r="U6971" s="9"/>
    </row>
    <row r="6972" spans="2:21" x14ac:dyDescent="0.35">
      <c r="B6972" s="9"/>
      <c r="C6972" s="2"/>
      <c r="D6972" s="2"/>
      <c r="I6972" s="9"/>
      <c r="J6972" s="2"/>
      <c r="L6972" s="9"/>
      <c r="M6972" s="2"/>
      <c r="N6972" s="9"/>
      <c r="P6972" s="3">
        <v>496.57028409999998</v>
      </c>
      <c r="S6972" s="9"/>
      <c r="T6972" s="2"/>
      <c r="U6972" s="9"/>
    </row>
    <row r="6973" spans="2:21" x14ac:dyDescent="0.35">
      <c r="B6973" s="9"/>
      <c r="C6973" s="2"/>
      <c r="D6973" s="2"/>
      <c r="I6973" s="9"/>
      <c r="J6973" s="2"/>
      <c r="L6973" s="9"/>
      <c r="M6973" s="2"/>
      <c r="N6973" s="9"/>
      <c r="P6973" s="3">
        <v>535.62770654999997</v>
      </c>
      <c r="S6973" s="9"/>
      <c r="T6973" s="2"/>
      <c r="U6973" s="9"/>
    </row>
    <row r="6974" spans="2:21" x14ac:dyDescent="0.35">
      <c r="B6974" s="9"/>
      <c r="C6974" s="2"/>
      <c r="D6974" s="2"/>
      <c r="I6974" s="9"/>
      <c r="J6974" s="2"/>
      <c r="L6974" s="9"/>
      <c r="M6974" s="2"/>
      <c r="N6974" s="9"/>
      <c r="P6974" s="3">
        <v>147.96051302999999</v>
      </c>
      <c r="S6974" s="9"/>
      <c r="T6974" s="2"/>
      <c r="U6974" s="9"/>
    </row>
    <row r="6975" spans="2:21" x14ac:dyDescent="0.35">
      <c r="B6975" s="9"/>
      <c r="C6975" s="2"/>
      <c r="D6975" s="2"/>
      <c r="I6975" s="9"/>
      <c r="J6975" s="2"/>
      <c r="L6975" s="9"/>
      <c r="M6975" s="2"/>
      <c r="N6975" s="9"/>
      <c r="P6975" s="3">
        <v>-286.79948696999998</v>
      </c>
      <c r="S6975" s="9"/>
      <c r="T6975" s="2"/>
      <c r="U6975" s="9"/>
    </row>
    <row r="6976" spans="2:21" x14ac:dyDescent="0.35">
      <c r="B6976" s="9"/>
      <c r="C6976" s="2"/>
      <c r="D6976" s="2"/>
      <c r="I6976" s="9"/>
      <c r="J6976" s="2"/>
      <c r="L6976" s="9"/>
      <c r="M6976" s="2"/>
      <c r="N6976" s="9"/>
      <c r="P6976" s="3">
        <v>-721.55948696999997</v>
      </c>
      <c r="S6976" s="9"/>
      <c r="T6976" s="2"/>
      <c r="U6976" s="9"/>
    </row>
    <row r="6977" spans="2:21" x14ac:dyDescent="0.35">
      <c r="B6977" s="9"/>
      <c r="C6977" s="2"/>
      <c r="D6977" s="2"/>
      <c r="I6977" s="9"/>
      <c r="J6977" s="2"/>
      <c r="L6977" s="9"/>
      <c r="M6977" s="2"/>
      <c r="N6977" s="9"/>
      <c r="P6977" s="3">
        <v>-1156.3194869700001</v>
      </c>
      <c r="S6977" s="9"/>
      <c r="T6977" s="2"/>
      <c r="U6977" s="9"/>
    </row>
    <row r="6978" spans="2:21" x14ac:dyDescent="0.35">
      <c r="B6978" s="9"/>
      <c r="C6978" s="2"/>
      <c r="D6978" s="2"/>
      <c r="I6978" s="9"/>
      <c r="J6978" s="2"/>
      <c r="L6978" s="9"/>
      <c r="M6978" s="2"/>
      <c r="N6978" s="9"/>
      <c r="P6978" s="3">
        <v>-1591.0794869700001</v>
      </c>
      <c r="S6978" s="9"/>
      <c r="T6978" s="2"/>
      <c r="U6978" s="9"/>
    </row>
    <row r="6979" spans="2:21" x14ac:dyDescent="0.35">
      <c r="B6979" s="9"/>
      <c r="C6979" s="2"/>
      <c r="D6979" s="2"/>
      <c r="I6979" s="9"/>
      <c r="J6979" s="2"/>
      <c r="L6979" s="9"/>
      <c r="M6979" s="2"/>
      <c r="N6979" s="9"/>
      <c r="P6979" s="3">
        <v>-2025.8394869700001</v>
      </c>
      <c r="S6979" s="9"/>
      <c r="T6979" s="2"/>
      <c r="U6979" s="9"/>
    </row>
    <row r="6980" spans="2:21" x14ac:dyDescent="0.35">
      <c r="B6980" s="9"/>
      <c r="C6980" s="2"/>
      <c r="D6980" s="2"/>
      <c r="I6980" s="9"/>
      <c r="J6980" s="2"/>
      <c r="L6980" s="9"/>
      <c r="M6980" s="2"/>
      <c r="N6980" s="9"/>
      <c r="P6980" s="3">
        <v>-2157.9342569700002</v>
      </c>
      <c r="S6980" s="9"/>
      <c r="T6980" s="2"/>
      <c r="U6980" s="9"/>
    </row>
    <row r="6981" spans="2:21" x14ac:dyDescent="0.35">
      <c r="B6981" s="9"/>
      <c r="C6981" s="2"/>
      <c r="D6981" s="2"/>
      <c r="I6981" s="9"/>
      <c r="J6981" s="2"/>
      <c r="L6981" s="9"/>
      <c r="M6981" s="2"/>
      <c r="N6981" s="9"/>
      <c r="P6981" s="3">
        <v>-1723.17425697</v>
      </c>
      <c r="S6981" s="9"/>
      <c r="T6981" s="2"/>
      <c r="U6981" s="9"/>
    </row>
    <row r="6982" spans="2:21" x14ac:dyDescent="0.35">
      <c r="B6982" s="9"/>
      <c r="C6982" s="2"/>
      <c r="D6982" s="2"/>
      <c r="I6982" s="9"/>
      <c r="J6982" s="2"/>
      <c r="L6982" s="9"/>
      <c r="M6982" s="2"/>
      <c r="N6982" s="9"/>
      <c r="P6982" s="3">
        <v>-1288.41425697</v>
      </c>
      <c r="S6982" s="9"/>
      <c r="T6982" s="2"/>
      <c r="U6982" s="9"/>
    </row>
    <row r="6983" spans="2:21" x14ac:dyDescent="0.35">
      <c r="B6983" s="9"/>
      <c r="C6983" s="2"/>
      <c r="D6983" s="2"/>
      <c r="I6983" s="9"/>
      <c r="J6983" s="2"/>
      <c r="L6983" s="9"/>
      <c r="M6983" s="2"/>
      <c r="N6983" s="9"/>
      <c r="P6983" s="3">
        <v>-853.65425697000001</v>
      </c>
      <c r="S6983" s="9"/>
      <c r="T6983" s="2"/>
      <c r="U6983" s="9"/>
    </row>
    <row r="6984" spans="2:21" x14ac:dyDescent="0.35">
      <c r="B6984" s="9"/>
      <c r="C6984" s="2"/>
      <c r="D6984" s="2"/>
      <c r="I6984" s="9"/>
      <c r="J6984" s="2"/>
      <c r="L6984" s="9"/>
      <c r="M6984" s="2"/>
      <c r="N6984" s="9"/>
      <c r="P6984" s="3">
        <v>-418.89425697000001</v>
      </c>
      <c r="S6984" s="9"/>
      <c r="T6984" s="2"/>
      <c r="U6984" s="9"/>
    </row>
    <row r="6985" spans="2:21" x14ac:dyDescent="0.35">
      <c r="B6985" s="9"/>
      <c r="C6985" s="2"/>
      <c r="D6985" s="2"/>
      <c r="I6985" s="9"/>
      <c r="J6985" s="2"/>
      <c r="L6985" s="9"/>
      <c r="M6985" s="2"/>
      <c r="N6985" s="9"/>
      <c r="P6985" s="3">
        <v>-681.59739773000001</v>
      </c>
      <c r="S6985" s="9"/>
      <c r="T6985" s="2"/>
      <c r="U6985" s="9"/>
    </row>
    <row r="6986" spans="2:21" x14ac:dyDescent="0.35">
      <c r="B6986" s="9"/>
      <c r="C6986" s="2"/>
      <c r="D6986" s="2"/>
      <c r="I6986" s="9"/>
      <c r="J6986" s="2"/>
      <c r="L6986" s="9"/>
      <c r="M6986" s="2"/>
      <c r="N6986" s="9"/>
      <c r="P6986" s="3">
        <v>-1116.35739773</v>
      </c>
      <c r="S6986" s="9"/>
      <c r="T6986" s="2"/>
      <c r="U6986" s="9"/>
    </row>
    <row r="6987" spans="2:21" x14ac:dyDescent="0.35">
      <c r="B6987" s="9"/>
      <c r="C6987" s="2"/>
      <c r="D6987" s="2"/>
      <c r="I6987" s="9"/>
      <c r="J6987" s="2"/>
      <c r="L6987" s="9"/>
      <c r="M6987" s="2"/>
      <c r="N6987" s="9"/>
      <c r="P6987" s="3">
        <v>-1551.11739773</v>
      </c>
      <c r="S6987" s="9"/>
      <c r="T6987" s="2"/>
      <c r="U6987" s="9"/>
    </row>
    <row r="6988" spans="2:21" x14ac:dyDescent="0.35">
      <c r="B6988" s="9"/>
      <c r="C6988" s="2"/>
      <c r="D6988" s="2"/>
      <c r="I6988" s="9"/>
      <c r="J6988" s="2"/>
      <c r="L6988" s="9"/>
      <c r="M6988" s="2"/>
      <c r="N6988" s="9"/>
      <c r="P6988" s="3">
        <v>-1985.87739773</v>
      </c>
      <c r="S6988" s="9"/>
      <c r="T6988" s="2"/>
      <c r="U6988" s="9"/>
    </row>
    <row r="6989" spans="2:21" x14ac:dyDescent="0.35">
      <c r="B6989" s="9"/>
      <c r="C6989" s="2"/>
      <c r="D6989" s="2"/>
      <c r="I6989" s="9"/>
      <c r="J6989" s="2"/>
      <c r="L6989" s="9"/>
      <c r="M6989" s="2"/>
      <c r="N6989" s="9"/>
      <c r="P6989" s="3">
        <v>-2420.63739773</v>
      </c>
      <c r="S6989" s="9"/>
      <c r="T6989" s="2"/>
      <c r="U6989" s="9"/>
    </row>
    <row r="6990" spans="2:21" x14ac:dyDescent="0.35">
      <c r="B6990" s="9"/>
      <c r="C6990" s="2"/>
      <c r="D6990" s="2"/>
      <c r="I6990" s="9"/>
      <c r="J6990" s="2"/>
      <c r="L6990" s="9"/>
      <c r="M6990" s="2"/>
      <c r="N6990" s="9"/>
      <c r="P6990" s="3">
        <v>-2855.3973977300002</v>
      </c>
      <c r="S6990" s="9"/>
      <c r="T6990" s="2"/>
      <c r="U6990" s="9"/>
    </row>
    <row r="6991" spans="2:21" x14ac:dyDescent="0.35">
      <c r="B6991" s="9"/>
      <c r="C6991" s="2"/>
      <c r="D6991" s="2"/>
      <c r="I6991" s="9"/>
      <c r="J6991" s="2"/>
      <c r="L6991" s="9"/>
      <c r="M6991" s="2"/>
      <c r="N6991" s="9"/>
      <c r="P6991" s="3">
        <v>-2860.169492</v>
      </c>
      <c r="S6991" s="9"/>
      <c r="T6991" s="2"/>
      <c r="U6991" s="9"/>
    </row>
    <row r="6992" spans="2:21" x14ac:dyDescent="0.35">
      <c r="B6992" s="9"/>
      <c r="C6992" s="2"/>
      <c r="D6992" s="2"/>
      <c r="I6992" s="9"/>
      <c r="J6992" s="2"/>
      <c r="L6992" s="9"/>
      <c r="M6992" s="2"/>
      <c r="N6992" s="9"/>
      <c r="P6992" s="3">
        <v>-2860.169492</v>
      </c>
      <c r="S6992" s="9"/>
      <c r="T6992" s="2"/>
      <c r="U6992" s="9"/>
    </row>
    <row r="6993" spans="2:21" x14ac:dyDescent="0.35">
      <c r="B6993" s="9"/>
      <c r="C6993" s="2"/>
      <c r="D6993" s="2"/>
      <c r="I6993" s="9"/>
      <c r="J6993" s="2"/>
      <c r="L6993" s="9"/>
      <c r="M6993" s="2"/>
      <c r="N6993" s="9"/>
      <c r="P6993" s="3">
        <v>-2860.169492</v>
      </c>
      <c r="S6993" s="9"/>
      <c r="T6993" s="2"/>
      <c r="U6993" s="9"/>
    </row>
    <row r="6994" spans="2:21" x14ac:dyDescent="0.35">
      <c r="B6994" s="9"/>
      <c r="C6994" s="2"/>
      <c r="D6994" s="2"/>
      <c r="I6994" s="9"/>
      <c r="J6994" s="2"/>
      <c r="L6994" s="9"/>
      <c r="M6994" s="2"/>
      <c r="N6994" s="9"/>
      <c r="P6994" s="3">
        <v>-2860.169492</v>
      </c>
      <c r="S6994" s="9"/>
      <c r="T6994" s="2"/>
      <c r="U6994" s="9"/>
    </row>
    <row r="6995" spans="2:21" x14ac:dyDescent="0.35">
      <c r="B6995" s="9"/>
      <c r="C6995" s="2"/>
      <c r="D6995" s="2"/>
      <c r="I6995" s="9"/>
      <c r="J6995" s="2"/>
      <c r="L6995" s="9"/>
      <c r="M6995" s="2"/>
      <c r="N6995" s="9"/>
      <c r="P6995" s="3">
        <v>-2860.169492</v>
      </c>
      <c r="S6995" s="9"/>
      <c r="T6995" s="2"/>
      <c r="U6995" s="9"/>
    </row>
    <row r="6996" spans="2:21" x14ac:dyDescent="0.35">
      <c r="B6996" s="9"/>
      <c r="C6996" s="2"/>
      <c r="D6996" s="2"/>
      <c r="I6996" s="9"/>
      <c r="J6996" s="2"/>
      <c r="L6996" s="9"/>
      <c r="M6996" s="2"/>
      <c r="N6996" s="9"/>
      <c r="P6996" s="3">
        <v>-2860.169492</v>
      </c>
      <c r="S6996" s="9"/>
      <c r="T6996" s="2"/>
      <c r="U6996" s="9"/>
    </row>
    <row r="6997" spans="2:21" x14ac:dyDescent="0.35">
      <c r="B6997" s="9"/>
      <c r="C6997" s="2"/>
      <c r="D6997" s="2"/>
      <c r="I6997" s="9"/>
      <c r="J6997" s="2"/>
      <c r="L6997" s="9"/>
      <c r="M6997" s="2"/>
      <c r="N6997" s="9"/>
      <c r="P6997" s="3">
        <v>-2860.169492</v>
      </c>
      <c r="S6997" s="9"/>
      <c r="T6997" s="2"/>
      <c r="U6997" s="9"/>
    </row>
    <row r="6998" spans="2:21" x14ac:dyDescent="0.35">
      <c r="B6998" s="9"/>
      <c r="C6998" s="2"/>
      <c r="D6998" s="2"/>
      <c r="I6998" s="9"/>
      <c r="J6998" s="2"/>
      <c r="L6998" s="9"/>
      <c r="M6998" s="2"/>
      <c r="N6998" s="9"/>
      <c r="P6998" s="3">
        <v>-2860.169492</v>
      </c>
      <c r="S6998" s="9"/>
      <c r="T6998" s="2"/>
      <c r="U6998" s="9"/>
    </row>
    <row r="6999" spans="2:21" x14ac:dyDescent="0.35">
      <c r="B6999" s="9"/>
      <c r="C6999" s="2"/>
      <c r="D6999" s="2"/>
      <c r="I6999" s="9"/>
      <c r="J6999" s="2"/>
      <c r="L6999" s="9"/>
      <c r="M6999" s="2"/>
      <c r="N6999" s="9"/>
      <c r="P6999" s="3">
        <v>-2860.169492</v>
      </c>
      <c r="S6999" s="9"/>
      <c r="T6999" s="2"/>
      <c r="U6999" s="9"/>
    </row>
    <row r="7000" spans="2:21" x14ac:dyDescent="0.35">
      <c r="B7000" s="9"/>
      <c r="C7000" s="2"/>
      <c r="D7000" s="2"/>
      <c r="I7000" s="9"/>
      <c r="J7000" s="2"/>
      <c r="L7000" s="9"/>
      <c r="M7000" s="2"/>
      <c r="N7000" s="9"/>
      <c r="P7000" s="3">
        <v>-2425.4094919999998</v>
      </c>
      <c r="S7000" s="9"/>
      <c r="T7000" s="2"/>
      <c r="U7000" s="9"/>
    </row>
    <row r="7001" spans="2:21" x14ac:dyDescent="0.35">
      <c r="B7001" s="9"/>
      <c r="C7001" s="2"/>
      <c r="D7001" s="2"/>
      <c r="I7001" s="9"/>
      <c r="J7001" s="2"/>
      <c r="L7001" s="9"/>
      <c r="M7001" s="2"/>
      <c r="N7001" s="9"/>
      <c r="P7001" s="3">
        <v>-1990.649492</v>
      </c>
      <c r="S7001" s="9"/>
      <c r="T7001" s="2"/>
      <c r="U7001" s="9"/>
    </row>
    <row r="7002" spans="2:21" x14ac:dyDescent="0.35">
      <c r="B7002" s="9"/>
      <c r="C7002" s="2"/>
      <c r="D7002" s="2"/>
      <c r="I7002" s="9"/>
      <c r="J7002" s="2"/>
      <c r="L7002" s="9"/>
      <c r="M7002" s="2"/>
      <c r="N7002" s="9"/>
      <c r="P7002" s="3">
        <v>-1555.889492</v>
      </c>
      <c r="S7002" s="9"/>
      <c r="T7002" s="2"/>
      <c r="U7002" s="9"/>
    </row>
    <row r="7003" spans="2:21" x14ac:dyDescent="0.35">
      <c r="B7003" s="9"/>
      <c r="C7003" s="2"/>
      <c r="D7003" s="2"/>
      <c r="I7003" s="9"/>
      <c r="J7003" s="2"/>
      <c r="L7003" s="9"/>
      <c r="M7003" s="2"/>
      <c r="N7003" s="9"/>
      <c r="P7003" s="3">
        <v>-1555.889492</v>
      </c>
      <c r="S7003" s="9"/>
      <c r="T7003" s="2"/>
      <c r="U7003" s="9"/>
    </row>
    <row r="7004" spans="2:21" x14ac:dyDescent="0.35">
      <c r="B7004" s="9"/>
      <c r="C7004" s="2"/>
      <c r="D7004" s="2"/>
      <c r="I7004" s="9"/>
      <c r="J7004" s="2"/>
      <c r="L7004" s="9"/>
      <c r="M7004" s="2"/>
      <c r="N7004" s="9"/>
      <c r="P7004" s="3">
        <v>-1990.649492</v>
      </c>
      <c r="S7004" s="9"/>
      <c r="T7004" s="2"/>
      <c r="U7004" s="9"/>
    </row>
    <row r="7005" spans="2:21" x14ac:dyDescent="0.35">
      <c r="B7005" s="9"/>
      <c r="C7005" s="2"/>
      <c r="D7005" s="2"/>
      <c r="I7005" s="9"/>
      <c r="J7005" s="2"/>
      <c r="L7005" s="9"/>
      <c r="M7005" s="2"/>
      <c r="N7005" s="9"/>
      <c r="P7005" s="3">
        <v>-2425.4094919999998</v>
      </c>
      <c r="S7005" s="9"/>
      <c r="T7005" s="2"/>
      <c r="U7005" s="9"/>
    </row>
    <row r="7006" spans="2:21" x14ac:dyDescent="0.35">
      <c r="B7006" s="9"/>
      <c r="C7006" s="2"/>
      <c r="D7006" s="2"/>
      <c r="I7006" s="9"/>
      <c r="J7006" s="2"/>
      <c r="L7006" s="9"/>
      <c r="M7006" s="2"/>
      <c r="N7006" s="9"/>
      <c r="P7006" s="3">
        <v>-2860.169492</v>
      </c>
      <c r="S7006" s="9"/>
      <c r="T7006" s="2"/>
      <c r="U7006" s="9"/>
    </row>
    <row r="7007" spans="2:21" x14ac:dyDescent="0.35">
      <c r="B7007" s="9"/>
      <c r="C7007" s="2"/>
      <c r="D7007" s="2"/>
      <c r="I7007" s="9"/>
      <c r="J7007" s="2"/>
      <c r="L7007" s="9"/>
      <c r="M7007" s="2"/>
      <c r="N7007" s="9"/>
      <c r="P7007" s="3">
        <v>-2860.169492</v>
      </c>
      <c r="S7007" s="9"/>
      <c r="T7007" s="2"/>
      <c r="U7007" s="9"/>
    </row>
    <row r="7008" spans="2:21" x14ac:dyDescent="0.35">
      <c r="B7008" s="9"/>
      <c r="C7008" s="2"/>
      <c r="D7008" s="2"/>
      <c r="I7008" s="9"/>
      <c r="J7008" s="2"/>
      <c r="L7008" s="9"/>
      <c r="M7008" s="2"/>
      <c r="N7008" s="9"/>
      <c r="P7008" s="3">
        <v>-2860.169492</v>
      </c>
      <c r="S7008" s="9"/>
      <c r="T7008" s="2"/>
      <c r="U7008" s="9"/>
    </row>
    <row r="7009" spans="2:21" x14ac:dyDescent="0.35">
      <c r="B7009" s="9"/>
      <c r="C7009" s="2"/>
      <c r="D7009" s="2"/>
      <c r="I7009" s="9"/>
      <c r="J7009" s="2"/>
      <c r="L7009" s="9"/>
      <c r="M7009" s="2"/>
      <c r="N7009" s="9"/>
      <c r="P7009" s="3">
        <v>-2860.169492</v>
      </c>
      <c r="S7009" s="9"/>
      <c r="T7009" s="2"/>
      <c r="U7009" s="9"/>
    </row>
    <row r="7010" spans="2:21" x14ac:dyDescent="0.35">
      <c r="B7010" s="9"/>
      <c r="C7010" s="2"/>
      <c r="D7010" s="2"/>
      <c r="I7010" s="9"/>
      <c r="J7010" s="2"/>
      <c r="L7010" s="9"/>
      <c r="M7010" s="2"/>
      <c r="N7010" s="9"/>
      <c r="P7010" s="3">
        <v>-2860.169492</v>
      </c>
      <c r="S7010" s="9"/>
      <c r="T7010" s="2"/>
      <c r="U7010" s="9"/>
    </row>
    <row r="7011" spans="2:21" x14ac:dyDescent="0.35">
      <c r="B7011" s="9"/>
      <c r="C7011" s="2"/>
      <c r="D7011" s="2"/>
      <c r="I7011" s="9"/>
      <c r="J7011" s="2"/>
      <c r="L7011" s="9"/>
      <c r="M7011" s="2"/>
      <c r="N7011" s="9"/>
      <c r="P7011" s="3">
        <v>-2860.169492</v>
      </c>
      <c r="S7011" s="9"/>
      <c r="T7011" s="2"/>
      <c r="U7011" s="9"/>
    </row>
    <row r="7012" spans="2:21" x14ac:dyDescent="0.35">
      <c r="B7012" s="9"/>
      <c r="C7012" s="2"/>
      <c r="D7012" s="2"/>
      <c r="I7012" s="9"/>
      <c r="J7012" s="2"/>
      <c r="L7012" s="9"/>
      <c r="M7012" s="2"/>
      <c r="N7012" s="9"/>
      <c r="P7012" s="3">
        <v>-2860.169492</v>
      </c>
      <c r="S7012" s="9"/>
      <c r="T7012" s="2"/>
      <c r="U7012" s="9"/>
    </row>
    <row r="7013" spans="2:21" x14ac:dyDescent="0.35">
      <c r="B7013" s="9"/>
      <c r="C7013" s="2"/>
      <c r="D7013" s="2"/>
      <c r="I7013" s="9"/>
      <c r="J7013" s="2"/>
      <c r="L7013" s="9"/>
      <c r="M7013" s="2"/>
      <c r="N7013" s="9"/>
      <c r="P7013" s="3">
        <v>-2860.169492</v>
      </c>
      <c r="S7013" s="9"/>
      <c r="T7013" s="2"/>
      <c r="U7013" s="9"/>
    </row>
    <row r="7014" spans="2:21" x14ac:dyDescent="0.35">
      <c r="B7014" s="9"/>
      <c r="C7014" s="2"/>
      <c r="D7014" s="2"/>
      <c r="I7014" s="9"/>
      <c r="J7014" s="2"/>
      <c r="L7014" s="9"/>
      <c r="M7014" s="2"/>
      <c r="N7014" s="9"/>
      <c r="P7014" s="3">
        <v>-2860.169492</v>
      </c>
      <c r="S7014" s="9"/>
      <c r="T7014" s="2"/>
      <c r="U7014" s="9"/>
    </row>
    <row r="7015" spans="2:21" x14ac:dyDescent="0.35">
      <c r="B7015" s="9"/>
      <c r="C7015" s="2"/>
      <c r="D7015" s="2"/>
      <c r="I7015" s="9"/>
      <c r="J7015" s="2"/>
      <c r="L7015" s="9"/>
      <c r="M7015" s="2"/>
      <c r="N7015" s="9"/>
      <c r="P7015" s="3">
        <v>-2860.169492</v>
      </c>
      <c r="S7015" s="9"/>
      <c r="T7015" s="2"/>
      <c r="U7015" s="9"/>
    </row>
    <row r="7016" spans="2:21" x14ac:dyDescent="0.35">
      <c r="B7016" s="9"/>
      <c r="C7016" s="2"/>
      <c r="D7016" s="2"/>
      <c r="I7016" s="9"/>
      <c r="J7016" s="2"/>
      <c r="L7016" s="9"/>
      <c r="M7016" s="2"/>
      <c r="N7016" s="9"/>
      <c r="P7016" s="3">
        <v>-2860.169492</v>
      </c>
      <c r="S7016" s="9"/>
      <c r="T7016" s="2"/>
      <c r="U7016" s="9"/>
    </row>
    <row r="7017" spans="2:21" x14ac:dyDescent="0.35">
      <c r="B7017" s="9"/>
      <c r="C7017" s="2"/>
      <c r="D7017" s="2"/>
      <c r="I7017" s="9"/>
      <c r="J7017" s="2"/>
      <c r="L7017" s="9"/>
      <c r="M7017" s="2"/>
      <c r="N7017" s="9"/>
      <c r="P7017" s="3">
        <v>-2860.169492</v>
      </c>
      <c r="S7017" s="9"/>
      <c r="T7017" s="2"/>
      <c r="U7017" s="9"/>
    </row>
    <row r="7018" spans="2:21" x14ac:dyDescent="0.35">
      <c r="B7018" s="9"/>
      <c r="C7018" s="2"/>
      <c r="D7018" s="2"/>
      <c r="I7018" s="9"/>
      <c r="J7018" s="2"/>
      <c r="L7018" s="9"/>
      <c r="M7018" s="2"/>
      <c r="N7018" s="9"/>
      <c r="P7018" s="3">
        <v>-2860.169492</v>
      </c>
      <c r="S7018" s="9"/>
      <c r="T7018" s="2"/>
      <c r="U7018" s="9"/>
    </row>
    <row r="7019" spans="2:21" x14ac:dyDescent="0.35">
      <c r="B7019" s="9"/>
      <c r="C7019" s="2"/>
      <c r="D7019" s="2"/>
      <c r="I7019" s="9"/>
      <c r="J7019" s="2"/>
      <c r="L7019" s="9"/>
      <c r="M7019" s="2"/>
      <c r="N7019" s="9"/>
      <c r="P7019" s="3">
        <v>-2860.169492</v>
      </c>
      <c r="S7019" s="9"/>
      <c r="T7019" s="2"/>
      <c r="U7019" s="9"/>
    </row>
    <row r="7020" spans="2:21" x14ac:dyDescent="0.35">
      <c r="B7020" s="9"/>
      <c r="C7020" s="2"/>
      <c r="D7020" s="2"/>
      <c r="I7020" s="9"/>
      <c r="J7020" s="2"/>
      <c r="L7020" s="9"/>
      <c r="M7020" s="2"/>
      <c r="N7020" s="9"/>
      <c r="P7020" s="3">
        <v>-2860.169492</v>
      </c>
      <c r="S7020" s="9"/>
      <c r="T7020" s="2"/>
      <c r="U7020" s="9"/>
    </row>
    <row r="7021" spans="2:21" x14ac:dyDescent="0.35">
      <c r="B7021" s="9"/>
      <c r="C7021" s="2"/>
      <c r="D7021" s="2"/>
      <c r="I7021" s="9"/>
      <c r="J7021" s="2"/>
      <c r="L7021" s="9"/>
      <c r="M7021" s="2"/>
      <c r="N7021" s="9"/>
      <c r="P7021" s="3">
        <v>-2860.169492</v>
      </c>
      <c r="S7021" s="9"/>
      <c r="T7021" s="2"/>
      <c r="U7021" s="9"/>
    </row>
    <row r="7022" spans="2:21" x14ac:dyDescent="0.35">
      <c r="B7022" s="9"/>
      <c r="C7022" s="2"/>
      <c r="D7022" s="2"/>
      <c r="I7022" s="9"/>
      <c r="J7022" s="2"/>
      <c r="L7022" s="9"/>
      <c r="M7022" s="2"/>
      <c r="N7022" s="9"/>
      <c r="P7022" s="3">
        <v>-2860.169492</v>
      </c>
      <c r="S7022" s="9"/>
      <c r="T7022" s="2"/>
      <c r="U7022" s="9"/>
    </row>
    <row r="7023" spans="2:21" x14ac:dyDescent="0.35">
      <c r="B7023" s="9"/>
      <c r="C7023" s="2"/>
      <c r="D7023" s="2"/>
      <c r="I7023" s="9"/>
      <c r="J7023" s="2"/>
      <c r="L7023" s="9"/>
      <c r="M7023" s="2"/>
      <c r="N7023" s="9"/>
      <c r="P7023" s="3">
        <v>-2860.169492</v>
      </c>
      <c r="S7023" s="9"/>
      <c r="T7023" s="2"/>
      <c r="U7023" s="9"/>
    </row>
    <row r="7024" spans="2:21" x14ac:dyDescent="0.35">
      <c r="B7024" s="9"/>
      <c r="C7024" s="2"/>
      <c r="D7024" s="2"/>
      <c r="I7024" s="9"/>
      <c r="J7024" s="2"/>
      <c r="L7024" s="9"/>
      <c r="M7024" s="2"/>
      <c r="N7024" s="9"/>
      <c r="P7024" s="3">
        <v>-2425.4094919999998</v>
      </c>
      <c r="S7024" s="9"/>
      <c r="T7024" s="2"/>
      <c r="U7024" s="9"/>
    </row>
    <row r="7025" spans="2:21" x14ac:dyDescent="0.35">
      <c r="B7025" s="9"/>
      <c r="C7025" s="2"/>
      <c r="D7025" s="2"/>
      <c r="I7025" s="9"/>
      <c r="J7025" s="2"/>
      <c r="L7025" s="9"/>
      <c r="M7025" s="2"/>
      <c r="N7025" s="9"/>
      <c r="P7025" s="3">
        <v>-1990.649492</v>
      </c>
      <c r="S7025" s="9"/>
      <c r="T7025" s="2"/>
      <c r="U7025" s="9"/>
    </row>
    <row r="7026" spans="2:21" x14ac:dyDescent="0.35">
      <c r="B7026" s="9"/>
      <c r="C7026" s="2"/>
      <c r="D7026" s="2"/>
      <c r="I7026" s="9"/>
      <c r="J7026" s="2"/>
      <c r="L7026" s="9"/>
      <c r="M7026" s="2"/>
      <c r="N7026" s="9"/>
      <c r="P7026" s="3">
        <v>-1555.889492</v>
      </c>
      <c r="S7026" s="9"/>
      <c r="T7026" s="2"/>
      <c r="U7026" s="9"/>
    </row>
    <row r="7027" spans="2:21" x14ac:dyDescent="0.35">
      <c r="B7027" s="9"/>
      <c r="C7027" s="2"/>
      <c r="D7027" s="2"/>
      <c r="I7027" s="9"/>
      <c r="J7027" s="2"/>
      <c r="L7027" s="9"/>
      <c r="M7027" s="2"/>
      <c r="N7027" s="9"/>
      <c r="P7027" s="3">
        <v>-1555.889492</v>
      </c>
      <c r="S7027" s="9"/>
      <c r="T7027" s="2"/>
      <c r="U7027" s="9"/>
    </row>
    <row r="7028" spans="2:21" x14ac:dyDescent="0.35">
      <c r="B7028" s="9"/>
      <c r="C7028" s="2"/>
      <c r="D7028" s="2"/>
      <c r="I7028" s="9"/>
      <c r="J7028" s="2"/>
      <c r="L7028" s="9"/>
      <c r="M7028" s="2"/>
      <c r="N7028" s="9"/>
      <c r="P7028" s="3">
        <v>-1990.649492</v>
      </c>
      <c r="S7028" s="9"/>
      <c r="T7028" s="2"/>
      <c r="U7028" s="9"/>
    </row>
    <row r="7029" spans="2:21" x14ac:dyDescent="0.35">
      <c r="B7029" s="9"/>
      <c r="C7029" s="2"/>
      <c r="D7029" s="2"/>
      <c r="I7029" s="9"/>
      <c r="J7029" s="2"/>
      <c r="L7029" s="9"/>
      <c r="M7029" s="2"/>
      <c r="N7029" s="9"/>
      <c r="P7029" s="3">
        <v>-2425.4094919999998</v>
      </c>
      <c r="S7029" s="9"/>
      <c r="T7029" s="2"/>
      <c r="U7029" s="9"/>
    </row>
    <row r="7030" spans="2:21" x14ac:dyDescent="0.35">
      <c r="B7030" s="9"/>
      <c r="C7030" s="2"/>
      <c r="D7030" s="2"/>
      <c r="I7030" s="9"/>
      <c r="J7030" s="2"/>
      <c r="L7030" s="9"/>
      <c r="M7030" s="2"/>
      <c r="N7030" s="9"/>
      <c r="P7030" s="3">
        <v>-2860.169492</v>
      </c>
      <c r="S7030" s="9"/>
      <c r="T7030" s="2"/>
      <c r="U7030" s="9"/>
    </row>
    <row r="7031" spans="2:21" x14ac:dyDescent="0.35">
      <c r="B7031" s="9"/>
      <c r="C7031" s="2"/>
      <c r="D7031" s="2"/>
      <c r="I7031" s="9"/>
      <c r="J7031" s="2"/>
      <c r="L7031" s="9"/>
      <c r="M7031" s="2"/>
      <c r="N7031" s="9"/>
      <c r="P7031" s="3">
        <v>-2860.169492</v>
      </c>
      <c r="S7031" s="9"/>
      <c r="T7031" s="2"/>
      <c r="U7031" s="9"/>
    </row>
    <row r="7032" spans="2:21" x14ac:dyDescent="0.35">
      <c r="B7032" s="9"/>
      <c r="C7032" s="2"/>
      <c r="D7032" s="2"/>
      <c r="I7032" s="9"/>
      <c r="J7032" s="2"/>
      <c r="L7032" s="9"/>
      <c r="M7032" s="2"/>
      <c r="N7032" s="9"/>
      <c r="P7032" s="3">
        <v>-2860.169492</v>
      </c>
      <c r="S7032" s="9"/>
      <c r="T7032" s="2"/>
      <c r="U7032" s="9"/>
    </row>
    <row r="7033" spans="2:21" x14ac:dyDescent="0.35">
      <c r="B7033" s="9"/>
      <c r="C7033" s="2"/>
      <c r="D7033" s="2"/>
      <c r="I7033" s="9"/>
      <c r="J7033" s="2"/>
      <c r="L7033" s="9"/>
      <c r="M7033" s="2"/>
      <c r="N7033" s="9"/>
      <c r="P7033" s="3">
        <v>-2860.169492</v>
      </c>
      <c r="S7033" s="9"/>
      <c r="T7033" s="2"/>
      <c r="U7033" s="9"/>
    </row>
    <row r="7034" spans="2:21" x14ac:dyDescent="0.35">
      <c r="B7034" s="9"/>
      <c r="C7034" s="2"/>
      <c r="D7034" s="2"/>
      <c r="I7034" s="9"/>
      <c r="J7034" s="2"/>
      <c r="L7034" s="9"/>
      <c r="M7034" s="2"/>
      <c r="N7034" s="9"/>
      <c r="P7034" s="3">
        <v>-2860.169492</v>
      </c>
      <c r="S7034" s="9"/>
      <c r="T7034" s="2"/>
      <c r="U7034" s="9"/>
    </row>
    <row r="7035" spans="2:21" x14ac:dyDescent="0.35">
      <c r="B7035" s="9"/>
      <c r="C7035" s="2"/>
      <c r="D7035" s="2"/>
      <c r="I7035" s="9"/>
      <c r="J7035" s="2"/>
      <c r="L7035" s="9"/>
      <c r="M7035" s="2"/>
      <c r="N7035" s="9"/>
      <c r="P7035" s="3">
        <v>-2860.169492</v>
      </c>
      <c r="S7035" s="9"/>
      <c r="T7035" s="2"/>
      <c r="U7035" s="9"/>
    </row>
    <row r="7036" spans="2:21" x14ac:dyDescent="0.35">
      <c r="B7036" s="9"/>
      <c r="C7036" s="2"/>
      <c r="D7036" s="2"/>
      <c r="I7036" s="9"/>
      <c r="J7036" s="2"/>
      <c r="L7036" s="9"/>
      <c r="M7036" s="2"/>
      <c r="N7036" s="9"/>
      <c r="P7036" s="3">
        <v>-2860.169492</v>
      </c>
      <c r="S7036" s="9"/>
      <c r="T7036" s="2"/>
      <c r="U7036" s="9"/>
    </row>
    <row r="7037" spans="2:21" x14ac:dyDescent="0.35">
      <c r="B7037" s="9"/>
      <c r="C7037" s="2"/>
      <c r="D7037" s="2"/>
      <c r="I7037" s="9"/>
      <c r="J7037" s="2"/>
      <c r="L7037" s="9"/>
      <c r="M7037" s="2"/>
      <c r="N7037" s="9"/>
      <c r="P7037" s="3">
        <v>-2860.169492</v>
      </c>
      <c r="S7037" s="9"/>
      <c r="T7037" s="2"/>
      <c r="U7037" s="9"/>
    </row>
    <row r="7038" spans="2:21" x14ac:dyDescent="0.35">
      <c r="B7038" s="9"/>
      <c r="C7038" s="2"/>
      <c r="D7038" s="2"/>
      <c r="I7038" s="9"/>
      <c r="J7038" s="2"/>
      <c r="L7038" s="9"/>
      <c r="M7038" s="2"/>
      <c r="N7038" s="9"/>
      <c r="P7038" s="3">
        <v>-2860.169492</v>
      </c>
      <c r="S7038" s="9"/>
      <c r="T7038" s="2"/>
      <c r="U7038" s="9"/>
    </row>
    <row r="7039" spans="2:21" x14ac:dyDescent="0.35">
      <c r="B7039" s="9"/>
      <c r="C7039" s="2"/>
      <c r="D7039" s="2"/>
      <c r="I7039" s="9"/>
      <c r="J7039" s="2"/>
      <c r="L7039" s="9"/>
      <c r="M7039" s="2"/>
      <c r="N7039" s="9"/>
      <c r="P7039" s="3">
        <v>-2860.169492</v>
      </c>
      <c r="S7039" s="9"/>
      <c r="T7039" s="2"/>
      <c r="U7039" s="9"/>
    </row>
    <row r="7040" spans="2:21" x14ac:dyDescent="0.35">
      <c r="B7040" s="9"/>
      <c r="C7040" s="2"/>
      <c r="D7040" s="2"/>
      <c r="I7040" s="9"/>
      <c r="J7040" s="2"/>
      <c r="L7040" s="9"/>
      <c r="M7040" s="2"/>
      <c r="N7040" s="9"/>
      <c r="P7040" s="3">
        <v>-2860.169492</v>
      </c>
      <c r="S7040" s="9"/>
      <c r="T7040" s="2"/>
      <c r="U7040" s="9"/>
    </row>
    <row r="7041" spans="2:21" x14ac:dyDescent="0.35">
      <c r="B7041" s="9"/>
      <c r="C7041" s="2"/>
      <c r="D7041" s="2"/>
      <c r="I7041" s="9"/>
      <c r="J7041" s="2"/>
      <c r="L7041" s="9"/>
      <c r="M7041" s="2"/>
      <c r="N7041" s="9"/>
      <c r="P7041" s="3">
        <v>-2860.169492</v>
      </c>
      <c r="S7041" s="9"/>
      <c r="T7041" s="2"/>
      <c r="U7041" s="9"/>
    </row>
    <row r="7042" spans="2:21" x14ac:dyDescent="0.35">
      <c r="B7042" s="9"/>
      <c r="C7042" s="2"/>
      <c r="D7042" s="2"/>
      <c r="I7042" s="9"/>
      <c r="J7042" s="2"/>
      <c r="L7042" s="9"/>
      <c r="M7042" s="2"/>
      <c r="N7042" s="9"/>
      <c r="P7042" s="3">
        <v>-2860.169492</v>
      </c>
      <c r="S7042" s="9"/>
      <c r="T7042" s="2"/>
      <c r="U7042" s="9"/>
    </row>
    <row r="7043" spans="2:21" x14ac:dyDescent="0.35">
      <c r="B7043" s="9"/>
      <c r="C7043" s="2"/>
      <c r="D7043" s="2"/>
      <c r="I7043" s="9"/>
      <c r="J7043" s="2"/>
      <c r="L7043" s="9"/>
      <c r="M7043" s="2"/>
      <c r="N7043" s="9"/>
      <c r="P7043" s="3">
        <v>-2860.169492</v>
      </c>
      <c r="S7043" s="9"/>
      <c r="T7043" s="2"/>
      <c r="U7043" s="9"/>
    </row>
    <row r="7044" spans="2:21" x14ac:dyDescent="0.35">
      <c r="B7044" s="9"/>
      <c r="C7044" s="2"/>
      <c r="D7044" s="2"/>
      <c r="I7044" s="9"/>
      <c r="J7044" s="2"/>
      <c r="L7044" s="9"/>
      <c r="M7044" s="2"/>
      <c r="N7044" s="9"/>
      <c r="P7044" s="3">
        <v>-2860.169492</v>
      </c>
      <c r="S7044" s="9"/>
      <c r="T7044" s="2"/>
      <c r="U7044" s="9"/>
    </row>
    <row r="7045" spans="2:21" x14ac:dyDescent="0.35">
      <c r="B7045" s="9"/>
      <c r="C7045" s="2"/>
      <c r="D7045" s="2"/>
      <c r="I7045" s="9"/>
      <c r="J7045" s="2"/>
      <c r="L7045" s="9"/>
      <c r="M7045" s="2"/>
      <c r="N7045" s="9"/>
      <c r="P7045" s="3">
        <v>-2860.169492</v>
      </c>
      <c r="S7045" s="9"/>
      <c r="T7045" s="2"/>
      <c r="U7045" s="9"/>
    </row>
    <row r="7046" spans="2:21" x14ac:dyDescent="0.35">
      <c r="B7046" s="9"/>
      <c r="C7046" s="2"/>
      <c r="D7046" s="2"/>
      <c r="I7046" s="9"/>
      <c r="J7046" s="2"/>
      <c r="L7046" s="9"/>
      <c r="M7046" s="2"/>
      <c r="N7046" s="9"/>
      <c r="P7046" s="3">
        <v>-2860.169492</v>
      </c>
      <c r="S7046" s="9"/>
      <c r="T7046" s="2"/>
      <c r="U7046" s="9"/>
    </row>
    <row r="7047" spans="2:21" x14ac:dyDescent="0.35">
      <c r="B7047" s="9"/>
      <c r="C7047" s="2"/>
      <c r="D7047" s="2"/>
      <c r="I7047" s="9"/>
      <c r="J7047" s="2"/>
      <c r="L7047" s="9"/>
      <c r="M7047" s="2"/>
      <c r="N7047" s="9"/>
      <c r="P7047" s="3">
        <v>-2860.169492</v>
      </c>
      <c r="S7047" s="9"/>
      <c r="T7047" s="2"/>
      <c r="U7047" s="9"/>
    </row>
    <row r="7048" spans="2:21" x14ac:dyDescent="0.35">
      <c r="B7048" s="9"/>
      <c r="C7048" s="2"/>
      <c r="D7048" s="2"/>
      <c r="I7048" s="9"/>
      <c r="J7048" s="2"/>
      <c r="L7048" s="9"/>
      <c r="M7048" s="2"/>
      <c r="N7048" s="9"/>
      <c r="P7048" s="3">
        <v>-2425.4094919999998</v>
      </c>
      <c r="S7048" s="9"/>
      <c r="T7048" s="2"/>
      <c r="U7048" s="9"/>
    </row>
    <row r="7049" spans="2:21" x14ac:dyDescent="0.35">
      <c r="B7049" s="9"/>
      <c r="C7049" s="2"/>
      <c r="D7049" s="2"/>
      <c r="I7049" s="9"/>
      <c r="J7049" s="2"/>
      <c r="L7049" s="9"/>
      <c r="M7049" s="2"/>
      <c r="N7049" s="9"/>
      <c r="P7049" s="3">
        <v>-1990.649492</v>
      </c>
      <c r="S7049" s="9"/>
      <c r="T7049" s="2"/>
      <c r="U7049" s="9"/>
    </row>
    <row r="7050" spans="2:21" x14ac:dyDescent="0.35">
      <c r="B7050" s="9"/>
      <c r="C7050" s="2"/>
      <c r="D7050" s="2"/>
      <c r="I7050" s="9"/>
      <c r="J7050" s="2"/>
      <c r="L7050" s="9"/>
      <c r="M7050" s="2"/>
      <c r="N7050" s="9"/>
      <c r="P7050" s="3">
        <v>-1555.889492</v>
      </c>
      <c r="S7050" s="9"/>
      <c r="T7050" s="2"/>
      <c r="U7050" s="9"/>
    </row>
    <row r="7051" spans="2:21" x14ac:dyDescent="0.35">
      <c r="B7051" s="9"/>
      <c r="C7051" s="2"/>
      <c r="D7051" s="2"/>
      <c r="I7051" s="9"/>
      <c r="J7051" s="2"/>
      <c r="L7051" s="9"/>
      <c r="M7051" s="2"/>
      <c r="N7051" s="9"/>
      <c r="P7051" s="3">
        <v>-1411.1416883899999</v>
      </c>
      <c r="S7051" s="9"/>
      <c r="T7051" s="2"/>
      <c r="U7051" s="9"/>
    </row>
    <row r="7052" spans="2:21" x14ac:dyDescent="0.35">
      <c r="B7052" s="9"/>
      <c r="C7052" s="2"/>
      <c r="D7052" s="2"/>
      <c r="I7052" s="9"/>
      <c r="J7052" s="2"/>
      <c r="L7052" s="9"/>
      <c r="M7052" s="2"/>
      <c r="N7052" s="9"/>
      <c r="P7052" s="3">
        <v>-1845.9016883899999</v>
      </c>
      <c r="S7052" s="9"/>
      <c r="T7052" s="2"/>
      <c r="U7052" s="9"/>
    </row>
    <row r="7053" spans="2:21" x14ac:dyDescent="0.35">
      <c r="B7053" s="9"/>
      <c r="C7053" s="2"/>
      <c r="D7053" s="2"/>
      <c r="I7053" s="9"/>
      <c r="J7053" s="2"/>
      <c r="L7053" s="9"/>
      <c r="M7053" s="2"/>
      <c r="N7053" s="9"/>
      <c r="P7053" s="3">
        <v>-2280.6616883900001</v>
      </c>
      <c r="S7053" s="9"/>
      <c r="T7053" s="2"/>
      <c r="U7053" s="9"/>
    </row>
    <row r="7054" spans="2:21" x14ac:dyDescent="0.35">
      <c r="B7054" s="9"/>
      <c r="C7054" s="2"/>
      <c r="D7054" s="2"/>
      <c r="I7054" s="9"/>
      <c r="J7054" s="2"/>
      <c r="L7054" s="9"/>
      <c r="M7054" s="2"/>
      <c r="N7054" s="9"/>
      <c r="P7054" s="3">
        <v>-2715.4216883899999</v>
      </c>
      <c r="S7054" s="9"/>
      <c r="T7054" s="2"/>
      <c r="U7054" s="9"/>
    </row>
    <row r="7055" spans="2:21" x14ac:dyDescent="0.35">
      <c r="B7055" s="9"/>
      <c r="C7055" s="2"/>
      <c r="D7055" s="2"/>
      <c r="I7055" s="9"/>
      <c r="J7055" s="2"/>
      <c r="L7055" s="9"/>
      <c r="M7055" s="2"/>
      <c r="N7055" s="9"/>
      <c r="P7055" s="3">
        <v>-2280.6616883900001</v>
      </c>
      <c r="S7055" s="9"/>
      <c r="T7055" s="2"/>
      <c r="U7055" s="9"/>
    </row>
    <row r="7056" spans="2:21" x14ac:dyDescent="0.35">
      <c r="B7056" s="9"/>
      <c r="C7056" s="2"/>
      <c r="D7056" s="2"/>
      <c r="I7056" s="9"/>
      <c r="J7056" s="2"/>
      <c r="L7056" s="9"/>
      <c r="M7056" s="2"/>
      <c r="N7056" s="9"/>
      <c r="P7056" s="3">
        <v>-1845.9016883899999</v>
      </c>
      <c r="S7056" s="9"/>
      <c r="T7056" s="2"/>
      <c r="U7056" s="9"/>
    </row>
    <row r="7057" spans="2:21" x14ac:dyDescent="0.35">
      <c r="B7057" s="9"/>
      <c r="C7057" s="2"/>
      <c r="D7057" s="2"/>
      <c r="I7057" s="9"/>
      <c r="J7057" s="2"/>
      <c r="L7057" s="9"/>
      <c r="M7057" s="2"/>
      <c r="N7057" s="9"/>
      <c r="P7057" s="3">
        <v>-1411.1416883899999</v>
      </c>
      <c r="S7057" s="9"/>
      <c r="T7057" s="2"/>
      <c r="U7057" s="9"/>
    </row>
    <row r="7058" spans="2:21" x14ac:dyDescent="0.35">
      <c r="B7058" s="9"/>
      <c r="C7058" s="2"/>
      <c r="D7058" s="2"/>
      <c r="I7058" s="9"/>
      <c r="J7058" s="2"/>
      <c r="L7058" s="9"/>
      <c r="M7058" s="2"/>
      <c r="N7058" s="9"/>
      <c r="P7058" s="3">
        <v>-1236.14372839</v>
      </c>
      <c r="S7058" s="9"/>
      <c r="T7058" s="2"/>
      <c r="U7058" s="9"/>
    </row>
    <row r="7059" spans="2:21" x14ac:dyDescent="0.35">
      <c r="B7059" s="9"/>
      <c r="C7059" s="2"/>
      <c r="D7059" s="2"/>
      <c r="I7059" s="9"/>
      <c r="J7059" s="2"/>
      <c r="L7059" s="9"/>
      <c r="M7059" s="2"/>
      <c r="N7059" s="9"/>
      <c r="P7059" s="3">
        <v>-1060.47907839</v>
      </c>
      <c r="S7059" s="9"/>
      <c r="T7059" s="2"/>
      <c r="U7059" s="9"/>
    </row>
    <row r="7060" spans="2:21" x14ac:dyDescent="0.35">
      <c r="B7060" s="9"/>
      <c r="C7060" s="2"/>
      <c r="D7060" s="2"/>
      <c r="I7060" s="9"/>
      <c r="J7060" s="2"/>
      <c r="L7060" s="9"/>
      <c r="M7060" s="2"/>
      <c r="N7060" s="9"/>
      <c r="P7060" s="3">
        <v>-860.67442839</v>
      </c>
      <c r="S7060" s="9"/>
      <c r="T7060" s="2"/>
      <c r="U7060" s="9"/>
    </row>
    <row r="7061" spans="2:21" x14ac:dyDescent="0.35">
      <c r="B7061" s="9"/>
      <c r="C7061" s="2"/>
      <c r="D7061" s="2"/>
      <c r="I7061" s="9"/>
      <c r="J7061" s="2"/>
      <c r="L7061" s="9"/>
      <c r="M7061" s="2"/>
      <c r="N7061" s="9"/>
      <c r="P7061" s="3">
        <v>-841.02517838999995</v>
      </c>
      <c r="S7061" s="9"/>
      <c r="T7061" s="2"/>
      <c r="U7061" s="9"/>
    </row>
    <row r="7062" spans="2:21" x14ac:dyDescent="0.35">
      <c r="B7062" s="9"/>
      <c r="C7062" s="2"/>
      <c r="D7062" s="2"/>
      <c r="I7062" s="9"/>
      <c r="J7062" s="2"/>
      <c r="L7062" s="9"/>
      <c r="M7062" s="2"/>
      <c r="N7062" s="9"/>
      <c r="P7062" s="3">
        <v>-1275.7851783900001</v>
      </c>
      <c r="S7062" s="9"/>
      <c r="T7062" s="2"/>
      <c r="U7062" s="9"/>
    </row>
    <row r="7063" spans="2:21" x14ac:dyDescent="0.35">
      <c r="B7063" s="9"/>
      <c r="C7063" s="2"/>
      <c r="D7063" s="2"/>
      <c r="I7063" s="9"/>
      <c r="J7063" s="2"/>
      <c r="L7063" s="9"/>
      <c r="M7063" s="2"/>
      <c r="N7063" s="9"/>
      <c r="P7063" s="3">
        <v>-1473.1832388600001</v>
      </c>
      <c r="S7063" s="9"/>
      <c r="T7063" s="2"/>
      <c r="U7063" s="9"/>
    </row>
    <row r="7064" spans="2:21" x14ac:dyDescent="0.35">
      <c r="B7064" s="9"/>
      <c r="C7064" s="2"/>
      <c r="D7064" s="2"/>
      <c r="I7064" s="9"/>
      <c r="J7064" s="2"/>
      <c r="L7064" s="9"/>
      <c r="M7064" s="2"/>
      <c r="N7064" s="9"/>
      <c r="P7064" s="3">
        <v>-1669.9426988600001</v>
      </c>
      <c r="S7064" s="9"/>
      <c r="T7064" s="2"/>
      <c r="U7064" s="9"/>
    </row>
    <row r="7065" spans="2:21" x14ac:dyDescent="0.35">
      <c r="B7065" s="9"/>
      <c r="C7065" s="2"/>
      <c r="D7065" s="2"/>
      <c r="I7065" s="9"/>
      <c r="J7065" s="2"/>
      <c r="L7065" s="9"/>
      <c r="M7065" s="2"/>
      <c r="N7065" s="9"/>
      <c r="P7065" s="3">
        <v>-1831.2653488599999</v>
      </c>
      <c r="S7065" s="9"/>
      <c r="T7065" s="2"/>
      <c r="U7065" s="9"/>
    </row>
    <row r="7066" spans="2:21" x14ac:dyDescent="0.35">
      <c r="B7066" s="9"/>
      <c r="C7066" s="2"/>
      <c r="D7066" s="2"/>
      <c r="I7066" s="9"/>
      <c r="J7066" s="2"/>
      <c r="L7066" s="9"/>
      <c r="M7066" s="2"/>
      <c r="N7066" s="9"/>
      <c r="P7066" s="3">
        <v>-2035.0459988600001</v>
      </c>
      <c r="S7066" s="9"/>
      <c r="T7066" s="2"/>
      <c r="U7066" s="9"/>
    </row>
    <row r="7067" spans="2:21" x14ac:dyDescent="0.35">
      <c r="B7067" s="9"/>
      <c r="C7067" s="2"/>
      <c r="D7067" s="2"/>
      <c r="I7067" s="9"/>
      <c r="J7067" s="2"/>
      <c r="L7067" s="9"/>
      <c r="M7067" s="2"/>
      <c r="N7067" s="9"/>
      <c r="P7067" s="3">
        <v>-2257.0304323800001</v>
      </c>
      <c r="S7067" s="9"/>
      <c r="T7067" s="2"/>
      <c r="U7067" s="9"/>
    </row>
    <row r="7068" spans="2:21" x14ac:dyDescent="0.35">
      <c r="B7068" s="9"/>
      <c r="C7068" s="2"/>
      <c r="D7068" s="2"/>
      <c r="I7068" s="9"/>
      <c r="J7068" s="2"/>
      <c r="L7068" s="9"/>
      <c r="M7068" s="2"/>
      <c r="N7068" s="9"/>
      <c r="P7068" s="3">
        <v>-2519.8554859000001</v>
      </c>
      <c r="S7068" s="9"/>
      <c r="T7068" s="2"/>
      <c r="U7068" s="9"/>
    </row>
    <row r="7069" spans="2:21" x14ac:dyDescent="0.35">
      <c r="B7069" s="9"/>
      <c r="C7069" s="2"/>
      <c r="D7069" s="2"/>
      <c r="I7069" s="9"/>
      <c r="J7069" s="2"/>
      <c r="L7069" s="9"/>
      <c r="M7069" s="2"/>
      <c r="N7069" s="9"/>
      <c r="P7069" s="3">
        <v>-2860.169492</v>
      </c>
      <c r="S7069" s="9"/>
      <c r="T7069" s="2"/>
      <c r="U7069" s="9"/>
    </row>
    <row r="7070" spans="2:21" x14ac:dyDescent="0.35">
      <c r="B7070" s="9"/>
      <c r="C7070" s="2"/>
      <c r="D7070" s="2"/>
      <c r="I7070" s="9"/>
      <c r="J7070" s="2"/>
      <c r="L7070" s="9"/>
      <c r="M7070" s="2"/>
      <c r="N7070" s="9"/>
      <c r="P7070" s="3">
        <v>-2860.169492</v>
      </c>
      <c r="S7070" s="9"/>
      <c r="T7070" s="2"/>
      <c r="U7070" s="9"/>
    </row>
    <row r="7071" spans="2:21" x14ac:dyDescent="0.35">
      <c r="B7071" s="9"/>
      <c r="C7071" s="2"/>
      <c r="D7071" s="2"/>
      <c r="I7071" s="9"/>
      <c r="J7071" s="2"/>
      <c r="L7071" s="9"/>
      <c r="M7071" s="2"/>
      <c r="N7071" s="9"/>
      <c r="P7071" s="3">
        <v>-2860.169492</v>
      </c>
      <c r="S7071" s="9"/>
      <c r="T7071" s="2"/>
      <c r="U7071" s="9"/>
    </row>
    <row r="7072" spans="2:21" x14ac:dyDescent="0.35">
      <c r="B7072" s="9"/>
      <c r="C7072" s="2"/>
      <c r="D7072" s="2"/>
      <c r="I7072" s="9"/>
      <c r="J7072" s="2"/>
      <c r="L7072" s="9"/>
      <c r="M7072" s="2"/>
      <c r="N7072" s="9"/>
      <c r="P7072" s="3">
        <v>-2860.169492</v>
      </c>
      <c r="S7072" s="9"/>
      <c r="T7072" s="2"/>
      <c r="U7072" s="9"/>
    </row>
    <row r="7073" spans="2:21" x14ac:dyDescent="0.35">
      <c r="B7073" s="9"/>
      <c r="C7073" s="2"/>
      <c r="D7073" s="2"/>
      <c r="I7073" s="9"/>
      <c r="J7073" s="2"/>
      <c r="L7073" s="9"/>
      <c r="M7073" s="2"/>
      <c r="N7073" s="9"/>
      <c r="P7073" s="3">
        <v>-2860.169492</v>
      </c>
      <c r="S7073" s="9"/>
      <c r="T7073" s="2"/>
      <c r="U7073" s="9"/>
    </row>
    <row r="7074" spans="2:21" x14ac:dyDescent="0.35">
      <c r="B7074" s="9"/>
      <c r="C7074" s="2"/>
      <c r="D7074" s="2"/>
      <c r="I7074" s="9"/>
      <c r="J7074" s="2"/>
      <c r="L7074" s="9"/>
      <c r="M7074" s="2"/>
      <c r="N7074" s="9"/>
      <c r="P7074" s="3">
        <v>-2860.169492</v>
      </c>
      <c r="S7074" s="9"/>
      <c r="T7074" s="2"/>
      <c r="U7074" s="9"/>
    </row>
    <row r="7075" spans="2:21" x14ac:dyDescent="0.35">
      <c r="B7075" s="9"/>
      <c r="C7075" s="2"/>
      <c r="D7075" s="2"/>
      <c r="I7075" s="9"/>
      <c r="J7075" s="2"/>
      <c r="L7075" s="9"/>
      <c r="M7075" s="2"/>
      <c r="N7075" s="9"/>
      <c r="P7075" s="3">
        <v>-2860.169492</v>
      </c>
      <c r="S7075" s="9"/>
      <c r="T7075" s="2"/>
      <c r="U7075" s="9"/>
    </row>
    <row r="7076" spans="2:21" x14ac:dyDescent="0.35">
      <c r="B7076" s="9"/>
      <c r="C7076" s="2"/>
      <c r="D7076" s="2"/>
      <c r="I7076" s="9"/>
      <c r="J7076" s="2"/>
      <c r="L7076" s="9"/>
      <c r="M7076" s="2"/>
      <c r="N7076" s="9"/>
      <c r="P7076" s="3">
        <v>-2860.169492</v>
      </c>
      <c r="S7076" s="9"/>
      <c r="T7076" s="2"/>
      <c r="U7076" s="9"/>
    </row>
    <row r="7077" spans="2:21" x14ac:dyDescent="0.35">
      <c r="B7077" s="9"/>
      <c r="C7077" s="2"/>
      <c r="D7077" s="2"/>
      <c r="I7077" s="9"/>
      <c r="J7077" s="2"/>
      <c r="L7077" s="9"/>
      <c r="M7077" s="2"/>
      <c r="N7077" s="9"/>
      <c r="P7077" s="3">
        <v>-2860.169492</v>
      </c>
      <c r="S7077" s="9"/>
      <c r="T7077" s="2"/>
      <c r="U7077" s="9"/>
    </row>
    <row r="7078" spans="2:21" x14ac:dyDescent="0.35">
      <c r="B7078" s="9"/>
      <c r="C7078" s="2"/>
      <c r="D7078" s="2"/>
      <c r="I7078" s="9"/>
      <c r="J7078" s="2"/>
      <c r="L7078" s="9"/>
      <c r="M7078" s="2"/>
      <c r="N7078" s="9"/>
      <c r="P7078" s="3">
        <v>-2860.169492</v>
      </c>
      <c r="S7078" s="9"/>
      <c r="T7078" s="2"/>
      <c r="U7078" s="9"/>
    </row>
    <row r="7079" spans="2:21" x14ac:dyDescent="0.35">
      <c r="B7079" s="9"/>
      <c r="C7079" s="2"/>
      <c r="D7079" s="2"/>
      <c r="I7079" s="9"/>
      <c r="J7079" s="2"/>
      <c r="L7079" s="9"/>
      <c r="M7079" s="2"/>
      <c r="N7079" s="9"/>
      <c r="P7079" s="3">
        <v>-2860.169492</v>
      </c>
      <c r="S7079" s="9"/>
      <c r="T7079" s="2"/>
      <c r="U7079" s="9"/>
    </row>
    <row r="7080" spans="2:21" x14ac:dyDescent="0.35">
      <c r="B7080" s="9"/>
      <c r="C7080" s="2"/>
      <c r="D7080" s="2"/>
      <c r="I7080" s="9"/>
      <c r="J7080" s="2"/>
      <c r="L7080" s="9"/>
      <c r="M7080" s="2"/>
      <c r="N7080" s="9"/>
      <c r="P7080" s="3">
        <v>-2860.169492</v>
      </c>
      <c r="S7080" s="9"/>
      <c r="T7080" s="2"/>
      <c r="U7080" s="9"/>
    </row>
    <row r="7081" spans="2:21" x14ac:dyDescent="0.35">
      <c r="B7081" s="9"/>
      <c r="C7081" s="2"/>
      <c r="D7081" s="2"/>
      <c r="I7081" s="9"/>
      <c r="J7081" s="2"/>
      <c r="L7081" s="9"/>
      <c r="M7081" s="2"/>
      <c r="N7081" s="9"/>
      <c r="P7081" s="3">
        <v>-2860.169492</v>
      </c>
      <c r="S7081" s="9"/>
      <c r="T7081" s="2"/>
      <c r="U7081" s="9"/>
    </row>
    <row r="7082" spans="2:21" x14ac:dyDescent="0.35">
      <c r="B7082" s="9"/>
      <c r="C7082" s="2"/>
      <c r="D7082" s="2"/>
      <c r="I7082" s="9"/>
      <c r="J7082" s="2"/>
      <c r="L7082" s="9"/>
      <c r="M7082" s="2"/>
      <c r="N7082" s="9"/>
      <c r="P7082" s="3">
        <v>-2860.169492</v>
      </c>
      <c r="S7082" s="9"/>
      <c r="T7082" s="2"/>
      <c r="U7082" s="9"/>
    </row>
    <row r="7083" spans="2:21" x14ac:dyDescent="0.35">
      <c r="B7083" s="9"/>
      <c r="C7083" s="2"/>
      <c r="D7083" s="2"/>
      <c r="I7083" s="9"/>
      <c r="J7083" s="2"/>
      <c r="L7083" s="9"/>
      <c r="M7083" s="2"/>
      <c r="N7083" s="9"/>
      <c r="P7083" s="3">
        <v>-2860.169492</v>
      </c>
      <c r="S7083" s="9"/>
      <c r="T7083" s="2"/>
      <c r="U7083" s="9"/>
    </row>
    <row r="7084" spans="2:21" x14ac:dyDescent="0.35">
      <c r="B7084" s="9"/>
      <c r="C7084" s="2"/>
      <c r="D7084" s="2"/>
      <c r="I7084" s="9"/>
      <c r="J7084" s="2"/>
      <c r="L7084" s="9"/>
      <c r="M7084" s="2"/>
      <c r="N7084" s="9"/>
      <c r="P7084" s="3">
        <v>-2860.169492</v>
      </c>
      <c r="S7084" s="9"/>
      <c r="T7084" s="2"/>
      <c r="U7084" s="9"/>
    </row>
    <row r="7085" spans="2:21" x14ac:dyDescent="0.35">
      <c r="B7085" s="9"/>
      <c r="C7085" s="2"/>
      <c r="D7085" s="2"/>
      <c r="I7085" s="9"/>
      <c r="J7085" s="2"/>
      <c r="L7085" s="9"/>
      <c r="M7085" s="2"/>
      <c r="N7085" s="9"/>
      <c r="P7085" s="3">
        <v>-2860.169492</v>
      </c>
      <c r="S7085" s="9"/>
      <c r="T7085" s="2"/>
      <c r="U7085" s="9"/>
    </row>
    <row r="7086" spans="2:21" x14ac:dyDescent="0.35">
      <c r="B7086" s="9"/>
      <c r="C7086" s="2"/>
      <c r="D7086" s="2"/>
      <c r="I7086" s="9"/>
      <c r="J7086" s="2"/>
      <c r="L7086" s="9"/>
      <c r="M7086" s="2"/>
      <c r="N7086" s="9"/>
      <c r="P7086" s="3">
        <v>-2860.169492</v>
      </c>
      <c r="S7086" s="9"/>
      <c r="T7086" s="2"/>
      <c r="U7086" s="9"/>
    </row>
    <row r="7087" spans="2:21" x14ac:dyDescent="0.35">
      <c r="B7087" s="9"/>
      <c r="C7087" s="2"/>
      <c r="D7087" s="2"/>
      <c r="I7087" s="9"/>
      <c r="J7087" s="2"/>
      <c r="L7087" s="9"/>
      <c r="M7087" s="2"/>
      <c r="N7087" s="9"/>
      <c r="P7087" s="3">
        <v>-2860.169492</v>
      </c>
      <c r="S7087" s="9"/>
      <c r="T7087" s="2"/>
      <c r="U7087" s="9"/>
    </row>
    <row r="7088" spans="2:21" x14ac:dyDescent="0.35">
      <c r="B7088" s="9"/>
      <c r="C7088" s="2"/>
      <c r="D7088" s="2"/>
      <c r="I7088" s="9"/>
      <c r="J7088" s="2"/>
      <c r="L7088" s="9"/>
      <c r="M7088" s="2"/>
      <c r="N7088" s="9"/>
      <c r="P7088" s="3">
        <v>-2860.169492</v>
      </c>
      <c r="S7088" s="9"/>
      <c r="T7088" s="2"/>
      <c r="U7088" s="9"/>
    </row>
    <row r="7089" spans="2:21" x14ac:dyDescent="0.35">
      <c r="B7089" s="9"/>
      <c r="C7089" s="2"/>
      <c r="D7089" s="2"/>
      <c r="I7089" s="9"/>
      <c r="J7089" s="2"/>
      <c r="L7089" s="9"/>
      <c r="M7089" s="2"/>
      <c r="N7089" s="9"/>
      <c r="P7089" s="3">
        <v>-2860.169492</v>
      </c>
      <c r="S7089" s="9"/>
      <c r="T7089" s="2"/>
      <c r="U7089" s="9"/>
    </row>
    <row r="7090" spans="2:21" x14ac:dyDescent="0.35">
      <c r="B7090" s="9"/>
      <c r="C7090" s="2"/>
      <c r="D7090" s="2"/>
      <c r="I7090" s="9"/>
      <c r="J7090" s="2"/>
      <c r="L7090" s="9"/>
      <c r="M7090" s="2"/>
      <c r="N7090" s="9"/>
      <c r="P7090" s="3">
        <v>-2860.169492</v>
      </c>
      <c r="S7090" s="9"/>
      <c r="T7090" s="2"/>
      <c r="U7090" s="9"/>
    </row>
    <row r="7091" spans="2:21" x14ac:dyDescent="0.35">
      <c r="B7091" s="9"/>
      <c r="C7091" s="2"/>
      <c r="D7091" s="2"/>
      <c r="I7091" s="9"/>
      <c r="J7091" s="2"/>
      <c r="L7091" s="9"/>
      <c r="M7091" s="2"/>
      <c r="N7091" s="9"/>
      <c r="P7091" s="3">
        <v>-2860.169492</v>
      </c>
      <c r="S7091" s="9"/>
      <c r="T7091" s="2"/>
      <c r="U7091" s="9"/>
    </row>
    <row r="7092" spans="2:21" x14ac:dyDescent="0.35">
      <c r="B7092" s="9"/>
      <c r="C7092" s="2"/>
      <c r="D7092" s="2"/>
      <c r="I7092" s="9"/>
      <c r="J7092" s="2"/>
      <c r="L7092" s="9"/>
      <c r="M7092" s="2"/>
      <c r="N7092" s="9"/>
      <c r="P7092" s="3">
        <v>-2860.169492</v>
      </c>
      <c r="S7092" s="9"/>
      <c r="T7092" s="2"/>
      <c r="U7092" s="9"/>
    </row>
    <row r="7093" spans="2:21" x14ac:dyDescent="0.35">
      <c r="B7093" s="9"/>
      <c r="C7093" s="2"/>
      <c r="D7093" s="2"/>
      <c r="I7093" s="9"/>
      <c r="J7093" s="2"/>
      <c r="L7093" s="9"/>
      <c r="M7093" s="2"/>
      <c r="N7093" s="9"/>
      <c r="P7093" s="3">
        <v>-2860.169492</v>
      </c>
      <c r="S7093" s="9"/>
      <c r="T7093" s="2"/>
      <c r="U7093" s="9"/>
    </row>
    <row r="7094" spans="2:21" x14ac:dyDescent="0.35">
      <c r="B7094" s="9"/>
      <c r="C7094" s="2"/>
      <c r="D7094" s="2"/>
      <c r="I7094" s="9"/>
      <c r="J7094" s="2"/>
      <c r="L7094" s="9"/>
      <c r="M7094" s="2"/>
      <c r="N7094" s="9"/>
      <c r="P7094" s="3">
        <v>-2860.169492</v>
      </c>
      <c r="S7094" s="9"/>
      <c r="T7094" s="2"/>
      <c r="U7094" s="9"/>
    </row>
    <row r="7095" spans="2:21" x14ac:dyDescent="0.35">
      <c r="B7095" s="9"/>
      <c r="C7095" s="2"/>
      <c r="D7095" s="2"/>
      <c r="I7095" s="9"/>
      <c r="J7095" s="2"/>
      <c r="L7095" s="9"/>
      <c r="M7095" s="2"/>
      <c r="N7095" s="9"/>
      <c r="P7095" s="3">
        <v>-2860.169492</v>
      </c>
      <c r="S7095" s="9"/>
      <c r="T7095" s="2"/>
      <c r="U7095" s="9"/>
    </row>
    <row r="7096" spans="2:21" x14ac:dyDescent="0.35">
      <c r="B7096" s="9"/>
      <c r="C7096" s="2"/>
      <c r="D7096" s="2"/>
      <c r="I7096" s="9"/>
      <c r="J7096" s="2"/>
      <c r="L7096" s="9"/>
      <c r="M7096" s="2"/>
      <c r="N7096" s="9"/>
      <c r="P7096" s="3">
        <v>-2425.4094919999998</v>
      </c>
      <c r="S7096" s="9"/>
      <c r="T7096" s="2"/>
      <c r="U7096" s="9"/>
    </row>
    <row r="7097" spans="2:21" x14ac:dyDescent="0.35">
      <c r="B7097" s="9"/>
      <c r="C7097" s="2"/>
      <c r="D7097" s="2"/>
      <c r="I7097" s="9"/>
      <c r="J7097" s="2"/>
      <c r="L7097" s="9"/>
      <c r="M7097" s="2"/>
      <c r="N7097" s="9"/>
      <c r="P7097" s="3">
        <v>-1990.649492</v>
      </c>
      <c r="S7097" s="9"/>
      <c r="T7097" s="2"/>
      <c r="U7097" s="9"/>
    </row>
    <row r="7098" spans="2:21" x14ac:dyDescent="0.35">
      <c r="B7098" s="9"/>
      <c r="C7098" s="2"/>
      <c r="D7098" s="2"/>
      <c r="I7098" s="9"/>
      <c r="J7098" s="2"/>
      <c r="L7098" s="9"/>
      <c r="M7098" s="2"/>
      <c r="N7098" s="9"/>
      <c r="P7098" s="3">
        <v>-1555.889492</v>
      </c>
      <c r="S7098" s="9"/>
      <c r="T7098" s="2"/>
      <c r="U7098" s="9"/>
    </row>
    <row r="7099" spans="2:21" x14ac:dyDescent="0.35">
      <c r="B7099" s="9"/>
      <c r="C7099" s="2"/>
      <c r="D7099" s="2"/>
      <c r="I7099" s="9"/>
      <c r="J7099" s="2"/>
      <c r="L7099" s="9"/>
      <c r="M7099" s="2"/>
      <c r="N7099" s="9"/>
      <c r="P7099" s="3">
        <v>-1555.889492</v>
      </c>
      <c r="S7099" s="9"/>
      <c r="T7099" s="2"/>
      <c r="U7099" s="9"/>
    </row>
    <row r="7100" spans="2:21" x14ac:dyDescent="0.35">
      <c r="B7100" s="9"/>
      <c r="C7100" s="2"/>
      <c r="D7100" s="2"/>
      <c r="I7100" s="9"/>
      <c r="J7100" s="2"/>
      <c r="L7100" s="9"/>
      <c r="M7100" s="2"/>
      <c r="N7100" s="9"/>
      <c r="P7100" s="3">
        <v>-1990.649492</v>
      </c>
      <c r="S7100" s="9"/>
      <c r="T7100" s="2"/>
      <c r="U7100" s="9"/>
    </row>
    <row r="7101" spans="2:21" x14ac:dyDescent="0.35">
      <c r="B7101" s="9"/>
      <c r="C7101" s="2"/>
      <c r="D7101" s="2"/>
      <c r="I7101" s="9"/>
      <c r="J7101" s="2"/>
      <c r="L7101" s="9"/>
      <c r="M7101" s="2"/>
      <c r="N7101" s="9"/>
      <c r="P7101" s="3">
        <v>-2425.4094919999998</v>
      </c>
      <c r="S7101" s="9"/>
      <c r="T7101" s="2"/>
      <c r="U7101" s="9"/>
    </row>
    <row r="7102" spans="2:21" x14ac:dyDescent="0.35">
      <c r="B7102" s="9"/>
      <c r="C7102" s="2"/>
      <c r="D7102" s="2"/>
      <c r="I7102" s="9"/>
      <c r="J7102" s="2"/>
      <c r="L7102" s="9"/>
      <c r="M7102" s="2"/>
      <c r="N7102" s="9"/>
      <c r="P7102" s="3">
        <v>-2860.169492</v>
      </c>
      <c r="S7102" s="9"/>
      <c r="T7102" s="2"/>
      <c r="U7102" s="9"/>
    </row>
    <row r="7103" spans="2:21" x14ac:dyDescent="0.35">
      <c r="B7103" s="9"/>
      <c r="C7103" s="2"/>
      <c r="D7103" s="2"/>
      <c r="I7103" s="9"/>
      <c r="J7103" s="2"/>
      <c r="L7103" s="9"/>
      <c r="M7103" s="2"/>
      <c r="N7103" s="9"/>
      <c r="P7103" s="3">
        <v>-2860.169492</v>
      </c>
      <c r="S7103" s="9"/>
      <c r="T7103" s="2"/>
      <c r="U7103" s="9"/>
    </row>
    <row r="7104" spans="2:21" x14ac:dyDescent="0.35">
      <c r="B7104" s="9"/>
      <c r="C7104" s="2"/>
      <c r="D7104" s="2"/>
      <c r="I7104" s="9"/>
      <c r="J7104" s="2"/>
      <c r="L7104" s="9"/>
      <c r="M7104" s="2"/>
      <c r="N7104" s="9"/>
      <c r="P7104" s="3">
        <v>-2860.169492</v>
      </c>
      <c r="S7104" s="9"/>
      <c r="T7104" s="2"/>
      <c r="U7104" s="9"/>
    </row>
    <row r="7105" spans="2:21" x14ac:dyDescent="0.35">
      <c r="B7105" s="9"/>
      <c r="C7105" s="2"/>
      <c r="D7105" s="2"/>
      <c r="I7105" s="9"/>
      <c r="J7105" s="2"/>
      <c r="L7105" s="9"/>
      <c r="M7105" s="2"/>
      <c r="N7105" s="9"/>
      <c r="P7105" s="3">
        <v>-2860.169492</v>
      </c>
      <c r="S7105" s="9"/>
      <c r="T7105" s="2"/>
      <c r="U7105" s="9"/>
    </row>
    <row r="7106" spans="2:21" x14ac:dyDescent="0.35">
      <c r="B7106" s="9"/>
      <c r="C7106" s="2"/>
      <c r="D7106" s="2"/>
      <c r="I7106" s="9"/>
      <c r="J7106" s="2"/>
      <c r="L7106" s="9"/>
      <c r="M7106" s="2"/>
      <c r="N7106" s="9"/>
      <c r="P7106" s="3">
        <v>-2860.169492</v>
      </c>
      <c r="S7106" s="9"/>
      <c r="T7106" s="2"/>
      <c r="U7106" s="9"/>
    </row>
    <row r="7107" spans="2:21" x14ac:dyDescent="0.35">
      <c r="B7107" s="9"/>
      <c r="C7107" s="2"/>
      <c r="D7107" s="2"/>
      <c r="I7107" s="9"/>
      <c r="J7107" s="2"/>
      <c r="L7107" s="9"/>
      <c r="M7107" s="2"/>
      <c r="N7107" s="9"/>
      <c r="P7107" s="3">
        <v>-2860.169492</v>
      </c>
      <c r="S7107" s="9"/>
      <c r="T7107" s="2"/>
      <c r="U7107" s="9"/>
    </row>
    <row r="7108" spans="2:21" x14ac:dyDescent="0.35">
      <c r="B7108" s="9"/>
      <c r="C7108" s="2"/>
      <c r="D7108" s="2"/>
      <c r="I7108" s="9"/>
      <c r="J7108" s="2"/>
      <c r="L7108" s="9"/>
      <c r="M7108" s="2"/>
      <c r="N7108" s="9"/>
      <c r="P7108" s="3">
        <v>-2860.169492</v>
      </c>
      <c r="S7108" s="9"/>
      <c r="T7108" s="2"/>
      <c r="U7108" s="9"/>
    </row>
    <row r="7109" spans="2:21" x14ac:dyDescent="0.35">
      <c r="B7109" s="9"/>
      <c r="C7109" s="2"/>
      <c r="D7109" s="2"/>
      <c r="I7109" s="9"/>
      <c r="J7109" s="2"/>
      <c r="L7109" s="9"/>
      <c r="M7109" s="2"/>
      <c r="N7109" s="9"/>
      <c r="P7109" s="3">
        <v>-2860.169492</v>
      </c>
      <c r="S7109" s="9"/>
      <c r="T7109" s="2"/>
      <c r="U7109" s="9"/>
    </row>
    <row r="7110" spans="2:21" x14ac:dyDescent="0.35">
      <c r="B7110" s="9"/>
      <c r="C7110" s="2"/>
      <c r="D7110" s="2"/>
      <c r="I7110" s="9"/>
      <c r="J7110" s="2"/>
      <c r="L7110" s="9"/>
      <c r="M7110" s="2"/>
      <c r="N7110" s="9"/>
      <c r="P7110" s="3">
        <v>-2860.169492</v>
      </c>
      <c r="S7110" s="9"/>
      <c r="T7110" s="2"/>
      <c r="U7110" s="9"/>
    </row>
    <row r="7111" spans="2:21" x14ac:dyDescent="0.35">
      <c r="B7111" s="9"/>
      <c r="C7111" s="2"/>
      <c r="D7111" s="2"/>
      <c r="I7111" s="9"/>
      <c r="J7111" s="2"/>
      <c r="L7111" s="9"/>
      <c r="M7111" s="2"/>
      <c r="N7111" s="9"/>
      <c r="P7111" s="3">
        <v>-2860.169492</v>
      </c>
      <c r="S7111" s="9"/>
      <c r="T7111" s="2"/>
      <c r="U7111" s="9"/>
    </row>
    <row r="7112" spans="2:21" x14ac:dyDescent="0.35">
      <c r="B7112" s="9"/>
      <c r="C7112" s="2"/>
      <c r="D7112" s="2"/>
      <c r="I7112" s="9"/>
      <c r="J7112" s="2"/>
      <c r="L7112" s="9"/>
      <c r="M7112" s="2"/>
      <c r="N7112" s="9"/>
      <c r="P7112" s="3">
        <v>-2860.169492</v>
      </c>
      <c r="S7112" s="9"/>
      <c r="T7112" s="2"/>
      <c r="U7112" s="9"/>
    </row>
    <row r="7113" spans="2:21" x14ac:dyDescent="0.35">
      <c r="B7113" s="9"/>
      <c r="C7113" s="2"/>
      <c r="D7113" s="2"/>
      <c r="I7113" s="9"/>
      <c r="J7113" s="2"/>
      <c r="L7113" s="9"/>
      <c r="M7113" s="2"/>
      <c r="N7113" s="9"/>
      <c r="P7113" s="3">
        <v>-2860.169492</v>
      </c>
      <c r="S7113" s="9"/>
      <c r="T7113" s="2"/>
      <c r="U7113" s="9"/>
    </row>
    <row r="7114" spans="2:21" x14ac:dyDescent="0.35">
      <c r="B7114" s="9"/>
      <c r="C7114" s="2"/>
      <c r="D7114" s="2"/>
      <c r="I7114" s="9"/>
      <c r="J7114" s="2"/>
      <c r="L7114" s="9"/>
      <c r="M7114" s="2"/>
      <c r="N7114" s="9"/>
      <c r="P7114" s="3">
        <v>-2860.169492</v>
      </c>
      <c r="S7114" s="9"/>
      <c r="T7114" s="2"/>
      <c r="U7114" s="9"/>
    </row>
    <row r="7115" spans="2:21" x14ac:dyDescent="0.35">
      <c r="B7115" s="9"/>
      <c r="C7115" s="2"/>
      <c r="D7115" s="2"/>
      <c r="I7115" s="9"/>
      <c r="J7115" s="2"/>
      <c r="L7115" s="9"/>
      <c r="M7115" s="2"/>
      <c r="N7115" s="9"/>
      <c r="P7115" s="3">
        <v>-2860.169492</v>
      </c>
      <c r="S7115" s="9"/>
      <c r="T7115" s="2"/>
      <c r="U7115" s="9"/>
    </row>
    <row r="7116" spans="2:21" x14ac:dyDescent="0.35">
      <c r="B7116" s="9"/>
      <c r="C7116" s="2"/>
      <c r="D7116" s="2"/>
      <c r="I7116" s="9"/>
      <c r="J7116" s="2"/>
      <c r="L7116" s="9"/>
      <c r="M7116" s="2"/>
      <c r="N7116" s="9"/>
      <c r="P7116" s="3">
        <v>-2860.169492</v>
      </c>
      <c r="S7116" s="9"/>
      <c r="T7116" s="2"/>
      <c r="U7116" s="9"/>
    </row>
    <row r="7117" spans="2:21" x14ac:dyDescent="0.35">
      <c r="B7117" s="9"/>
      <c r="C7117" s="2"/>
      <c r="D7117" s="2"/>
      <c r="I7117" s="9"/>
      <c r="J7117" s="2"/>
      <c r="L7117" s="9"/>
      <c r="M7117" s="2"/>
      <c r="N7117" s="9"/>
      <c r="P7117" s="3">
        <v>-2832.42194445</v>
      </c>
      <c r="S7117" s="9"/>
      <c r="T7117" s="2"/>
      <c r="U7117" s="9"/>
    </row>
    <row r="7118" spans="2:21" x14ac:dyDescent="0.35">
      <c r="B7118" s="9"/>
      <c r="C7118" s="2"/>
      <c r="D7118" s="2"/>
      <c r="I7118" s="9"/>
      <c r="J7118" s="2"/>
      <c r="L7118" s="9"/>
      <c r="M7118" s="2"/>
      <c r="N7118" s="9"/>
      <c r="P7118" s="3">
        <v>-2397.6619444500002</v>
      </c>
      <c r="S7118" s="9"/>
      <c r="T7118" s="2"/>
      <c r="U7118" s="9"/>
    </row>
    <row r="7119" spans="2:21" x14ac:dyDescent="0.35">
      <c r="B7119" s="9"/>
      <c r="C7119" s="2"/>
      <c r="D7119" s="2"/>
      <c r="I7119" s="9"/>
      <c r="J7119" s="2"/>
      <c r="L7119" s="9"/>
      <c r="M7119" s="2"/>
      <c r="N7119" s="9"/>
      <c r="P7119" s="3">
        <v>-1962.90194445</v>
      </c>
      <c r="S7119" s="9"/>
      <c r="T7119" s="2"/>
      <c r="U7119" s="9"/>
    </row>
    <row r="7120" spans="2:21" x14ac:dyDescent="0.35">
      <c r="B7120" s="9"/>
      <c r="C7120" s="2"/>
      <c r="D7120" s="2"/>
      <c r="I7120" s="9"/>
      <c r="J7120" s="2"/>
      <c r="L7120" s="9"/>
      <c r="M7120" s="2"/>
      <c r="N7120" s="9"/>
      <c r="P7120" s="3">
        <v>-1528.14194445</v>
      </c>
      <c r="S7120" s="9"/>
      <c r="T7120" s="2"/>
      <c r="U7120" s="9"/>
    </row>
    <row r="7121" spans="2:21" x14ac:dyDescent="0.35">
      <c r="B7121" s="9"/>
      <c r="C7121" s="2"/>
      <c r="D7121" s="2"/>
      <c r="I7121" s="9"/>
      <c r="J7121" s="2"/>
      <c r="L7121" s="9"/>
      <c r="M7121" s="2"/>
      <c r="N7121" s="9"/>
      <c r="P7121" s="3">
        <v>-1093.38194445</v>
      </c>
      <c r="S7121" s="9"/>
      <c r="T7121" s="2"/>
      <c r="U7121" s="9"/>
    </row>
    <row r="7122" spans="2:21" x14ac:dyDescent="0.35">
      <c r="B7122" s="9"/>
      <c r="C7122" s="2"/>
      <c r="D7122" s="2"/>
      <c r="I7122" s="9"/>
      <c r="J7122" s="2"/>
      <c r="L7122" s="9"/>
      <c r="M7122" s="2"/>
      <c r="N7122" s="9"/>
      <c r="P7122" s="3">
        <v>-658.62194445</v>
      </c>
      <c r="S7122" s="9"/>
      <c r="T7122" s="2"/>
      <c r="U7122" s="9"/>
    </row>
    <row r="7123" spans="2:21" x14ac:dyDescent="0.35">
      <c r="B7123" s="9"/>
      <c r="C7123" s="2"/>
      <c r="D7123" s="2"/>
      <c r="I7123" s="9"/>
      <c r="J7123" s="2"/>
      <c r="L7123" s="9"/>
      <c r="M7123" s="2"/>
      <c r="N7123" s="9"/>
      <c r="P7123" s="3">
        <v>-223.86194445000001</v>
      </c>
      <c r="S7123" s="9"/>
      <c r="T7123" s="2"/>
      <c r="U7123" s="9"/>
    </row>
    <row r="7124" spans="2:21" x14ac:dyDescent="0.35">
      <c r="B7124" s="9"/>
      <c r="C7124" s="2"/>
      <c r="D7124" s="2"/>
      <c r="I7124" s="9"/>
      <c r="J7124" s="2"/>
      <c r="L7124" s="9"/>
      <c r="M7124" s="2"/>
      <c r="N7124" s="9"/>
      <c r="P7124" s="3">
        <v>-340.55167772999999</v>
      </c>
      <c r="S7124" s="9"/>
      <c r="T7124" s="2"/>
      <c r="U7124" s="9"/>
    </row>
    <row r="7125" spans="2:21" x14ac:dyDescent="0.35">
      <c r="B7125" s="9"/>
      <c r="C7125" s="2"/>
      <c r="D7125" s="2"/>
      <c r="I7125" s="9"/>
      <c r="J7125" s="2"/>
      <c r="L7125" s="9"/>
      <c r="M7125" s="2"/>
      <c r="N7125" s="9"/>
      <c r="P7125" s="3">
        <v>-775.31167773000004</v>
      </c>
      <c r="S7125" s="9"/>
      <c r="T7125" s="2"/>
      <c r="U7125" s="9"/>
    </row>
    <row r="7126" spans="2:21" x14ac:dyDescent="0.35">
      <c r="B7126" s="9"/>
      <c r="C7126" s="2"/>
      <c r="D7126" s="2"/>
      <c r="I7126" s="9"/>
      <c r="J7126" s="2"/>
      <c r="L7126" s="9"/>
      <c r="M7126" s="2"/>
      <c r="N7126" s="9"/>
      <c r="P7126" s="3">
        <v>-1210.0716777299999</v>
      </c>
      <c r="S7126" s="9"/>
      <c r="T7126" s="2"/>
      <c r="U7126" s="9"/>
    </row>
    <row r="7127" spans="2:21" x14ac:dyDescent="0.35">
      <c r="B7127" s="9"/>
      <c r="C7127" s="2"/>
      <c r="D7127" s="2"/>
      <c r="I7127" s="9"/>
      <c r="J7127" s="2"/>
      <c r="L7127" s="9"/>
      <c r="M7127" s="2"/>
      <c r="N7127" s="9"/>
      <c r="P7127" s="3">
        <v>-1644.8316777299999</v>
      </c>
      <c r="S7127" s="9"/>
      <c r="T7127" s="2"/>
      <c r="U7127" s="9"/>
    </row>
    <row r="7128" spans="2:21" x14ac:dyDescent="0.35">
      <c r="B7128" s="9"/>
      <c r="C7128" s="2"/>
      <c r="D7128" s="2"/>
      <c r="I7128" s="9"/>
      <c r="J7128" s="2"/>
      <c r="L7128" s="9"/>
      <c r="M7128" s="2"/>
      <c r="N7128" s="9"/>
      <c r="P7128" s="3">
        <v>-2079.5916777299999</v>
      </c>
      <c r="S7128" s="9"/>
      <c r="T7128" s="2"/>
      <c r="U7128" s="9"/>
    </row>
    <row r="7129" spans="2:21" x14ac:dyDescent="0.35">
      <c r="B7129" s="9"/>
      <c r="C7129" s="2"/>
      <c r="D7129" s="2"/>
      <c r="I7129" s="9"/>
      <c r="J7129" s="2"/>
      <c r="L7129" s="9"/>
      <c r="M7129" s="2"/>
      <c r="N7129" s="9"/>
      <c r="P7129" s="3">
        <v>-1644.8316777299999</v>
      </c>
      <c r="S7129" s="9"/>
      <c r="T7129" s="2"/>
      <c r="U7129" s="9"/>
    </row>
    <row r="7130" spans="2:21" x14ac:dyDescent="0.35">
      <c r="B7130" s="9"/>
      <c r="C7130" s="2"/>
      <c r="D7130" s="2"/>
      <c r="I7130" s="9"/>
      <c r="J7130" s="2"/>
      <c r="L7130" s="9"/>
      <c r="M7130" s="2"/>
      <c r="N7130" s="9"/>
      <c r="P7130" s="3">
        <v>-1303.13159823</v>
      </c>
      <c r="S7130" s="9"/>
      <c r="T7130" s="2"/>
      <c r="U7130" s="9"/>
    </row>
    <row r="7131" spans="2:21" x14ac:dyDescent="0.35">
      <c r="B7131" s="9"/>
      <c r="C7131" s="2"/>
      <c r="D7131" s="2"/>
      <c r="I7131" s="9"/>
      <c r="J7131" s="2"/>
      <c r="L7131" s="9"/>
      <c r="M7131" s="2"/>
      <c r="N7131" s="9"/>
      <c r="P7131" s="3">
        <v>-1065.9441786</v>
      </c>
      <c r="S7131" s="9"/>
      <c r="T7131" s="2"/>
      <c r="U7131" s="9"/>
    </row>
    <row r="7132" spans="2:21" x14ac:dyDescent="0.35">
      <c r="B7132" s="9"/>
      <c r="C7132" s="2"/>
      <c r="D7132" s="2"/>
      <c r="I7132" s="9"/>
      <c r="J7132" s="2"/>
      <c r="L7132" s="9"/>
      <c r="M7132" s="2"/>
      <c r="N7132" s="9"/>
      <c r="P7132" s="3">
        <v>-868.92921885999999</v>
      </c>
      <c r="S7132" s="9"/>
      <c r="T7132" s="2"/>
      <c r="U7132" s="9"/>
    </row>
    <row r="7133" spans="2:21" x14ac:dyDescent="0.35">
      <c r="B7133" s="9"/>
      <c r="C7133" s="2"/>
      <c r="D7133" s="2"/>
      <c r="I7133" s="9"/>
      <c r="J7133" s="2"/>
      <c r="L7133" s="9"/>
      <c r="M7133" s="2"/>
      <c r="N7133" s="9"/>
      <c r="P7133" s="3">
        <v>-875.94188885999995</v>
      </c>
      <c r="S7133" s="9"/>
      <c r="T7133" s="2"/>
      <c r="U7133" s="9"/>
    </row>
    <row r="7134" spans="2:21" x14ac:dyDescent="0.35">
      <c r="B7134" s="9"/>
      <c r="C7134" s="2"/>
      <c r="D7134" s="2"/>
      <c r="I7134" s="9"/>
      <c r="J7134" s="2"/>
      <c r="L7134" s="9"/>
      <c r="M7134" s="2"/>
      <c r="N7134" s="9"/>
      <c r="P7134" s="3">
        <v>-1047.2095088599999</v>
      </c>
      <c r="S7134" s="9"/>
      <c r="T7134" s="2"/>
      <c r="U7134" s="9"/>
    </row>
    <row r="7135" spans="2:21" x14ac:dyDescent="0.35">
      <c r="B7135" s="9"/>
      <c r="C7135" s="2"/>
      <c r="D7135" s="2"/>
      <c r="I7135" s="9"/>
      <c r="J7135" s="2"/>
      <c r="L7135" s="9"/>
      <c r="M7135" s="2"/>
      <c r="N7135" s="9"/>
      <c r="P7135" s="3">
        <v>-1008.16305886</v>
      </c>
      <c r="S7135" s="9"/>
      <c r="T7135" s="2"/>
      <c r="U7135" s="9"/>
    </row>
    <row r="7136" spans="2:21" x14ac:dyDescent="0.35">
      <c r="B7136" s="9"/>
      <c r="C7136" s="2"/>
      <c r="D7136" s="2"/>
      <c r="I7136" s="9"/>
      <c r="J7136" s="2"/>
      <c r="L7136" s="9"/>
      <c r="M7136" s="2"/>
      <c r="N7136" s="9"/>
      <c r="P7136" s="3">
        <v>-949.47942885999998</v>
      </c>
      <c r="S7136" s="9"/>
      <c r="T7136" s="2"/>
      <c r="U7136" s="9"/>
    </row>
    <row r="7137" spans="2:21" x14ac:dyDescent="0.35">
      <c r="B7137" s="9"/>
      <c r="C7137" s="2"/>
      <c r="D7137" s="2"/>
      <c r="I7137" s="9"/>
      <c r="J7137" s="2"/>
      <c r="L7137" s="9"/>
      <c r="M7137" s="2"/>
      <c r="N7137" s="9"/>
      <c r="P7137" s="3">
        <v>-846.90217886000005</v>
      </c>
      <c r="S7137" s="9"/>
      <c r="T7137" s="2"/>
      <c r="U7137" s="9"/>
    </row>
    <row r="7138" spans="2:21" x14ac:dyDescent="0.35">
      <c r="B7138" s="9"/>
      <c r="C7138" s="2"/>
      <c r="D7138" s="2"/>
      <c r="I7138" s="9"/>
      <c r="J7138" s="2"/>
      <c r="L7138" s="9"/>
      <c r="M7138" s="2"/>
      <c r="N7138" s="9"/>
      <c r="P7138" s="3">
        <v>-694.94726886000001</v>
      </c>
      <c r="S7138" s="9"/>
      <c r="T7138" s="2"/>
      <c r="U7138" s="9"/>
    </row>
    <row r="7139" spans="2:21" x14ac:dyDescent="0.35">
      <c r="B7139" s="9"/>
      <c r="C7139" s="2"/>
      <c r="D7139" s="2"/>
      <c r="I7139" s="9"/>
      <c r="J7139" s="2"/>
      <c r="L7139" s="9"/>
      <c r="M7139" s="2"/>
      <c r="N7139" s="9"/>
      <c r="P7139" s="3">
        <v>-537.51409237999997</v>
      </c>
      <c r="S7139" s="9"/>
      <c r="T7139" s="2"/>
      <c r="U7139" s="9"/>
    </row>
    <row r="7140" spans="2:21" x14ac:dyDescent="0.35">
      <c r="B7140" s="9"/>
      <c r="C7140" s="2"/>
      <c r="D7140" s="2"/>
      <c r="I7140" s="9"/>
      <c r="J7140" s="2"/>
      <c r="L7140" s="9"/>
      <c r="M7140" s="2"/>
      <c r="N7140" s="9"/>
      <c r="P7140" s="3">
        <v>-389.43374590000002</v>
      </c>
      <c r="S7140" s="9"/>
      <c r="T7140" s="2"/>
      <c r="U7140" s="9"/>
    </row>
    <row r="7141" spans="2:21" x14ac:dyDescent="0.35">
      <c r="B7141" s="9"/>
      <c r="C7141" s="2"/>
      <c r="D7141" s="2"/>
      <c r="I7141" s="9"/>
      <c r="J7141" s="2"/>
      <c r="L7141" s="9"/>
      <c r="M7141" s="2"/>
      <c r="N7141" s="9"/>
      <c r="P7141" s="3">
        <v>-279.21444344999998</v>
      </c>
      <c r="S7141" s="9"/>
      <c r="T7141" s="2"/>
      <c r="U7141" s="9"/>
    </row>
    <row r="7142" spans="2:21" x14ac:dyDescent="0.35">
      <c r="B7142" s="9"/>
      <c r="C7142" s="2"/>
      <c r="D7142" s="2"/>
      <c r="I7142" s="9"/>
      <c r="J7142" s="2"/>
      <c r="L7142" s="9"/>
      <c r="M7142" s="2"/>
      <c r="N7142" s="9"/>
      <c r="P7142" s="3">
        <v>-530.07599697000001</v>
      </c>
      <c r="S7142" s="9"/>
      <c r="T7142" s="2"/>
      <c r="U7142" s="9"/>
    </row>
    <row r="7143" spans="2:21" x14ac:dyDescent="0.35">
      <c r="B7143" s="9"/>
      <c r="C7143" s="2"/>
      <c r="D7143" s="2"/>
      <c r="I7143" s="9"/>
      <c r="J7143" s="2"/>
      <c r="L7143" s="9"/>
      <c r="M7143" s="2"/>
      <c r="N7143" s="9"/>
      <c r="P7143" s="3">
        <v>-964.83599697</v>
      </c>
      <c r="S7143" s="9"/>
      <c r="T7143" s="2"/>
      <c r="U7143" s="9"/>
    </row>
    <row r="7144" spans="2:21" x14ac:dyDescent="0.35">
      <c r="B7144" s="9"/>
      <c r="C7144" s="2"/>
      <c r="D7144" s="2"/>
      <c r="I7144" s="9"/>
      <c r="J7144" s="2"/>
      <c r="L7144" s="9"/>
      <c r="M7144" s="2"/>
      <c r="N7144" s="9"/>
      <c r="P7144" s="3">
        <v>-1399.59599697</v>
      </c>
      <c r="S7144" s="9"/>
      <c r="T7144" s="2"/>
      <c r="U7144" s="9"/>
    </row>
    <row r="7145" spans="2:21" x14ac:dyDescent="0.35">
      <c r="B7145" s="9"/>
      <c r="C7145" s="2"/>
      <c r="D7145" s="2"/>
      <c r="I7145" s="9"/>
      <c r="J7145" s="2"/>
      <c r="L7145" s="9"/>
      <c r="M7145" s="2"/>
      <c r="N7145" s="9"/>
      <c r="P7145" s="3">
        <v>-1348.7081357</v>
      </c>
      <c r="S7145" s="9"/>
      <c r="T7145" s="2"/>
      <c r="U7145" s="9"/>
    </row>
    <row r="7146" spans="2:21" x14ac:dyDescent="0.35">
      <c r="B7146" s="9"/>
      <c r="C7146" s="2"/>
      <c r="D7146" s="2"/>
      <c r="I7146" s="9"/>
      <c r="J7146" s="2"/>
      <c r="L7146" s="9"/>
      <c r="M7146" s="2"/>
      <c r="N7146" s="9"/>
      <c r="P7146" s="3">
        <v>-913.94813569999997</v>
      </c>
      <c r="S7146" s="9"/>
      <c r="T7146" s="2"/>
      <c r="U7146" s="9"/>
    </row>
    <row r="7147" spans="2:21" x14ac:dyDescent="0.35">
      <c r="B7147" s="9"/>
      <c r="C7147" s="2"/>
      <c r="D7147" s="2"/>
      <c r="I7147" s="9"/>
      <c r="J7147" s="2"/>
      <c r="L7147" s="9"/>
      <c r="M7147" s="2"/>
      <c r="N7147" s="9"/>
      <c r="P7147" s="3">
        <v>-1290.20846611</v>
      </c>
      <c r="S7147" s="9"/>
      <c r="T7147" s="2"/>
      <c r="U7147" s="9"/>
    </row>
    <row r="7148" spans="2:21" x14ac:dyDescent="0.35">
      <c r="B7148" s="9"/>
      <c r="C7148" s="2"/>
      <c r="D7148" s="2"/>
      <c r="I7148" s="9"/>
      <c r="J7148" s="2"/>
      <c r="L7148" s="9"/>
      <c r="M7148" s="2"/>
      <c r="N7148" s="9"/>
      <c r="P7148" s="3">
        <v>-1724.96846611</v>
      </c>
      <c r="S7148" s="9"/>
      <c r="T7148" s="2"/>
      <c r="U7148" s="9"/>
    </row>
    <row r="7149" spans="2:21" x14ac:dyDescent="0.35">
      <c r="B7149" s="9"/>
      <c r="C7149" s="2"/>
      <c r="D7149" s="2"/>
      <c r="I7149" s="9"/>
      <c r="J7149" s="2"/>
      <c r="L7149" s="9"/>
      <c r="M7149" s="2"/>
      <c r="N7149" s="9"/>
      <c r="P7149" s="3">
        <v>-2068.2867969700001</v>
      </c>
      <c r="S7149" s="9"/>
      <c r="T7149" s="2"/>
      <c r="U7149" s="9"/>
    </row>
    <row r="7150" spans="2:21" x14ac:dyDescent="0.35">
      <c r="B7150" s="9"/>
      <c r="C7150" s="2"/>
      <c r="D7150" s="2"/>
      <c r="I7150" s="9"/>
      <c r="J7150" s="2"/>
      <c r="L7150" s="9"/>
      <c r="M7150" s="2"/>
      <c r="N7150" s="9"/>
      <c r="P7150" s="3">
        <v>-1633.5267969700001</v>
      </c>
      <c r="S7150" s="9"/>
      <c r="T7150" s="2"/>
      <c r="U7150" s="9"/>
    </row>
    <row r="7151" spans="2:21" x14ac:dyDescent="0.35">
      <c r="B7151" s="9"/>
      <c r="C7151" s="2"/>
      <c r="D7151" s="2"/>
      <c r="I7151" s="9"/>
      <c r="J7151" s="2"/>
      <c r="L7151" s="9"/>
      <c r="M7151" s="2"/>
      <c r="N7151" s="9"/>
      <c r="P7151" s="3">
        <v>-1198.7667969700001</v>
      </c>
      <c r="S7151" s="9"/>
      <c r="T7151" s="2"/>
      <c r="U7151" s="9"/>
    </row>
    <row r="7152" spans="2:21" x14ac:dyDescent="0.35">
      <c r="B7152" s="9"/>
      <c r="C7152" s="2"/>
      <c r="D7152" s="2"/>
      <c r="I7152" s="9"/>
      <c r="J7152" s="2"/>
      <c r="L7152" s="9"/>
      <c r="M7152" s="2"/>
      <c r="N7152" s="9"/>
      <c r="P7152" s="3">
        <v>-764.00679696999998</v>
      </c>
      <c r="S7152" s="9"/>
      <c r="T7152" s="2"/>
      <c r="U7152" s="9"/>
    </row>
    <row r="7153" spans="2:21" x14ac:dyDescent="0.35">
      <c r="B7153" s="9"/>
      <c r="C7153" s="2"/>
      <c r="D7153" s="2"/>
      <c r="I7153" s="9"/>
      <c r="J7153" s="2"/>
      <c r="L7153" s="9"/>
      <c r="M7153" s="2"/>
      <c r="N7153" s="9"/>
      <c r="P7153" s="3">
        <v>-648.39566773000001</v>
      </c>
      <c r="S7153" s="9"/>
      <c r="T7153" s="2"/>
      <c r="U7153" s="9"/>
    </row>
    <row r="7154" spans="2:21" x14ac:dyDescent="0.35">
      <c r="B7154" s="9"/>
      <c r="C7154" s="2"/>
      <c r="D7154" s="2"/>
      <c r="I7154" s="9"/>
      <c r="J7154" s="2"/>
      <c r="L7154" s="9"/>
      <c r="M7154" s="2"/>
      <c r="N7154" s="9"/>
      <c r="P7154" s="3">
        <v>-708.11325823000004</v>
      </c>
      <c r="S7154" s="9"/>
      <c r="T7154" s="2"/>
      <c r="U7154" s="9"/>
    </row>
    <row r="7155" spans="2:21" x14ac:dyDescent="0.35">
      <c r="B7155" s="9"/>
      <c r="C7155" s="2"/>
      <c r="D7155" s="2"/>
      <c r="I7155" s="9"/>
      <c r="J7155" s="2"/>
      <c r="L7155" s="9"/>
      <c r="M7155" s="2"/>
      <c r="N7155" s="9"/>
      <c r="P7155" s="3">
        <v>-884.14441859999999</v>
      </c>
      <c r="S7155" s="9"/>
      <c r="T7155" s="2"/>
      <c r="U7155" s="9"/>
    </row>
    <row r="7156" spans="2:21" x14ac:dyDescent="0.35">
      <c r="B7156" s="9"/>
      <c r="C7156" s="2"/>
      <c r="D7156" s="2"/>
      <c r="I7156" s="9"/>
      <c r="J7156" s="2"/>
      <c r="L7156" s="9"/>
      <c r="M7156" s="2"/>
      <c r="N7156" s="9"/>
      <c r="P7156" s="3">
        <v>-1182.8841188599999</v>
      </c>
      <c r="S7156" s="9"/>
      <c r="T7156" s="2"/>
      <c r="U7156" s="9"/>
    </row>
    <row r="7157" spans="2:21" x14ac:dyDescent="0.35">
      <c r="B7157" s="9"/>
      <c r="C7157" s="2"/>
      <c r="D7157" s="2"/>
      <c r="I7157" s="9"/>
      <c r="J7157" s="2"/>
      <c r="L7157" s="9"/>
      <c r="M7157" s="2"/>
      <c r="N7157" s="9"/>
      <c r="P7157" s="3">
        <v>-1617.6441188599999</v>
      </c>
      <c r="S7157" s="9"/>
      <c r="T7157" s="2"/>
      <c r="U7157" s="9"/>
    </row>
    <row r="7158" spans="2:21" x14ac:dyDescent="0.35">
      <c r="B7158" s="9"/>
      <c r="C7158" s="2"/>
      <c r="D7158" s="2"/>
      <c r="I7158" s="9"/>
      <c r="J7158" s="2"/>
      <c r="L7158" s="9"/>
      <c r="M7158" s="2"/>
      <c r="N7158" s="9"/>
      <c r="P7158" s="3">
        <v>-2052.4041188599999</v>
      </c>
      <c r="S7158" s="9"/>
      <c r="T7158" s="2"/>
      <c r="U7158" s="9"/>
    </row>
    <row r="7159" spans="2:21" x14ac:dyDescent="0.35">
      <c r="B7159" s="9"/>
      <c r="C7159" s="2"/>
      <c r="D7159" s="2"/>
      <c r="I7159" s="9"/>
      <c r="J7159" s="2"/>
      <c r="L7159" s="9"/>
      <c r="M7159" s="2"/>
      <c r="N7159" s="9"/>
      <c r="P7159" s="3">
        <v>-2376.60853886</v>
      </c>
      <c r="S7159" s="9"/>
      <c r="T7159" s="2"/>
      <c r="U7159" s="9"/>
    </row>
    <row r="7160" spans="2:21" x14ac:dyDescent="0.35">
      <c r="B7160" s="9"/>
      <c r="C7160" s="2"/>
      <c r="D7160" s="2"/>
      <c r="I7160" s="9"/>
      <c r="J7160" s="2"/>
      <c r="L7160" s="9"/>
      <c r="M7160" s="2"/>
      <c r="N7160" s="9"/>
      <c r="P7160" s="3">
        <v>-2517.6230588600001</v>
      </c>
      <c r="S7160" s="9"/>
      <c r="T7160" s="2"/>
      <c r="U7160" s="9"/>
    </row>
    <row r="7161" spans="2:21" x14ac:dyDescent="0.35">
      <c r="B7161" s="9"/>
      <c r="C7161" s="2"/>
      <c r="D7161" s="2"/>
      <c r="I7161" s="9"/>
      <c r="J7161" s="2"/>
      <c r="L7161" s="9"/>
      <c r="M7161" s="2"/>
      <c r="N7161" s="9"/>
      <c r="P7161" s="3">
        <v>-2593.5937688600002</v>
      </c>
      <c r="S7161" s="9"/>
      <c r="T7161" s="2"/>
      <c r="U7161" s="9"/>
    </row>
    <row r="7162" spans="2:21" x14ac:dyDescent="0.35">
      <c r="B7162" s="9"/>
      <c r="C7162" s="2"/>
      <c r="D7162" s="2"/>
      <c r="I7162" s="9"/>
      <c r="J7162" s="2"/>
      <c r="L7162" s="9"/>
      <c r="M7162" s="2"/>
      <c r="N7162" s="9"/>
      <c r="P7162" s="3">
        <v>-2671.83221886</v>
      </c>
      <c r="S7162" s="9"/>
      <c r="T7162" s="2"/>
      <c r="U7162" s="9"/>
    </row>
    <row r="7163" spans="2:21" x14ac:dyDescent="0.35">
      <c r="B7163" s="9"/>
      <c r="C7163" s="2"/>
      <c r="D7163" s="2"/>
      <c r="I7163" s="9"/>
      <c r="J7163" s="2"/>
      <c r="L7163" s="9"/>
      <c r="M7163" s="2"/>
      <c r="N7163" s="9"/>
      <c r="P7163" s="3">
        <v>-2594.9165923800001</v>
      </c>
      <c r="S7163" s="9"/>
      <c r="T7163" s="2"/>
      <c r="U7163" s="9"/>
    </row>
    <row r="7164" spans="2:21" x14ac:dyDescent="0.35">
      <c r="B7164" s="9"/>
      <c r="C7164" s="2"/>
      <c r="D7164" s="2"/>
      <c r="I7164" s="9"/>
      <c r="J7164" s="2"/>
      <c r="L7164" s="9"/>
      <c r="M7164" s="2"/>
      <c r="N7164" s="9"/>
      <c r="P7164" s="3">
        <v>-2540.6300858999998</v>
      </c>
      <c r="S7164" s="9"/>
      <c r="T7164" s="2"/>
      <c r="U7164" s="9"/>
    </row>
    <row r="7165" spans="2:21" x14ac:dyDescent="0.35">
      <c r="B7165" s="9"/>
      <c r="C7165" s="2"/>
      <c r="D7165" s="2"/>
      <c r="I7165" s="9"/>
      <c r="J7165" s="2"/>
      <c r="L7165" s="9"/>
      <c r="M7165" s="2"/>
      <c r="N7165" s="9"/>
      <c r="P7165" s="3">
        <v>-2514.3285234499999</v>
      </c>
      <c r="S7165" s="9"/>
      <c r="T7165" s="2"/>
      <c r="U7165" s="9"/>
    </row>
    <row r="7166" spans="2:21" x14ac:dyDescent="0.35">
      <c r="B7166" s="9"/>
      <c r="C7166" s="2"/>
      <c r="D7166" s="2"/>
      <c r="I7166" s="9"/>
      <c r="J7166" s="2"/>
      <c r="L7166" s="9"/>
      <c r="M7166" s="2"/>
      <c r="N7166" s="9"/>
      <c r="P7166" s="3">
        <v>-2775.4793969699999</v>
      </c>
      <c r="S7166" s="9"/>
      <c r="T7166" s="2"/>
      <c r="U7166" s="9"/>
    </row>
    <row r="7167" spans="2:21" x14ac:dyDescent="0.35">
      <c r="B7167" s="9"/>
      <c r="C7167" s="2"/>
      <c r="D7167" s="2"/>
      <c r="I7167" s="9"/>
      <c r="J7167" s="2"/>
      <c r="L7167" s="9"/>
      <c r="M7167" s="2"/>
      <c r="N7167" s="9"/>
      <c r="P7167" s="3">
        <v>-2860.169492</v>
      </c>
      <c r="S7167" s="9"/>
      <c r="T7167" s="2"/>
      <c r="U7167" s="9"/>
    </row>
    <row r="7168" spans="2:21" x14ac:dyDescent="0.35">
      <c r="B7168" s="9"/>
      <c r="C7168" s="2"/>
      <c r="D7168" s="2"/>
      <c r="I7168" s="9"/>
      <c r="J7168" s="2"/>
      <c r="L7168" s="9"/>
      <c r="M7168" s="2"/>
      <c r="N7168" s="9"/>
      <c r="P7168" s="3">
        <v>-2425.4094919999998</v>
      </c>
      <c r="S7168" s="9"/>
      <c r="T7168" s="2"/>
      <c r="U7168" s="9"/>
    </row>
    <row r="7169" spans="2:21" x14ac:dyDescent="0.35">
      <c r="B7169" s="9"/>
      <c r="C7169" s="2"/>
      <c r="D7169" s="2"/>
      <c r="I7169" s="9"/>
      <c r="J7169" s="2"/>
      <c r="L7169" s="9"/>
      <c r="M7169" s="2"/>
      <c r="N7169" s="9"/>
      <c r="P7169" s="3">
        <v>-1990.649492</v>
      </c>
      <c r="S7169" s="9"/>
      <c r="T7169" s="2"/>
      <c r="U7169" s="9"/>
    </row>
    <row r="7170" spans="2:21" x14ac:dyDescent="0.35">
      <c r="B7170" s="9"/>
      <c r="C7170" s="2"/>
      <c r="D7170" s="2"/>
      <c r="I7170" s="9"/>
      <c r="J7170" s="2"/>
      <c r="L7170" s="9"/>
      <c r="M7170" s="2"/>
      <c r="N7170" s="9"/>
      <c r="P7170" s="3">
        <v>-1555.889492</v>
      </c>
      <c r="S7170" s="9"/>
      <c r="T7170" s="2"/>
      <c r="U7170" s="9"/>
    </row>
    <row r="7171" spans="2:21" x14ac:dyDescent="0.35">
      <c r="B7171" s="9"/>
      <c r="C7171" s="2"/>
      <c r="D7171" s="2"/>
      <c r="I7171" s="9"/>
      <c r="J7171" s="2"/>
      <c r="L7171" s="9"/>
      <c r="M7171" s="2"/>
      <c r="N7171" s="9"/>
      <c r="P7171" s="3">
        <v>-1121.129492</v>
      </c>
      <c r="S7171" s="9"/>
      <c r="T7171" s="2"/>
      <c r="U7171" s="9"/>
    </row>
    <row r="7172" spans="2:21" x14ac:dyDescent="0.35">
      <c r="B7172" s="9"/>
      <c r="C7172" s="2"/>
      <c r="D7172" s="2"/>
      <c r="I7172" s="9"/>
      <c r="J7172" s="2"/>
      <c r="L7172" s="9"/>
      <c r="M7172" s="2"/>
      <c r="N7172" s="9"/>
      <c r="P7172" s="3">
        <v>-755.29292697000005</v>
      </c>
      <c r="S7172" s="9"/>
      <c r="T7172" s="2"/>
      <c r="U7172" s="9"/>
    </row>
    <row r="7173" spans="2:21" x14ac:dyDescent="0.35">
      <c r="B7173" s="9"/>
      <c r="C7173" s="2"/>
      <c r="D7173" s="2"/>
      <c r="I7173" s="9"/>
      <c r="J7173" s="2"/>
      <c r="L7173" s="9"/>
      <c r="M7173" s="2"/>
      <c r="N7173" s="9"/>
      <c r="P7173" s="3">
        <v>-1190.05292697</v>
      </c>
      <c r="S7173" s="9"/>
      <c r="T7173" s="2"/>
      <c r="U7173" s="9"/>
    </row>
    <row r="7174" spans="2:21" x14ac:dyDescent="0.35">
      <c r="B7174" s="9"/>
      <c r="C7174" s="2"/>
      <c r="D7174" s="2"/>
      <c r="I7174" s="9"/>
      <c r="J7174" s="2"/>
      <c r="L7174" s="9"/>
      <c r="M7174" s="2"/>
      <c r="N7174" s="9"/>
      <c r="P7174" s="3">
        <v>-1624.81292697</v>
      </c>
      <c r="S7174" s="9"/>
      <c r="T7174" s="2"/>
      <c r="U7174" s="9"/>
    </row>
    <row r="7175" spans="2:21" x14ac:dyDescent="0.35">
      <c r="B7175" s="9"/>
      <c r="C7175" s="2"/>
      <c r="D7175" s="2"/>
      <c r="I7175" s="9"/>
      <c r="J7175" s="2"/>
      <c r="L7175" s="9"/>
      <c r="M7175" s="2"/>
      <c r="N7175" s="9"/>
      <c r="P7175" s="3">
        <v>-2059.57292697</v>
      </c>
      <c r="S7175" s="9"/>
      <c r="T7175" s="2"/>
      <c r="U7175" s="9"/>
    </row>
    <row r="7176" spans="2:21" x14ac:dyDescent="0.35">
      <c r="B7176" s="9"/>
      <c r="C7176" s="2"/>
      <c r="D7176" s="2"/>
      <c r="I7176" s="9"/>
      <c r="J7176" s="2"/>
      <c r="L7176" s="9"/>
      <c r="M7176" s="2"/>
      <c r="N7176" s="9"/>
      <c r="P7176" s="3">
        <v>-1624.81292697</v>
      </c>
      <c r="S7176" s="9"/>
      <c r="T7176" s="2"/>
      <c r="U7176" s="9"/>
    </row>
    <row r="7177" spans="2:21" x14ac:dyDescent="0.35">
      <c r="B7177" s="9"/>
      <c r="C7177" s="2"/>
      <c r="D7177" s="2"/>
      <c r="I7177" s="9"/>
      <c r="J7177" s="2"/>
      <c r="L7177" s="9"/>
      <c r="M7177" s="2"/>
      <c r="N7177" s="9"/>
      <c r="P7177" s="3">
        <v>-1211.73167773</v>
      </c>
      <c r="S7177" s="9"/>
      <c r="T7177" s="2"/>
      <c r="U7177" s="9"/>
    </row>
    <row r="7178" spans="2:21" x14ac:dyDescent="0.35">
      <c r="B7178" s="9"/>
      <c r="C7178" s="2"/>
      <c r="D7178" s="2"/>
      <c r="I7178" s="9"/>
      <c r="J7178" s="2"/>
      <c r="L7178" s="9"/>
      <c r="M7178" s="2"/>
      <c r="N7178" s="9"/>
      <c r="P7178" s="3">
        <v>-829.30883822999999</v>
      </c>
      <c r="S7178" s="9"/>
      <c r="T7178" s="2"/>
      <c r="U7178" s="9"/>
    </row>
    <row r="7179" spans="2:21" x14ac:dyDescent="0.35">
      <c r="B7179" s="9"/>
      <c r="C7179" s="2"/>
      <c r="D7179" s="2"/>
      <c r="I7179" s="9"/>
      <c r="J7179" s="2"/>
      <c r="L7179" s="9"/>
      <c r="M7179" s="2"/>
      <c r="N7179" s="9"/>
      <c r="P7179" s="3">
        <v>-518.9736686</v>
      </c>
      <c r="S7179" s="9"/>
      <c r="T7179" s="2"/>
      <c r="U7179" s="9"/>
    </row>
    <row r="7180" spans="2:21" x14ac:dyDescent="0.35">
      <c r="B7180" s="9"/>
      <c r="C7180" s="2"/>
      <c r="D7180" s="2"/>
      <c r="I7180" s="9"/>
      <c r="J7180" s="2"/>
      <c r="L7180" s="9"/>
      <c r="M7180" s="2"/>
      <c r="N7180" s="9"/>
      <c r="P7180" s="3">
        <v>-291.21925886000002</v>
      </c>
      <c r="S7180" s="9"/>
      <c r="T7180" s="2"/>
      <c r="U7180" s="9"/>
    </row>
    <row r="7181" spans="2:21" x14ac:dyDescent="0.35">
      <c r="B7181" s="9"/>
      <c r="C7181" s="2"/>
      <c r="D7181" s="2"/>
      <c r="I7181" s="9"/>
      <c r="J7181" s="2"/>
      <c r="L7181" s="9"/>
      <c r="M7181" s="2"/>
      <c r="N7181" s="9"/>
      <c r="P7181" s="3">
        <v>-217.03703886</v>
      </c>
      <c r="S7181" s="9"/>
      <c r="T7181" s="2"/>
      <c r="U7181" s="9"/>
    </row>
    <row r="7182" spans="2:21" x14ac:dyDescent="0.35">
      <c r="B7182" s="9"/>
      <c r="C7182" s="2"/>
      <c r="D7182" s="2"/>
      <c r="I7182" s="9"/>
      <c r="J7182" s="2"/>
      <c r="L7182" s="9"/>
      <c r="M7182" s="2"/>
      <c r="N7182" s="9"/>
      <c r="P7182" s="3">
        <v>-0.18566838999999999</v>
      </c>
      <c r="S7182" s="9"/>
      <c r="T7182" s="2"/>
      <c r="U7182" s="9"/>
    </row>
    <row r="7183" spans="2:21" x14ac:dyDescent="0.35">
      <c r="B7183" s="9"/>
      <c r="C7183" s="2"/>
      <c r="D7183" s="2"/>
      <c r="I7183" s="9"/>
      <c r="J7183" s="2"/>
      <c r="L7183" s="9"/>
      <c r="M7183" s="2"/>
      <c r="N7183" s="9"/>
      <c r="P7183" s="3">
        <v>-101.38267839</v>
      </c>
      <c r="S7183" s="9"/>
      <c r="T7183" s="2"/>
      <c r="U7183" s="9"/>
    </row>
    <row r="7184" spans="2:21" x14ac:dyDescent="0.35">
      <c r="B7184" s="9"/>
      <c r="C7184" s="2"/>
      <c r="D7184" s="2"/>
      <c r="I7184" s="9"/>
      <c r="J7184" s="2"/>
      <c r="L7184" s="9"/>
      <c r="M7184" s="2"/>
      <c r="N7184" s="9"/>
      <c r="P7184" s="3">
        <v>-267.92666838999997</v>
      </c>
      <c r="S7184" s="9"/>
      <c r="T7184" s="2"/>
      <c r="U7184" s="9"/>
    </row>
    <row r="7185" spans="2:21" x14ac:dyDescent="0.35">
      <c r="B7185" s="9"/>
      <c r="C7185" s="2"/>
      <c r="D7185" s="2"/>
      <c r="I7185" s="9"/>
      <c r="J7185" s="2"/>
      <c r="L7185" s="9"/>
      <c r="M7185" s="2"/>
      <c r="N7185" s="9"/>
      <c r="P7185" s="3">
        <v>-483.28954838999999</v>
      </c>
      <c r="S7185" s="9"/>
      <c r="T7185" s="2"/>
      <c r="U7185" s="9"/>
    </row>
    <row r="7186" spans="2:21" x14ac:dyDescent="0.35">
      <c r="B7186" s="9"/>
      <c r="C7186" s="2"/>
      <c r="D7186" s="2"/>
      <c r="I7186" s="9"/>
      <c r="J7186" s="2"/>
      <c r="L7186" s="9"/>
      <c r="M7186" s="2"/>
      <c r="N7186" s="9"/>
      <c r="P7186" s="3">
        <v>-640.61773839</v>
      </c>
      <c r="S7186" s="9"/>
      <c r="T7186" s="2"/>
      <c r="U7186" s="9"/>
    </row>
    <row r="7187" spans="2:21" x14ac:dyDescent="0.35">
      <c r="B7187" s="9"/>
      <c r="C7187" s="2"/>
      <c r="D7187" s="2"/>
      <c r="I7187" s="9"/>
      <c r="J7187" s="2"/>
      <c r="L7187" s="9"/>
      <c r="M7187" s="2"/>
      <c r="N7187" s="9"/>
      <c r="P7187" s="3">
        <v>-779.62579839</v>
      </c>
      <c r="S7187" s="9"/>
      <c r="T7187" s="2"/>
      <c r="U7187" s="9"/>
    </row>
    <row r="7188" spans="2:21" x14ac:dyDescent="0.35">
      <c r="B7188" s="9"/>
      <c r="C7188" s="2"/>
      <c r="D7188" s="2"/>
      <c r="I7188" s="9"/>
      <c r="J7188" s="2"/>
      <c r="L7188" s="9"/>
      <c r="M7188" s="2"/>
      <c r="N7188" s="9"/>
      <c r="P7188" s="3">
        <v>-929.93066839000005</v>
      </c>
      <c r="S7188" s="9"/>
      <c r="T7188" s="2"/>
      <c r="U7188" s="9"/>
    </row>
    <row r="7189" spans="2:21" x14ac:dyDescent="0.35">
      <c r="B7189" s="9"/>
      <c r="C7189" s="2"/>
      <c r="D7189" s="2"/>
      <c r="I7189" s="9"/>
      <c r="J7189" s="2"/>
      <c r="L7189" s="9"/>
      <c r="M7189" s="2"/>
      <c r="N7189" s="9"/>
      <c r="P7189" s="3">
        <v>-1113.9129683900001</v>
      </c>
      <c r="S7189" s="9"/>
      <c r="T7189" s="2"/>
      <c r="U7189" s="9"/>
    </row>
    <row r="7190" spans="2:21" x14ac:dyDescent="0.35">
      <c r="B7190" s="9"/>
      <c r="C7190" s="2"/>
      <c r="D7190" s="2"/>
      <c r="I7190" s="9"/>
      <c r="J7190" s="2"/>
      <c r="L7190" s="9"/>
      <c r="M7190" s="2"/>
      <c r="N7190" s="9"/>
      <c r="P7190" s="3">
        <v>-1479.18027839</v>
      </c>
      <c r="S7190" s="9"/>
      <c r="T7190" s="2"/>
      <c r="U7190" s="9"/>
    </row>
    <row r="7191" spans="2:21" x14ac:dyDescent="0.35">
      <c r="B7191" s="9"/>
      <c r="C7191" s="2"/>
      <c r="D7191" s="2"/>
      <c r="I7191" s="9"/>
      <c r="J7191" s="2"/>
      <c r="L7191" s="9"/>
      <c r="M7191" s="2"/>
      <c r="N7191" s="9"/>
      <c r="P7191" s="3">
        <v>-1913.94027839</v>
      </c>
      <c r="S7191" s="9"/>
      <c r="T7191" s="2"/>
      <c r="U7191" s="9"/>
    </row>
    <row r="7192" spans="2:21" x14ac:dyDescent="0.35">
      <c r="B7192" s="9"/>
      <c r="C7192" s="2"/>
      <c r="D7192" s="2"/>
      <c r="I7192" s="9"/>
      <c r="J7192" s="2"/>
      <c r="L7192" s="9"/>
      <c r="M7192" s="2"/>
      <c r="N7192" s="9"/>
      <c r="P7192" s="3">
        <v>-1479.18027839</v>
      </c>
      <c r="S7192" s="9"/>
      <c r="T7192" s="2"/>
      <c r="U7192" s="9"/>
    </row>
    <row r="7193" spans="2:21" x14ac:dyDescent="0.35">
      <c r="B7193" s="9"/>
      <c r="C7193" s="2"/>
      <c r="D7193" s="2"/>
      <c r="I7193" s="9"/>
      <c r="J7193" s="2"/>
      <c r="L7193" s="9"/>
      <c r="M7193" s="2"/>
      <c r="N7193" s="9"/>
      <c r="P7193" s="3">
        <v>-1044.42027839</v>
      </c>
      <c r="S7193" s="9"/>
      <c r="T7193" s="2"/>
      <c r="U7193" s="9"/>
    </row>
    <row r="7194" spans="2:21" x14ac:dyDescent="0.35">
      <c r="B7194" s="9"/>
      <c r="C7194" s="2"/>
      <c r="D7194" s="2"/>
      <c r="I7194" s="9"/>
      <c r="J7194" s="2"/>
      <c r="L7194" s="9"/>
      <c r="M7194" s="2"/>
      <c r="N7194" s="9"/>
      <c r="P7194" s="3">
        <v>-686.36949200000004</v>
      </c>
      <c r="S7194" s="9"/>
      <c r="T7194" s="2"/>
      <c r="U7194" s="9"/>
    </row>
    <row r="7195" spans="2:21" x14ac:dyDescent="0.35">
      <c r="B7195" s="9"/>
      <c r="C7195" s="2"/>
      <c r="D7195" s="2"/>
      <c r="I7195" s="9"/>
      <c r="J7195" s="2"/>
      <c r="L7195" s="9"/>
      <c r="M7195" s="2"/>
      <c r="N7195" s="9"/>
      <c r="P7195" s="3">
        <v>-1121.129492</v>
      </c>
      <c r="S7195" s="9"/>
      <c r="T7195" s="2"/>
      <c r="U7195" s="9"/>
    </row>
    <row r="7196" spans="2:21" x14ac:dyDescent="0.35">
      <c r="B7196" s="9"/>
      <c r="C7196" s="2"/>
      <c r="D7196" s="2"/>
      <c r="I7196" s="9"/>
      <c r="J7196" s="2"/>
      <c r="L7196" s="9"/>
      <c r="M7196" s="2"/>
      <c r="N7196" s="9"/>
      <c r="P7196" s="3">
        <v>-1555.889492</v>
      </c>
      <c r="S7196" s="9"/>
      <c r="T7196" s="2"/>
      <c r="U7196" s="9"/>
    </row>
    <row r="7197" spans="2:21" x14ac:dyDescent="0.35">
      <c r="B7197" s="9"/>
      <c r="C7197" s="2"/>
      <c r="D7197" s="2"/>
      <c r="I7197" s="9"/>
      <c r="J7197" s="2"/>
      <c r="L7197" s="9"/>
      <c r="M7197" s="2"/>
      <c r="N7197" s="9"/>
      <c r="P7197" s="3">
        <v>-1990.649492</v>
      </c>
      <c r="S7197" s="9"/>
      <c r="T7197" s="2"/>
      <c r="U7197" s="9"/>
    </row>
    <row r="7198" spans="2:21" x14ac:dyDescent="0.35">
      <c r="B7198" s="9"/>
      <c r="C7198" s="2"/>
      <c r="D7198" s="2"/>
      <c r="I7198" s="9"/>
      <c r="J7198" s="2"/>
      <c r="L7198" s="9"/>
      <c r="M7198" s="2"/>
      <c r="N7198" s="9"/>
      <c r="P7198" s="3">
        <v>-2425.4094919999998</v>
      </c>
      <c r="S7198" s="9"/>
      <c r="T7198" s="2"/>
      <c r="U7198" s="9"/>
    </row>
    <row r="7199" spans="2:21" x14ac:dyDescent="0.35">
      <c r="B7199" s="9"/>
      <c r="C7199" s="2"/>
      <c r="D7199" s="2"/>
      <c r="I7199" s="9"/>
      <c r="J7199" s="2"/>
      <c r="L7199" s="9"/>
      <c r="M7199" s="2"/>
      <c r="N7199" s="9"/>
      <c r="P7199" s="3">
        <v>-2860.169492</v>
      </c>
      <c r="S7199" s="9"/>
      <c r="T7199" s="2"/>
      <c r="U7199" s="9"/>
    </row>
    <row r="7200" spans="2:21" x14ac:dyDescent="0.35">
      <c r="B7200" s="9"/>
      <c r="C7200" s="2"/>
      <c r="D7200" s="2"/>
      <c r="I7200" s="9"/>
      <c r="J7200" s="2"/>
      <c r="L7200" s="9"/>
      <c r="M7200" s="2"/>
      <c r="N7200" s="9"/>
      <c r="P7200" s="3">
        <v>-2700.06219839</v>
      </c>
      <c r="S7200" s="9"/>
      <c r="T7200" s="2"/>
      <c r="U7200" s="9"/>
    </row>
    <row r="7201" spans="2:21" x14ac:dyDescent="0.35">
      <c r="B7201" s="9"/>
      <c r="C7201" s="2"/>
      <c r="D7201" s="2"/>
      <c r="I7201" s="9"/>
      <c r="J7201" s="2"/>
      <c r="L7201" s="9"/>
      <c r="M7201" s="2"/>
      <c r="N7201" s="9"/>
      <c r="P7201" s="3">
        <v>-2692.6277883900002</v>
      </c>
      <c r="S7201" s="9"/>
      <c r="T7201" s="2"/>
      <c r="U7201" s="9"/>
    </row>
    <row r="7202" spans="2:21" x14ac:dyDescent="0.35">
      <c r="B7202" s="9"/>
      <c r="C7202" s="2"/>
      <c r="D7202" s="2"/>
      <c r="I7202" s="9"/>
      <c r="J7202" s="2"/>
      <c r="L7202" s="9"/>
      <c r="M7202" s="2"/>
      <c r="N7202" s="9"/>
      <c r="P7202" s="3">
        <v>-2758.17711839</v>
      </c>
      <c r="S7202" s="9"/>
      <c r="T7202" s="2"/>
      <c r="U7202" s="9"/>
    </row>
    <row r="7203" spans="2:21" x14ac:dyDescent="0.35">
      <c r="B7203" s="9"/>
      <c r="C7203" s="2"/>
      <c r="D7203" s="2"/>
      <c r="I7203" s="9"/>
      <c r="J7203" s="2"/>
      <c r="L7203" s="9"/>
      <c r="M7203" s="2"/>
      <c r="N7203" s="9"/>
      <c r="P7203" s="3">
        <v>-2808.8462683900002</v>
      </c>
      <c r="S7203" s="9"/>
      <c r="T7203" s="2"/>
      <c r="U7203" s="9"/>
    </row>
    <row r="7204" spans="2:21" x14ac:dyDescent="0.35">
      <c r="B7204" s="9"/>
      <c r="C7204" s="2"/>
      <c r="D7204" s="2"/>
      <c r="I7204" s="9"/>
      <c r="J7204" s="2"/>
      <c r="L7204" s="9"/>
      <c r="M7204" s="2"/>
      <c r="N7204" s="9"/>
      <c r="P7204" s="3">
        <v>-2834.3196483900001</v>
      </c>
      <c r="S7204" s="9"/>
      <c r="T7204" s="2"/>
      <c r="U7204" s="9"/>
    </row>
    <row r="7205" spans="2:21" x14ac:dyDescent="0.35">
      <c r="B7205" s="9"/>
      <c r="C7205" s="2"/>
      <c r="D7205" s="2"/>
      <c r="I7205" s="9"/>
      <c r="J7205" s="2"/>
      <c r="L7205" s="9"/>
      <c r="M7205" s="2"/>
      <c r="N7205" s="9"/>
      <c r="P7205" s="3">
        <v>-2860.169492</v>
      </c>
      <c r="S7205" s="9"/>
      <c r="T7205" s="2"/>
      <c r="U7205" s="9"/>
    </row>
    <row r="7206" spans="2:21" x14ac:dyDescent="0.35">
      <c r="B7206" s="9"/>
      <c r="C7206" s="2"/>
      <c r="D7206" s="2"/>
      <c r="I7206" s="9"/>
      <c r="J7206" s="2"/>
      <c r="L7206" s="9"/>
      <c r="M7206" s="2"/>
      <c r="N7206" s="9"/>
      <c r="P7206" s="3">
        <v>-2860.169492</v>
      </c>
      <c r="S7206" s="9"/>
      <c r="T7206" s="2"/>
      <c r="U7206" s="9"/>
    </row>
    <row r="7207" spans="2:21" x14ac:dyDescent="0.35">
      <c r="B7207" s="9"/>
      <c r="C7207" s="2"/>
      <c r="D7207" s="2"/>
      <c r="I7207" s="9"/>
      <c r="J7207" s="2"/>
      <c r="L7207" s="9"/>
      <c r="M7207" s="2"/>
      <c r="N7207" s="9"/>
      <c r="P7207" s="3">
        <v>-2860.169492</v>
      </c>
      <c r="S7207" s="9"/>
      <c r="T7207" s="2"/>
      <c r="U7207" s="9"/>
    </row>
    <row r="7208" spans="2:21" x14ac:dyDescent="0.35">
      <c r="B7208" s="9"/>
      <c r="C7208" s="2"/>
      <c r="D7208" s="2"/>
      <c r="I7208" s="9"/>
      <c r="J7208" s="2"/>
      <c r="L7208" s="9"/>
      <c r="M7208" s="2"/>
      <c r="N7208" s="9"/>
      <c r="P7208" s="3">
        <v>-2860.169492</v>
      </c>
      <c r="S7208" s="9"/>
      <c r="T7208" s="2"/>
      <c r="U7208" s="9"/>
    </row>
    <row r="7209" spans="2:21" x14ac:dyDescent="0.35">
      <c r="B7209" s="9"/>
      <c r="C7209" s="2"/>
      <c r="D7209" s="2"/>
      <c r="I7209" s="9"/>
      <c r="J7209" s="2"/>
      <c r="L7209" s="9"/>
      <c r="M7209" s="2"/>
      <c r="N7209" s="9"/>
      <c r="P7209" s="3">
        <v>-2860.169492</v>
      </c>
      <c r="S7209" s="9"/>
      <c r="T7209" s="2"/>
      <c r="U7209" s="9"/>
    </row>
    <row r="7210" spans="2:21" x14ac:dyDescent="0.35">
      <c r="B7210" s="9"/>
      <c r="C7210" s="2"/>
      <c r="D7210" s="2"/>
      <c r="I7210" s="9"/>
      <c r="J7210" s="2"/>
      <c r="L7210" s="9"/>
      <c r="M7210" s="2"/>
      <c r="N7210" s="9"/>
      <c r="P7210" s="3">
        <v>-2860.169492</v>
      </c>
      <c r="S7210" s="9"/>
      <c r="T7210" s="2"/>
      <c r="U7210" s="9"/>
    </row>
    <row r="7211" spans="2:21" x14ac:dyDescent="0.35">
      <c r="B7211" s="9"/>
      <c r="C7211" s="2"/>
      <c r="D7211" s="2"/>
      <c r="I7211" s="9"/>
      <c r="J7211" s="2"/>
      <c r="L7211" s="9"/>
      <c r="M7211" s="2"/>
      <c r="N7211" s="9"/>
      <c r="P7211" s="3">
        <v>-2860.169492</v>
      </c>
      <c r="S7211" s="9"/>
      <c r="T7211" s="2"/>
      <c r="U7211" s="9"/>
    </row>
    <row r="7212" spans="2:21" x14ac:dyDescent="0.35">
      <c r="B7212" s="9"/>
      <c r="C7212" s="2"/>
      <c r="D7212" s="2"/>
      <c r="I7212" s="9"/>
      <c r="J7212" s="2"/>
      <c r="L7212" s="9"/>
      <c r="M7212" s="2"/>
      <c r="N7212" s="9"/>
      <c r="P7212" s="3">
        <v>-2860.169492</v>
      </c>
      <c r="S7212" s="9"/>
      <c r="T7212" s="2"/>
      <c r="U7212" s="9"/>
    </row>
    <row r="7213" spans="2:21" x14ac:dyDescent="0.35">
      <c r="B7213" s="9"/>
      <c r="C7213" s="2"/>
      <c r="D7213" s="2"/>
      <c r="I7213" s="9"/>
      <c r="J7213" s="2"/>
      <c r="L7213" s="9"/>
      <c r="M7213" s="2"/>
      <c r="N7213" s="9"/>
      <c r="P7213" s="3">
        <v>-2772.7072683900001</v>
      </c>
      <c r="S7213" s="9"/>
      <c r="T7213" s="2"/>
      <c r="U7213" s="9"/>
    </row>
    <row r="7214" spans="2:21" x14ac:dyDescent="0.35">
      <c r="B7214" s="9"/>
      <c r="C7214" s="2"/>
      <c r="D7214" s="2"/>
      <c r="I7214" s="9"/>
      <c r="J7214" s="2"/>
      <c r="L7214" s="9"/>
      <c r="M7214" s="2"/>
      <c r="N7214" s="9"/>
      <c r="P7214" s="3">
        <v>-2652.5473448500002</v>
      </c>
      <c r="S7214" s="9"/>
      <c r="T7214" s="2"/>
      <c r="U7214" s="9"/>
    </row>
    <row r="7215" spans="2:21" x14ac:dyDescent="0.35">
      <c r="B7215" s="9"/>
      <c r="C7215" s="2"/>
      <c r="D7215" s="2"/>
      <c r="I7215" s="9"/>
      <c r="J7215" s="2"/>
      <c r="L7215" s="9"/>
      <c r="M7215" s="2"/>
      <c r="N7215" s="9"/>
      <c r="P7215" s="3">
        <v>-2217.78734485</v>
      </c>
      <c r="S7215" s="9"/>
      <c r="T7215" s="2"/>
      <c r="U7215" s="9"/>
    </row>
    <row r="7216" spans="2:21" x14ac:dyDescent="0.35">
      <c r="B7216" s="9"/>
      <c r="C7216" s="2"/>
      <c r="D7216" s="2"/>
      <c r="I7216" s="9"/>
      <c r="J7216" s="2"/>
      <c r="L7216" s="9"/>
      <c r="M7216" s="2"/>
      <c r="N7216" s="9"/>
      <c r="P7216" s="3">
        <v>-1783.02734485</v>
      </c>
      <c r="S7216" s="9"/>
      <c r="T7216" s="2"/>
      <c r="U7216" s="9"/>
    </row>
    <row r="7217" spans="2:21" x14ac:dyDescent="0.35">
      <c r="B7217" s="9"/>
      <c r="C7217" s="2"/>
      <c r="D7217" s="2"/>
      <c r="I7217" s="9"/>
      <c r="J7217" s="2"/>
      <c r="L7217" s="9"/>
      <c r="M7217" s="2"/>
      <c r="N7217" s="9"/>
      <c r="P7217" s="3">
        <v>-1348.26734485</v>
      </c>
      <c r="S7217" s="9"/>
      <c r="T7217" s="2"/>
      <c r="U7217" s="9"/>
    </row>
    <row r="7218" spans="2:21" x14ac:dyDescent="0.35">
      <c r="B7218" s="9"/>
      <c r="C7218" s="2"/>
      <c r="D7218" s="2"/>
      <c r="I7218" s="9"/>
      <c r="J7218" s="2"/>
      <c r="L7218" s="9"/>
      <c r="M7218" s="2"/>
      <c r="N7218" s="9"/>
      <c r="P7218" s="3">
        <v>-913.50734484999998</v>
      </c>
      <c r="S7218" s="9"/>
      <c r="T7218" s="2"/>
      <c r="U7218" s="9"/>
    </row>
    <row r="7219" spans="2:21" x14ac:dyDescent="0.35">
      <c r="B7219" s="9"/>
      <c r="C7219" s="2"/>
      <c r="D7219" s="2"/>
      <c r="I7219" s="9"/>
      <c r="J7219" s="2"/>
      <c r="L7219" s="9"/>
      <c r="M7219" s="2"/>
      <c r="N7219" s="9"/>
      <c r="P7219" s="3">
        <v>-686.36949200000004</v>
      </c>
      <c r="S7219" s="9"/>
      <c r="T7219" s="2"/>
      <c r="U7219" s="9"/>
    </row>
    <row r="7220" spans="2:21" x14ac:dyDescent="0.35">
      <c r="B7220" s="9"/>
      <c r="C7220" s="2"/>
      <c r="D7220" s="2"/>
      <c r="I7220" s="9"/>
      <c r="J7220" s="2"/>
      <c r="L7220" s="9"/>
      <c r="M7220" s="2"/>
      <c r="N7220" s="9"/>
      <c r="P7220" s="3">
        <v>-1121.129492</v>
      </c>
      <c r="S7220" s="9"/>
      <c r="T7220" s="2"/>
      <c r="U7220" s="9"/>
    </row>
    <row r="7221" spans="2:21" x14ac:dyDescent="0.35">
      <c r="B7221" s="9"/>
      <c r="C7221" s="2"/>
      <c r="D7221" s="2"/>
      <c r="I7221" s="9"/>
      <c r="J7221" s="2"/>
      <c r="L7221" s="9"/>
      <c r="M7221" s="2"/>
      <c r="N7221" s="9"/>
      <c r="P7221" s="3">
        <v>-1555.889492</v>
      </c>
      <c r="S7221" s="9"/>
      <c r="T7221" s="2"/>
      <c r="U7221" s="9"/>
    </row>
    <row r="7222" spans="2:21" x14ac:dyDescent="0.35">
      <c r="B7222" s="9"/>
      <c r="C7222" s="2"/>
      <c r="D7222" s="2"/>
      <c r="I7222" s="9"/>
      <c r="J7222" s="2"/>
      <c r="L7222" s="9"/>
      <c r="M7222" s="2"/>
      <c r="N7222" s="9"/>
      <c r="P7222" s="3">
        <v>-1990.649492</v>
      </c>
      <c r="S7222" s="9"/>
      <c r="T7222" s="2"/>
      <c r="U7222" s="9"/>
    </row>
    <row r="7223" spans="2:21" x14ac:dyDescent="0.35">
      <c r="B7223" s="9"/>
      <c r="C7223" s="2"/>
      <c r="D7223" s="2"/>
      <c r="I7223" s="9"/>
      <c r="J7223" s="2"/>
      <c r="L7223" s="9"/>
      <c r="M7223" s="2"/>
      <c r="N7223" s="9"/>
      <c r="P7223" s="3">
        <v>-2425.4094919999998</v>
      </c>
      <c r="S7223" s="9"/>
      <c r="T7223" s="2"/>
      <c r="U7223" s="9"/>
    </row>
    <row r="7224" spans="2:21" x14ac:dyDescent="0.35">
      <c r="B7224" s="9"/>
      <c r="C7224" s="2"/>
      <c r="D7224" s="2"/>
      <c r="I7224" s="9"/>
      <c r="J7224" s="2"/>
      <c r="L7224" s="9"/>
      <c r="M7224" s="2"/>
      <c r="N7224" s="9"/>
      <c r="P7224" s="3">
        <v>-2860.169492</v>
      </c>
      <c r="S7224" s="9"/>
      <c r="T7224" s="2"/>
      <c r="U7224" s="9"/>
    </row>
    <row r="7225" spans="2:21" x14ac:dyDescent="0.35">
      <c r="B7225" s="9"/>
      <c r="C7225" s="2"/>
      <c r="D7225" s="2"/>
      <c r="I7225" s="9"/>
      <c r="J7225" s="2"/>
      <c r="L7225" s="9"/>
      <c r="M7225" s="2"/>
      <c r="N7225" s="9"/>
      <c r="P7225" s="3">
        <v>-2860.169492</v>
      </c>
      <c r="S7225" s="9"/>
      <c r="T7225" s="2"/>
      <c r="U7225" s="9"/>
    </row>
    <row r="7226" spans="2:21" x14ac:dyDescent="0.35">
      <c r="B7226" s="9"/>
      <c r="C7226" s="2"/>
      <c r="D7226" s="2"/>
      <c r="I7226" s="9"/>
      <c r="J7226" s="2"/>
      <c r="L7226" s="9"/>
      <c r="M7226" s="2"/>
      <c r="N7226" s="9"/>
      <c r="P7226" s="3">
        <v>-2860.169492</v>
      </c>
      <c r="S7226" s="9"/>
      <c r="T7226" s="2"/>
      <c r="U7226" s="9"/>
    </row>
    <row r="7227" spans="2:21" x14ac:dyDescent="0.35">
      <c r="B7227" s="9"/>
      <c r="C7227" s="2"/>
      <c r="D7227" s="2"/>
      <c r="I7227" s="9"/>
      <c r="J7227" s="2"/>
      <c r="L7227" s="9"/>
      <c r="M7227" s="2"/>
      <c r="N7227" s="9"/>
      <c r="P7227" s="3">
        <v>-2860.169492</v>
      </c>
      <c r="S7227" s="9"/>
      <c r="T7227" s="2"/>
      <c r="U7227" s="9"/>
    </row>
    <row r="7228" spans="2:21" x14ac:dyDescent="0.35">
      <c r="B7228" s="9"/>
      <c r="C7228" s="2"/>
      <c r="D7228" s="2"/>
      <c r="I7228" s="9"/>
      <c r="J7228" s="2"/>
      <c r="L7228" s="9"/>
      <c r="M7228" s="2"/>
      <c r="N7228" s="9"/>
      <c r="P7228" s="3">
        <v>-2860.169492</v>
      </c>
      <c r="S7228" s="9"/>
      <c r="T7228" s="2"/>
      <c r="U7228" s="9"/>
    </row>
    <row r="7229" spans="2:21" x14ac:dyDescent="0.35">
      <c r="B7229" s="9"/>
      <c r="C7229" s="2"/>
      <c r="D7229" s="2"/>
      <c r="I7229" s="9"/>
      <c r="J7229" s="2"/>
      <c r="L7229" s="9"/>
      <c r="M7229" s="2"/>
      <c r="N7229" s="9"/>
      <c r="P7229" s="3">
        <v>-2860.169492</v>
      </c>
      <c r="S7229" s="9"/>
      <c r="T7229" s="2"/>
      <c r="U7229" s="9"/>
    </row>
    <row r="7230" spans="2:21" x14ac:dyDescent="0.35">
      <c r="B7230" s="9"/>
      <c r="C7230" s="2"/>
      <c r="D7230" s="2"/>
      <c r="I7230" s="9"/>
      <c r="J7230" s="2"/>
      <c r="L7230" s="9"/>
      <c r="M7230" s="2"/>
      <c r="N7230" s="9"/>
      <c r="P7230" s="3">
        <v>-2860.169492</v>
      </c>
      <c r="S7230" s="9"/>
      <c r="T7230" s="2"/>
      <c r="U7230" s="9"/>
    </row>
    <row r="7231" spans="2:21" x14ac:dyDescent="0.35">
      <c r="B7231" s="9"/>
      <c r="C7231" s="2"/>
      <c r="D7231" s="2"/>
      <c r="I7231" s="9"/>
      <c r="J7231" s="2"/>
      <c r="L7231" s="9"/>
      <c r="M7231" s="2"/>
      <c r="N7231" s="9"/>
      <c r="P7231" s="3">
        <v>-2860.169492</v>
      </c>
      <c r="S7231" s="9"/>
      <c r="T7231" s="2"/>
      <c r="U7231" s="9"/>
    </row>
    <row r="7232" spans="2:21" x14ac:dyDescent="0.35">
      <c r="B7232" s="9"/>
      <c r="C7232" s="2"/>
      <c r="D7232" s="2"/>
      <c r="I7232" s="9"/>
      <c r="J7232" s="2"/>
      <c r="L7232" s="9"/>
      <c r="M7232" s="2"/>
      <c r="N7232" s="9"/>
      <c r="P7232" s="3">
        <v>-2860.169492</v>
      </c>
      <c r="S7232" s="9"/>
      <c r="T7232" s="2"/>
      <c r="U7232" s="9"/>
    </row>
    <row r="7233" spans="2:21" x14ac:dyDescent="0.35">
      <c r="B7233" s="9"/>
      <c r="C7233" s="2"/>
      <c r="D7233" s="2"/>
      <c r="I7233" s="9"/>
      <c r="J7233" s="2"/>
      <c r="L7233" s="9"/>
      <c r="M7233" s="2"/>
      <c r="N7233" s="9"/>
      <c r="P7233" s="3">
        <v>-2860.169492</v>
      </c>
      <c r="S7233" s="9"/>
      <c r="T7233" s="2"/>
      <c r="U7233" s="9"/>
    </row>
    <row r="7234" spans="2:21" x14ac:dyDescent="0.35">
      <c r="B7234" s="9"/>
      <c r="C7234" s="2"/>
      <c r="D7234" s="2"/>
      <c r="I7234" s="9"/>
      <c r="J7234" s="2"/>
      <c r="L7234" s="9"/>
      <c r="M7234" s="2"/>
      <c r="N7234" s="9"/>
      <c r="P7234" s="3">
        <v>-2860.169492</v>
      </c>
      <c r="S7234" s="9"/>
      <c r="T7234" s="2"/>
      <c r="U7234" s="9"/>
    </row>
    <row r="7235" spans="2:21" x14ac:dyDescent="0.35">
      <c r="B7235" s="9"/>
      <c r="C7235" s="2"/>
      <c r="D7235" s="2"/>
      <c r="I7235" s="9"/>
      <c r="J7235" s="2"/>
      <c r="L7235" s="9"/>
      <c r="M7235" s="2"/>
      <c r="N7235" s="9"/>
      <c r="P7235" s="3">
        <v>-2860.169492</v>
      </c>
      <c r="S7235" s="9"/>
      <c r="T7235" s="2"/>
      <c r="U7235" s="9"/>
    </row>
    <row r="7236" spans="2:21" x14ac:dyDescent="0.35">
      <c r="B7236" s="9"/>
      <c r="C7236" s="2"/>
      <c r="D7236" s="2"/>
      <c r="I7236" s="9"/>
      <c r="J7236" s="2"/>
      <c r="L7236" s="9"/>
      <c r="M7236" s="2"/>
      <c r="N7236" s="9"/>
      <c r="P7236" s="3">
        <v>-2860.169492</v>
      </c>
      <c r="S7236" s="9"/>
      <c r="T7236" s="2"/>
      <c r="U7236" s="9"/>
    </row>
    <row r="7237" spans="2:21" x14ac:dyDescent="0.35">
      <c r="B7237" s="9"/>
      <c r="C7237" s="2"/>
      <c r="D7237" s="2"/>
      <c r="I7237" s="9"/>
      <c r="J7237" s="2"/>
      <c r="L7237" s="9"/>
      <c r="M7237" s="2"/>
      <c r="N7237" s="9"/>
      <c r="P7237" s="3">
        <v>-2860.169492</v>
      </c>
      <c r="S7237" s="9"/>
      <c r="T7237" s="2"/>
      <c r="U7237" s="9"/>
    </row>
    <row r="7238" spans="2:21" x14ac:dyDescent="0.35">
      <c r="B7238" s="9"/>
      <c r="C7238" s="2"/>
      <c r="D7238" s="2"/>
      <c r="I7238" s="9"/>
      <c r="J7238" s="2"/>
      <c r="L7238" s="9"/>
      <c r="M7238" s="2"/>
      <c r="N7238" s="9"/>
      <c r="P7238" s="3">
        <v>-2425.4094919999998</v>
      </c>
      <c r="S7238" s="9"/>
      <c r="T7238" s="2"/>
      <c r="U7238" s="9"/>
    </row>
    <row r="7239" spans="2:21" x14ac:dyDescent="0.35">
      <c r="B7239" s="9"/>
      <c r="C7239" s="2"/>
      <c r="D7239" s="2"/>
      <c r="I7239" s="9"/>
      <c r="J7239" s="2"/>
      <c r="L7239" s="9"/>
      <c r="M7239" s="2"/>
      <c r="N7239" s="9"/>
      <c r="P7239" s="3">
        <v>-1990.649492</v>
      </c>
      <c r="S7239" s="9"/>
      <c r="T7239" s="2"/>
      <c r="U7239" s="9"/>
    </row>
    <row r="7240" spans="2:21" x14ac:dyDescent="0.35">
      <c r="B7240" s="9"/>
      <c r="C7240" s="2"/>
      <c r="D7240" s="2"/>
      <c r="I7240" s="9"/>
      <c r="J7240" s="2"/>
      <c r="L7240" s="9"/>
      <c r="M7240" s="2"/>
      <c r="N7240" s="9"/>
      <c r="P7240" s="3">
        <v>-1555.889492</v>
      </c>
      <c r="S7240" s="9"/>
      <c r="T7240" s="2"/>
      <c r="U7240" s="9"/>
    </row>
    <row r="7241" spans="2:21" x14ac:dyDescent="0.35">
      <c r="B7241" s="9"/>
      <c r="C7241" s="2"/>
      <c r="D7241" s="2"/>
      <c r="I7241" s="9"/>
      <c r="J7241" s="2"/>
      <c r="L7241" s="9"/>
      <c r="M7241" s="2"/>
      <c r="N7241" s="9"/>
      <c r="P7241" s="3">
        <v>-1121.129492</v>
      </c>
      <c r="S7241" s="9"/>
      <c r="T7241" s="2"/>
      <c r="U7241" s="9"/>
    </row>
    <row r="7242" spans="2:21" x14ac:dyDescent="0.35">
      <c r="B7242" s="9"/>
      <c r="C7242" s="2"/>
      <c r="D7242" s="2"/>
      <c r="I7242" s="9"/>
      <c r="J7242" s="2"/>
      <c r="L7242" s="9"/>
      <c r="M7242" s="2"/>
      <c r="N7242" s="9"/>
      <c r="P7242" s="3">
        <v>-686.36949200000004</v>
      </c>
      <c r="S7242" s="9"/>
      <c r="T7242" s="2"/>
      <c r="U7242" s="9"/>
    </row>
    <row r="7243" spans="2:21" x14ac:dyDescent="0.35">
      <c r="B7243" s="9"/>
      <c r="C7243" s="2"/>
      <c r="D7243" s="2"/>
      <c r="I7243" s="9"/>
      <c r="J7243" s="2"/>
      <c r="L7243" s="9"/>
      <c r="M7243" s="2"/>
      <c r="N7243" s="9"/>
      <c r="P7243" s="3">
        <v>-686.36949200000004</v>
      </c>
      <c r="S7243" s="9"/>
      <c r="T7243" s="2"/>
      <c r="U7243" s="9"/>
    </row>
    <row r="7244" spans="2:21" x14ac:dyDescent="0.35">
      <c r="B7244" s="9"/>
      <c r="C7244" s="2"/>
      <c r="D7244" s="2"/>
      <c r="I7244" s="9"/>
      <c r="J7244" s="2"/>
      <c r="L7244" s="9"/>
      <c r="M7244" s="2"/>
      <c r="N7244" s="9"/>
      <c r="P7244" s="3">
        <v>-1121.129492</v>
      </c>
      <c r="S7244" s="9"/>
      <c r="T7244" s="2"/>
      <c r="U7244" s="9"/>
    </row>
    <row r="7245" spans="2:21" x14ac:dyDescent="0.35">
      <c r="B7245" s="9"/>
      <c r="C7245" s="2"/>
      <c r="D7245" s="2"/>
      <c r="I7245" s="9"/>
      <c r="J7245" s="2"/>
      <c r="L7245" s="9"/>
      <c r="M7245" s="2"/>
      <c r="N7245" s="9"/>
      <c r="P7245" s="3">
        <v>-1555.889492</v>
      </c>
      <c r="S7245" s="9"/>
      <c r="T7245" s="2"/>
      <c r="U7245" s="9"/>
    </row>
    <row r="7246" spans="2:21" x14ac:dyDescent="0.35">
      <c r="B7246" s="9"/>
      <c r="C7246" s="2"/>
      <c r="D7246" s="2"/>
      <c r="I7246" s="9"/>
      <c r="J7246" s="2"/>
      <c r="L7246" s="9"/>
      <c r="M7246" s="2"/>
      <c r="N7246" s="9"/>
      <c r="P7246" s="3">
        <v>-1990.649492</v>
      </c>
      <c r="S7246" s="9"/>
      <c r="T7246" s="2"/>
      <c r="U7246" s="9"/>
    </row>
    <row r="7247" spans="2:21" x14ac:dyDescent="0.35">
      <c r="B7247" s="9"/>
      <c r="C7247" s="2"/>
      <c r="D7247" s="2"/>
      <c r="I7247" s="9"/>
      <c r="J7247" s="2"/>
      <c r="L7247" s="9"/>
      <c r="M7247" s="2"/>
      <c r="N7247" s="9"/>
      <c r="P7247" s="3">
        <v>-2425.4094919999998</v>
      </c>
      <c r="S7247" s="9"/>
      <c r="T7247" s="2"/>
      <c r="U7247" s="9"/>
    </row>
    <row r="7248" spans="2:21" x14ac:dyDescent="0.35">
      <c r="B7248" s="9"/>
      <c r="C7248" s="2"/>
      <c r="D7248" s="2"/>
      <c r="I7248" s="9"/>
      <c r="J7248" s="2"/>
      <c r="L7248" s="9"/>
      <c r="M7248" s="2"/>
      <c r="N7248" s="9"/>
      <c r="P7248" s="3">
        <v>-2860.169492</v>
      </c>
      <c r="S7248" s="9"/>
      <c r="T7248" s="2"/>
      <c r="U7248" s="9"/>
    </row>
    <row r="7249" spans="2:21" x14ac:dyDescent="0.35">
      <c r="B7249" s="9"/>
      <c r="C7249" s="2"/>
      <c r="D7249" s="2"/>
      <c r="I7249" s="9"/>
      <c r="J7249" s="2"/>
      <c r="L7249" s="9"/>
      <c r="M7249" s="2"/>
      <c r="N7249" s="9"/>
      <c r="P7249" s="3">
        <v>-2860.169492</v>
      </c>
      <c r="S7249" s="9"/>
      <c r="T7249" s="2"/>
      <c r="U7249" s="9"/>
    </row>
    <row r="7250" spans="2:21" x14ac:dyDescent="0.35">
      <c r="B7250" s="9"/>
      <c r="C7250" s="2"/>
      <c r="D7250" s="2"/>
      <c r="I7250" s="9"/>
      <c r="J7250" s="2"/>
      <c r="L7250" s="9"/>
      <c r="M7250" s="2"/>
      <c r="N7250" s="9"/>
      <c r="P7250" s="3">
        <v>-2860.169492</v>
      </c>
      <c r="S7250" s="9"/>
      <c r="T7250" s="2"/>
      <c r="U7250" s="9"/>
    </row>
    <row r="7251" spans="2:21" x14ac:dyDescent="0.35">
      <c r="B7251" s="9"/>
      <c r="C7251" s="2"/>
      <c r="D7251" s="2"/>
      <c r="I7251" s="9"/>
      <c r="J7251" s="2"/>
      <c r="L7251" s="9"/>
      <c r="M7251" s="2"/>
      <c r="N7251" s="9"/>
      <c r="P7251" s="3">
        <v>-2860.169492</v>
      </c>
      <c r="S7251" s="9"/>
      <c r="T7251" s="2"/>
      <c r="U7251" s="9"/>
    </row>
    <row r="7252" spans="2:21" x14ac:dyDescent="0.35">
      <c r="B7252" s="9"/>
      <c r="C7252" s="2"/>
      <c r="D7252" s="2"/>
      <c r="I7252" s="9"/>
      <c r="J7252" s="2"/>
      <c r="L7252" s="9"/>
      <c r="M7252" s="2"/>
      <c r="N7252" s="9"/>
      <c r="P7252" s="3">
        <v>-2860.169492</v>
      </c>
      <c r="S7252" s="9"/>
      <c r="T7252" s="2"/>
      <c r="U7252" s="9"/>
    </row>
    <row r="7253" spans="2:21" x14ac:dyDescent="0.35">
      <c r="B7253" s="9"/>
      <c r="C7253" s="2"/>
      <c r="D7253" s="2"/>
      <c r="I7253" s="9"/>
      <c r="J7253" s="2"/>
      <c r="L7253" s="9"/>
      <c r="M7253" s="2"/>
      <c r="N7253" s="9"/>
      <c r="P7253" s="3">
        <v>-2746.73729886</v>
      </c>
      <c r="S7253" s="9"/>
      <c r="T7253" s="2"/>
      <c r="U7253" s="9"/>
    </row>
    <row r="7254" spans="2:21" x14ac:dyDescent="0.35">
      <c r="B7254" s="9"/>
      <c r="C7254" s="2"/>
      <c r="D7254" s="2"/>
      <c r="I7254" s="9"/>
      <c r="J7254" s="2"/>
      <c r="L7254" s="9"/>
      <c r="M7254" s="2"/>
      <c r="N7254" s="9"/>
      <c r="P7254" s="3">
        <v>-2311.9772988599998</v>
      </c>
      <c r="S7254" s="9"/>
      <c r="T7254" s="2"/>
      <c r="U7254" s="9"/>
    </row>
    <row r="7255" spans="2:21" x14ac:dyDescent="0.35">
      <c r="B7255" s="9"/>
      <c r="C7255" s="2"/>
      <c r="D7255" s="2"/>
      <c r="I7255" s="9"/>
      <c r="J7255" s="2"/>
      <c r="L7255" s="9"/>
      <c r="M7255" s="2"/>
      <c r="N7255" s="9"/>
      <c r="P7255" s="3">
        <v>-1877.21729886</v>
      </c>
      <c r="S7255" s="9"/>
      <c r="T7255" s="2"/>
      <c r="U7255" s="9"/>
    </row>
    <row r="7256" spans="2:21" x14ac:dyDescent="0.35">
      <c r="B7256" s="9"/>
      <c r="C7256" s="2"/>
      <c r="D7256" s="2"/>
      <c r="I7256" s="9"/>
      <c r="J7256" s="2"/>
      <c r="L7256" s="9"/>
      <c r="M7256" s="2"/>
      <c r="N7256" s="9"/>
      <c r="P7256" s="3">
        <v>-1442.45729886</v>
      </c>
      <c r="S7256" s="9"/>
      <c r="T7256" s="2"/>
      <c r="U7256" s="9"/>
    </row>
    <row r="7257" spans="2:21" x14ac:dyDescent="0.35">
      <c r="B7257" s="9"/>
      <c r="C7257" s="2"/>
      <c r="D7257" s="2"/>
      <c r="I7257" s="9"/>
      <c r="J7257" s="2"/>
      <c r="L7257" s="9"/>
      <c r="M7257" s="2"/>
      <c r="N7257" s="9"/>
      <c r="P7257" s="3">
        <v>-1007.69729886</v>
      </c>
      <c r="S7257" s="9"/>
      <c r="T7257" s="2"/>
      <c r="U7257" s="9"/>
    </row>
    <row r="7258" spans="2:21" x14ac:dyDescent="0.35">
      <c r="B7258" s="9"/>
      <c r="C7258" s="2"/>
      <c r="D7258" s="2"/>
      <c r="I7258" s="9"/>
      <c r="J7258" s="2"/>
      <c r="L7258" s="9"/>
      <c r="M7258" s="2"/>
      <c r="N7258" s="9"/>
      <c r="P7258" s="3">
        <v>-606.02260885999999</v>
      </c>
      <c r="S7258" s="9"/>
      <c r="T7258" s="2"/>
      <c r="U7258" s="9"/>
    </row>
    <row r="7259" spans="2:21" x14ac:dyDescent="0.35">
      <c r="B7259" s="9"/>
      <c r="C7259" s="2"/>
      <c r="D7259" s="2"/>
      <c r="I7259" s="9"/>
      <c r="J7259" s="2"/>
      <c r="L7259" s="9"/>
      <c r="M7259" s="2"/>
      <c r="N7259" s="9"/>
      <c r="P7259" s="3">
        <v>-232.27870238</v>
      </c>
      <c r="S7259" s="9"/>
      <c r="T7259" s="2"/>
      <c r="U7259" s="9"/>
    </row>
    <row r="7260" spans="2:21" x14ac:dyDescent="0.35">
      <c r="B7260" s="9"/>
      <c r="C7260" s="2"/>
      <c r="D7260" s="2"/>
      <c r="I7260" s="9"/>
      <c r="J7260" s="2"/>
      <c r="L7260" s="9"/>
      <c r="M7260" s="2"/>
      <c r="N7260" s="9"/>
      <c r="P7260" s="3">
        <v>40.8411641</v>
      </c>
      <c r="S7260" s="9"/>
      <c r="T7260" s="2"/>
      <c r="U7260" s="9"/>
    </row>
    <row r="7261" spans="2:21" x14ac:dyDescent="0.35">
      <c r="B7261" s="9"/>
      <c r="C7261" s="2"/>
      <c r="D7261" s="2"/>
      <c r="I7261" s="9"/>
      <c r="J7261" s="2"/>
      <c r="L7261" s="9"/>
      <c r="M7261" s="2"/>
      <c r="N7261" s="9"/>
      <c r="P7261" s="3">
        <v>267.15185654999999</v>
      </c>
      <c r="S7261" s="9"/>
      <c r="T7261" s="2"/>
      <c r="U7261" s="9"/>
    </row>
    <row r="7262" spans="2:21" x14ac:dyDescent="0.35">
      <c r="B7262" s="9"/>
      <c r="C7262" s="2"/>
      <c r="D7262" s="2"/>
      <c r="I7262" s="9"/>
      <c r="J7262" s="2"/>
      <c r="L7262" s="9"/>
      <c r="M7262" s="2"/>
      <c r="N7262" s="9"/>
      <c r="P7262" s="3">
        <v>364.95213303000003</v>
      </c>
      <c r="S7262" s="9"/>
      <c r="T7262" s="2"/>
      <c r="U7262" s="9"/>
    </row>
    <row r="7263" spans="2:21" x14ac:dyDescent="0.35">
      <c r="B7263" s="9"/>
      <c r="C7263" s="2"/>
      <c r="D7263" s="2"/>
      <c r="I7263" s="9"/>
      <c r="J7263" s="2"/>
      <c r="L7263" s="9"/>
      <c r="M7263" s="2"/>
      <c r="N7263" s="9"/>
      <c r="P7263" s="3">
        <v>183.88722303</v>
      </c>
      <c r="S7263" s="9"/>
      <c r="T7263" s="2"/>
      <c r="U7263" s="9"/>
    </row>
    <row r="7264" spans="2:21" x14ac:dyDescent="0.35">
      <c r="B7264" s="9"/>
      <c r="C7264" s="2"/>
      <c r="D7264" s="2"/>
      <c r="I7264" s="9"/>
      <c r="J7264" s="2"/>
      <c r="L7264" s="9"/>
      <c r="M7264" s="2"/>
      <c r="N7264" s="9"/>
      <c r="P7264" s="3">
        <v>33.27715328</v>
      </c>
      <c r="S7264" s="9"/>
      <c r="T7264" s="2"/>
      <c r="U7264" s="9"/>
    </row>
    <row r="7265" spans="2:21" x14ac:dyDescent="0.35">
      <c r="B7265" s="9"/>
      <c r="C7265" s="2"/>
      <c r="D7265" s="2"/>
      <c r="I7265" s="9"/>
      <c r="J7265" s="2"/>
      <c r="L7265" s="9"/>
      <c r="M7265" s="2"/>
      <c r="N7265" s="9"/>
      <c r="P7265" s="3">
        <v>-104.61478672</v>
      </c>
      <c r="S7265" s="9"/>
      <c r="T7265" s="2"/>
      <c r="U7265" s="9"/>
    </row>
    <row r="7266" spans="2:21" x14ac:dyDescent="0.35">
      <c r="B7266" s="9"/>
      <c r="C7266" s="2"/>
      <c r="D7266" s="2"/>
      <c r="I7266" s="9"/>
      <c r="J7266" s="2"/>
      <c r="L7266" s="9"/>
      <c r="M7266" s="2"/>
      <c r="N7266" s="9"/>
      <c r="P7266" s="3">
        <v>-396.09473696999999</v>
      </c>
      <c r="S7266" s="9"/>
      <c r="T7266" s="2"/>
      <c r="U7266" s="9"/>
    </row>
    <row r="7267" spans="2:21" x14ac:dyDescent="0.35">
      <c r="B7267" s="9"/>
      <c r="C7267" s="2"/>
      <c r="D7267" s="2"/>
      <c r="I7267" s="9"/>
      <c r="J7267" s="2"/>
      <c r="L7267" s="9"/>
      <c r="M7267" s="2"/>
      <c r="N7267" s="9"/>
      <c r="P7267" s="3">
        <v>-501.76540684999998</v>
      </c>
      <c r="S7267" s="9"/>
      <c r="T7267" s="2"/>
      <c r="U7267" s="9"/>
    </row>
    <row r="7268" spans="2:21" x14ac:dyDescent="0.35">
      <c r="B7268" s="9"/>
      <c r="C7268" s="2"/>
      <c r="D7268" s="2"/>
      <c r="I7268" s="9"/>
      <c r="J7268" s="2"/>
      <c r="L7268" s="9"/>
      <c r="M7268" s="2"/>
      <c r="N7268" s="9"/>
      <c r="P7268" s="3">
        <v>-518.90485696999997</v>
      </c>
      <c r="S7268" s="9"/>
      <c r="T7268" s="2"/>
      <c r="U7268" s="9"/>
    </row>
    <row r="7269" spans="2:21" x14ac:dyDescent="0.35">
      <c r="B7269" s="9"/>
      <c r="C7269" s="2"/>
      <c r="D7269" s="2"/>
      <c r="I7269" s="9"/>
      <c r="J7269" s="2"/>
      <c r="L7269" s="9"/>
      <c r="M7269" s="2"/>
      <c r="N7269" s="9"/>
      <c r="P7269" s="3">
        <v>-247.98666696999999</v>
      </c>
      <c r="S7269" s="9"/>
      <c r="T7269" s="2"/>
      <c r="U7269" s="9"/>
    </row>
    <row r="7270" spans="2:21" x14ac:dyDescent="0.35">
      <c r="B7270" s="9"/>
      <c r="C7270" s="2"/>
      <c r="D7270" s="2"/>
      <c r="I7270" s="9"/>
      <c r="J7270" s="2"/>
      <c r="L7270" s="9"/>
      <c r="M7270" s="2"/>
      <c r="N7270" s="9"/>
      <c r="P7270" s="3">
        <v>186.77333303</v>
      </c>
      <c r="S7270" s="9"/>
      <c r="T7270" s="2"/>
      <c r="U7270" s="9"/>
    </row>
    <row r="7271" spans="2:21" x14ac:dyDescent="0.35">
      <c r="B7271" s="9"/>
      <c r="C7271" s="2"/>
      <c r="D7271" s="2"/>
      <c r="I7271" s="9"/>
      <c r="J7271" s="2"/>
      <c r="L7271" s="9"/>
      <c r="M7271" s="2"/>
      <c r="N7271" s="9"/>
      <c r="P7271" s="3">
        <v>621.53333302999999</v>
      </c>
      <c r="S7271" s="9"/>
      <c r="T7271" s="2"/>
      <c r="U7271" s="9"/>
    </row>
    <row r="7272" spans="2:21" x14ac:dyDescent="0.35">
      <c r="B7272" s="9"/>
      <c r="C7272" s="2"/>
      <c r="D7272" s="2"/>
      <c r="I7272" s="9"/>
      <c r="J7272" s="2"/>
      <c r="L7272" s="9"/>
      <c r="M7272" s="2"/>
      <c r="N7272" s="9"/>
      <c r="P7272" s="3">
        <v>1056.29333303</v>
      </c>
      <c r="S7272" s="9"/>
      <c r="T7272" s="2"/>
      <c r="U7272" s="9"/>
    </row>
    <row r="7273" spans="2:21" x14ac:dyDescent="0.35">
      <c r="B7273" s="9"/>
      <c r="C7273" s="2"/>
      <c r="D7273" s="2"/>
      <c r="I7273" s="9"/>
      <c r="J7273" s="2"/>
      <c r="L7273" s="9"/>
      <c r="M7273" s="2"/>
      <c r="N7273" s="9"/>
      <c r="P7273" s="3">
        <v>949.67588226999999</v>
      </c>
      <c r="S7273" s="9"/>
      <c r="T7273" s="2"/>
      <c r="U7273" s="9"/>
    </row>
    <row r="7274" spans="2:21" x14ac:dyDescent="0.35">
      <c r="B7274" s="9"/>
      <c r="C7274" s="2"/>
      <c r="D7274" s="2"/>
      <c r="I7274" s="9"/>
      <c r="J7274" s="2"/>
      <c r="L7274" s="9"/>
      <c r="M7274" s="2"/>
      <c r="N7274" s="9"/>
      <c r="P7274" s="3">
        <v>838.27313176999996</v>
      </c>
      <c r="S7274" s="9"/>
      <c r="T7274" s="2"/>
      <c r="U7274" s="9"/>
    </row>
    <row r="7275" spans="2:21" x14ac:dyDescent="0.35">
      <c r="B7275" s="9"/>
      <c r="C7275" s="2"/>
      <c r="D7275" s="2"/>
      <c r="I7275" s="9"/>
      <c r="J7275" s="2"/>
      <c r="L7275" s="9"/>
      <c r="M7275" s="2"/>
      <c r="N7275" s="9"/>
      <c r="P7275" s="3">
        <v>760.82121140000004</v>
      </c>
      <c r="S7275" s="9"/>
      <c r="T7275" s="2"/>
      <c r="U7275" s="9"/>
    </row>
    <row r="7276" spans="2:21" x14ac:dyDescent="0.35">
      <c r="B7276" s="9"/>
      <c r="C7276" s="2"/>
      <c r="D7276" s="2"/>
      <c r="I7276" s="9"/>
      <c r="J7276" s="2"/>
      <c r="L7276" s="9"/>
      <c r="M7276" s="2"/>
      <c r="N7276" s="9"/>
      <c r="P7276" s="3">
        <v>701.83147113999996</v>
      </c>
      <c r="S7276" s="9"/>
      <c r="T7276" s="2"/>
      <c r="U7276" s="9"/>
    </row>
    <row r="7277" spans="2:21" x14ac:dyDescent="0.35">
      <c r="B7277" s="9"/>
      <c r="C7277" s="2"/>
      <c r="D7277" s="2"/>
      <c r="I7277" s="9"/>
      <c r="J7277" s="2"/>
      <c r="L7277" s="9"/>
      <c r="M7277" s="2"/>
      <c r="N7277" s="9"/>
      <c r="P7277" s="3">
        <v>685.66903114000002</v>
      </c>
      <c r="S7277" s="9"/>
      <c r="T7277" s="2"/>
      <c r="U7277" s="9"/>
    </row>
    <row r="7278" spans="2:21" x14ac:dyDescent="0.35">
      <c r="B7278" s="9"/>
      <c r="C7278" s="2"/>
      <c r="D7278" s="2"/>
      <c r="I7278" s="9"/>
      <c r="J7278" s="2"/>
      <c r="L7278" s="9"/>
      <c r="M7278" s="2"/>
      <c r="N7278" s="9"/>
      <c r="P7278" s="3">
        <v>674.59729114000004</v>
      </c>
      <c r="S7278" s="9"/>
      <c r="T7278" s="2"/>
      <c r="U7278" s="9"/>
    </row>
    <row r="7279" spans="2:21" x14ac:dyDescent="0.35">
      <c r="B7279" s="9"/>
      <c r="C7279" s="2"/>
      <c r="D7279" s="2"/>
      <c r="I7279" s="9"/>
      <c r="J7279" s="2"/>
      <c r="L7279" s="9"/>
      <c r="M7279" s="2"/>
      <c r="N7279" s="9"/>
      <c r="P7279" s="3">
        <v>648.61910114</v>
      </c>
      <c r="S7279" s="9"/>
      <c r="T7279" s="2"/>
      <c r="U7279" s="9"/>
    </row>
    <row r="7280" spans="2:21" x14ac:dyDescent="0.35">
      <c r="B7280" s="9"/>
      <c r="C7280" s="2"/>
      <c r="D7280" s="2"/>
      <c r="I7280" s="9"/>
      <c r="J7280" s="2"/>
      <c r="L7280" s="9"/>
      <c r="M7280" s="2"/>
      <c r="N7280" s="9"/>
      <c r="P7280" s="3">
        <v>613.01118113999996</v>
      </c>
      <c r="S7280" s="9"/>
      <c r="T7280" s="2"/>
      <c r="U7280" s="9"/>
    </row>
    <row r="7281" spans="2:21" x14ac:dyDescent="0.35">
      <c r="B7281" s="9"/>
      <c r="C7281" s="2"/>
      <c r="D7281" s="2"/>
      <c r="I7281" s="9"/>
      <c r="J7281" s="2"/>
      <c r="L7281" s="9"/>
      <c r="M7281" s="2"/>
      <c r="N7281" s="9"/>
      <c r="P7281" s="3">
        <v>457.66247113999998</v>
      </c>
      <c r="S7281" s="9"/>
      <c r="T7281" s="2"/>
      <c r="U7281" s="9"/>
    </row>
    <row r="7282" spans="2:21" x14ac:dyDescent="0.35">
      <c r="B7282" s="9"/>
      <c r="C7282" s="2"/>
      <c r="D7282" s="2"/>
      <c r="I7282" s="9"/>
      <c r="J7282" s="2"/>
      <c r="L7282" s="9"/>
      <c r="M7282" s="2"/>
      <c r="N7282" s="9"/>
      <c r="P7282" s="3">
        <v>199.61226113999999</v>
      </c>
      <c r="S7282" s="9"/>
      <c r="T7282" s="2"/>
      <c r="U7282" s="9"/>
    </row>
    <row r="7283" spans="2:21" x14ac:dyDescent="0.35">
      <c r="B7283" s="9"/>
      <c r="C7283" s="2"/>
      <c r="D7283" s="2"/>
      <c r="I7283" s="9"/>
      <c r="J7283" s="2"/>
      <c r="L7283" s="9"/>
      <c r="M7283" s="2"/>
      <c r="N7283" s="9"/>
      <c r="P7283" s="3">
        <v>-24.064102380000001</v>
      </c>
      <c r="S7283" s="9"/>
      <c r="T7283" s="2"/>
      <c r="U7283" s="9"/>
    </row>
    <row r="7284" spans="2:21" x14ac:dyDescent="0.35">
      <c r="B7284" s="9"/>
      <c r="C7284" s="2"/>
      <c r="D7284" s="2"/>
      <c r="I7284" s="9"/>
      <c r="J7284" s="2"/>
      <c r="L7284" s="9"/>
      <c r="M7284" s="2"/>
      <c r="N7284" s="9"/>
      <c r="P7284" s="3">
        <v>-274.67928590000002</v>
      </c>
      <c r="S7284" s="9"/>
      <c r="T7284" s="2"/>
      <c r="U7284" s="9"/>
    </row>
    <row r="7285" spans="2:21" x14ac:dyDescent="0.35">
      <c r="B7285" s="9"/>
      <c r="C7285" s="2"/>
      <c r="D7285" s="2"/>
      <c r="I7285" s="9"/>
      <c r="J7285" s="2"/>
      <c r="L7285" s="9"/>
      <c r="M7285" s="2"/>
      <c r="N7285" s="9"/>
      <c r="P7285" s="3">
        <v>-537.58770345000005</v>
      </c>
      <c r="S7285" s="9"/>
      <c r="T7285" s="2"/>
      <c r="U7285" s="9"/>
    </row>
    <row r="7286" spans="2:21" x14ac:dyDescent="0.35">
      <c r="B7286" s="9"/>
      <c r="C7286" s="2"/>
      <c r="D7286" s="2"/>
      <c r="I7286" s="9"/>
      <c r="J7286" s="2"/>
      <c r="L7286" s="9"/>
      <c r="M7286" s="2"/>
      <c r="N7286" s="9"/>
      <c r="P7286" s="3">
        <v>-831.96941697</v>
      </c>
      <c r="S7286" s="9"/>
      <c r="T7286" s="2"/>
      <c r="U7286" s="9"/>
    </row>
    <row r="7287" spans="2:21" x14ac:dyDescent="0.35">
      <c r="B7287" s="9"/>
      <c r="C7287" s="2"/>
      <c r="D7287" s="2"/>
      <c r="I7287" s="9"/>
      <c r="J7287" s="2"/>
      <c r="L7287" s="9"/>
      <c r="M7287" s="2"/>
      <c r="N7287" s="9"/>
      <c r="P7287" s="3">
        <v>-1266.7294169700001</v>
      </c>
      <c r="S7287" s="9"/>
      <c r="T7287" s="2"/>
      <c r="U7287" s="9"/>
    </row>
    <row r="7288" spans="2:21" x14ac:dyDescent="0.35">
      <c r="B7288" s="9"/>
      <c r="C7288" s="2"/>
      <c r="D7288" s="2"/>
      <c r="I7288" s="9"/>
      <c r="J7288" s="2"/>
      <c r="L7288" s="9"/>
      <c r="M7288" s="2"/>
      <c r="N7288" s="9"/>
      <c r="P7288" s="3">
        <v>-1701.4894169700001</v>
      </c>
      <c r="S7288" s="9"/>
      <c r="T7288" s="2"/>
      <c r="U7288" s="9"/>
    </row>
    <row r="7289" spans="2:21" x14ac:dyDescent="0.35">
      <c r="B7289" s="9"/>
      <c r="C7289" s="2"/>
      <c r="D7289" s="2"/>
      <c r="I7289" s="9"/>
      <c r="J7289" s="2"/>
      <c r="L7289" s="9"/>
      <c r="M7289" s="2"/>
      <c r="N7289" s="9"/>
      <c r="P7289" s="3">
        <v>-2136.2494169699999</v>
      </c>
      <c r="S7289" s="9"/>
      <c r="T7289" s="2"/>
      <c r="U7289" s="9"/>
    </row>
    <row r="7290" spans="2:21" x14ac:dyDescent="0.35">
      <c r="B7290" s="9"/>
      <c r="C7290" s="2"/>
      <c r="D7290" s="2"/>
      <c r="I7290" s="9"/>
      <c r="J7290" s="2"/>
      <c r="L7290" s="9"/>
      <c r="M7290" s="2"/>
      <c r="N7290" s="9"/>
      <c r="P7290" s="3">
        <v>-2571.0094169700001</v>
      </c>
      <c r="S7290" s="9"/>
      <c r="T7290" s="2"/>
      <c r="U7290" s="9"/>
    </row>
    <row r="7291" spans="2:21" x14ac:dyDescent="0.35">
      <c r="B7291" s="9"/>
      <c r="C7291" s="2"/>
      <c r="D7291" s="2"/>
      <c r="I7291" s="9"/>
      <c r="J7291" s="2"/>
      <c r="L7291" s="9"/>
      <c r="M7291" s="2"/>
      <c r="N7291" s="9"/>
      <c r="P7291" s="3">
        <v>-2860.169492</v>
      </c>
      <c r="S7291" s="9"/>
      <c r="T7291" s="2"/>
      <c r="U7291" s="9"/>
    </row>
    <row r="7292" spans="2:21" x14ac:dyDescent="0.35">
      <c r="B7292" s="9"/>
      <c r="C7292" s="2"/>
      <c r="D7292" s="2"/>
      <c r="I7292" s="9"/>
      <c r="J7292" s="2"/>
      <c r="L7292" s="9"/>
      <c r="M7292" s="2"/>
      <c r="N7292" s="9"/>
      <c r="P7292" s="3">
        <v>-2860.169492</v>
      </c>
      <c r="S7292" s="9"/>
      <c r="T7292" s="2"/>
      <c r="U7292" s="9"/>
    </row>
    <row r="7293" spans="2:21" x14ac:dyDescent="0.35">
      <c r="B7293" s="9"/>
      <c r="C7293" s="2"/>
      <c r="D7293" s="2"/>
      <c r="I7293" s="9"/>
      <c r="J7293" s="2"/>
      <c r="L7293" s="9"/>
      <c r="M7293" s="2"/>
      <c r="N7293" s="9"/>
      <c r="P7293" s="3">
        <v>-2860.169492</v>
      </c>
      <c r="S7293" s="9"/>
      <c r="T7293" s="2"/>
      <c r="U7293" s="9"/>
    </row>
    <row r="7294" spans="2:21" x14ac:dyDescent="0.35">
      <c r="B7294" s="9"/>
      <c r="C7294" s="2"/>
      <c r="D7294" s="2"/>
      <c r="I7294" s="9"/>
      <c r="J7294" s="2"/>
      <c r="L7294" s="9"/>
      <c r="M7294" s="2"/>
      <c r="N7294" s="9"/>
      <c r="P7294" s="3">
        <v>-2860.169492</v>
      </c>
      <c r="S7294" s="9"/>
      <c r="T7294" s="2"/>
      <c r="U7294" s="9"/>
    </row>
    <row r="7295" spans="2:21" x14ac:dyDescent="0.35">
      <c r="B7295" s="9"/>
      <c r="C7295" s="2"/>
      <c r="D7295" s="2"/>
      <c r="I7295" s="9"/>
      <c r="J7295" s="2"/>
      <c r="L7295" s="9"/>
      <c r="M7295" s="2"/>
      <c r="N7295" s="9"/>
      <c r="P7295" s="3">
        <v>-2860.169492</v>
      </c>
      <c r="S7295" s="9"/>
      <c r="T7295" s="2"/>
      <c r="U7295" s="9"/>
    </row>
    <row r="7296" spans="2:21" x14ac:dyDescent="0.35">
      <c r="B7296" s="9"/>
      <c r="C7296" s="2"/>
      <c r="D7296" s="2"/>
      <c r="I7296" s="9"/>
      <c r="J7296" s="2"/>
      <c r="L7296" s="9"/>
      <c r="M7296" s="2"/>
      <c r="N7296" s="9"/>
      <c r="P7296" s="3">
        <v>-2860.169492</v>
      </c>
      <c r="S7296" s="9"/>
      <c r="T7296" s="2"/>
      <c r="U7296" s="9"/>
    </row>
    <row r="7297" spans="2:21" x14ac:dyDescent="0.35">
      <c r="B7297" s="9"/>
      <c r="C7297" s="2"/>
      <c r="D7297" s="2"/>
      <c r="I7297" s="9"/>
      <c r="J7297" s="2"/>
      <c r="L7297" s="9"/>
      <c r="M7297" s="2"/>
      <c r="N7297" s="9"/>
      <c r="P7297" s="3">
        <v>-2860.169492</v>
      </c>
      <c r="S7297" s="9"/>
      <c r="T7297" s="2"/>
      <c r="U7297" s="9"/>
    </row>
    <row r="7298" spans="2:21" x14ac:dyDescent="0.35">
      <c r="B7298" s="9"/>
      <c r="C7298" s="2"/>
      <c r="D7298" s="2"/>
      <c r="I7298" s="9"/>
      <c r="J7298" s="2"/>
      <c r="L7298" s="9"/>
      <c r="M7298" s="2"/>
      <c r="N7298" s="9"/>
      <c r="P7298" s="3">
        <v>-2860.169492</v>
      </c>
      <c r="S7298" s="9"/>
      <c r="T7298" s="2"/>
      <c r="U7298" s="9"/>
    </row>
    <row r="7299" spans="2:21" x14ac:dyDescent="0.35">
      <c r="B7299" s="9"/>
      <c r="C7299" s="2"/>
      <c r="D7299" s="2"/>
      <c r="I7299" s="9"/>
      <c r="J7299" s="2"/>
      <c r="L7299" s="9"/>
      <c r="M7299" s="2"/>
      <c r="N7299" s="9"/>
      <c r="P7299" s="3">
        <v>-2860.169492</v>
      </c>
      <c r="S7299" s="9"/>
      <c r="T7299" s="2"/>
      <c r="U7299" s="9"/>
    </row>
    <row r="7300" spans="2:21" x14ac:dyDescent="0.35">
      <c r="B7300" s="9"/>
      <c r="C7300" s="2"/>
      <c r="D7300" s="2"/>
      <c r="I7300" s="9"/>
      <c r="J7300" s="2"/>
      <c r="L7300" s="9"/>
      <c r="M7300" s="2"/>
      <c r="N7300" s="9"/>
      <c r="P7300" s="3">
        <v>-2860.169492</v>
      </c>
      <c r="S7300" s="9"/>
      <c r="T7300" s="2"/>
      <c r="U7300" s="9"/>
    </row>
    <row r="7301" spans="2:21" x14ac:dyDescent="0.35">
      <c r="B7301" s="9"/>
      <c r="C7301" s="2"/>
      <c r="D7301" s="2"/>
      <c r="I7301" s="9"/>
      <c r="J7301" s="2"/>
      <c r="L7301" s="9"/>
      <c r="M7301" s="2"/>
      <c r="N7301" s="9"/>
      <c r="P7301" s="3">
        <v>-2860.169492</v>
      </c>
      <c r="S7301" s="9"/>
      <c r="T7301" s="2"/>
      <c r="U7301" s="9"/>
    </row>
    <row r="7302" spans="2:21" x14ac:dyDescent="0.35">
      <c r="B7302" s="9"/>
      <c r="C7302" s="2"/>
      <c r="D7302" s="2"/>
      <c r="I7302" s="9"/>
      <c r="J7302" s="2"/>
      <c r="L7302" s="9"/>
      <c r="M7302" s="2"/>
      <c r="N7302" s="9"/>
      <c r="P7302" s="3">
        <v>-2860.169492</v>
      </c>
      <c r="S7302" s="9"/>
      <c r="T7302" s="2"/>
      <c r="U7302" s="9"/>
    </row>
    <row r="7303" spans="2:21" x14ac:dyDescent="0.35">
      <c r="B7303" s="9"/>
      <c r="C7303" s="2"/>
      <c r="D7303" s="2"/>
      <c r="I7303" s="9"/>
      <c r="J7303" s="2"/>
      <c r="L7303" s="9"/>
      <c r="M7303" s="2"/>
      <c r="N7303" s="9"/>
      <c r="P7303" s="3">
        <v>-2857.11168886</v>
      </c>
      <c r="S7303" s="9"/>
      <c r="T7303" s="2"/>
      <c r="U7303" s="9"/>
    </row>
    <row r="7304" spans="2:21" x14ac:dyDescent="0.35">
      <c r="B7304" s="9"/>
      <c r="C7304" s="2"/>
      <c r="D7304" s="2"/>
      <c r="I7304" s="9"/>
      <c r="J7304" s="2"/>
      <c r="L7304" s="9"/>
      <c r="M7304" s="2"/>
      <c r="N7304" s="9"/>
      <c r="P7304" s="3">
        <v>-2661.3000788600002</v>
      </c>
      <c r="S7304" s="9"/>
      <c r="T7304" s="2"/>
      <c r="U7304" s="9"/>
    </row>
    <row r="7305" spans="2:21" x14ac:dyDescent="0.35">
      <c r="B7305" s="9"/>
      <c r="C7305" s="2"/>
      <c r="D7305" s="2"/>
      <c r="I7305" s="9"/>
      <c r="J7305" s="2"/>
      <c r="L7305" s="9"/>
      <c r="M7305" s="2"/>
      <c r="N7305" s="9"/>
      <c r="P7305" s="3">
        <v>-2463.4117188599998</v>
      </c>
      <c r="S7305" s="9"/>
      <c r="T7305" s="2"/>
      <c r="U7305" s="9"/>
    </row>
    <row r="7306" spans="2:21" x14ac:dyDescent="0.35">
      <c r="B7306" s="9"/>
      <c r="C7306" s="2"/>
      <c r="D7306" s="2"/>
      <c r="I7306" s="9"/>
      <c r="J7306" s="2"/>
      <c r="L7306" s="9"/>
      <c r="M7306" s="2"/>
      <c r="N7306" s="9"/>
      <c r="P7306" s="3">
        <v>-2331.0393188600001</v>
      </c>
      <c r="S7306" s="9"/>
      <c r="T7306" s="2"/>
      <c r="U7306" s="9"/>
    </row>
    <row r="7307" spans="2:21" x14ac:dyDescent="0.35">
      <c r="B7307" s="9"/>
      <c r="C7307" s="2"/>
      <c r="D7307" s="2"/>
      <c r="I7307" s="9"/>
      <c r="J7307" s="2"/>
      <c r="L7307" s="9"/>
      <c r="M7307" s="2"/>
      <c r="N7307" s="9"/>
      <c r="P7307" s="3">
        <v>-2143.77478238</v>
      </c>
      <c r="S7307" s="9"/>
      <c r="T7307" s="2"/>
      <c r="U7307" s="9"/>
    </row>
    <row r="7308" spans="2:21" x14ac:dyDescent="0.35">
      <c r="B7308" s="9"/>
      <c r="C7308" s="2"/>
      <c r="D7308" s="2"/>
      <c r="I7308" s="9"/>
      <c r="J7308" s="2"/>
      <c r="L7308" s="9"/>
      <c r="M7308" s="2"/>
      <c r="N7308" s="9"/>
      <c r="P7308" s="3">
        <v>-1978.1616959</v>
      </c>
      <c r="S7308" s="9"/>
      <c r="T7308" s="2"/>
      <c r="U7308" s="9"/>
    </row>
    <row r="7309" spans="2:21" x14ac:dyDescent="0.35">
      <c r="B7309" s="9"/>
      <c r="C7309" s="2"/>
      <c r="D7309" s="2"/>
      <c r="I7309" s="9"/>
      <c r="J7309" s="2"/>
      <c r="L7309" s="9"/>
      <c r="M7309" s="2"/>
      <c r="N7309" s="9"/>
      <c r="P7309" s="3">
        <v>-1881.49913345</v>
      </c>
      <c r="S7309" s="9"/>
      <c r="T7309" s="2"/>
      <c r="U7309" s="9"/>
    </row>
    <row r="7310" spans="2:21" x14ac:dyDescent="0.35">
      <c r="B7310" s="9"/>
      <c r="C7310" s="2"/>
      <c r="D7310" s="2"/>
      <c r="I7310" s="9"/>
      <c r="J7310" s="2"/>
      <c r="L7310" s="9"/>
      <c r="M7310" s="2"/>
      <c r="N7310" s="9"/>
      <c r="P7310" s="3">
        <v>-1935.6736469699999</v>
      </c>
      <c r="S7310" s="9"/>
      <c r="T7310" s="2"/>
      <c r="U7310" s="9"/>
    </row>
    <row r="7311" spans="2:21" x14ac:dyDescent="0.35">
      <c r="B7311" s="9"/>
      <c r="C7311" s="2"/>
      <c r="D7311" s="2"/>
      <c r="I7311" s="9"/>
      <c r="J7311" s="2"/>
      <c r="L7311" s="9"/>
      <c r="M7311" s="2"/>
      <c r="N7311" s="9"/>
      <c r="P7311" s="3">
        <v>-2370.4336469700002</v>
      </c>
      <c r="S7311" s="9"/>
      <c r="T7311" s="2"/>
      <c r="U7311" s="9"/>
    </row>
    <row r="7312" spans="2:21" x14ac:dyDescent="0.35">
      <c r="B7312" s="9"/>
      <c r="C7312" s="2"/>
      <c r="D7312" s="2"/>
      <c r="I7312" s="9"/>
      <c r="J7312" s="2"/>
      <c r="L7312" s="9"/>
      <c r="M7312" s="2"/>
      <c r="N7312" s="9"/>
      <c r="P7312" s="3">
        <v>-1935.6736469699999</v>
      </c>
      <c r="S7312" s="9"/>
      <c r="T7312" s="2"/>
      <c r="U7312" s="9"/>
    </row>
    <row r="7313" spans="2:21" x14ac:dyDescent="0.35">
      <c r="B7313" s="9"/>
      <c r="C7313" s="2"/>
      <c r="D7313" s="2"/>
      <c r="I7313" s="9"/>
      <c r="J7313" s="2"/>
      <c r="L7313" s="9"/>
      <c r="M7313" s="2"/>
      <c r="N7313" s="9"/>
      <c r="P7313" s="3">
        <v>-1500.9136469699999</v>
      </c>
      <c r="S7313" s="9"/>
      <c r="T7313" s="2"/>
      <c r="U7313" s="9"/>
    </row>
    <row r="7314" spans="2:21" x14ac:dyDescent="0.35">
      <c r="B7314" s="9"/>
      <c r="C7314" s="2"/>
      <c r="D7314" s="2"/>
      <c r="I7314" s="9"/>
      <c r="J7314" s="2"/>
      <c r="L7314" s="9"/>
      <c r="M7314" s="2"/>
      <c r="N7314" s="9"/>
      <c r="P7314" s="3">
        <v>-1066.15364697</v>
      </c>
      <c r="S7314" s="9"/>
      <c r="T7314" s="2"/>
      <c r="U7314" s="9"/>
    </row>
    <row r="7315" spans="2:21" x14ac:dyDescent="0.35">
      <c r="B7315" s="9"/>
      <c r="C7315" s="2"/>
      <c r="D7315" s="2"/>
      <c r="I7315" s="9"/>
      <c r="J7315" s="2"/>
      <c r="L7315" s="9"/>
      <c r="M7315" s="2"/>
      <c r="N7315" s="9"/>
      <c r="P7315" s="3">
        <v>-631.39364696999996</v>
      </c>
      <c r="S7315" s="9"/>
      <c r="T7315" s="2"/>
      <c r="U7315" s="9"/>
    </row>
    <row r="7316" spans="2:21" x14ac:dyDescent="0.35">
      <c r="B7316" s="9"/>
      <c r="C7316" s="2"/>
      <c r="D7316" s="2"/>
      <c r="I7316" s="9"/>
      <c r="J7316" s="2"/>
      <c r="L7316" s="9"/>
      <c r="M7316" s="2"/>
      <c r="N7316" s="9"/>
      <c r="P7316" s="3">
        <v>-641.26412697000001</v>
      </c>
      <c r="S7316" s="9"/>
      <c r="T7316" s="2"/>
      <c r="U7316" s="9"/>
    </row>
    <row r="7317" spans="2:21" x14ac:dyDescent="0.35">
      <c r="B7317" s="9"/>
      <c r="C7317" s="2"/>
      <c r="D7317" s="2"/>
      <c r="I7317" s="9"/>
      <c r="J7317" s="2"/>
      <c r="L7317" s="9"/>
      <c r="M7317" s="2"/>
      <c r="N7317" s="9"/>
      <c r="P7317" s="3">
        <v>-1076.02412697</v>
      </c>
      <c r="S7317" s="9"/>
      <c r="T7317" s="2"/>
      <c r="U7317" s="9"/>
    </row>
    <row r="7318" spans="2:21" x14ac:dyDescent="0.35">
      <c r="B7318" s="9"/>
      <c r="C7318" s="2"/>
      <c r="D7318" s="2"/>
      <c r="I7318" s="9"/>
      <c r="J7318" s="2"/>
      <c r="L7318" s="9"/>
      <c r="M7318" s="2"/>
      <c r="N7318" s="9"/>
      <c r="P7318" s="3">
        <v>-1510.78412697</v>
      </c>
      <c r="S7318" s="9"/>
      <c r="T7318" s="2"/>
      <c r="U7318" s="9"/>
    </row>
    <row r="7319" spans="2:21" x14ac:dyDescent="0.35">
      <c r="B7319" s="9"/>
      <c r="C7319" s="2"/>
      <c r="D7319" s="2"/>
      <c r="I7319" s="9"/>
      <c r="J7319" s="2"/>
      <c r="L7319" s="9"/>
      <c r="M7319" s="2"/>
      <c r="N7319" s="9"/>
      <c r="P7319" s="3">
        <v>-1076.02412697</v>
      </c>
      <c r="S7319" s="9"/>
      <c r="T7319" s="2"/>
      <c r="U7319" s="9"/>
    </row>
    <row r="7320" spans="2:21" x14ac:dyDescent="0.35">
      <c r="B7320" s="9"/>
      <c r="C7320" s="2"/>
      <c r="D7320" s="2"/>
      <c r="I7320" s="9"/>
      <c r="J7320" s="2"/>
      <c r="L7320" s="9"/>
      <c r="M7320" s="2"/>
      <c r="N7320" s="9"/>
      <c r="P7320" s="3">
        <v>-641.26412697000001</v>
      </c>
      <c r="S7320" s="9"/>
      <c r="T7320" s="2"/>
      <c r="U7320" s="9"/>
    </row>
    <row r="7321" spans="2:21" x14ac:dyDescent="0.35">
      <c r="B7321" s="9"/>
      <c r="C7321" s="2"/>
      <c r="D7321" s="2"/>
      <c r="I7321" s="9"/>
      <c r="J7321" s="2"/>
      <c r="L7321" s="9"/>
      <c r="M7321" s="2"/>
      <c r="N7321" s="9"/>
      <c r="P7321" s="3">
        <v>-303.23484773000001</v>
      </c>
      <c r="S7321" s="9"/>
      <c r="T7321" s="2"/>
      <c r="U7321" s="9"/>
    </row>
    <row r="7322" spans="2:21" x14ac:dyDescent="0.35">
      <c r="B7322" s="9"/>
      <c r="C7322" s="2"/>
      <c r="D7322" s="2"/>
      <c r="I7322" s="9"/>
      <c r="J7322" s="2"/>
      <c r="L7322" s="9"/>
      <c r="M7322" s="2"/>
      <c r="N7322" s="9"/>
      <c r="P7322" s="3">
        <v>-59.575828229999999</v>
      </c>
      <c r="S7322" s="9"/>
      <c r="T7322" s="2"/>
      <c r="U7322" s="9"/>
    </row>
    <row r="7323" spans="2:21" x14ac:dyDescent="0.35">
      <c r="B7323" s="9"/>
      <c r="C7323" s="2"/>
      <c r="D7323" s="2"/>
      <c r="I7323" s="9"/>
      <c r="J7323" s="2"/>
      <c r="L7323" s="9"/>
      <c r="M7323" s="2"/>
      <c r="N7323" s="9"/>
      <c r="P7323" s="3">
        <v>101.2652914</v>
      </c>
      <c r="S7323" s="9"/>
      <c r="T7323" s="2"/>
      <c r="U7323" s="9"/>
    </row>
    <row r="7324" spans="2:21" x14ac:dyDescent="0.35">
      <c r="B7324" s="9"/>
      <c r="C7324" s="2"/>
      <c r="D7324" s="2"/>
      <c r="I7324" s="9"/>
      <c r="J7324" s="2"/>
      <c r="L7324" s="9"/>
      <c r="M7324" s="2"/>
      <c r="N7324" s="9"/>
      <c r="P7324" s="3">
        <v>195.32244114</v>
      </c>
      <c r="S7324" s="9"/>
      <c r="T7324" s="2"/>
      <c r="U7324" s="9"/>
    </row>
    <row r="7325" spans="2:21" x14ac:dyDescent="0.35">
      <c r="B7325" s="9"/>
      <c r="C7325" s="2"/>
      <c r="D7325" s="2"/>
      <c r="I7325" s="9"/>
      <c r="J7325" s="2"/>
      <c r="L7325" s="9"/>
      <c r="M7325" s="2"/>
      <c r="N7325" s="9"/>
      <c r="P7325" s="3">
        <v>320.27392114000003</v>
      </c>
      <c r="S7325" s="9"/>
      <c r="T7325" s="2"/>
      <c r="U7325" s="9"/>
    </row>
    <row r="7326" spans="2:21" x14ac:dyDescent="0.35">
      <c r="B7326" s="9"/>
      <c r="C7326" s="2"/>
      <c r="D7326" s="2"/>
      <c r="I7326" s="9"/>
      <c r="J7326" s="2"/>
      <c r="L7326" s="9"/>
      <c r="M7326" s="2"/>
      <c r="N7326" s="9"/>
      <c r="P7326" s="3">
        <v>403.29635114000001</v>
      </c>
      <c r="S7326" s="9"/>
      <c r="T7326" s="2"/>
      <c r="U7326" s="9"/>
    </row>
    <row r="7327" spans="2:21" x14ac:dyDescent="0.35">
      <c r="B7327" s="9"/>
      <c r="C7327" s="2"/>
      <c r="D7327" s="2"/>
      <c r="I7327" s="9"/>
      <c r="J7327" s="2"/>
      <c r="L7327" s="9"/>
      <c r="M7327" s="2"/>
      <c r="N7327" s="9"/>
      <c r="P7327" s="3">
        <v>434.06491113999999</v>
      </c>
      <c r="S7327" s="9"/>
      <c r="T7327" s="2"/>
      <c r="U7327" s="9"/>
    </row>
    <row r="7328" spans="2:21" x14ac:dyDescent="0.35">
      <c r="B7328" s="9"/>
      <c r="C7328" s="2"/>
      <c r="D7328" s="2"/>
      <c r="I7328" s="9"/>
      <c r="J7328" s="2"/>
      <c r="L7328" s="9"/>
      <c r="M7328" s="2"/>
      <c r="N7328" s="9"/>
      <c r="P7328" s="3">
        <v>412.02651114000003</v>
      </c>
      <c r="S7328" s="9"/>
      <c r="T7328" s="2"/>
      <c r="U7328" s="9"/>
    </row>
    <row r="7329" spans="2:21" x14ac:dyDescent="0.35">
      <c r="B7329" s="9"/>
      <c r="C7329" s="2"/>
      <c r="D7329" s="2"/>
      <c r="I7329" s="9"/>
      <c r="J7329" s="2"/>
      <c r="L7329" s="9"/>
      <c r="M7329" s="2"/>
      <c r="N7329" s="9"/>
      <c r="P7329" s="3">
        <v>355.87900114000001</v>
      </c>
      <c r="S7329" s="9"/>
      <c r="T7329" s="2"/>
      <c r="U7329" s="9"/>
    </row>
    <row r="7330" spans="2:21" x14ac:dyDescent="0.35">
      <c r="B7330" s="9"/>
      <c r="C7330" s="2"/>
      <c r="D7330" s="2"/>
      <c r="I7330" s="9"/>
      <c r="J7330" s="2"/>
      <c r="L7330" s="9"/>
      <c r="M7330" s="2"/>
      <c r="N7330" s="9"/>
      <c r="P7330" s="3">
        <v>275.32098114000001</v>
      </c>
      <c r="S7330" s="9"/>
      <c r="T7330" s="2"/>
      <c r="U7330" s="9"/>
    </row>
    <row r="7331" spans="2:21" x14ac:dyDescent="0.35">
      <c r="B7331" s="9"/>
      <c r="C7331" s="2"/>
      <c r="D7331" s="2"/>
      <c r="I7331" s="9"/>
      <c r="J7331" s="2"/>
      <c r="L7331" s="9"/>
      <c r="M7331" s="2"/>
      <c r="N7331" s="9"/>
      <c r="P7331" s="3">
        <v>272.21534761999999</v>
      </c>
      <c r="S7331" s="9"/>
      <c r="T7331" s="2"/>
      <c r="U7331" s="9"/>
    </row>
    <row r="7332" spans="2:21" x14ac:dyDescent="0.35">
      <c r="B7332" s="9"/>
      <c r="C7332" s="2"/>
      <c r="D7332" s="2"/>
      <c r="I7332" s="9"/>
      <c r="J7332" s="2"/>
      <c r="L7332" s="9"/>
      <c r="M7332" s="2"/>
      <c r="N7332" s="9"/>
      <c r="P7332" s="3">
        <v>262.97176409999997</v>
      </c>
      <c r="S7332" s="9"/>
      <c r="T7332" s="2"/>
      <c r="U7332" s="9"/>
    </row>
    <row r="7333" spans="2:21" x14ac:dyDescent="0.35">
      <c r="B7333" s="9"/>
      <c r="C7333" s="2"/>
      <c r="D7333" s="2"/>
      <c r="I7333" s="9"/>
      <c r="J7333" s="2"/>
      <c r="L7333" s="9"/>
      <c r="M7333" s="2"/>
      <c r="N7333" s="9"/>
      <c r="P7333" s="3">
        <v>226.54411655000001</v>
      </c>
      <c r="S7333" s="9"/>
      <c r="T7333" s="2"/>
      <c r="U7333" s="9"/>
    </row>
    <row r="7334" spans="2:21" x14ac:dyDescent="0.35">
      <c r="B7334" s="9"/>
      <c r="C7334" s="2"/>
      <c r="D7334" s="2"/>
      <c r="I7334" s="9"/>
      <c r="J7334" s="2"/>
      <c r="L7334" s="9"/>
      <c r="M7334" s="2"/>
      <c r="N7334" s="9"/>
      <c r="P7334" s="3">
        <v>-59.23878697</v>
      </c>
      <c r="S7334" s="9"/>
      <c r="T7334" s="2"/>
      <c r="U7334" s="9"/>
    </row>
    <row r="7335" spans="2:21" x14ac:dyDescent="0.35">
      <c r="B7335" s="9"/>
      <c r="C7335" s="2"/>
      <c r="D7335" s="2"/>
      <c r="I7335" s="9"/>
      <c r="J7335" s="2"/>
      <c r="L7335" s="9"/>
      <c r="M7335" s="2"/>
      <c r="N7335" s="9"/>
      <c r="P7335" s="3">
        <v>-493.99878697000003</v>
      </c>
      <c r="S7335" s="9"/>
      <c r="T7335" s="2"/>
      <c r="U7335" s="9"/>
    </row>
    <row r="7336" spans="2:21" x14ac:dyDescent="0.35">
      <c r="B7336" s="9"/>
      <c r="C7336" s="2"/>
      <c r="D7336" s="2"/>
      <c r="I7336" s="9"/>
      <c r="J7336" s="2"/>
      <c r="L7336" s="9"/>
      <c r="M7336" s="2"/>
      <c r="N7336" s="9"/>
      <c r="P7336" s="3">
        <v>-928.75878696999996</v>
      </c>
      <c r="S7336" s="9"/>
      <c r="T7336" s="2"/>
      <c r="U7336" s="9"/>
    </row>
    <row r="7337" spans="2:21" x14ac:dyDescent="0.35">
      <c r="B7337" s="9"/>
      <c r="C7337" s="2"/>
      <c r="D7337" s="2"/>
      <c r="I7337" s="9"/>
      <c r="J7337" s="2"/>
      <c r="L7337" s="9"/>
      <c r="M7337" s="2"/>
      <c r="N7337" s="9"/>
      <c r="P7337" s="3">
        <v>-1363.5187869700001</v>
      </c>
      <c r="S7337" s="9"/>
      <c r="T7337" s="2"/>
      <c r="U7337" s="9"/>
    </row>
    <row r="7338" spans="2:21" x14ac:dyDescent="0.35">
      <c r="B7338" s="9"/>
      <c r="C7338" s="2"/>
      <c r="D7338" s="2"/>
      <c r="I7338" s="9"/>
      <c r="J7338" s="2"/>
      <c r="L7338" s="9"/>
      <c r="M7338" s="2"/>
      <c r="N7338" s="9"/>
      <c r="P7338" s="3">
        <v>-1798.2787869700001</v>
      </c>
      <c r="S7338" s="9"/>
      <c r="T7338" s="2"/>
      <c r="U7338" s="9"/>
    </row>
    <row r="7339" spans="2:21" x14ac:dyDescent="0.35">
      <c r="B7339" s="9"/>
      <c r="C7339" s="2"/>
      <c r="D7339" s="2"/>
      <c r="I7339" s="9"/>
      <c r="J7339" s="2"/>
      <c r="L7339" s="9"/>
      <c r="M7339" s="2"/>
      <c r="N7339" s="9"/>
      <c r="P7339" s="3">
        <v>-1567.5323569699999</v>
      </c>
      <c r="S7339" s="9"/>
      <c r="T7339" s="2"/>
      <c r="U7339" s="9"/>
    </row>
    <row r="7340" spans="2:21" x14ac:dyDescent="0.35">
      <c r="B7340" s="9"/>
      <c r="C7340" s="2"/>
      <c r="D7340" s="2"/>
      <c r="I7340" s="9"/>
      <c r="J7340" s="2"/>
      <c r="L7340" s="9"/>
      <c r="M7340" s="2"/>
      <c r="N7340" s="9"/>
      <c r="P7340" s="3">
        <v>-1132.7723569699999</v>
      </c>
      <c r="S7340" s="9"/>
      <c r="T7340" s="2"/>
      <c r="U7340" s="9"/>
    </row>
    <row r="7341" spans="2:21" x14ac:dyDescent="0.35">
      <c r="B7341" s="9"/>
      <c r="C7341" s="2"/>
      <c r="D7341" s="2"/>
      <c r="I7341" s="9"/>
      <c r="J7341" s="2"/>
      <c r="L7341" s="9"/>
      <c r="M7341" s="2"/>
      <c r="N7341" s="9"/>
      <c r="P7341" s="3">
        <v>-698.01235697000004</v>
      </c>
      <c r="S7341" s="9"/>
      <c r="T7341" s="2"/>
      <c r="U7341" s="9"/>
    </row>
    <row r="7342" spans="2:21" x14ac:dyDescent="0.35">
      <c r="B7342" s="9"/>
      <c r="C7342" s="2"/>
      <c r="D7342" s="2"/>
      <c r="I7342" s="9"/>
      <c r="J7342" s="2"/>
      <c r="L7342" s="9"/>
      <c r="M7342" s="2"/>
      <c r="N7342" s="9"/>
      <c r="P7342" s="3">
        <v>-263.25235696999999</v>
      </c>
      <c r="S7342" s="9"/>
      <c r="T7342" s="2"/>
      <c r="U7342" s="9"/>
    </row>
    <row r="7343" spans="2:21" x14ac:dyDescent="0.35">
      <c r="B7343" s="9"/>
      <c r="C7343" s="2"/>
      <c r="D7343" s="2"/>
      <c r="I7343" s="9"/>
      <c r="J7343" s="2"/>
      <c r="L7343" s="9"/>
      <c r="M7343" s="2"/>
      <c r="N7343" s="9"/>
      <c r="P7343" s="3">
        <v>171.50764303</v>
      </c>
      <c r="S7343" s="9"/>
      <c r="T7343" s="2"/>
      <c r="U7343" s="9"/>
    </row>
    <row r="7344" spans="2:21" x14ac:dyDescent="0.35">
      <c r="B7344" s="9"/>
      <c r="C7344" s="2"/>
      <c r="D7344" s="2"/>
      <c r="I7344" s="9"/>
      <c r="J7344" s="2"/>
      <c r="L7344" s="9"/>
      <c r="M7344" s="2"/>
      <c r="N7344" s="9"/>
      <c r="P7344" s="3">
        <v>606.26764303000004</v>
      </c>
      <c r="S7344" s="9"/>
      <c r="T7344" s="2"/>
      <c r="U7344" s="9"/>
    </row>
    <row r="7345" spans="2:21" x14ac:dyDescent="0.35">
      <c r="B7345" s="9"/>
      <c r="C7345" s="2"/>
      <c r="D7345" s="2"/>
      <c r="I7345" s="9"/>
      <c r="J7345" s="2"/>
      <c r="L7345" s="9"/>
      <c r="M7345" s="2"/>
      <c r="N7345" s="9"/>
      <c r="P7345" s="3">
        <v>498.52981226999998</v>
      </c>
      <c r="S7345" s="9"/>
      <c r="T7345" s="2"/>
      <c r="U7345" s="9"/>
    </row>
    <row r="7346" spans="2:21" x14ac:dyDescent="0.35">
      <c r="B7346" s="9"/>
      <c r="C7346" s="2"/>
      <c r="D7346" s="2"/>
      <c r="I7346" s="9"/>
      <c r="J7346" s="2"/>
      <c r="L7346" s="9"/>
      <c r="M7346" s="2"/>
      <c r="N7346" s="9"/>
      <c r="P7346" s="3">
        <v>424.44253177000002</v>
      </c>
      <c r="S7346" s="9"/>
      <c r="T7346" s="2"/>
      <c r="U7346" s="9"/>
    </row>
    <row r="7347" spans="2:21" x14ac:dyDescent="0.35">
      <c r="B7347" s="9"/>
      <c r="C7347" s="2"/>
      <c r="D7347" s="2"/>
      <c r="I7347" s="9"/>
      <c r="J7347" s="2"/>
      <c r="L7347" s="9"/>
      <c r="M7347" s="2"/>
      <c r="N7347" s="9"/>
      <c r="P7347" s="3">
        <v>373.49917140000002</v>
      </c>
      <c r="S7347" s="9"/>
      <c r="T7347" s="2"/>
      <c r="U7347" s="9"/>
    </row>
    <row r="7348" spans="2:21" x14ac:dyDescent="0.35">
      <c r="B7348" s="9"/>
      <c r="C7348" s="2"/>
      <c r="D7348" s="2"/>
      <c r="I7348" s="9"/>
      <c r="J7348" s="2"/>
      <c r="L7348" s="9"/>
      <c r="M7348" s="2"/>
      <c r="N7348" s="9"/>
      <c r="P7348" s="3">
        <v>424.56653114</v>
      </c>
      <c r="S7348" s="9"/>
      <c r="T7348" s="2"/>
      <c r="U7348" s="9"/>
    </row>
    <row r="7349" spans="2:21" x14ac:dyDescent="0.35">
      <c r="B7349" s="9"/>
      <c r="C7349" s="2"/>
      <c r="D7349" s="2"/>
      <c r="I7349" s="9"/>
      <c r="J7349" s="2"/>
      <c r="L7349" s="9"/>
      <c r="M7349" s="2"/>
      <c r="N7349" s="9"/>
      <c r="P7349" s="3">
        <v>498.29222113999998</v>
      </c>
      <c r="S7349" s="9"/>
      <c r="T7349" s="2"/>
      <c r="U7349" s="9"/>
    </row>
    <row r="7350" spans="2:21" x14ac:dyDescent="0.35">
      <c r="B7350" s="9"/>
      <c r="C7350" s="2"/>
      <c r="D7350" s="2"/>
      <c r="I7350" s="9"/>
      <c r="J7350" s="2"/>
      <c r="L7350" s="9"/>
      <c r="M7350" s="2"/>
      <c r="N7350" s="9"/>
      <c r="P7350" s="3">
        <v>846.42188161000001</v>
      </c>
      <c r="S7350" s="9"/>
      <c r="T7350" s="2"/>
      <c r="U7350" s="9"/>
    </row>
    <row r="7351" spans="2:21" x14ac:dyDescent="0.35">
      <c r="B7351" s="9"/>
      <c r="C7351" s="2"/>
      <c r="D7351" s="2"/>
      <c r="I7351" s="9"/>
      <c r="J7351" s="2"/>
      <c r="L7351" s="9"/>
      <c r="M7351" s="2"/>
      <c r="N7351" s="9"/>
      <c r="P7351" s="3">
        <v>882.59212161000005</v>
      </c>
      <c r="S7351" s="9"/>
      <c r="T7351" s="2"/>
      <c r="U7351" s="9"/>
    </row>
    <row r="7352" spans="2:21" x14ac:dyDescent="0.35">
      <c r="B7352" s="9"/>
      <c r="C7352" s="2"/>
      <c r="D7352" s="2"/>
      <c r="I7352" s="9"/>
      <c r="J7352" s="2"/>
      <c r="L7352" s="9"/>
      <c r="M7352" s="2"/>
      <c r="N7352" s="9"/>
      <c r="P7352" s="3">
        <v>910.07835161000003</v>
      </c>
      <c r="S7352" s="9"/>
      <c r="T7352" s="2"/>
      <c r="U7352" s="9"/>
    </row>
    <row r="7353" spans="2:21" x14ac:dyDescent="0.35">
      <c r="B7353" s="9"/>
      <c r="C7353" s="2"/>
      <c r="D7353" s="2"/>
      <c r="I7353" s="9"/>
      <c r="J7353" s="2"/>
      <c r="L7353" s="9"/>
      <c r="M7353" s="2"/>
      <c r="N7353" s="9"/>
      <c r="P7353" s="3">
        <v>938.09140161000005</v>
      </c>
      <c r="S7353" s="9"/>
      <c r="T7353" s="2"/>
      <c r="U7353" s="9"/>
    </row>
    <row r="7354" spans="2:21" x14ac:dyDescent="0.35">
      <c r="B7354" s="9"/>
      <c r="C7354" s="2"/>
      <c r="D7354" s="2"/>
      <c r="I7354" s="9"/>
      <c r="J7354" s="2"/>
      <c r="L7354" s="9"/>
      <c r="M7354" s="2"/>
      <c r="N7354" s="9"/>
      <c r="P7354" s="3">
        <v>950.64065160999996</v>
      </c>
      <c r="S7354" s="9"/>
      <c r="T7354" s="2"/>
      <c r="U7354" s="9"/>
    </row>
    <row r="7355" spans="2:21" x14ac:dyDescent="0.35">
      <c r="B7355" s="9"/>
      <c r="C7355" s="2"/>
      <c r="D7355" s="2"/>
      <c r="I7355" s="9"/>
      <c r="J7355" s="2"/>
      <c r="L7355" s="9"/>
      <c r="M7355" s="2"/>
      <c r="N7355" s="9"/>
      <c r="P7355" s="3">
        <v>961.72304161</v>
      </c>
      <c r="S7355" s="9"/>
      <c r="T7355" s="2"/>
      <c r="U7355" s="9"/>
    </row>
    <row r="7356" spans="2:21" x14ac:dyDescent="0.35">
      <c r="B7356" s="9"/>
      <c r="C7356" s="2"/>
      <c r="D7356" s="2"/>
      <c r="I7356" s="9"/>
      <c r="J7356" s="2"/>
      <c r="L7356" s="9"/>
      <c r="M7356" s="2"/>
      <c r="N7356" s="9"/>
      <c r="P7356" s="3">
        <v>964.51689161000002</v>
      </c>
      <c r="S7356" s="9"/>
      <c r="T7356" s="2"/>
      <c r="U7356" s="9"/>
    </row>
    <row r="7357" spans="2:21" x14ac:dyDescent="0.35">
      <c r="B7357" s="9"/>
      <c r="C7357" s="2"/>
      <c r="D7357" s="2"/>
      <c r="I7357" s="9"/>
      <c r="J7357" s="2"/>
      <c r="L7357" s="9"/>
      <c r="M7357" s="2"/>
      <c r="N7357" s="9"/>
      <c r="P7357" s="3">
        <v>976.96035160999998</v>
      </c>
      <c r="S7357" s="9"/>
      <c r="T7357" s="2"/>
      <c r="U7357" s="9"/>
    </row>
    <row r="7358" spans="2:21" x14ac:dyDescent="0.35">
      <c r="B7358" s="9"/>
      <c r="C7358" s="2"/>
      <c r="D7358" s="2"/>
      <c r="I7358" s="9"/>
      <c r="J7358" s="2"/>
      <c r="L7358" s="9"/>
      <c r="M7358" s="2"/>
      <c r="N7358" s="9"/>
      <c r="P7358" s="3">
        <v>798.27820161</v>
      </c>
      <c r="S7358" s="9"/>
      <c r="T7358" s="2"/>
      <c r="U7358" s="9"/>
    </row>
    <row r="7359" spans="2:21" x14ac:dyDescent="0.35">
      <c r="B7359" s="9"/>
      <c r="C7359" s="2"/>
      <c r="D7359" s="2"/>
      <c r="I7359" s="9"/>
      <c r="J7359" s="2"/>
      <c r="L7359" s="9"/>
      <c r="M7359" s="2"/>
      <c r="N7359" s="9"/>
      <c r="P7359" s="3">
        <v>363.51820161000001</v>
      </c>
      <c r="S7359" s="9"/>
      <c r="T7359" s="2"/>
      <c r="U7359" s="9"/>
    </row>
    <row r="7360" spans="2:21" x14ac:dyDescent="0.35">
      <c r="B7360" s="9"/>
      <c r="C7360" s="2"/>
      <c r="D7360" s="2"/>
      <c r="I7360" s="9"/>
      <c r="J7360" s="2"/>
      <c r="L7360" s="9"/>
      <c r="M7360" s="2"/>
      <c r="N7360" s="9"/>
      <c r="P7360" s="3">
        <v>-71.24179839</v>
      </c>
      <c r="S7360" s="9"/>
      <c r="T7360" s="2"/>
      <c r="U7360" s="9"/>
    </row>
    <row r="7361" spans="2:21" x14ac:dyDescent="0.35">
      <c r="B7361" s="9"/>
      <c r="C7361" s="2"/>
      <c r="D7361" s="2"/>
      <c r="I7361" s="9"/>
      <c r="J7361" s="2"/>
      <c r="L7361" s="9"/>
      <c r="M7361" s="2"/>
      <c r="N7361" s="9"/>
      <c r="P7361" s="3">
        <v>-506.00179838999998</v>
      </c>
      <c r="S7361" s="9"/>
      <c r="T7361" s="2"/>
      <c r="U7361" s="9"/>
    </row>
    <row r="7362" spans="2:21" x14ac:dyDescent="0.35">
      <c r="B7362" s="9"/>
      <c r="C7362" s="2"/>
      <c r="D7362" s="2"/>
      <c r="I7362" s="9"/>
      <c r="J7362" s="2"/>
      <c r="L7362" s="9"/>
      <c r="M7362" s="2"/>
      <c r="N7362" s="9"/>
      <c r="P7362" s="3">
        <v>-940.76179838999997</v>
      </c>
      <c r="S7362" s="9"/>
      <c r="T7362" s="2"/>
      <c r="U7362" s="9"/>
    </row>
    <row r="7363" spans="2:21" x14ac:dyDescent="0.35">
      <c r="B7363" s="9"/>
      <c r="C7363" s="2"/>
      <c r="D7363" s="2"/>
      <c r="I7363" s="9"/>
      <c r="J7363" s="2"/>
      <c r="L7363" s="9"/>
      <c r="M7363" s="2"/>
      <c r="N7363" s="9"/>
      <c r="P7363" s="3">
        <v>-1375.52179839</v>
      </c>
      <c r="S7363" s="9"/>
      <c r="T7363" s="2"/>
      <c r="U7363" s="9"/>
    </row>
    <row r="7364" spans="2:21" x14ac:dyDescent="0.35">
      <c r="B7364" s="9"/>
      <c r="C7364" s="2"/>
      <c r="D7364" s="2"/>
      <c r="I7364" s="9"/>
      <c r="J7364" s="2"/>
      <c r="L7364" s="9"/>
      <c r="M7364" s="2"/>
      <c r="N7364" s="9"/>
      <c r="P7364" s="3">
        <v>-941.27654839000002</v>
      </c>
      <c r="S7364" s="9"/>
      <c r="T7364" s="2"/>
      <c r="U7364" s="9"/>
    </row>
    <row r="7365" spans="2:21" x14ac:dyDescent="0.35">
      <c r="B7365" s="9"/>
      <c r="C7365" s="2"/>
      <c r="D7365" s="2"/>
      <c r="I7365" s="9"/>
      <c r="J7365" s="2"/>
      <c r="L7365" s="9"/>
      <c r="M7365" s="2"/>
      <c r="N7365" s="9"/>
      <c r="P7365" s="3">
        <v>-506.51654839000003</v>
      </c>
      <c r="S7365" s="9"/>
      <c r="T7365" s="2"/>
      <c r="U7365" s="9"/>
    </row>
    <row r="7366" spans="2:21" x14ac:dyDescent="0.35">
      <c r="B7366" s="9"/>
      <c r="C7366" s="2"/>
      <c r="D7366" s="2"/>
      <c r="I7366" s="9"/>
      <c r="J7366" s="2"/>
      <c r="L7366" s="9"/>
      <c r="M7366" s="2"/>
      <c r="N7366" s="9"/>
      <c r="P7366" s="3">
        <v>-71.756548390000006</v>
      </c>
      <c r="S7366" s="9"/>
      <c r="T7366" s="2"/>
      <c r="U7366" s="9"/>
    </row>
    <row r="7367" spans="2:21" x14ac:dyDescent="0.35">
      <c r="B7367" s="9"/>
      <c r="C7367" s="2"/>
      <c r="D7367" s="2"/>
      <c r="I7367" s="9"/>
      <c r="J7367" s="2"/>
      <c r="L7367" s="9"/>
      <c r="M7367" s="2"/>
      <c r="N7367" s="9"/>
      <c r="P7367" s="3">
        <v>363.00345161000001</v>
      </c>
      <c r="S7367" s="9"/>
      <c r="T7367" s="2"/>
      <c r="U7367" s="9"/>
    </row>
    <row r="7368" spans="2:21" x14ac:dyDescent="0.35">
      <c r="B7368" s="9"/>
      <c r="C7368" s="2"/>
      <c r="D7368" s="2"/>
      <c r="I7368" s="9"/>
      <c r="J7368" s="2"/>
      <c r="L7368" s="9"/>
      <c r="M7368" s="2"/>
      <c r="N7368" s="9"/>
      <c r="P7368" s="3">
        <v>797.76345160999995</v>
      </c>
      <c r="S7368" s="9"/>
      <c r="T7368" s="2"/>
      <c r="U7368" s="9"/>
    </row>
    <row r="7369" spans="2:21" x14ac:dyDescent="0.35">
      <c r="B7369" s="9"/>
      <c r="C7369" s="2"/>
      <c r="D7369" s="2"/>
      <c r="I7369" s="9"/>
      <c r="J7369" s="2"/>
      <c r="L7369" s="9"/>
      <c r="M7369" s="2"/>
      <c r="N7369" s="9"/>
      <c r="P7369" s="3">
        <v>846.80599160999998</v>
      </c>
      <c r="S7369" s="9"/>
      <c r="T7369" s="2"/>
      <c r="U7369" s="9"/>
    </row>
    <row r="7370" spans="2:21" x14ac:dyDescent="0.35">
      <c r="B7370" s="9"/>
      <c r="C7370" s="2"/>
      <c r="D7370" s="2"/>
      <c r="I7370" s="9"/>
      <c r="J7370" s="2"/>
      <c r="L7370" s="9"/>
      <c r="M7370" s="2"/>
      <c r="N7370" s="9"/>
      <c r="P7370" s="3">
        <v>805.61676161000003</v>
      </c>
      <c r="S7370" s="9"/>
      <c r="T7370" s="2"/>
      <c r="U7370" s="9"/>
    </row>
    <row r="7371" spans="2:21" x14ac:dyDescent="0.35">
      <c r="B7371" s="9"/>
      <c r="C7371" s="2"/>
      <c r="D7371" s="2"/>
      <c r="I7371" s="9"/>
      <c r="J7371" s="2"/>
      <c r="L7371" s="9"/>
      <c r="M7371" s="2"/>
      <c r="N7371" s="9"/>
      <c r="P7371" s="3">
        <v>652.00116161000005</v>
      </c>
      <c r="S7371" s="9"/>
      <c r="T7371" s="2"/>
      <c r="U7371" s="9"/>
    </row>
    <row r="7372" spans="2:21" x14ac:dyDescent="0.35">
      <c r="B7372" s="9"/>
      <c r="C7372" s="2"/>
      <c r="D7372" s="2"/>
      <c r="I7372" s="9"/>
      <c r="J7372" s="2"/>
      <c r="L7372" s="9"/>
      <c r="M7372" s="2"/>
      <c r="N7372" s="9"/>
      <c r="P7372" s="3">
        <v>513.16847160999998</v>
      </c>
      <c r="S7372" s="9"/>
      <c r="T7372" s="2"/>
      <c r="U7372" s="9"/>
    </row>
    <row r="7373" spans="2:21" x14ac:dyDescent="0.35">
      <c r="B7373" s="9"/>
      <c r="C7373" s="2"/>
      <c r="D7373" s="2"/>
      <c r="I7373" s="9"/>
      <c r="J7373" s="2"/>
      <c r="L7373" s="9"/>
      <c r="M7373" s="2"/>
      <c r="N7373" s="9"/>
      <c r="P7373" s="3">
        <v>277.27452161000002</v>
      </c>
      <c r="S7373" s="9"/>
      <c r="T7373" s="2"/>
      <c r="U7373" s="9"/>
    </row>
    <row r="7374" spans="2:21" x14ac:dyDescent="0.35">
      <c r="B7374" s="9"/>
      <c r="C7374" s="2"/>
      <c r="D7374" s="2"/>
      <c r="I7374" s="9"/>
      <c r="J7374" s="2"/>
      <c r="L7374" s="9"/>
      <c r="M7374" s="2"/>
      <c r="N7374" s="9"/>
      <c r="P7374" s="3">
        <v>158.19829161000001</v>
      </c>
      <c r="S7374" s="9"/>
      <c r="T7374" s="2"/>
      <c r="U7374" s="9"/>
    </row>
    <row r="7375" spans="2:21" x14ac:dyDescent="0.35">
      <c r="B7375" s="9"/>
      <c r="C7375" s="2"/>
      <c r="D7375" s="2"/>
      <c r="I7375" s="9"/>
      <c r="J7375" s="2"/>
      <c r="L7375" s="9"/>
      <c r="M7375" s="2"/>
      <c r="N7375" s="9"/>
      <c r="P7375" s="3">
        <v>31.948931609999999</v>
      </c>
      <c r="S7375" s="9"/>
      <c r="T7375" s="2"/>
      <c r="U7375" s="9"/>
    </row>
    <row r="7376" spans="2:21" x14ac:dyDescent="0.35">
      <c r="B7376" s="9"/>
      <c r="C7376" s="2"/>
      <c r="D7376" s="2"/>
      <c r="I7376" s="9"/>
      <c r="J7376" s="2"/>
      <c r="L7376" s="9"/>
      <c r="M7376" s="2"/>
      <c r="N7376" s="9"/>
      <c r="P7376" s="3">
        <v>-12.40263839</v>
      </c>
      <c r="S7376" s="9"/>
      <c r="T7376" s="2"/>
      <c r="U7376" s="9"/>
    </row>
    <row r="7377" spans="2:21" x14ac:dyDescent="0.35">
      <c r="B7377" s="9"/>
      <c r="C7377" s="2"/>
      <c r="D7377" s="2"/>
      <c r="I7377" s="9"/>
      <c r="J7377" s="2"/>
      <c r="L7377" s="9"/>
      <c r="M7377" s="2"/>
      <c r="N7377" s="9"/>
      <c r="P7377" s="3">
        <v>16.152851609999999</v>
      </c>
      <c r="S7377" s="9"/>
      <c r="T7377" s="2"/>
      <c r="U7377" s="9"/>
    </row>
    <row r="7378" spans="2:21" x14ac:dyDescent="0.35">
      <c r="B7378" s="9"/>
      <c r="C7378" s="2"/>
      <c r="D7378" s="2"/>
      <c r="I7378" s="9"/>
      <c r="J7378" s="2"/>
      <c r="L7378" s="9"/>
      <c r="M7378" s="2"/>
      <c r="N7378" s="9"/>
      <c r="P7378" s="3">
        <v>98.200451610000002</v>
      </c>
      <c r="S7378" s="9"/>
      <c r="T7378" s="2"/>
      <c r="U7378" s="9"/>
    </row>
    <row r="7379" spans="2:21" x14ac:dyDescent="0.35">
      <c r="B7379" s="9"/>
      <c r="C7379" s="2"/>
      <c r="D7379" s="2"/>
      <c r="I7379" s="9"/>
      <c r="J7379" s="2"/>
      <c r="L7379" s="9"/>
      <c r="M7379" s="2"/>
      <c r="N7379" s="9"/>
      <c r="P7379" s="3">
        <v>215.95253160999999</v>
      </c>
      <c r="S7379" s="9"/>
      <c r="T7379" s="2"/>
      <c r="U7379" s="9"/>
    </row>
    <row r="7380" spans="2:21" x14ac:dyDescent="0.35">
      <c r="B7380" s="9"/>
      <c r="C7380" s="2"/>
      <c r="D7380" s="2"/>
      <c r="I7380" s="9"/>
      <c r="J7380" s="2"/>
      <c r="L7380" s="9"/>
      <c r="M7380" s="2"/>
      <c r="N7380" s="9"/>
      <c r="P7380" s="3">
        <v>344.14516161</v>
      </c>
      <c r="S7380" s="9"/>
      <c r="T7380" s="2"/>
      <c r="U7380" s="9"/>
    </row>
    <row r="7381" spans="2:21" x14ac:dyDescent="0.35">
      <c r="B7381" s="9"/>
      <c r="C7381" s="2"/>
      <c r="D7381" s="2"/>
      <c r="I7381" s="9"/>
      <c r="J7381" s="2"/>
      <c r="L7381" s="9"/>
      <c r="M7381" s="2"/>
      <c r="N7381" s="9"/>
      <c r="P7381" s="3">
        <v>366.78422160999997</v>
      </c>
      <c r="S7381" s="9"/>
      <c r="T7381" s="2"/>
      <c r="U7381" s="9"/>
    </row>
    <row r="7382" spans="2:21" x14ac:dyDescent="0.35">
      <c r="B7382" s="9"/>
      <c r="C7382" s="2"/>
      <c r="D7382" s="2"/>
      <c r="I7382" s="9"/>
      <c r="J7382" s="2"/>
      <c r="L7382" s="9"/>
      <c r="M7382" s="2"/>
      <c r="N7382" s="9"/>
      <c r="P7382" s="3">
        <v>135.92630161</v>
      </c>
      <c r="S7382" s="9"/>
      <c r="T7382" s="2"/>
      <c r="U7382" s="9"/>
    </row>
    <row r="7383" spans="2:21" x14ac:dyDescent="0.35">
      <c r="B7383" s="9"/>
      <c r="C7383" s="2"/>
      <c r="D7383" s="2"/>
      <c r="I7383" s="9"/>
      <c r="J7383" s="2"/>
      <c r="L7383" s="9"/>
      <c r="M7383" s="2"/>
      <c r="N7383" s="9"/>
      <c r="P7383" s="3">
        <v>-298.83369839</v>
      </c>
      <c r="S7383" s="9"/>
      <c r="T7383" s="2"/>
      <c r="U7383" s="9"/>
    </row>
    <row r="7384" spans="2:21" x14ac:dyDescent="0.35">
      <c r="B7384" s="9"/>
      <c r="C7384" s="2"/>
      <c r="D7384" s="2"/>
      <c r="I7384" s="9"/>
      <c r="J7384" s="2"/>
      <c r="L7384" s="9"/>
      <c r="M7384" s="2"/>
      <c r="N7384" s="9"/>
      <c r="P7384" s="3">
        <v>-733.59369838999999</v>
      </c>
      <c r="S7384" s="9"/>
      <c r="T7384" s="2"/>
      <c r="U7384" s="9"/>
    </row>
    <row r="7385" spans="2:21" x14ac:dyDescent="0.35">
      <c r="B7385" s="9"/>
      <c r="C7385" s="2"/>
      <c r="D7385" s="2"/>
      <c r="I7385" s="9"/>
      <c r="J7385" s="2"/>
      <c r="L7385" s="9"/>
      <c r="M7385" s="2"/>
      <c r="N7385" s="9"/>
      <c r="P7385" s="3">
        <v>-1168.3536983900001</v>
      </c>
      <c r="S7385" s="9"/>
      <c r="T7385" s="2"/>
      <c r="U7385" s="9"/>
    </row>
    <row r="7386" spans="2:21" x14ac:dyDescent="0.35">
      <c r="B7386" s="9"/>
      <c r="C7386" s="2"/>
      <c r="D7386" s="2"/>
      <c r="I7386" s="9"/>
      <c r="J7386" s="2"/>
      <c r="L7386" s="9"/>
      <c r="M7386" s="2"/>
      <c r="N7386" s="9"/>
      <c r="P7386" s="3">
        <v>-1603.1136983900001</v>
      </c>
      <c r="S7386" s="9"/>
      <c r="T7386" s="2"/>
      <c r="U7386" s="9"/>
    </row>
    <row r="7387" spans="2:21" x14ac:dyDescent="0.35">
      <c r="B7387" s="9"/>
      <c r="C7387" s="2"/>
      <c r="D7387" s="2"/>
      <c r="I7387" s="9"/>
      <c r="J7387" s="2"/>
      <c r="L7387" s="9"/>
      <c r="M7387" s="2"/>
      <c r="N7387" s="9"/>
      <c r="P7387" s="3">
        <v>-2037.8736983900001</v>
      </c>
      <c r="S7387" s="9"/>
      <c r="T7387" s="2"/>
      <c r="U7387" s="9"/>
    </row>
    <row r="7388" spans="2:21" x14ac:dyDescent="0.35">
      <c r="B7388" s="9"/>
      <c r="C7388" s="2"/>
      <c r="D7388" s="2"/>
      <c r="I7388" s="9"/>
      <c r="J7388" s="2"/>
      <c r="L7388" s="9"/>
      <c r="M7388" s="2"/>
      <c r="N7388" s="9"/>
      <c r="P7388" s="3">
        <v>-2057.8672783900001</v>
      </c>
      <c r="S7388" s="9"/>
      <c r="T7388" s="2"/>
      <c r="U7388" s="9"/>
    </row>
    <row r="7389" spans="2:21" x14ac:dyDescent="0.35">
      <c r="B7389" s="9"/>
      <c r="C7389" s="2"/>
      <c r="D7389" s="2"/>
      <c r="I7389" s="9"/>
      <c r="J7389" s="2"/>
      <c r="L7389" s="9"/>
      <c r="M7389" s="2"/>
      <c r="N7389" s="9"/>
      <c r="P7389" s="3">
        <v>-1623.1072783899999</v>
      </c>
      <c r="S7389" s="9"/>
      <c r="T7389" s="2"/>
      <c r="U7389" s="9"/>
    </row>
    <row r="7390" spans="2:21" x14ac:dyDescent="0.35">
      <c r="B7390" s="9"/>
      <c r="C7390" s="2"/>
      <c r="D7390" s="2"/>
      <c r="I7390" s="9"/>
      <c r="J7390" s="2"/>
      <c r="L7390" s="9"/>
      <c r="M7390" s="2"/>
      <c r="N7390" s="9"/>
      <c r="P7390" s="3">
        <v>-1188.3472783899999</v>
      </c>
      <c r="S7390" s="9"/>
      <c r="T7390" s="2"/>
      <c r="U7390" s="9"/>
    </row>
    <row r="7391" spans="2:21" x14ac:dyDescent="0.35">
      <c r="B7391" s="9"/>
      <c r="C7391" s="2"/>
      <c r="D7391" s="2"/>
      <c r="I7391" s="9"/>
      <c r="J7391" s="2"/>
      <c r="L7391" s="9"/>
      <c r="M7391" s="2"/>
      <c r="N7391" s="9"/>
      <c r="P7391" s="3">
        <v>-753.58727839000005</v>
      </c>
      <c r="S7391" s="9"/>
      <c r="T7391" s="2"/>
      <c r="U7391" s="9"/>
    </row>
    <row r="7392" spans="2:21" x14ac:dyDescent="0.35">
      <c r="B7392" s="9"/>
      <c r="C7392" s="2"/>
      <c r="D7392" s="2"/>
      <c r="I7392" s="9"/>
      <c r="J7392" s="2"/>
      <c r="L7392" s="9"/>
      <c r="M7392" s="2"/>
      <c r="N7392" s="9"/>
      <c r="P7392" s="3">
        <v>-318.82727839</v>
      </c>
      <c r="S7392" s="9"/>
      <c r="T7392" s="2"/>
      <c r="U7392" s="9"/>
    </row>
    <row r="7393" spans="2:21" x14ac:dyDescent="0.35">
      <c r="B7393" s="9"/>
      <c r="C7393" s="2"/>
      <c r="D7393" s="2"/>
      <c r="I7393" s="9"/>
      <c r="J7393" s="2"/>
      <c r="L7393" s="9"/>
      <c r="M7393" s="2"/>
      <c r="N7393" s="9"/>
      <c r="P7393" s="3">
        <v>-246.62453839</v>
      </c>
      <c r="S7393" s="9"/>
      <c r="T7393" s="2"/>
      <c r="U7393" s="9"/>
    </row>
    <row r="7394" spans="2:21" x14ac:dyDescent="0.35">
      <c r="B7394" s="9"/>
      <c r="C7394" s="2"/>
      <c r="D7394" s="2"/>
      <c r="I7394" s="9"/>
      <c r="J7394" s="2"/>
      <c r="L7394" s="9"/>
      <c r="M7394" s="2"/>
      <c r="N7394" s="9"/>
      <c r="P7394" s="3">
        <v>-285.71642838999998</v>
      </c>
      <c r="S7394" s="9"/>
      <c r="T7394" s="2"/>
      <c r="U7394" s="9"/>
    </row>
    <row r="7395" spans="2:21" x14ac:dyDescent="0.35">
      <c r="B7395" s="9"/>
      <c r="C7395" s="2"/>
      <c r="D7395" s="2"/>
      <c r="I7395" s="9"/>
      <c r="J7395" s="2"/>
      <c r="L7395" s="9"/>
      <c r="M7395" s="2"/>
      <c r="N7395" s="9"/>
      <c r="P7395" s="3">
        <v>-337.86450839000003</v>
      </c>
      <c r="S7395" s="9"/>
      <c r="T7395" s="2"/>
      <c r="U7395" s="9"/>
    </row>
    <row r="7396" spans="2:21" x14ac:dyDescent="0.35">
      <c r="B7396" s="9"/>
      <c r="C7396" s="2"/>
      <c r="D7396" s="2"/>
      <c r="I7396" s="9"/>
      <c r="J7396" s="2"/>
      <c r="L7396" s="9"/>
      <c r="M7396" s="2"/>
      <c r="N7396" s="9"/>
      <c r="P7396" s="3">
        <v>-366.78848839</v>
      </c>
      <c r="S7396" s="9"/>
      <c r="T7396" s="2"/>
      <c r="U7396" s="9"/>
    </row>
    <row r="7397" spans="2:21" x14ac:dyDescent="0.35">
      <c r="B7397" s="9"/>
      <c r="C7397" s="2"/>
      <c r="D7397" s="2"/>
      <c r="I7397" s="9"/>
      <c r="J7397" s="2"/>
      <c r="L7397" s="9"/>
      <c r="M7397" s="2"/>
      <c r="N7397" s="9"/>
      <c r="P7397" s="3">
        <v>-524.47664839000004</v>
      </c>
      <c r="S7397" s="9"/>
      <c r="T7397" s="2"/>
      <c r="U7397" s="9"/>
    </row>
    <row r="7398" spans="2:21" x14ac:dyDescent="0.35">
      <c r="B7398" s="9"/>
      <c r="C7398" s="2"/>
      <c r="D7398" s="2"/>
      <c r="I7398" s="9"/>
      <c r="J7398" s="2"/>
      <c r="L7398" s="9"/>
      <c r="M7398" s="2"/>
      <c r="N7398" s="9"/>
      <c r="P7398" s="3">
        <v>-959.23664839000003</v>
      </c>
      <c r="S7398" s="9"/>
      <c r="T7398" s="2"/>
      <c r="U7398" s="9"/>
    </row>
    <row r="7399" spans="2:21" x14ac:dyDescent="0.35">
      <c r="B7399" s="9"/>
      <c r="C7399" s="2"/>
      <c r="D7399" s="2"/>
      <c r="I7399" s="9"/>
      <c r="J7399" s="2"/>
      <c r="L7399" s="9"/>
      <c r="M7399" s="2"/>
      <c r="N7399" s="9"/>
      <c r="P7399" s="3">
        <v>-1138.74412886</v>
      </c>
      <c r="S7399" s="9"/>
      <c r="T7399" s="2"/>
      <c r="U7399" s="9"/>
    </row>
    <row r="7400" spans="2:21" x14ac:dyDescent="0.35">
      <c r="B7400" s="9"/>
      <c r="C7400" s="2"/>
      <c r="D7400" s="2"/>
      <c r="I7400" s="9"/>
      <c r="J7400" s="2"/>
      <c r="L7400" s="9"/>
      <c r="M7400" s="2"/>
      <c r="N7400" s="9"/>
      <c r="P7400" s="3">
        <v>-1280.0845388600001</v>
      </c>
      <c r="S7400" s="9"/>
      <c r="T7400" s="2"/>
      <c r="U7400" s="9"/>
    </row>
    <row r="7401" spans="2:21" x14ac:dyDescent="0.35">
      <c r="B7401" s="9"/>
      <c r="C7401" s="2"/>
      <c r="D7401" s="2"/>
      <c r="I7401" s="9"/>
      <c r="J7401" s="2"/>
      <c r="L7401" s="9"/>
      <c r="M7401" s="2"/>
      <c r="N7401" s="9"/>
      <c r="P7401" s="3">
        <v>-1398.22001886</v>
      </c>
      <c r="S7401" s="9"/>
      <c r="T7401" s="2"/>
      <c r="U7401" s="9"/>
    </row>
    <row r="7402" spans="2:21" x14ac:dyDescent="0.35">
      <c r="B7402" s="9"/>
      <c r="C7402" s="2"/>
      <c r="D7402" s="2"/>
      <c r="I7402" s="9"/>
      <c r="J7402" s="2"/>
      <c r="L7402" s="9"/>
      <c r="M7402" s="2"/>
      <c r="N7402" s="9"/>
      <c r="P7402" s="3">
        <v>-1524.44594886</v>
      </c>
      <c r="S7402" s="9"/>
      <c r="T7402" s="2"/>
      <c r="U7402" s="9"/>
    </row>
    <row r="7403" spans="2:21" x14ac:dyDescent="0.35">
      <c r="B7403" s="9"/>
      <c r="C7403" s="2"/>
      <c r="D7403" s="2"/>
      <c r="I7403" s="9"/>
      <c r="J7403" s="2"/>
      <c r="L7403" s="9"/>
      <c r="M7403" s="2"/>
      <c r="N7403" s="9"/>
      <c r="P7403" s="3">
        <v>-1488.8622623799999</v>
      </c>
      <c r="S7403" s="9"/>
      <c r="T7403" s="2"/>
      <c r="U7403" s="9"/>
    </row>
    <row r="7404" spans="2:21" x14ac:dyDescent="0.35">
      <c r="B7404" s="9"/>
      <c r="C7404" s="2"/>
      <c r="D7404" s="2"/>
      <c r="I7404" s="9"/>
      <c r="J7404" s="2"/>
      <c r="L7404" s="9"/>
      <c r="M7404" s="2"/>
      <c r="N7404" s="9"/>
      <c r="P7404" s="3">
        <v>-1502.8124359000001</v>
      </c>
      <c r="S7404" s="9"/>
      <c r="T7404" s="2"/>
      <c r="U7404" s="9"/>
    </row>
    <row r="7405" spans="2:21" x14ac:dyDescent="0.35">
      <c r="B7405" s="9"/>
      <c r="C7405" s="2"/>
      <c r="D7405" s="2"/>
      <c r="I7405" s="9"/>
      <c r="J7405" s="2"/>
      <c r="L7405" s="9"/>
      <c r="M7405" s="2"/>
      <c r="N7405" s="9"/>
      <c r="P7405" s="3">
        <v>-1624.15466345</v>
      </c>
      <c r="S7405" s="9"/>
      <c r="T7405" s="2"/>
      <c r="U7405" s="9"/>
    </row>
    <row r="7406" spans="2:21" x14ac:dyDescent="0.35">
      <c r="B7406" s="9"/>
      <c r="C7406" s="2"/>
      <c r="D7406" s="2"/>
      <c r="I7406" s="9"/>
      <c r="J7406" s="2"/>
      <c r="L7406" s="9"/>
      <c r="M7406" s="2"/>
      <c r="N7406" s="9"/>
      <c r="P7406" s="3">
        <v>-1885.8131869700001</v>
      </c>
      <c r="S7406" s="9"/>
      <c r="T7406" s="2"/>
      <c r="U7406" s="9"/>
    </row>
    <row r="7407" spans="2:21" x14ac:dyDescent="0.35">
      <c r="B7407" s="9"/>
      <c r="C7407" s="2"/>
      <c r="D7407" s="2"/>
      <c r="I7407" s="9"/>
      <c r="J7407" s="2"/>
      <c r="L7407" s="9"/>
      <c r="M7407" s="2"/>
      <c r="N7407" s="9"/>
      <c r="P7407" s="3">
        <v>-2320.5731869699998</v>
      </c>
      <c r="S7407" s="9"/>
      <c r="T7407" s="2"/>
      <c r="U7407" s="9"/>
    </row>
    <row r="7408" spans="2:21" x14ac:dyDescent="0.35">
      <c r="B7408" s="9"/>
      <c r="C7408" s="2"/>
      <c r="D7408" s="2"/>
      <c r="I7408" s="9"/>
      <c r="J7408" s="2"/>
      <c r="L7408" s="9"/>
      <c r="M7408" s="2"/>
      <c r="N7408" s="9"/>
      <c r="P7408" s="3">
        <v>-2755.33318697</v>
      </c>
      <c r="S7408" s="9"/>
      <c r="T7408" s="2"/>
      <c r="U7408" s="9"/>
    </row>
    <row r="7409" spans="2:21" x14ac:dyDescent="0.35">
      <c r="B7409" s="9"/>
      <c r="C7409" s="2"/>
      <c r="D7409" s="2"/>
      <c r="I7409" s="9"/>
      <c r="J7409" s="2"/>
      <c r="L7409" s="9"/>
      <c r="M7409" s="2"/>
      <c r="N7409" s="9"/>
      <c r="P7409" s="3">
        <v>-2320.5731869699998</v>
      </c>
      <c r="S7409" s="9"/>
      <c r="T7409" s="2"/>
      <c r="U7409" s="9"/>
    </row>
    <row r="7410" spans="2:21" x14ac:dyDescent="0.35">
      <c r="B7410" s="9"/>
      <c r="C7410" s="2"/>
      <c r="D7410" s="2"/>
      <c r="I7410" s="9"/>
      <c r="J7410" s="2"/>
      <c r="L7410" s="9"/>
      <c r="M7410" s="2"/>
      <c r="N7410" s="9"/>
      <c r="P7410" s="3">
        <v>-1885.8131869700001</v>
      </c>
      <c r="S7410" s="9"/>
      <c r="T7410" s="2"/>
      <c r="U7410" s="9"/>
    </row>
    <row r="7411" spans="2:21" x14ac:dyDescent="0.35">
      <c r="B7411" s="9"/>
      <c r="C7411" s="2"/>
      <c r="D7411" s="2"/>
      <c r="I7411" s="9"/>
      <c r="J7411" s="2"/>
      <c r="L7411" s="9"/>
      <c r="M7411" s="2"/>
      <c r="N7411" s="9"/>
      <c r="P7411" s="3">
        <v>-1561.1397577299999</v>
      </c>
      <c r="S7411" s="9"/>
      <c r="T7411" s="2"/>
      <c r="U7411" s="9"/>
    </row>
    <row r="7412" spans="2:21" x14ac:dyDescent="0.35">
      <c r="B7412" s="9"/>
      <c r="C7412" s="2"/>
      <c r="D7412" s="2"/>
      <c r="I7412" s="9"/>
      <c r="J7412" s="2"/>
      <c r="L7412" s="9"/>
      <c r="M7412" s="2"/>
      <c r="N7412" s="9"/>
      <c r="P7412" s="3">
        <v>-1995.8997577299999</v>
      </c>
      <c r="S7412" s="9"/>
      <c r="T7412" s="2"/>
      <c r="U7412" s="9"/>
    </row>
    <row r="7413" spans="2:21" x14ac:dyDescent="0.35">
      <c r="B7413" s="9"/>
      <c r="C7413" s="2"/>
      <c r="D7413" s="2"/>
      <c r="I7413" s="9"/>
      <c r="J7413" s="2"/>
      <c r="L7413" s="9"/>
      <c r="M7413" s="2"/>
      <c r="N7413" s="9"/>
      <c r="P7413" s="3">
        <v>-2430.6597577299999</v>
      </c>
      <c r="S7413" s="9"/>
      <c r="T7413" s="2"/>
      <c r="U7413" s="9"/>
    </row>
    <row r="7414" spans="2:21" x14ac:dyDescent="0.35">
      <c r="B7414" s="9"/>
      <c r="C7414" s="2"/>
      <c r="D7414" s="2"/>
      <c r="I7414" s="9"/>
      <c r="J7414" s="2"/>
      <c r="L7414" s="9"/>
      <c r="M7414" s="2"/>
      <c r="N7414" s="9"/>
      <c r="P7414" s="3">
        <v>-1995.8997577299999</v>
      </c>
      <c r="S7414" s="9"/>
      <c r="T7414" s="2"/>
      <c r="U7414" s="9"/>
    </row>
    <row r="7415" spans="2:21" x14ac:dyDescent="0.35">
      <c r="B7415" s="9"/>
      <c r="C7415" s="2"/>
      <c r="D7415" s="2"/>
      <c r="I7415" s="9"/>
      <c r="J7415" s="2"/>
      <c r="L7415" s="9"/>
      <c r="M7415" s="2"/>
      <c r="N7415" s="9"/>
      <c r="P7415" s="3">
        <v>-1561.1397577299999</v>
      </c>
      <c r="S7415" s="9"/>
      <c r="T7415" s="2"/>
      <c r="U7415" s="9"/>
    </row>
    <row r="7416" spans="2:21" x14ac:dyDescent="0.35">
      <c r="B7416" s="9"/>
      <c r="C7416" s="2"/>
      <c r="D7416" s="2"/>
      <c r="I7416" s="9"/>
      <c r="J7416" s="2"/>
      <c r="L7416" s="9"/>
      <c r="M7416" s="2"/>
      <c r="N7416" s="9"/>
      <c r="P7416" s="3">
        <v>-1126.3797577299999</v>
      </c>
      <c r="S7416" s="9"/>
      <c r="T7416" s="2"/>
      <c r="U7416" s="9"/>
    </row>
    <row r="7417" spans="2:21" x14ac:dyDescent="0.35">
      <c r="B7417" s="9"/>
      <c r="C7417" s="2"/>
      <c r="D7417" s="2"/>
      <c r="I7417" s="9"/>
      <c r="J7417" s="2"/>
      <c r="L7417" s="9"/>
      <c r="M7417" s="2"/>
      <c r="N7417" s="9"/>
      <c r="P7417" s="3">
        <v>-691.61975772999995</v>
      </c>
      <c r="S7417" s="9"/>
      <c r="T7417" s="2"/>
      <c r="U7417" s="9"/>
    </row>
    <row r="7418" spans="2:21" x14ac:dyDescent="0.35">
      <c r="B7418" s="9"/>
      <c r="C7418" s="2"/>
      <c r="D7418" s="2"/>
      <c r="I7418" s="9"/>
      <c r="J7418" s="2"/>
      <c r="L7418" s="9"/>
      <c r="M7418" s="2"/>
      <c r="N7418" s="9"/>
      <c r="P7418" s="3">
        <v>-311.02161823</v>
      </c>
      <c r="S7418" s="9"/>
      <c r="T7418" s="2"/>
      <c r="U7418" s="9"/>
    </row>
    <row r="7419" spans="2:21" x14ac:dyDescent="0.35">
      <c r="B7419" s="9"/>
      <c r="C7419" s="2"/>
      <c r="D7419" s="2"/>
      <c r="I7419" s="9"/>
      <c r="J7419" s="2"/>
      <c r="L7419" s="9"/>
      <c r="M7419" s="2"/>
      <c r="N7419" s="9"/>
      <c r="P7419" s="3">
        <v>-394.43256860000002</v>
      </c>
      <c r="S7419" s="9"/>
      <c r="T7419" s="2"/>
      <c r="U7419" s="9"/>
    </row>
    <row r="7420" spans="2:21" x14ac:dyDescent="0.35">
      <c r="B7420" s="9"/>
      <c r="C7420" s="2"/>
      <c r="D7420" s="2"/>
      <c r="I7420" s="9"/>
      <c r="J7420" s="2"/>
      <c r="L7420" s="9"/>
      <c r="M7420" s="2"/>
      <c r="N7420" s="9"/>
      <c r="P7420" s="3">
        <v>-713.57837886000004</v>
      </c>
      <c r="S7420" s="9"/>
      <c r="T7420" s="2"/>
      <c r="U7420" s="9"/>
    </row>
    <row r="7421" spans="2:21" x14ac:dyDescent="0.35">
      <c r="B7421" s="9"/>
      <c r="C7421" s="2"/>
      <c r="D7421" s="2"/>
      <c r="I7421" s="9"/>
      <c r="J7421" s="2"/>
      <c r="L7421" s="9"/>
      <c r="M7421" s="2"/>
      <c r="N7421" s="9"/>
      <c r="P7421" s="3">
        <v>-1148.3383788599999</v>
      </c>
      <c r="S7421" s="9"/>
      <c r="T7421" s="2"/>
      <c r="U7421" s="9"/>
    </row>
    <row r="7422" spans="2:21" x14ac:dyDescent="0.35">
      <c r="B7422" s="9"/>
      <c r="C7422" s="2"/>
      <c r="D7422" s="2"/>
      <c r="I7422" s="9"/>
      <c r="J7422" s="2"/>
      <c r="L7422" s="9"/>
      <c r="M7422" s="2"/>
      <c r="N7422" s="9"/>
      <c r="P7422" s="3">
        <v>-1583.0983788599999</v>
      </c>
      <c r="S7422" s="9"/>
      <c r="T7422" s="2"/>
      <c r="U7422" s="9"/>
    </row>
    <row r="7423" spans="2:21" x14ac:dyDescent="0.35">
      <c r="B7423" s="9"/>
      <c r="C7423" s="2"/>
      <c r="D7423" s="2"/>
      <c r="I7423" s="9"/>
      <c r="J7423" s="2"/>
      <c r="L7423" s="9"/>
      <c r="M7423" s="2"/>
      <c r="N7423" s="9"/>
      <c r="P7423" s="3">
        <v>-2017.8583788599999</v>
      </c>
      <c r="S7423" s="9"/>
      <c r="T7423" s="2"/>
      <c r="U7423" s="9"/>
    </row>
    <row r="7424" spans="2:21" x14ac:dyDescent="0.35">
      <c r="B7424" s="9"/>
      <c r="C7424" s="2"/>
      <c r="D7424" s="2"/>
      <c r="I7424" s="9"/>
      <c r="J7424" s="2"/>
      <c r="L7424" s="9"/>
      <c r="M7424" s="2"/>
      <c r="N7424" s="9"/>
      <c r="P7424" s="3">
        <v>-2452.6183788600001</v>
      </c>
      <c r="S7424" s="9"/>
      <c r="T7424" s="2"/>
      <c r="U7424" s="9"/>
    </row>
    <row r="7425" spans="2:21" x14ac:dyDescent="0.35">
      <c r="B7425" s="9"/>
      <c r="C7425" s="2"/>
      <c r="D7425" s="2"/>
      <c r="I7425" s="9"/>
      <c r="J7425" s="2"/>
      <c r="L7425" s="9"/>
      <c r="M7425" s="2"/>
      <c r="N7425" s="9"/>
      <c r="P7425" s="3">
        <v>-2860.169492</v>
      </c>
      <c r="S7425" s="9"/>
      <c r="T7425" s="2"/>
      <c r="U7425" s="9"/>
    </row>
    <row r="7426" spans="2:21" x14ac:dyDescent="0.35">
      <c r="B7426" s="9"/>
      <c r="C7426" s="2"/>
      <c r="D7426" s="2"/>
      <c r="I7426" s="9"/>
      <c r="J7426" s="2"/>
      <c r="L7426" s="9"/>
      <c r="M7426" s="2"/>
      <c r="N7426" s="9"/>
      <c r="P7426" s="3">
        <v>-2860.169492</v>
      </c>
      <c r="S7426" s="9"/>
      <c r="T7426" s="2"/>
      <c r="U7426" s="9"/>
    </row>
    <row r="7427" spans="2:21" x14ac:dyDescent="0.35">
      <c r="B7427" s="9"/>
      <c r="C7427" s="2"/>
      <c r="D7427" s="2"/>
      <c r="I7427" s="9"/>
      <c r="J7427" s="2"/>
      <c r="L7427" s="9"/>
      <c r="M7427" s="2"/>
      <c r="N7427" s="9"/>
      <c r="P7427" s="3">
        <v>-2860.169492</v>
      </c>
      <c r="S7427" s="9"/>
      <c r="T7427" s="2"/>
      <c r="U7427" s="9"/>
    </row>
    <row r="7428" spans="2:21" x14ac:dyDescent="0.35">
      <c r="B7428" s="9"/>
      <c r="C7428" s="2"/>
      <c r="D7428" s="2"/>
      <c r="I7428" s="9"/>
      <c r="J7428" s="2"/>
      <c r="L7428" s="9"/>
      <c r="M7428" s="2"/>
      <c r="N7428" s="9"/>
      <c r="P7428" s="3">
        <v>-2860.169492</v>
      </c>
      <c r="S7428" s="9"/>
      <c r="T7428" s="2"/>
      <c r="U7428" s="9"/>
    </row>
    <row r="7429" spans="2:21" x14ac:dyDescent="0.35">
      <c r="B7429" s="9"/>
      <c r="C7429" s="2"/>
      <c r="D7429" s="2"/>
      <c r="I7429" s="9"/>
      <c r="J7429" s="2"/>
      <c r="L7429" s="9"/>
      <c r="M7429" s="2"/>
      <c r="N7429" s="9"/>
      <c r="P7429" s="3">
        <v>-2860.169492</v>
      </c>
      <c r="S7429" s="9"/>
      <c r="T7429" s="2"/>
      <c r="U7429" s="9"/>
    </row>
    <row r="7430" spans="2:21" x14ac:dyDescent="0.35">
      <c r="B7430" s="9"/>
      <c r="C7430" s="2"/>
      <c r="D7430" s="2"/>
      <c r="I7430" s="9"/>
      <c r="J7430" s="2"/>
      <c r="L7430" s="9"/>
      <c r="M7430" s="2"/>
      <c r="N7430" s="9"/>
      <c r="P7430" s="3">
        <v>-2860.169492</v>
      </c>
      <c r="S7430" s="9"/>
      <c r="T7430" s="2"/>
      <c r="U7430" s="9"/>
    </row>
    <row r="7431" spans="2:21" x14ac:dyDescent="0.35">
      <c r="B7431" s="9"/>
      <c r="C7431" s="2"/>
      <c r="D7431" s="2"/>
      <c r="I7431" s="9"/>
      <c r="J7431" s="2"/>
      <c r="L7431" s="9"/>
      <c r="M7431" s="2"/>
      <c r="N7431" s="9"/>
      <c r="P7431" s="3">
        <v>-2860.169492</v>
      </c>
      <c r="S7431" s="9"/>
      <c r="T7431" s="2"/>
      <c r="U7431" s="9"/>
    </row>
    <row r="7432" spans="2:21" x14ac:dyDescent="0.35">
      <c r="B7432" s="9"/>
      <c r="C7432" s="2"/>
      <c r="D7432" s="2"/>
      <c r="I7432" s="9"/>
      <c r="J7432" s="2"/>
      <c r="L7432" s="9"/>
      <c r="M7432" s="2"/>
      <c r="N7432" s="9"/>
      <c r="P7432" s="3">
        <v>-2860.169492</v>
      </c>
      <c r="S7432" s="9"/>
      <c r="T7432" s="2"/>
      <c r="U7432" s="9"/>
    </row>
    <row r="7433" spans="2:21" x14ac:dyDescent="0.35">
      <c r="B7433" s="9"/>
      <c r="C7433" s="2"/>
      <c r="D7433" s="2"/>
      <c r="I7433" s="9"/>
      <c r="J7433" s="2"/>
      <c r="L7433" s="9"/>
      <c r="M7433" s="2"/>
      <c r="N7433" s="9"/>
      <c r="P7433" s="3">
        <v>-2425.4094919999998</v>
      </c>
      <c r="S7433" s="9"/>
      <c r="T7433" s="2"/>
      <c r="U7433" s="9"/>
    </row>
    <row r="7434" spans="2:21" x14ac:dyDescent="0.35">
      <c r="B7434" s="9"/>
      <c r="C7434" s="2"/>
      <c r="D7434" s="2"/>
      <c r="I7434" s="9"/>
      <c r="J7434" s="2"/>
      <c r="L7434" s="9"/>
      <c r="M7434" s="2"/>
      <c r="N7434" s="9"/>
      <c r="P7434" s="3">
        <v>-1990.649492</v>
      </c>
      <c r="S7434" s="9"/>
      <c r="T7434" s="2"/>
      <c r="U7434" s="9"/>
    </row>
    <row r="7435" spans="2:21" x14ac:dyDescent="0.35">
      <c r="B7435" s="9"/>
      <c r="C7435" s="2"/>
      <c r="D7435" s="2"/>
      <c r="I7435" s="9"/>
      <c r="J7435" s="2"/>
      <c r="L7435" s="9"/>
      <c r="M7435" s="2"/>
      <c r="N7435" s="9"/>
      <c r="P7435" s="3">
        <v>-1555.889492</v>
      </c>
      <c r="S7435" s="9"/>
      <c r="T7435" s="2"/>
      <c r="U7435" s="9"/>
    </row>
    <row r="7436" spans="2:21" x14ac:dyDescent="0.35">
      <c r="B7436" s="9"/>
      <c r="C7436" s="2"/>
      <c r="D7436" s="2"/>
      <c r="I7436" s="9"/>
      <c r="J7436" s="2"/>
      <c r="L7436" s="9"/>
      <c r="M7436" s="2"/>
      <c r="N7436" s="9"/>
      <c r="P7436" s="3">
        <v>-1121.129492</v>
      </c>
      <c r="S7436" s="9"/>
      <c r="T7436" s="2"/>
      <c r="U7436" s="9"/>
    </row>
    <row r="7437" spans="2:21" x14ac:dyDescent="0.35">
      <c r="B7437" s="9"/>
      <c r="C7437" s="2"/>
      <c r="D7437" s="2"/>
      <c r="I7437" s="9"/>
      <c r="J7437" s="2"/>
      <c r="L7437" s="9"/>
      <c r="M7437" s="2"/>
      <c r="N7437" s="9"/>
      <c r="P7437" s="3">
        <v>-686.36949200000004</v>
      </c>
      <c r="S7437" s="9"/>
      <c r="T7437" s="2"/>
      <c r="U7437" s="9"/>
    </row>
    <row r="7438" spans="2:21" x14ac:dyDescent="0.35">
      <c r="B7438" s="9"/>
      <c r="C7438" s="2"/>
      <c r="D7438" s="2"/>
      <c r="I7438" s="9"/>
      <c r="J7438" s="2"/>
      <c r="L7438" s="9"/>
      <c r="M7438" s="2"/>
      <c r="N7438" s="9"/>
      <c r="P7438" s="3">
        <v>-251.60949199999999</v>
      </c>
      <c r="S7438" s="9"/>
      <c r="T7438" s="2"/>
      <c r="U7438" s="9"/>
    </row>
    <row r="7439" spans="2:21" x14ac:dyDescent="0.35">
      <c r="B7439" s="9"/>
      <c r="C7439" s="2"/>
      <c r="D7439" s="2"/>
      <c r="I7439" s="9"/>
      <c r="J7439" s="2"/>
      <c r="L7439" s="9"/>
      <c r="M7439" s="2"/>
      <c r="N7439" s="9"/>
      <c r="P7439" s="3">
        <v>0</v>
      </c>
      <c r="S7439" s="9"/>
      <c r="T7439" s="2"/>
      <c r="U7439" s="9"/>
    </row>
    <row r="7440" spans="2:21" x14ac:dyDescent="0.35">
      <c r="B7440" s="9"/>
      <c r="C7440" s="2"/>
      <c r="D7440" s="2"/>
      <c r="I7440" s="9"/>
      <c r="J7440" s="2"/>
      <c r="L7440" s="9"/>
      <c r="M7440" s="2"/>
      <c r="N7440" s="9"/>
      <c r="P7440" s="3">
        <v>0</v>
      </c>
      <c r="S7440" s="9"/>
      <c r="T7440" s="2"/>
      <c r="U7440" s="9"/>
    </row>
    <row r="7441" spans="2:21" x14ac:dyDescent="0.35">
      <c r="B7441" s="9"/>
      <c r="C7441" s="2"/>
      <c r="D7441" s="2"/>
      <c r="I7441" s="9"/>
      <c r="J7441" s="2"/>
      <c r="L7441" s="9"/>
      <c r="M7441" s="2"/>
      <c r="N7441" s="9"/>
      <c r="P7441" s="3">
        <v>0</v>
      </c>
      <c r="S7441" s="9"/>
      <c r="T7441" s="2"/>
      <c r="U7441" s="9"/>
    </row>
    <row r="7442" spans="2:21" x14ac:dyDescent="0.35">
      <c r="B7442" s="9"/>
      <c r="C7442" s="2"/>
      <c r="D7442" s="2"/>
      <c r="I7442" s="9"/>
      <c r="J7442" s="2"/>
      <c r="L7442" s="9"/>
      <c r="M7442" s="2"/>
      <c r="N7442" s="9"/>
      <c r="P7442" s="3">
        <v>0</v>
      </c>
      <c r="S7442" s="9"/>
      <c r="T7442" s="2"/>
      <c r="U7442" s="9"/>
    </row>
    <row r="7443" spans="2:21" x14ac:dyDescent="0.35">
      <c r="B7443" s="9"/>
      <c r="C7443" s="2"/>
      <c r="D7443" s="2"/>
      <c r="I7443" s="9"/>
      <c r="J7443" s="2"/>
      <c r="L7443" s="9"/>
      <c r="M7443" s="2"/>
      <c r="N7443" s="9"/>
      <c r="P7443" s="3">
        <v>0</v>
      </c>
      <c r="S7443" s="9"/>
      <c r="T7443" s="2"/>
      <c r="U7443" s="9"/>
    </row>
    <row r="7444" spans="2:21" x14ac:dyDescent="0.35">
      <c r="B7444" s="9"/>
      <c r="C7444" s="2"/>
      <c r="D7444" s="2"/>
      <c r="I7444" s="9"/>
      <c r="J7444" s="2"/>
      <c r="L7444" s="9"/>
      <c r="M7444" s="2"/>
      <c r="N7444" s="9"/>
      <c r="P7444" s="3">
        <v>0</v>
      </c>
      <c r="S7444" s="9"/>
      <c r="T7444" s="2"/>
      <c r="U7444" s="9"/>
    </row>
    <row r="7445" spans="2:21" x14ac:dyDescent="0.35">
      <c r="B7445" s="9"/>
      <c r="C7445" s="2"/>
      <c r="D7445" s="2"/>
      <c r="I7445" s="9"/>
      <c r="J7445" s="2"/>
      <c r="L7445" s="9"/>
      <c r="M7445" s="2"/>
      <c r="N7445" s="9"/>
      <c r="P7445" s="3">
        <v>0</v>
      </c>
      <c r="S7445" s="9"/>
      <c r="T7445" s="2"/>
      <c r="U7445" s="9"/>
    </row>
    <row r="7446" spans="2:21" x14ac:dyDescent="0.35">
      <c r="B7446" s="9"/>
      <c r="C7446" s="2"/>
      <c r="D7446" s="2"/>
      <c r="I7446" s="9"/>
      <c r="J7446" s="2"/>
      <c r="L7446" s="9"/>
      <c r="M7446" s="2"/>
      <c r="N7446" s="9"/>
      <c r="P7446" s="3">
        <v>0</v>
      </c>
      <c r="S7446" s="9"/>
      <c r="T7446" s="2"/>
      <c r="U7446" s="9"/>
    </row>
    <row r="7447" spans="2:21" x14ac:dyDescent="0.35">
      <c r="B7447" s="9"/>
      <c r="C7447" s="2"/>
      <c r="D7447" s="2"/>
      <c r="I7447" s="9"/>
      <c r="J7447" s="2"/>
      <c r="L7447" s="9"/>
      <c r="M7447" s="2"/>
      <c r="N7447" s="9"/>
      <c r="P7447" s="3">
        <v>0</v>
      </c>
      <c r="S7447" s="9"/>
      <c r="T7447" s="2"/>
      <c r="U7447" s="9"/>
    </row>
    <row r="7448" spans="2:21" x14ac:dyDescent="0.35">
      <c r="B7448" s="9"/>
      <c r="C7448" s="2"/>
      <c r="D7448" s="2"/>
      <c r="I7448" s="9"/>
      <c r="J7448" s="2"/>
      <c r="L7448" s="9"/>
      <c r="M7448" s="2"/>
      <c r="N7448" s="9"/>
      <c r="P7448" s="3">
        <v>0</v>
      </c>
      <c r="S7448" s="9"/>
      <c r="T7448" s="2"/>
      <c r="U7448" s="9"/>
    </row>
    <row r="7449" spans="2:21" x14ac:dyDescent="0.35">
      <c r="B7449" s="9"/>
      <c r="C7449" s="2"/>
      <c r="D7449" s="2"/>
      <c r="I7449" s="9"/>
      <c r="J7449" s="2"/>
      <c r="L7449" s="9"/>
      <c r="M7449" s="2"/>
      <c r="N7449" s="9"/>
      <c r="P7449" s="3">
        <v>0</v>
      </c>
      <c r="S7449" s="9"/>
      <c r="T7449" s="2"/>
      <c r="U7449" s="9"/>
    </row>
    <row r="7450" spans="2:21" x14ac:dyDescent="0.35">
      <c r="B7450" s="9"/>
      <c r="C7450" s="2"/>
      <c r="D7450" s="2"/>
      <c r="I7450" s="9"/>
      <c r="J7450" s="2"/>
      <c r="L7450" s="9"/>
      <c r="M7450" s="2"/>
      <c r="N7450" s="9"/>
      <c r="P7450" s="3">
        <v>0</v>
      </c>
      <c r="S7450" s="9"/>
      <c r="T7450" s="2"/>
      <c r="U7450" s="9"/>
    </row>
    <row r="7451" spans="2:21" x14ac:dyDescent="0.35">
      <c r="B7451" s="9"/>
      <c r="C7451" s="2"/>
      <c r="D7451" s="2"/>
      <c r="I7451" s="9"/>
      <c r="J7451" s="2"/>
      <c r="L7451" s="9"/>
      <c r="M7451" s="2"/>
      <c r="N7451" s="9"/>
      <c r="P7451" s="3">
        <v>0</v>
      </c>
      <c r="S7451" s="9"/>
      <c r="T7451" s="2"/>
      <c r="U7451" s="9"/>
    </row>
    <row r="7452" spans="2:21" x14ac:dyDescent="0.35">
      <c r="B7452" s="9"/>
      <c r="C7452" s="2"/>
      <c r="D7452" s="2"/>
      <c r="I7452" s="9"/>
      <c r="J7452" s="2"/>
      <c r="L7452" s="9"/>
      <c r="M7452" s="2"/>
      <c r="N7452" s="9"/>
      <c r="P7452" s="3">
        <v>0</v>
      </c>
      <c r="S7452" s="9"/>
      <c r="T7452" s="2"/>
      <c r="U7452" s="9"/>
    </row>
    <row r="7453" spans="2:21" x14ac:dyDescent="0.35">
      <c r="B7453" s="9"/>
      <c r="C7453" s="2"/>
      <c r="D7453" s="2"/>
      <c r="I7453" s="9"/>
      <c r="J7453" s="2"/>
      <c r="L7453" s="9"/>
      <c r="M7453" s="2"/>
      <c r="N7453" s="9"/>
      <c r="P7453" s="3">
        <v>0</v>
      </c>
      <c r="S7453" s="9"/>
      <c r="T7453" s="2"/>
      <c r="U7453" s="9"/>
    </row>
    <row r="7454" spans="2:21" x14ac:dyDescent="0.35">
      <c r="B7454" s="9"/>
      <c r="C7454" s="2"/>
      <c r="D7454" s="2"/>
      <c r="I7454" s="9"/>
      <c r="J7454" s="2"/>
      <c r="L7454" s="9"/>
      <c r="M7454" s="2"/>
      <c r="N7454" s="9"/>
      <c r="P7454" s="3">
        <v>0</v>
      </c>
      <c r="S7454" s="9"/>
      <c r="T7454" s="2"/>
      <c r="U7454" s="9"/>
    </row>
    <row r="7455" spans="2:21" x14ac:dyDescent="0.35">
      <c r="B7455" s="9"/>
      <c r="C7455" s="2"/>
      <c r="D7455" s="2"/>
      <c r="I7455" s="9"/>
      <c r="J7455" s="2"/>
      <c r="L7455" s="9"/>
      <c r="M7455" s="2"/>
      <c r="N7455" s="9"/>
      <c r="P7455" s="3">
        <v>0</v>
      </c>
      <c r="S7455" s="9"/>
      <c r="T7455" s="2"/>
      <c r="U7455" s="9"/>
    </row>
    <row r="7456" spans="2:21" x14ac:dyDescent="0.35">
      <c r="B7456" s="9"/>
      <c r="C7456" s="2"/>
      <c r="D7456" s="2"/>
      <c r="I7456" s="9"/>
      <c r="J7456" s="2"/>
      <c r="L7456" s="9"/>
      <c r="M7456" s="2"/>
      <c r="N7456" s="9"/>
      <c r="P7456" s="3">
        <v>0</v>
      </c>
      <c r="S7456" s="9"/>
      <c r="T7456" s="2"/>
      <c r="U7456" s="9"/>
    </row>
    <row r="7457" spans="2:21" x14ac:dyDescent="0.35">
      <c r="B7457" s="9"/>
      <c r="C7457" s="2"/>
      <c r="D7457" s="2"/>
      <c r="I7457" s="9"/>
      <c r="J7457" s="2"/>
      <c r="L7457" s="9"/>
      <c r="M7457" s="2"/>
      <c r="N7457" s="9"/>
      <c r="P7457" s="3">
        <v>0</v>
      </c>
      <c r="S7457" s="9"/>
      <c r="T7457" s="2"/>
      <c r="U7457" s="9"/>
    </row>
    <row r="7458" spans="2:21" x14ac:dyDescent="0.35">
      <c r="B7458" s="9"/>
      <c r="C7458" s="2"/>
      <c r="D7458" s="2"/>
      <c r="I7458" s="9"/>
      <c r="J7458" s="2"/>
      <c r="L7458" s="9"/>
      <c r="M7458" s="2"/>
      <c r="N7458" s="9"/>
      <c r="P7458" s="3">
        <v>-251.60949199999999</v>
      </c>
      <c r="S7458" s="9"/>
      <c r="T7458" s="2"/>
      <c r="U7458" s="9"/>
    </row>
    <row r="7459" spans="2:21" x14ac:dyDescent="0.35">
      <c r="B7459" s="9"/>
      <c r="C7459" s="2"/>
      <c r="D7459" s="2"/>
      <c r="I7459" s="9"/>
      <c r="J7459" s="2"/>
      <c r="L7459" s="9"/>
      <c r="M7459" s="2"/>
      <c r="N7459" s="9"/>
      <c r="P7459" s="3">
        <v>-686.36949200000004</v>
      </c>
      <c r="S7459" s="9"/>
      <c r="T7459" s="2"/>
      <c r="U7459" s="9"/>
    </row>
    <row r="7460" spans="2:21" x14ac:dyDescent="0.35">
      <c r="B7460" s="9"/>
      <c r="C7460" s="2"/>
      <c r="D7460" s="2"/>
      <c r="I7460" s="9"/>
      <c r="J7460" s="2"/>
      <c r="L7460" s="9"/>
      <c r="M7460" s="2"/>
      <c r="N7460" s="9"/>
      <c r="P7460" s="3">
        <v>-1121.129492</v>
      </c>
      <c r="S7460" s="9"/>
      <c r="T7460" s="2"/>
      <c r="U7460" s="9"/>
    </row>
    <row r="7461" spans="2:21" x14ac:dyDescent="0.35">
      <c r="B7461" s="9"/>
      <c r="C7461" s="2"/>
      <c r="D7461" s="2"/>
      <c r="I7461" s="9"/>
      <c r="J7461" s="2"/>
      <c r="L7461" s="9"/>
      <c r="M7461" s="2"/>
      <c r="N7461" s="9"/>
      <c r="P7461" s="3">
        <v>-1555.889492</v>
      </c>
      <c r="S7461" s="9"/>
      <c r="T7461" s="2"/>
      <c r="U7461" s="9"/>
    </row>
    <row r="7462" spans="2:21" x14ac:dyDescent="0.35">
      <c r="B7462" s="9"/>
      <c r="C7462" s="2"/>
      <c r="D7462" s="2"/>
      <c r="I7462" s="9"/>
      <c r="J7462" s="2"/>
      <c r="L7462" s="9"/>
      <c r="M7462" s="2"/>
      <c r="N7462" s="9"/>
      <c r="P7462" s="3">
        <v>-1990.649492</v>
      </c>
      <c r="S7462" s="9"/>
      <c r="T7462" s="2"/>
      <c r="U7462" s="9"/>
    </row>
    <row r="7463" spans="2:21" x14ac:dyDescent="0.35">
      <c r="B7463" s="9"/>
      <c r="C7463" s="2"/>
      <c r="D7463" s="2"/>
      <c r="I7463" s="9"/>
      <c r="J7463" s="2"/>
      <c r="L7463" s="9"/>
      <c r="M7463" s="2"/>
      <c r="N7463" s="9"/>
      <c r="P7463" s="3">
        <v>-2425.4094919999998</v>
      </c>
      <c r="S7463" s="9"/>
      <c r="T7463" s="2"/>
      <c r="U7463" s="9"/>
    </row>
    <row r="7464" spans="2:21" x14ac:dyDescent="0.35">
      <c r="B7464" s="9"/>
      <c r="C7464" s="2"/>
      <c r="D7464" s="2"/>
      <c r="I7464" s="9"/>
      <c r="J7464" s="2"/>
      <c r="L7464" s="9"/>
      <c r="M7464" s="2"/>
      <c r="N7464" s="9"/>
      <c r="P7464" s="3">
        <v>-2860.169492</v>
      </c>
      <c r="S7464" s="9"/>
      <c r="T7464" s="2"/>
      <c r="U7464" s="9"/>
    </row>
    <row r="7465" spans="2:21" x14ac:dyDescent="0.35">
      <c r="B7465" s="9"/>
      <c r="C7465" s="2"/>
      <c r="D7465" s="2"/>
      <c r="I7465" s="9"/>
      <c r="J7465" s="2"/>
      <c r="L7465" s="9"/>
      <c r="M7465" s="2"/>
      <c r="N7465" s="9"/>
      <c r="P7465" s="3">
        <v>-2860.169492</v>
      </c>
      <c r="S7465" s="9"/>
      <c r="T7465" s="2"/>
      <c r="U7465" s="9"/>
    </row>
    <row r="7466" spans="2:21" x14ac:dyDescent="0.35">
      <c r="B7466" s="9"/>
      <c r="C7466" s="2"/>
      <c r="D7466" s="2"/>
      <c r="I7466" s="9"/>
      <c r="J7466" s="2"/>
      <c r="L7466" s="9"/>
      <c r="M7466" s="2"/>
      <c r="N7466" s="9"/>
      <c r="P7466" s="3">
        <v>-2860.169492</v>
      </c>
      <c r="S7466" s="9"/>
      <c r="T7466" s="2"/>
      <c r="U7466" s="9"/>
    </row>
    <row r="7467" spans="2:21" x14ac:dyDescent="0.35">
      <c r="B7467" s="9"/>
      <c r="C7467" s="2"/>
      <c r="D7467" s="2"/>
      <c r="I7467" s="9"/>
      <c r="J7467" s="2"/>
      <c r="L7467" s="9"/>
      <c r="M7467" s="2"/>
      <c r="N7467" s="9"/>
      <c r="P7467" s="3">
        <v>-2860.169492</v>
      </c>
      <c r="S7467" s="9"/>
      <c r="T7467" s="2"/>
      <c r="U7467" s="9"/>
    </row>
    <row r="7468" spans="2:21" x14ac:dyDescent="0.35">
      <c r="B7468" s="9"/>
      <c r="C7468" s="2"/>
      <c r="D7468" s="2"/>
      <c r="I7468" s="9"/>
      <c r="J7468" s="2"/>
      <c r="L7468" s="9"/>
      <c r="M7468" s="2"/>
      <c r="N7468" s="9"/>
      <c r="P7468" s="3">
        <v>-2860.169492</v>
      </c>
      <c r="S7468" s="9"/>
      <c r="T7468" s="2"/>
      <c r="U7468" s="9"/>
    </row>
    <row r="7469" spans="2:21" x14ac:dyDescent="0.35">
      <c r="B7469" s="9"/>
      <c r="C7469" s="2"/>
      <c r="D7469" s="2"/>
      <c r="I7469" s="9"/>
      <c r="J7469" s="2"/>
      <c r="L7469" s="9"/>
      <c r="M7469" s="2"/>
      <c r="N7469" s="9"/>
      <c r="P7469" s="3">
        <v>-2860.169492</v>
      </c>
      <c r="S7469" s="9"/>
      <c r="T7469" s="2"/>
      <c r="U7469" s="9"/>
    </row>
    <row r="7470" spans="2:21" x14ac:dyDescent="0.35">
      <c r="B7470" s="9"/>
      <c r="C7470" s="2"/>
      <c r="D7470" s="2"/>
      <c r="I7470" s="9"/>
      <c r="J7470" s="2"/>
      <c r="L7470" s="9"/>
      <c r="M7470" s="2"/>
      <c r="N7470" s="9"/>
      <c r="P7470" s="3">
        <v>-2769.1982544900002</v>
      </c>
      <c r="S7470" s="9"/>
      <c r="T7470" s="2"/>
      <c r="U7470" s="9"/>
    </row>
    <row r="7471" spans="2:21" x14ac:dyDescent="0.35">
      <c r="B7471" s="9"/>
      <c r="C7471" s="2"/>
      <c r="D7471" s="2"/>
      <c r="I7471" s="9"/>
      <c r="J7471" s="2"/>
      <c r="L7471" s="9"/>
      <c r="M7471" s="2"/>
      <c r="N7471" s="9"/>
      <c r="P7471" s="3">
        <v>-2754.4948644900001</v>
      </c>
      <c r="S7471" s="9"/>
      <c r="T7471" s="2"/>
      <c r="U7471" s="9"/>
    </row>
    <row r="7472" spans="2:21" x14ac:dyDescent="0.35">
      <c r="B7472" s="9"/>
      <c r="C7472" s="2"/>
      <c r="D7472" s="2"/>
      <c r="I7472" s="9"/>
      <c r="J7472" s="2"/>
      <c r="L7472" s="9"/>
      <c r="M7472" s="2"/>
      <c r="N7472" s="9"/>
      <c r="P7472" s="3">
        <v>-2826.5414044899999</v>
      </c>
      <c r="S7472" s="9"/>
      <c r="T7472" s="2"/>
      <c r="U7472" s="9"/>
    </row>
    <row r="7473" spans="2:21" x14ac:dyDescent="0.35">
      <c r="B7473" s="9"/>
      <c r="C7473" s="2"/>
      <c r="D7473" s="2"/>
      <c r="I7473" s="9"/>
      <c r="J7473" s="2"/>
      <c r="L7473" s="9"/>
      <c r="M7473" s="2"/>
      <c r="N7473" s="9"/>
      <c r="P7473" s="3">
        <v>-2833.7464844900001</v>
      </c>
      <c r="S7473" s="9"/>
      <c r="T7473" s="2"/>
      <c r="U7473" s="9"/>
    </row>
    <row r="7474" spans="2:21" x14ac:dyDescent="0.35">
      <c r="B7474" s="9"/>
      <c r="C7474" s="2"/>
      <c r="D7474" s="2"/>
      <c r="I7474" s="9"/>
      <c r="J7474" s="2"/>
      <c r="L7474" s="9"/>
      <c r="M7474" s="2"/>
      <c r="N7474" s="9"/>
      <c r="P7474" s="3">
        <v>-2860.169492</v>
      </c>
      <c r="S7474" s="9"/>
      <c r="T7474" s="2"/>
      <c r="U7474" s="9"/>
    </row>
    <row r="7475" spans="2:21" x14ac:dyDescent="0.35">
      <c r="B7475" s="9"/>
      <c r="C7475" s="2"/>
      <c r="D7475" s="2"/>
      <c r="I7475" s="9"/>
      <c r="J7475" s="2"/>
      <c r="L7475" s="9"/>
      <c r="M7475" s="2"/>
      <c r="N7475" s="9"/>
      <c r="P7475" s="3">
        <v>-2801.7809580200001</v>
      </c>
      <c r="S7475" s="9"/>
      <c r="T7475" s="2"/>
      <c r="U7475" s="9"/>
    </row>
    <row r="7476" spans="2:21" x14ac:dyDescent="0.35">
      <c r="B7476" s="9"/>
      <c r="C7476" s="2"/>
      <c r="D7476" s="2"/>
      <c r="I7476" s="9"/>
      <c r="J7476" s="2"/>
      <c r="L7476" s="9"/>
      <c r="M7476" s="2"/>
      <c r="N7476" s="9"/>
      <c r="P7476" s="3">
        <v>-2670.2095315400002</v>
      </c>
      <c r="S7476" s="9"/>
      <c r="T7476" s="2"/>
      <c r="U7476" s="9"/>
    </row>
    <row r="7477" spans="2:21" x14ac:dyDescent="0.35">
      <c r="B7477" s="9"/>
      <c r="C7477" s="2"/>
      <c r="D7477" s="2"/>
      <c r="I7477" s="9"/>
      <c r="J7477" s="2"/>
      <c r="L7477" s="9"/>
      <c r="M7477" s="2"/>
      <c r="N7477" s="9"/>
      <c r="P7477" s="3">
        <v>-2589.5340390900001</v>
      </c>
      <c r="S7477" s="9"/>
      <c r="T7477" s="2"/>
      <c r="U7477" s="9"/>
    </row>
    <row r="7478" spans="2:21" x14ac:dyDescent="0.35">
      <c r="B7478" s="9"/>
      <c r="C7478" s="2"/>
      <c r="D7478" s="2"/>
      <c r="I7478" s="9"/>
      <c r="J7478" s="2"/>
      <c r="L7478" s="9"/>
      <c r="M7478" s="2"/>
      <c r="N7478" s="9"/>
      <c r="P7478" s="3">
        <v>-2458.49511261</v>
      </c>
      <c r="S7478" s="9"/>
      <c r="T7478" s="2"/>
      <c r="U7478" s="9"/>
    </row>
    <row r="7479" spans="2:21" x14ac:dyDescent="0.35">
      <c r="B7479" s="9"/>
      <c r="C7479" s="2"/>
      <c r="D7479" s="2"/>
      <c r="I7479" s="9"/>
      <c r="J7479" s="2"/>
      <c r="L7479" s="9"/>
      <c r="M7479" s="2"/>
      <c r="N7479" s="9"/>
      <c r="P7479" s="3">
        <v>-2023.73511261</v>
      </c>
      <c r="S7479" s="9"/>
      <c r="T7479" s="2"/>
      <c r="U7479" s="9"/>
    </row>
    <row r="7480" spans="2:21" x14ac:dyDescent="0.35">
      <c r="B7480" s="9"/>
      <c r="C7480" s="2"/>
      <c r="D7480" s="2"/>
      <c r="I7480" s="9"/>
      <c r="J7480" s="2"/>
      <c r="L7480" s="9"/>
      <c r="M7480" s="2"/>
      <c r="N7480" s="9"/>
      <c r="P7480" s="3">
        <v>-1588.97511261</v>
      </c>
      <c r="S7480" s="9"/>
      <c r="T7480" s="2"/>
      <c r="U7480" s="9"/>
    </row>
    <row r="7481" spans="2:21" x14ac:dyDescent="0.35">
      <c r="B7481" s="9"/>
      <c r="C7481" s="2"/>
      <c r="D7481" s="2"/>
      <c r="I7481" s="9"/>
      <c r="J7481" s="2"/>
      <c r="L7481" s="9"/>
      <c r="M7481" s="2"/>
      <c r="N7481" s="9"/>
      <c r="P7481" s="3">
        <v>-1154.21511261</v>
      </c>
      <c r="S7481" s="9"/>
      <c r="T7481" s="2"/>
      <c r="U7481" s="9"/>
    </row>
    <row r="7482" spans="2:21" x14ac:dyDescent="0.35">
      <c r="B7482" s="9"/>
      <c r="C7482" s="2"/>
      <c r="D7482" s="2"/>
      <c r="I7482" s="9"/>
      <c r="J7482" s="2"/>
      <c r="L7482" s="9"/>
      <c r="M7482" s="2"/>
      <c r="N7482" s="9"/>
      <c r="P7482" s="3">
        <v>-719.45511261000001</v>
      </c>
      <c r="S7482" s="9"/>
      <c r="T7482" s="2"/>
      <c r="U7482" s="9"/>
    </row>
    <row r="7483" spans="2:21" x14ac:dyDescent="0.35">
      <c r="B7483" s="9"/>
      <c r="C7483" s="2"/>
      <c r="D7483" s="2"/>
      <c r="I7483" s="9"/>
      <c r="J7483" s="2"/>
      <c r="L7483" s="9"/>
      <c r="M7483" s="2"/>
      <c r="N7483" s="9"/>
      <c r="P7483" s="3">
        <v>-284.69511261000002</v>
      </c>
      <c r="S7483" s="9"/>
      <c r="T7483" s="2"/>
      <c r="U7483" s="9"/>
    </row>
    <row r="7484" spans="2:21" x14ac:dyDescent="0.35">
      <c r="B7484" s="9"/>
      <c r="C7484" s="2"/>
      <c r="D7484" s="2"/>
      <c r="I7484" s="9"/>
      <c r="J7484" s="2"/>
      <c r="L7484" s="9"/>
      <c r="M7484" s="2"/>
      <c r="N7484" s="9"/>
      <c r="P7484" s="3">
        <v>-618.23684261000005</v>
      </c>
      <c r="S7484" s="9"/>
      <c r="T7484" s="2"/>
      <c r="U7484" s="9"/>
    </row>
    <row r="7485" spans="2:21" x14ac:dyDescent="0.35">
      <c r="B7485" s="9"/>
      <c r="C7485" s="2"/>
      <c r="D7485" s="2"/>
      <c r="I7485" s="9"/>
      <c r="J7485" s="2"/>
      <c r="L7485" s="9"/>
      <c r="M7485" s="2"/>
      <c r="N7485" s="9"/>
      <c r="P7485" s="3">
        <v>-1052.9968426099999</v>
      </c>
      <c r="S7485" s="9"/>
      <c r="T7485" s="2"/>
      <c r="U7485" s="9"/>
    </row>
    <row r="7486" spans="2:21" x14ac:dyDescent="0.35">
      <c r="B7486" s="9"/>
      <c r="C7486" s="2"/>
      <c r="D7486" s="2"/>
      <c r="I7486" s="9"/>
      <c r="J7486" s="2"/>
      <c r="L7486" s="9"/>
      <c r="M7486" s="2"/>
      <c r="N7486" s="9"/>
      <c r="P7486" s="3">
        <v>-1487.7568426099999</v>
      </c>
      <c r="S7486" s="9"/>
      <c r="T7486" s="2"/>
      <c r="U7486" s="9"/>
    </row>
    <row r="7487" spans="2:21" x14ac:dyDescent="0.35">
      <c r="B7487" s="9"/>
      <c r="C7487" s="2"/>
      <c r="D7487" s="2"/>
      <c r="I7487" s="9"/>
      <c r="J7487" s="2"/>
      <c r="L7487" s="9"/>
      <c r="M7487" s="2"/>
      <c r="N7487" s="9"/>
      <c r="P7487" s="3">
        <v>-1922.5168426099999</v>
      </c>
      <c r="S7487" s="9"/>
      <c r="T7487" s="2"/>
      <c r="U7487" s="9"/>
    </row>
    <row r="7488" spans="2:21" x14ac:dyDescent="0.35">
      <c r="B7488" s="9"/>
      <c r="C7488" s="2"/>
      <c r="D7488" s="2"/>
      <c r="I7488" s="9"/>
      <c r="J7488" s="2"/>
      <c r="L7488" s="9"/>
      <c r="M7488" s="2"/>
      <c r="N7488" s="9"/>
      <c r="P7488" s="3">
        <v>-1487.7568426099999</v>
      </c>
      <c r="S7488" s="9"/>
      <c r="T7488" s="2"/>
      <c r="U7488" s="9"/>
    </row>
    <row r="7489" spans="2:21" x14ac:dyDescent="0.35">
      <c r="B7489" s="9"/>
      <c r="C7489" s="2"/>
      <c r="D7489" s="2"/>
      <c r="I7489" s="9"/>
      <c r="J7489" s="2"/>
      <c r="L7489" s="9"/>
      <c r="M7489" s="2"/>
      <c r="N7489" s="9"/>
      <c r="P7489" s="3">
        <v>-1436.59170337</v>
      </c>
      <c r="S7489" s="9"/>
      <c r="T7489" s="2"/>
      <c r="U7489" s="9"/>
    </row>
    <row r="7490" spans="2:21" x14ac:dyDescent="0.35">
      <c r="B7490" s="9"/>
      <c r="C7490" s="2"/>
      <c r="D7490" s="2"/>
      <c r="I7490" s="9"/>
      <c r="J7490" s="2"/>
      <c r="L7490" s="9"/>
      <c r="M7490" s="2"/>
      <c r="N7490" s="9"/>
      <c r="P7490" s="3">
        <v>-1257.40281387</v>
      </c>
      <c r="S7490" s="9"/>
      <c r="T7490" s="2"/>
      <c r="U7490" s="9"/>
    </row>
    <row r="7491" spans="2:21" x14ac:dyDescent="0.35">
      <c r="B7491" s="9"/>
      <c r="C7491" s="2"/>
      <c r="D7491" s="2"/>
      <c r="I7491" s="9"/>
      <c r="J7491" s="2"/>
      <c r="L7491" s="9"/>
      <c r="M7491" s="2"/>
      <c r="N7491" s="9"/>
      <c r="P7491" s="3">
        <v>-1050.70847424</v>
      </c>
      <c r="S7491" s="9"/>
      <c r="T7491" s="2"/>
      <c r="U7491" s="9"/>
    </row>
    <row r="7492" spans="2:21" x14ac:dyDescent="0.35">
      <c r="B7492" s="9"/>
      <c r="C7492" s="2"/>
      <c r="D7492" s="2"/>
      <c r="I7492" s="9"/>
      <c r="J7492" s="2"/>
      <c r="L7492" s="9"/>
      <c r="M7492" s="2"/>
      <c r="N7492" s="9"/>
      <c r="P7492" s="3">
        <v>-789.32278449</v>
      </c>
      <c r="S7492" s="9"/>
      <c r="T7492" s="2"/>
      <c r="U7492" s="9"/>
    </row>
    <row r="7493" spans="2:21" x14ac:dyDescent="0.35">
      <c r="B7493" s="9"/>
      <c r="C7493" s="2"/>
      <c r="D7493" s="2"/>
      <c r="I7493" s="9"/>
      <c r="J7493" s="2"/>
      <c r="L7493" s="9"/>
      <c r="M7493" s="2"/>
      <c r="N7493" s="9"/>
      <c r="P7493" s="3">
        <v>-565.30500448999999</v>
      </c>
      <c r="S7493" s="9"/>
      <c r="T7493" s="2"/>
      <c r="U7493" s="9"/>
    </row>
    <row r="7494" spans="2:21" x14ac:dyDescent="0.35">
      <c r="B7494" s="9"/>
      <c r="C7494" s="2"/>
      <c r="D7494" s="2"/>
      <c r="I7494" s="9"/>
      <c r="J7494" s="2"/>
      <c r="L7494" s="9"/>
      <c r="M7494" s="2"/>
      <c r="N7494" s="9"/>
      <c r="P7494" s="3">
        <v>-434.96561297</v>
      </c>
      <c r="S7494" s="9"/>
      <c r="T7494" s="2"/>
      <c r="U7494" s="9"/>
    </row>
    <row r="7495" spans="2:21" x14ac:dyDescent="0.35">
      <c r="B7495" s="9"/>
      <c r="C7495" s="2"/>
      <c r="D7495" s="2"/>
      <c r="I7495" s="9"/>
      <c r="J7495" s="2"/>
      <c r="L7495" s="9"/>
      <c r="M7495" s="2"/>
      <c r="N7495" s="9"/>
      <c r="P7495" s="3">
        <v>-362.35959296999999</v>
      </c>
      <c r="S7495" s="9"/>
      <c r="T7495" s="2"/>
      <c r="U7495" s="9"/>
    </row>
    <row r="7496" spans="2:21" x14ac:dyDescent="0.35">
      <c r="B7496" s="9"/>
      <c r="C7496" s="2"/>
      <c r="D7496" s="2"/>
      <c r="I7496" s="9"/>
      <c r="J7496" s="2"/>
      <c r="L7496" s="9"/>
      <c r="M7496" s="2"/>
      <c r="N7496" s="9"/>
      <c r="P7496" s="3">
        <v>-342.33830296999997</v>
      </c>
      <c r="S7496" s="9"/>
      <c r="T7496" s="2"/>
      <c r="U7496" s="9"/>
    </row>
    <row r="7497" spans="2:21" x14ac:dyDescent="0.35">
      <c r="B7497" s="9"/>
      <c r="C7497" s="2"/>
      <c r="D7497" s="2"/>
      <c r="I7497" s="9"/>
      <c r="J7497" s="2"/>
      <c r="L7497" s="9"/>
      <c r="M7497" s="2"/>
      <c r="N7497" s="9"/>
      <c r="P7497" s="3">
        <v>-327.34239296999999</v>
      </c>
      <c r="S7497" s="9"/>
      <c r="T7497" s="2"/>
      <c r="U7497" s="9"/>
    </row>
    <row r="7498" spans="2:21" x14ac:dyDescent="0.35">
      <c r="B7498" s="9"/>
      <c r="C7498" s="2"/>
      <c r="D7498" s="2"/>
      <c r="I7498" s="9"/>
      <c r="J7498" s="2"/>
      <c r="L7498" s="9"/>
      <c r="M7498" s="2"/>
      <c r="N7498" s="9"/>
      <c r="P7498" s="3">
        <v>-274.30113297000003</v>
      </c>
      <c r="S7498" s="9"/>
      <c r="T7498" s="2"/>
      <c r="U7498" s="9"/>
    </row>
    <row r="7499" spans="2:21" x14ac:dyDescent="0.35">
      <c r="B7499" s="9"/>
      <c r="C7499" s="2"/>
      <c r="D7499" s="2"/>
      <c r="I7499" s="9"/>
      <c r="J7499" s="2"/>
      <c r="L7499" s="9"/>
      <c r="M7499" s="2"/>
      <c r="N7499" s="9"/>
      <c r="P7499" s="3">
        <v>-109.78925649</v>
      </c>
      <c r="S7499" s="9"/>
      <c r="T7499" s="2"/>
      <c r="U7499" s="9"/>
    </row>
    <row r="7500" spans="2:21" x14ac:dyDescent="0.35">
      <c r="B7500" s="9"/>
      <c r="C7500" s="2"/>
      <c r="D7500" s="2"/>
      <c r="I7500" s="9"/>
      <c r="J7500" s="2"/>
      <c r="L7500" s="9"/>
      <c r="M7500" s="2"/>
      <c r="N7500" s="9"/>
      <c r="P7500" s="3">
        <v>108.36950999</v>
      </c>
      <c r="S7500" s="9"/>
      <c r="T7500" s="2"/>
      <c r="U7500" s="9"/>
    </row>
    <row r="7501" spans="2:21" x14ac:dyDescent="0.35">
      <c r="B7501" s="9"/>
      <c r="C7501" s="2"/>
      <c r="D7501" s="2"/>
      <c r="I7501" s="9"/>
      <c r="J7501" s="2"/>
      <c r="L7501" s="9"/>
      <c r="M7501" s="2"/>
      <c r="N7501" s="9"/>
      <c r="P7501" s="3">
        <v>344.18142244000001</v>
      </c>
      <c r="S7501" s="9"/>
      <c r="T7501" s="2"/>
      <c r="U7501" s="9"/>
    </row>
    <row r="7502" spans="2:21" x14ac:dyDescent="0.35">
      <c r="B7502" s="9"/>
      <c r="C7502" s="2"/>
      <c r="D7502" s="2"/>
      <c r="I7502" s="9"/>
      <c r="J7502" s="2"/>
      <c r="L7502" s="9"/>
      <c r="M7502" s="2"/>
      <c r="N7502" s="9"/>
      <c r="P7502" s="3">
        <v>400.86701891000001</v>
      </c>
      <c r="S7502" s="9"/>
      <c r="T7502" s="2"/>
      <c r="U7502" s="9"/>
    </row>
    <row r="7503" spans="2:21" x14ac:dyDescent="0.35">
      <c r="B7503" s="9"/>
      <c r="C7503" s="2"/>
      <c r="D7503" s="2"/>
      <c r="I7503" s="9"/>
      <c r="J7503" s="2"/>
      <c r="L7503" s="9"/>
      <c r="M7503" s="2"/>
      <c r="N7503" s="9"/>
      <c r="P7503" s="3">
        <v>-33.892981089999999</v>
      </c>
      <c r="S7503" s="9"/>
      <c r="T7503" s="2"/>
      <c r="U7503" s="9"/>
    </row>
    <row r="7504" spans="2:21" x14ac:dyDescent="0.35">
      <c r="B7504" s="9"/>
      <c r="C7504" s="2"/>
      <c r="D7504" s="2"/>
      <c r="I7504" s="9"/>
      <c r="J7504" s="2"/>
      <c r="L7504" s="9"/>
      <c r="M7504" s="2"/>
      <c r="N7504" s="9"/>
      <c r="P7504" s="3">
        <v>-468.65298109000003</v>
      </c>
      <c r="S7504" s="9"/>
      <c r="T7504" s="2"/>
      <c r="U7504" s="9"/>
    </row>
    <row r="7505" spans="2:21" x14ac:dyDescent="0.35">
      <c r="B7505" s="9"/>
      <c r="C7505" s="2"/>
      <c r="D7505" s="2"/>
      <c r="I7505" s="9"/>
      <c r="J7505" s="2"/>
      <c r="L7505" s="9"/>
      <c r="M7505" s="2"/>
      <c r="N7505" s="9"/>
      <c r="P7505" s="3">
        <v>-903.41298109000002</v>
      </c>
      <c r="S7505" s="9"/>
      <c r="T7505" s="2"/>
      <c r="U7505" s="9"/>
    </row>
    <row r="7506" spans="2:21" x14ac:dyDescent="0.35">
      <c r="B7506" s="9"/>
      <c r="C7506" s="2"/>
      <c r="D7506" s="2"/>
      <c r="I7506" s="9"/>
      <c r="J7506" s="2"/>
      <c r="L7506" s="9"/>
      <c r="M7506" s="2"/>
      <c r="N7506" s="9"/>
      <c r="P7506" s="3">
        <v>-1338.1729810899999</v>
      </c>
      <c r="S7506" s="9"/>
      <c r="T7506" s="2"/>
      <c r="U7506" s="9"/>
    </row>
    <row r="7507" spans="2:21" x14ac:dyDescent="0.35">
      <c r="B7507" s="9"/>
      <c r="C7507" s="2"/>
      <c r="D7507" s="2"/>
      <c r="I7507" s="9"/>
      <c r="J7507" s="2"/>
      <c r="L7507" s="9"/>
      <c r="M7507" s="2"/>
      <c r="N7507" s="9"/>
      <c r="P7507" s="3">
        <v>-1673.8347310900001</v>
      </c>
      <c r="S7507" s="9"/>
      <c r="T7507" s="2"/>
      <c r="U7507" s="9"/>
    </row>
    <row r="7508" spans="2:21" x14ac:dyDescent="0.35">
      <c r="B7508" s="9"/>
      <c r="C7508" s="2"/>
      <c r="D7508" s="2"/>
      <c r="I7508" s="9"/>
      <c r="J7508" s="2"/>
      <c r="L7508" s="9"/>
      <c r="M7508" s="2"/>
      <c r="N7508" s="9"/>
      <c r="P7508" s="3">
        <v>-1239.0747310899999</v>
      </c>
      <c r="S7508" s="9"/>
      <c r="T7508" s="2"/>
      <c r="U7508" s="9"/>
    </row>
    <row r="7509" spans="2:21" x14ac:dyDescent="0.35">
      <c r="B7509" s="9"/>
      <c r="C7509" s="2"/>
      <c r="D7509" s="2"/>
      <c r="I7509" s="9"/>
      <c r="J7509" s="2"/>
      <c r="L7509" s="9"/>
      <c r="M7509" s="2"/>
      <c r="N7509" s="9"/>
      <c r="P7509" s="3">
        <v>-804.31473109000001</v>
      </c>
      <c r="S7509" s="9"/>
      <c r="T7509" s="2"/>
      <c r="U7509" s="9"/>
    </row>
    <row r="7510" spans="2:21" x14ac:dyDescent="0.35">
      <c r="B7510" s="9"/>
      <c r="C7510" s="2"/>
      <c r="D7510" s="2"/>
      <c r="I7510" s="9"/>
      <c r="J7510" s="2"/>
      <c r="L7510" s="9"/>
      <c r="M7510" s="2"/>
      <c r="N7510" s="9"/>
      <c r="P7510" s="3">
        <v>-369.55473109000002</v>
      </c>
      <c r="S7510" s="9"/>
      <c r="T7510" s="2"/>
      <c r="U7510" s="9"/>
    </row>
    <row r="7511" spans="2:21" x14ac:dyDescent="0.35">
      <c r="B7511" s="9"/>
      <c r="C7511" s="2"/>
      <c r="D7511" s="2"/>
      <c r="I7511" s="9"/>
      <c r="J7511" s="2"/>
      <c r="L7511" s="9"/>
      <c r="M7511" s="2"/>
      <c r="N7511" s="9"/>
      <c r="P7511" s="3">
        <v>65.205268910000001</v>
      </c>
      <c r="S7511" s="9"/>
      <c r="T7511" s="2"/>
      <c r="U7511" s="9"/>
    </row>
    <row r="7512" spans="2:21" x14ac:dyDescent="0.35">
      <c r="B7512" s="9"/>
      <c r="C7512" s="2"/>
      <c r="D7512" s="2"/>
      <c r="I7512" s="9"/>
      <c r="J7512" s="2"/>
      <c r="L7512" s="9"/>
      <c r="M7512" s="2"/>
      <c r="N7512" s="9"/>
      <c r="P7512" s="3">
        <v>499.96526891000002</v>
      </c>
      <c r="S7512" s="9"/>
      <c r="T7512" s="2"/>
      <c r="U7512" s="9"/>
    </row>
    <row r="7513" spans="2:21" x14ac:dyDescent="0.35">
      <c r="B7513" s="9"/>
      <c r="C7513" s="2"/>
      <c r="D7513" s="2"/>
      <c r="I7513" s="9"/>
      <c r="J7513" s="2"/>
      <c r="L7513" s="9"/>
      <c r="M7513" s="2"/>
      <c r="N7513" s="9"/>
      <c r="P7513" s="3">
        <v>346.63052815999998</v>
      </c>
      <c r="S7513" s="9"/>
      <c r="T7513" s="2"/>
      <c r="U7513" s="9"/>
    </row>
    <row r="7514" spans="2:21" x14ac:dyDescent="0.35">
      <c r="B7514" s="9"/>
      <c r="C7514" s="2"/>
      <c r="D7514" s="2"/>
      <c r="I7514" s="9"/>
      <c r="J7514" s="2"/>
      <c r="L7514" s="9"/>
      <c r="M7514" s="2"/>
      <c r="N7514" s="9"/>
      <c r="P7514" s="3">
        <v>210.93796766</v>
      </c>
      <c r="S7514" s="9"/>
      <c r="T7514" s="2"/>
      <c r="U7514" s="9"/>
    </row>
    <row r="7515" spans="2:21" x14ac:dyDescent="0.35">
      <c r="B7515" s="9"/>
      <c r="C7515" s="2"/>
      <c r="D7515" s="2"/>
      <c r="I7515" s="9"/>
      <c r="J7515" s="2"/>
      <c r="L7515" s="9"/>
      <c r="M7515" s="2"/>
      <c r="N7515" s="9"/>
      <c r="P7515" s="3">
        <v>134.05688728000001</v>
      </c>
      <c r="S7515" s="9"/>
      <c r="T7515" s="2"/>
      <c r="U7515" s="9"/>
    </row>
    <row r="7516" spans="2:21" x14ac:dyDescent="0.35">
      <c r="B7516" s="9"/>
      <c r="C7516" s="2"/>
      <c r="D7516" s="2"/>
      <c r="I7516" s="9"/>
      <c r="J7516" s="2"/>
      <c r="L7516" s="9"/>
      <c r="M7516" s="2"/>
      <c r="N7516" s="9"/>
      <c r="P7516" s="3">
        <v>35.165857029999998</v>
      </c>
      <c r="S7516" s="9"/>
      <c r="T7516" s="2"/>
      <c r="U7516" s="9"/>
    </row>
    <row r="7517" spans="2:21" x14ac:dyDescent="0.35">
      <c r="B7517" s="9"/>
      <c r="C7517" s="2"/>
      <c r="D7517" s="2"/>
      <c r="I7517" s="9"/>
      <c r="J7517" s="2"/>
      <c r="L7517" s="9"/>
      <c r="M7517" s="2"/>
      <c r="N7517" s="9"/>
      <c r="P7517" s="3">
        <v>-62.586232969999998</v>
      </c>
      <c r="S7517" s="9"/>
      <c r="T7517" s="2"/>
      <c r="U7517" s="9"/>
    </row>
    <row r="7518" spans="2:21" x14ac:dyDescent="0.35">
      <c r="B7518" s="9"/>
      <c r="C7518" s="2"/>
      <c r="D7518" s="2"/>
      <c r="I7518" s="9"/>
      <c r="J7518" s="2"/>
      <c r="L7518" s="9"/>
      <c r="M7518" s="2"/>
      <c r="N7518" s="9"/>
      <c r="P7518" s="3">
        <v>137.37086668000001</v>
      </c>
      <c r="S7518" s="9"/>
      <c r="T7518" s="2"/>
      <c r="U7518" s="9"/>
    </row>
    <row r="7519" spans="2:21" x14ac:dyDescent="0.35">
      <c r="B7519" s="9"/>
      <c r="C7519" s="2"/>
      <c r="D7519" s="2"/>
      <c r="I7519" s="9"/>
      <c r="J7519" s="2"/>
      <c r="L7519" s="9"/>
      <c r="M7519" s="2"/>
      <c r="N7519" s="9"/>
      <c r="P7519" s="3">
        <v>-36.596173319999998</v>
      </c>
      <c r="S7519" s="9"/>
      <c r="T7519" s="2"/>
      <c r="U7519" s="9"/>
    </row>
    <row r="7520" spans="2:21" x14ac:dyDescent="0.35">
      <c r="B7520" s="9"/>
      <c r="C7520" s="2"/>
      <c r="D7520" s="2"/>
      <c r="I7520" s="9"/>
      <c r="J7520" s="2"/>
      <c r="L7520" s="9"/>
      <c r="M7520" s="2"/>
      <c r="N7520" s="9"/>
      <c r="P7520" s="3">
        <v>-170.01795332</v>
      </c>
      <c r="S7520" s="9"/>
      <c r="T7520" s="2"/>
      <c r="U7520" s="9"/>
    </row>
    <row r="7521" spans="2:21" x14ac:dyDescent="0.35">
      <c r="B7521" s="9"/>
      <c r="C7521" s="2"/>
      <c r="D7521" s="2"/>
      <c r="I7521" s="9"/>
      <c r="J7521" s="2"/>
      <c r="L7521" s="9"/>
      <c r="M7521" s="2"/>
      <c r="N7521" s="9"/>
      <c r="P7521" s="3">
        <v>-340.53510332000002</v>
      </c>
      <c r="S7521" s="9"/>
      <c r="T7521" s="2"/>
      <c r="U7521" s="9"/>
    </row>
    <row r="7522" spans="2:21" x14ac:dyDescent="0.35">
      <c r="B7522" s="9"/>
      <c r="C7522" s="2"/>
      <c r="D7522" s="2"/>
      <c r="I7522" s="9"/>
      <c r="J7522" s="2"/>
      <c r="L7522" s="9"/>
      <c r="M7522" s="2"/>
      <c r="N7522" s="9"/>
      <c r="P7522" s="3">
        <v>-568.75395332000005</v>
      </c>
      <c r="S7522" s="9"/>
      <c r="T7522" s="2"/>
      <c r="U7522" s="9"/>
    </row>
    <row r="7523" spans="2:21" x14ac:dyDescent="0.35">
      <c r="B7523" s="9"/>
      <c r="C7523" s="2"/>
      <c r="D7523" s="2"/>
      <c r="I7523" s="9"/>
      <c r="J7523" s="2"/>
      <c r="L7523" s="9"/>
      <c r="M7523" s="2"/>
      <c r="N7523" s="9"/>
      <c r="P7523" s="3">
        <v>-836.44951332000005</v>
      </c>
      <c r="S7523" s="9"/>
      <c r="T7523" s="2"/>
      <c r="U7523" s="9"/>
    </row>
    <row r="7524" spans="2:21" x14ac:dyDescent="0.35">
      <c r="B7524" s="9"/>
      <c r="C7524" s="2"/>
      <c r="D7524" s="2"/>
      <c r="I7524" s="9"/>
      <c r="J7524" s="2"/>
      <c r="L7524" s="9"/>
      <c r="M7524" s="2"/>
      <c r="N7524" s="9"/>
      <c r="P7524" s="3">
        <v>-1154.3243233200001</v>
      </c>
      <c r="S7524" s="9"/>
      <c r="T7524" s="2"/>
      <c r="U7524" s="9"/>
    </row>
    <row r="7525" spans="2:21" x14ac:dyDescent="0.35">
      <c r="B7525" s="9"/>
      <c r="C7525" s="2"/>
      <c r="D7525" s="2"/>
      <c r="I7525" s="9"/>
      <c r="J7525" s="2"/>
      <c r="L7525" s="9"/>
      <c r="M7525" s="2"/>
      <c r="N7525" s="9"/>
      <c r="P7525" s="3">
        <v>-1471.4160033200001</v>
      </c>
      <c r="S7525" s="9"/>
      <c r="T7525" s="2"/>
      <c r="U7525" s="9"/>
    </row>
    <row r="7526" spans="2:21" x14ac:dyDescent="0.35">
      <c r="B7526" s="9"/>
      <c r="C7526" s="2"/>
      <c r="D7526" s="2"/>
      <c r="I7526" s="9"/>
      <c r="J7526" s="2"/>
      <c r="L7526" s="9"/>
      <c r="M7526" s="2"/>
      <c r="N7526" s="9"/>
      <c r="P7526" s="3">
        <v>-1897.5686533200001</v>
      </c>
      <c r="S7526" s="9"/>
      <c r="T7526" s="2"/>
      <c r="U7526" s="9"/>
    </row>
    <row r="7527" spans="2:21" x14ac:dyDescent="0.35">
      <c r="B7527" s="9"/>
      <c r="C7527" s="2"/>
      <c r="D7527" s="2"/>
      <c r="I7527" s="9"/>
      <c r="J7527" s="2"/>
      <c r="L7527" s="9"/>
      <c r="M7527" s="2"/>
      <c r="N7527" s="9"/>
      <c r="P7527" s="3">
        <v>-1462.8086533200001</v>
      </c>
      <c r="S7527" s="9"/>
      <c r="T7527" s="2"/>
      <c r="U7527" s="9"/>
    </row>
    <row r="7528" spans="2:21" x14ac:dyDescent="0.35">
      <c r="B7528" s="9"/>
      <c r="C7528" s="2"/>
      <c r="D7528" s="2"/>
      <c r="I7528" s="9"/>
      <c r="J7528" s="2"/>
      <c r="L7528" s="9"/>
      <c r="M7528" s="2"/>
      <c r="N7528" s="9"/>
      <c r="P7528" s="3">
        <v>-1028.0486533200001</v>
      </c>
      <c r="S7528" s="9"/>
      <c r="T7528" s="2"/>
      <c r="U7528" s="9"/>
    </row>
    <row r="7529" spans="2:21" x14ac:dyDescent="0.35">
      <c r="B7529" s="9"/>
      <c r="C7529" s="2"/>
      <c r="D7529" s="2"/>
      <c r="I7529" s="9"/>
      <c r="J7529" s="2"/>
      <c r="L7529" s="9"/>
      <c r="M7529" s="2"/>
      <c r="N7529" s="9"/>
      <c r="P7529" s="3">
        <v>-593.28865331999998</v>
      </c>
      <c r="S7529" s="9"/>
      <c r="T7529" s="2"/>
      <c r="U7529" s="9"/>
    </row>
    <row r="7530" spans="2:21" x14ac:dyDescent="0.35">
      <c r="B7530" s="9"/>
      <c r="C7530" s="2"/>
      <c r="D7530" s="2"/>
      <c r="I7530" s="9"/>
      <c r="J7530" s="2"/>
      <c r="L7530" s="9"/>
      <c r="M7530" s="2"/>
      <c r="N7530" s="9"/>
      <c r="P7530" s="3">
        <v>-158.52865331999999</v>
      </c>
      <c r="S7530" s="9"/>
      <c r="T7530" s="2"/>
      <c r="U7530" s="9"/>
    </row>
    <row r="7531" spans="2:21" x14ac:dyDescent="0.35">
      <c r="B7531" s="9"/>
      <c r="C7531" s="2"/>
      <c r="D7531" s="2"/>
      <c r="I7531" s="9"/>
      <c r="J7531" s="2"/>
      <c r="L7531" s="9"/>
      <c r="M7531" s="2"/>
      <c r="N7531" s="9"/>
      <c r="P7531" s="3">
        <v>0</v>
      </c>
      <c r="S7531" s="9"/>
      <c r="T7531" s="2"/>
      <c r="U7531" s="9"/>
    </row>
    <row r="7532" spans="2:21" x14ac:dyDescent="0.35">
      <c r="B7532" s="9"/>
      <c r="C7532" s="2"/>
      <c r="D7532" s="2"/>
      <c r="I7532" s="9"/>
      <c r="J7532" s="2"/>
      <c r="L7532" s="9"/>
      <c r="M7532" s="2"/>
      <c r="N7532" s="9"/>
      <c r="P7532" s="3">
        <v>0</v>
      </c>
      <c r="S7532" s="9"/>
      <c r="T7532" s="2"/>
      <c r="U7532" s="9"/>
    </row>
    <row r="7533" spans="2:21" x14ac:dyDescent="0.35">
      <c r="B7533" s="9"/>
      <c r="C7533" s="2"/>
      <c r="D7533" s="2"/>
      <c r="I7533" s="9"/>
      <c r="J7533" s="2"/>
      <c r="L7533" s="9"/>
      <c r="M7533" s="2"/>
      <c r="N7533" s="9"/>
      <c r="P7533" s="3">
        <v>0</v>
      </c>
      <c r="S7533" s="9"/>
      <c r="T7533" s="2"/>
      <c r="U7533" s="9"/>
    </row>
    <row r="7534" spans="2:21" x14ac:dyDescent="0.35">
      <c r="B7534" s="9"/>
      <c r="C7534" s="2"/>
      <c r="D7534" s="2"/>
      <c r="I7534" s="9"/>
      <c r="J7534" s="2"/>
      <c r="L7534" s="9"/>
      <c r="M7534" s="2"/>
      <c r="N7534" s="9"/>
      <c r="P7534" s="3">
        <v>0</v>
      </c>
      <c r="S7534" s="9"/>
      <c r="T7534" s="2"/>
      <c r="U7534" s="9"/>
    </row>
    <row r="7535" spans="2:21" x14ac:dyDescent="0.35">
      <c r="B7535" s="9"/>
      <c r="C7535" s="2"/>
      <c r="D7535" s="2"/>
      <c r="I7535" s="9"/>
      <c r="J7535" s="2"/>
      <c r="L7535" s="9"/>
      <c r="M7535" s="2"/>
      <c r="N7535" s="9"/>
      <c r="P7535" s="3">
        <v>0</v>
      </c>
      <c r="S7535" s="9"/>
      <c r="T7535" s="2"/>
      <c r="U7535" s="9"/>
    </row>
    <row r="7536" spans="2:21" x14ac:dyDescent="0.35">
      <c r="B7536" s="9"/>
      <c r="C7536" s="2"/>
      <c r="D7536" s="2"/>
      <c r="I7536" s="9"/>
      <c r="J7536" s="2"/>
      <c r="L7536" s="9"/>
      <c r="M7536" s="2"/>
      <c r="N7536" s="9"/>
      <c r="P7536" s="3">
        <v>0</v>
      </c>
      <c r="S7536" s="9"/>
      <c r="T7536" s="2"/>
      <c r="U7536" s="9"/>
    </row>
    <row r="7537" spans="2:21" x14ac:dyDescent="0.35">
      <c r="B7537" s="9"/>
      <c r="C7537" s="2"/>
      <c r="D7537" s="2"/>
      <c r="I7537" s="9"/>
      <c r="J7537" s="2"/>
      <c r="L7537" s="9"/>
      <c r="M7537" s="2"/>
      <c r="N7537" s="9"/>
      <c r="P7537" s="3">
        <v>0</v>
      </c>
      <c r="S7537" s="9"/>
      <c r="T7537" s="2"/>
      <c r="U7537" s="9"/>
    </row>
    <row r="7538" spans="2:21" x14ac:dyDescent="0.35">
      <c r="B7538" s="9"/>
      <c r="C7538" s="2"/>
      <c r="D7538" s="2"/>
      <c r="I7538" s="9"/>
      <c r="J7538" s="2"/>
      <c r="L7538" s="9"/>
      <c r="M7538" s="2"/>
      <c r="N7538" s="9"/>
      <c r="P7538" s="3">
        <v>0</v>
      </c>
      <c r="S7538" s="9"/>
      <c r="T7538" s="2"/>
      <c r="U7538" s="9"/>
    </row>
    <row r="7539" spans="2:21" x14ac:dyDescent="0.35">
      <c r="B7539" s="9"/>
      <c r="C7539" s="2"/>
      <c r="D7539" s="2"/>
      <c r="I7539" s="9"/>
      <c r="J7539" s="2"/>
      <c r="L7539" s="9"/>
      <c r="M7539" s="2"/>
      <c r="N7539" s="9"/>
      <c r="P7539" s="3">
        <v>0</v>
      </c>
      <c r="S7539" s="9"/>
      <c r="T7539" s="2"/>
      <c r="U7539" s="9"/>
    </row>
    <row r="7540" spans="2:21" x14ac:dyDescent="0.35">
      <c r="B7540" s="9"/>
      <c r="C7540" s="2"/>
      <c r="D7540" s="2"/>
      <c r="I7540" s="9"/>
      <c r="J7540" s="2"/>
      <c r="L7540" s="9"/>
      <c r="M7540" s="2"/>
      <c r="N7540" s="9"/>
      <c r="P7540" s="3">
        <v>0</v>
      </c>
      <c r="S7540" s="9"/>
      <c r="T7540" s="2"/>
      <c r="U7540" s="9"/>
    </row>
    <row r="7541" spans="2:21" x14ac:dyDescent="0.35">
      <c r="B7541" s="9"/>
      <c r="C7541" s="2"/>
      <c r="D7541" s="2"/>
      <c r="I7541" s="9"/>
      <c r="J7541" s="2"/>
      <c r="L7541" s="9"/>
      <c r="M7541" s="2"/>
      <c r="N7541" s="9"/>
      <c r="P7541" s="3">
        <v>0</v>
      </c>
      <c r="S7541" s="9"/>
      <c r="T7541" s="2"/>
      <c r="U7541" s="9"/>
    </row>
    <row r="7542" spans="2:21" x14ac:dyDescent="0.35">
      <c r="B7542" s="9"/>
      <c r="C7542" s="2"/>
      <c r="D7542" s="2"/>
      <c r="I7542" s="9"/>
      <c r="J7542" s="2"/>
      <c r="L7542" s="9"/>
      <c r="M7542" s="2"/>
      <c r="N7542" s="9"/>
      <c r="P7542" s="3">
        <v>0</v>
      </c>
      <c r="S7542" s="9"/>
      <c r="T7542" s="2"/>
      <c r="U7542" s="9"/>
    </row>
    <row r="7543" spans="2:21" x14ac:dyDescent="0.35">
      <c r="B7543" s="9"/>
      <c r="C7543" s="2"/>
      <c r="D7543" s="2"/>
      <c r="I7543" s="9"/>
      <c r="J7543" s="2"/>
      <c r="L7543" s="9"/>
      <c r="M7543" s="2"/>
      <c r="N7543" s="9"/>
      <c r="P7543" s="3">
        <v>0</v>
      </c>
      <c r="S7543" s="9"/>
      <c r="T7543" s="2"/>
      <c r="U7543" s="9"/>
    </row>
    <row r="7544" spans="2:21" x14ac:dyDescent="0.35">
      <c r="B7544" s="9"/>
      <c r="C7544" s="2"/>
      <c r="D7544" s="2"/>
      <c r="I7544" s="9"/>
      <c r="J7544" s="2"/>
      <c r="L7544" s="9"/>
      <c r="M7544" s="2"/>
      <c r="N7544" s="9"/>
      <c r="P7544" s="3">
        <v>0</v>
      </c>
      <c r="S7544" s="9"/>
      <c r="T7544" s="2"/>
      <c r="U7544" s="9"/>
    </row>
    <row r="7545" spans="2:21" x14ac:dyDescent="0.35">
      <c r="B7545" s="9"/>
      <c r="C7545" s="2"/>
      <c r="D7545" s="2"/>
      <c r="I7545" s="9"/>
      <c r="J7545" s="2"/>
      <c r="L7545" s="9"/>
      <c r="M7545" s="2"/>
      <c r="N7545" s="9"/>
      <c r="P7545" s="3">
        <v>0</v>
      </c>
      <c r="S7545" s="9"/>
      <c r="T7545" s="2"/>
      <c r="U7545" s="9"/>
    </row>
    <row r="7546" spans="2:21" x14ac:dyDescent="0.35">
      <c r="B7546" s="9"/>
      <c r="C7546" s="2"/>
      <c r="D7546" s="2"/>
      <c r="I7546" s="9"/>
      <c r="J7546" s="2"/>
      <c r="L7546" s="9"/>
      <c r="M7546" s="2"/>
      <c r="N7546" s="9"/>
      <c r="P7546" s="3">
        <v>0</v>
      </c>
      <c r="S7546" s="9"/>
      <c r="T7546" s="2"/>
      <c r="U7546" s="9"/>
    </row>
    <row r="7547" spans="2:21" x14ac:dyDescent="0.35">
      <c r="B7547" s="9"/>
      <c r="C7547" s="2"/>
      <c r="D7547" s="2"/>
      <c r="I7547" s="9"/>
      <c r="J7547" s="2"/>
      <c r="L7547" s="9"/>
      <c r="M7547" s="2"/>
      <c r="N7547" s="9"/>
      <c r="P7547" s="3">
        <v>0</v>
      </c>
      <c r="S7547" s="9"/>
      <c r="T7547" s="2"/>
      <c r="U7547" s="9"/>
    </row>
    <row r="7548" spans="2:21" x14ac:dyDescent="0.35">
      <c r="B7548" s="9"/>
      <c r="C7548" s="2"/>
      <c r="D7548" s="2"/>
      <c r="I7548" s="9"/>
      <c r="J7548" s="2"/>
      <c r="L7548" s="9"/>
      <c r="M7548" s="2"/>
      <c r="N7548" s="9"/>
      <c r="P7548" s="3">
        <v>0</v>
      </c>
      <c r="S7548" s="9"/>
      <c r="T7548" s="2"/>
      <c r="U7548" s="9"/>
    </row>
    <row r="7549" spans="2:21" x14ac:dyDescent="0.35">
      <c r="B7549" s="9"/>
      <c r="C7549" s="2"/>
      <c r="D7549" s="2"/>
      <c r="I7549" s="9"/>
      <c r="J7549" s="2"/>
      <c r="L7549" s="9"/>
      <c r="M7549" s="2"/>
      <c r="N7549" s="9"/>
      <c r="P7549" s="3">
        <v>0</v>
      </c>
      <c r="S7549" s="9"/>
      <c r="T7549" s="2"/>
      <c r="U7549" s="9"/>
    </row>
    <row r="7550" spans="2:21" x14ac:dyDescent="0.35">
      <c r="B7550" s="9"/>
      <c r="C7550" s="2"/>
      <c r="D7550" s="2"/>
      <c r="I7550" s="9"/>
      <c r="J7550" s="2"/>
      <c r="L7550" s="9"/>
      <c r="M7550" s="2"/>
      <c r="N7550" s="9"/>
      <c r="P7550" s="3">
        <v>0</v>
      </c>
      <c r="S7550" s="9"/>
      <c r="T7550" s="2"/>
      <c r="U7550" s="9"/>
    </row>
    <row r="7551" spans="2:21" x14ac:dyDescent="0.35">
      <c r="B7551" s="9"/>
      <c r="C7551" s="2"/>
      <c r="D7551" s="2"/>
      <c r="I7551" s="9"/>
      <c r="J7551" s="2"/>
      <c r="L7551" s="9"/>
      <c r="M7551" s="2"/>
      <c r="N7551" s="9"/>
      <c r="P7551" s="3">
        <v>0</v>
      </c>
      <c r="S7551" s="9"/>
      <c r="T7551" s="2"/>
      <c r="U7551" s="9"/>
    </row>
    <row r="7552" spans="2:21" x14ac:dyDescent="0.35">
      <c r="B7552" s="9"/>
      <c r="C7552" s="2"/>
      <c r="D7552" s="2"/>
      <c r="I7552" s="9"/>
      <c r="J7552" s="2"/>
      <c r="L7552" s="9"/>
      <c r="M7552" s="2"/>
      <c r="N7552" s="9"/>
      <c r="P7552" s="3">
        <v>0</v>
      </c>
      <c r="S7552" s="9"/>
      <c r="T7552" s="2"/>
      <c r="U7552" s="9"/>
    </row>
    <row r="7553" spans="2:21" x14ac:dyDescent="0.35">
      <c r="B7553" s="9"/>
      <c r="C7553" s="2"/>
      <c r="D7553" s="2"/>
      <c r="I7553" s="9"/>
      <c r="J7553" s="2"/>
      <c r="L7553" s="9"/>
      <c r="M7553" s="2"/>
      <c r="N7553" s="9"/>
      <c r="P7553" s="3">
        <v>0</v>
      </c>
      <c r="S7553" s="9"/>
      <c r="T7553" s="2"/>
      <c r="U7553" s="9"/>
    </row>
    <row r="7554" spans="2:21" x14ac:dyDescent="0.35">
      <c r="B7554" s="9"/>
      <c r="C7554" s="2"/>
      <c r="D7554" s="2"/>
      <c r="I7554" s="9"/>
      <c r="J7554" s="2"/>
      <c r="L7554" s="9"/>
      <c r="M7554" s="2"/>
      <c r="N7554" s="9"/>
      <c r="P7554" s="3">
        <v>-251.60949199999999</v>
      </c>
      <c r="S7554" s="9"/>
      <c r="T7554" s="2"/>
      <c r="U7554" s="9"/>
    </row>
    <row r="7555" spans="2:21" x14ac:dyDescent="0.35">
      <c r="B7555" s="9"/>
      <c r="C7555" s="2"/>
      <c r="D7555" s="2"/>
      <c r="I7555" s="9"/>
      <c r="J7555" s="2"/>
      <c r="L7555" s="9"/>
      <c r="M7555" s="2"/>
      <c r="N7555" s="9"/>
      <c r="P7555" s="3">
        <v>-686.36949200000004</v>
      </c>
      <c r="S7555" s="9"/>
      <c r="T7555" s="2"/>
      <c r="U7555" s="9"/>
    </row>
    <row r="7556" spans="2:21" x14ac:dyDescent="0.35">
      <c r="B7556" s="9"/>
      <c r="C7556" s="2"/>
      <c r="D7556" s="2"/>
      <c r="I7556" s="9"/>
      <c r="J7556" s="2"/>
      <c r="L7556" s="9"/>
      <c r="M7556" s="2"/>
      <c r="N7556" s="9"/>
      <c r="P7556" s="3">
        <v>-1121.129492</v>
      </c>
      <c r="S7556" s="9"/>
      <c r="T7556" s="2"/>
      <c r="U7556" s="9"/>
    </row>
    <row r="7557" spans="2:21" x14ac:dyDescent="0.35">
      <c r="B7557" s="9"/>
      <c r="C7557" s="2"/>
      <c r="D7557" s="2"/>
      <c r="I7557" s="9"/>
      <c r="J7557" s="2"/>
      <c r="L7557" s="9"/>
      <c r="M7557" s="2"/>
      <c r="N7557" s="9"/>
      <c r="P7557" s="3">
        <v>-1555.889492</v>
      </c>
      <c r="S7557" s="9"/>
      <c r="T7557" s="2"/>
      <c r="U7557" s="9"/>
    </row>
    <row r="7558" spans="2:21" x14ac:dyDescent="0.35">
      <c r="B7558" s="9"/>
      <c r="C7558" s="2"/>
      <c r="D7558" s="2"/>
      <c r="I7558" s="9"/>
      <c r="J7558" s="2"/>
      <c r="L7558" s="9"/>
      <c r="M7558" s="2"/>
      <c r="N7558" s="9"/>
      <c r="P7558" s="3">
        <v>-1990.649492</v>
      </c>
      <c r="S7558" s="9"/>
      <c r="T7558" s="2"/>
      <c r="U7558" s="9"/>
    </row>
    <row r="7559" spans="2:21" x14ac:dyDescent="0.35">
      <c r="B7559" s="9"/>
      <c r="C7559" s="2"/>
      <c r="D7559" s="2"/>
      <c r="I7559" s="9"/>
      <c r="J7559" s="2"/>
      <c r="L7559" s="9"/>
      <c r="M7559" s="2"/>
      <c r="N7559" s="9"/>
      <c r="P7559" s="3">
        <v>-2425.4094919999998</v>
      </c>
      <c r="S7559" s="9"/>
      <c r="T7559" s="2"/>
      <c r="U7559" s="9"/>
    </row>
    <row r="7560" spans="2:21" x14ac:dyDescent="0.35">
      <c r="B7560" s="9"/>
      <c r="C7560" s="2"/>
      <c r="D7560" s="2"/>
      <c r="I7560" s="9"/>
      <c r="J7560" s="2"/>
      <c r="L7560" s="9"/>
      <c r="M7560" s="2"/>
      <c r="N7560" s="9"/>
      <c r="P7560" s="3">
        <v>-2860.169492</v>
      </c>
      <c r="S7560" s="9"/>
      <c r="T7560" s="2"/>
      <c r="U7560" s="9"/>
    </row>
    <row r="7561" spans="2:21" x14ac:dyDescent="0.35">
      <c r="B7561" s="9"/>
      <c r="C7561" s="2"/>
      <c r="D7561" s="2"/>
      <c r="I7561" s="9"/>
      <c r="J7561" s="2"/>
      <c r="L7561" s="9"/>
      <c r="M7561" s="2"/>
      <c r="N7561" s="9"/>
      <c r="P7561" s="3">
        <v>-2860.169492</v>
      </c>
      <c r="S7561" s="9"/>
      <c r="T7561" s="2"/>
      <c r="U7561" s="9"/>
    </row>
    <row r="7562" spans="2:21" x14ac:dyDescent="0.35">
      <c r="B7562" s="9"/>
      <c r="C7562" s="2"/>
      <c r="D7562" s="2"/>
      <c r="I7562" s="9"/>
      <c r="J7562" s="2"/>
      <c r="L7562" s="9"/>
      <c r="M7562" s="2"/>
      <c r="N7562" s="9"/>
      <c r="P7562" s="3">
        <v>-2618.7442129400001</v>
      </c>
      <c r="S7562" s="9"/>
      <c r="T7562" s="2"/>
      <c r="U7562" s="9"/>
    </row>
    <row r="7563" spans="2:21" x14ac:dyDescent="0.35">
      <c r="B7563" s="9"/>
      <c r="C7563" s="2"/>
      <c r="D7563" s="2"/>
      <c r="I7563" s="9"/>
      <c r="J7563" s="2"/>
      <c r="L7563" s="9"/>
      <c r="M7563" s="2"/>
      <c r="N7563" s="9"/>
      <c r="P7563" s="3">
        <v>-2183.9842129399999</v>
      </c>
      <c r="S7563" s="9"/>
      <c r="T7563" s="2"/>
      <c r="U7563" s="9"/>
    </row>
    <row r="7564" spans="2:21" x14ac:dyDescent="0.35">
      <c r="B7564" s="9"/>
      <c r="C7564" s="2"/>
      <c r="D7564" s="2"/>
      <c r="I7564" s="9"/>
      <c r="J7564" s="2"/>
      <c r="L7564" s="9"/>
      <c r="M7564" s="2"/>
      <c r="N7564" s="9"/>
      <c r="P7564" s="3">
        <v>-1749.2242129399999</v>
      </c>
      <c r="S7564" s="9"/>
      <c r="T7564" s="2"/>
      <c r="U7564" s="9"/>
    </row>
    <row r="7565" spans="2:21" x14ac:dyDescent="0.35">
      <c r="B7565" s="9"/>
      <c r="C7565" s="2"/>
      <c r="D7565" s="2"/>
      <c r="I7565" s="9"/>
      <c r="J7565" s="2"/>
      <c r="L7565" s="9"/>
      <c r="M7565" s="2"/>
      <c r="N7565" s="9"/>
      <c r="P7565" s="3">
        <v>-1314.4642129399999</v>
      </c>
      <c r="S7565" s="9"/>
      <c r="T7565" s="2"/>
      <c r="U7565" s="9"/>
    </row>
    <row r="7566" spans="2:21" x14ac:dyDescent="0.35">
      <c r="B7566" s="9"/>
      <c r="C7566" s="2"/>
      <c r="D7566" s="2"/>
      <c r="I7566" s="9"/>
      <c r="J7566" s="2"/>
      <c r="L7566" s="9"/>
      <c r="M7566" s="2"/>
      <c r="N7566" s="9"/>
      <c r="P7566" s="3">
        <v>-984.07442555</v>
      </c>
      <c r="S7566" s="9"/>
      <c r="T7566" s="2"/>
      <c r="U7566" s="9"/>
    </row>
    <row r="7567" spans="2:21" x14ac:dyDescent="0.35">
      <c r="B7567" s="9"/>
      <c r="C7567" s="2"/>
      <c r="D7567" s="2"/>
      <c r="I7567" s="9"/>
      <c r="J7567" s="2"/>
      <c r="L7567" s="9"/>
      <c r="M7567" s="2"/>
      <c r="N7567" s="9"/>
      <c r="P7567" s="3">
        <v>-679.53696554999999</v>
      </c>
      <c r="S7567" s="9"/>
      <c r="T7567" s="2"/>
      <c r="U7567" s="9"/>
    </row>
    <row r="7568" spans="2:21" x14ac:dyDescent="0.35">
      <c r="B7568" s="9"/>
      <c r="C7568" s="2"/>
      <c r="D7568" s="2"/>
      <c r="I7568" s="9"/>
      <c r="J7568" s="2"/>
      <c r="L7568" s="9"/>
      <c r="M7568" s="2"/>
      <c r="N7568" s="9"/>
      <c r="P7568" s="3">
        <v>-505.61678554999997</v>
      </c>
      <c r="S7568" s="9"/>
      <c r="T7568" s="2"/>
      <c r="U7568" s="9"/>
    </row>
    <row r="7569" spans="2:21" x14ac:dyDescent="0.35">
      <c r="B7569" s="9"/>
      <c r="C7569" s="2"/>
      <c r="D7569" s="2"/>
      <c r="I7569" s="9"/>
      <c r="J7569" s="2"/>
      <c r="L7569" s="9"/>
      <c r="M7569" s="2"/>
      <c r="N7569" s="9"/>
      <c r="P7569" s="3">
        <v>-362.05762555000001</v>
      </c>
      <c r="S7569" s="9"/>
      <c r="T7569" s="2"/>
      <c r="U7569" s="9"/>
    </row>
    <row r="7570" spans="2:21" x14ac:dyDescent="0.35">
      <c r="B7570" s="9"/>
      <c r="C7570" s="2"/>
      <c r="D7570" s="2"/>
      <c r="I7570" s="9"/>
      <c r="J7570" s="2"/>
      <c r="L7570" s="9"/>
      <c r="M7570" s="2"/>
      <c r="N7570" s="9"/>
      <c r="P7570" s="3">
        <v>-332.87662555000003</v>
      </c>
      <c r="S7570" s="9"/>
      <c r="T7570" s="2"/>
      <c r="U7570" s="9"/>
    </row>
    <row r="7571" spans="2:21" x14ac:dyDescent="0.35">
      <c r="B7571" s="9"/>
      <c r="C7571" s="2"/>
      <c r="D7571" s="2"/>
      <c r="I7571" s="9"/>
      <c r="J7571" s="2"/>
      <c r="L7571" s="9"/>
      <c r="M7571" s="2"/>
      <c r="N7571" s="9"/>
      <c r="P7571" s="3">
        <v>-227.45520908</v>
      </c>
      <c r="S7571" s="9"/>
      <c r="T7571" s="2"/>
      <c r="U7571" s="9"/>
    </row>
    <row r="7572" spans="2:21" x14ac:dyDescent="0.35">
      <c r="B7572" s="9"/>
      <c r="C7572" s="2"/>
      <c r="D7572" s="2"/>
      <c r="I7572" s="9"/>
      <c r="J7572" s="2"/>
      <c r="L7572" s="9"/>
      <c r="M7572" s="2"/>
      <c r="N7572" s="9"/>
      <c r="P7572" s="3">
        <v>-155.15742259999999</v>
      </c>
      <c r="S7572" s="9"/>
      <c r="T7572" s="2"/>
      <c r="U7572" s="9"/>
    </row>
    <row r="7573" spans="2:21" x14ac:dyDescent="0.35">
      <c r="B7573" s="9"/>
      <c r="C7573" s="2"/>
      <c r="D7573" s="2"/>
      <c r="I7573" s="9"/>
      <c r="J7573" s="2"/>
      <c r="L7573" s="9"/>
      <c r="M7573" s="2"/>
      <c r="N7573" s="9"/>
      <c r="P7573" s="3">
        <v>-122.54893015</v>
      </c>
      <c r="S7573" s="9"/>
      <c r="T7573" s="2"/>
      <c r="U7573" s="9"/>
    </row>
    <row r="7574" spans="2:21" x14ac:dyDescent="0.35">
      <c r="B7574" s="9"/>
      <c r="C7574" s="2"/>
      <c r="D7574" s="2"/>
      <c r="I7574" s="9"/>
      <c r="J7574" s="2"/>
      <c r="L7574" s="9"/>
      <c r="M7574" s="2"/>
      <c r="N7574" s="9"/>
      <c r="P7574" s="3">
        <v>-247.93644366999999</v>
      </c>
      <c r="S7574" s="9"/>
      <c r="T7574" s="2"/>
      <c r="U7574" s="9"/>
    </row>
    <row r="7575" spans="2:21" x14ac:dyDescent="0.35">
      <c r="B7575" s="9"/>
      <c r="C7575" s="2"/>
      <c r="D7575" s="2"/>
      <c r="I7575" s="9"/>
      <c r="J7575" s="2"/>
      <c r="L7575" s="9"/>
      <c r="M7575" s="2"/>
      <c r="N7575" s="9"/>
      <c r="P7575" s="3">
        <v>0</v>
      </c>
      <c r="S7575" s="9"/>
      <c r="T7575" s="2"/>
      <c r="U7575" s="9"/>
    </row>
    <row r="7576" spans="2:21" x14ac:dyDescent="0.35">
      <c r="B7576" s="9"/>
      <c r="C7576" s="2"/>
      <c r="D7576" s="2"/>
      <c r="I7576" s="9"/>
      <c r="J7576" s="2"/>
      <c r="L7576" s="9"/>
      <c r="M7576" s="2"/>
      <c r="N7576" s="9"/>
      <c r="P7576" s="3">
        <v>0</v>
      </c>
      <c r="S7576" s="9"/>
      <c r="T7576" s="2"/>
      <c r="U7576" s="9"/>
    </row>
    <row r="7577" spans="2:21" x14ac:dyDescent="0.35">
      <c r="B7577" s="9"/>
      <c r="C7577" s="2"/>
      <c r="D7577" s="2"/>
      <c r="I7577" s="9"/>
      <c r="J7577" s="2"/>
      <c r="L7577" s="9"/>
      <c r="M7577" s="2"/>
      <c r="N7577" s="9"/>
      <c r="P7577" s="3">
        <v>-251.60949199999999</v>
      </c>
      <c r="S7577" s="9"/>
      <c r="T7577" s="2"/>
      <c r="U7577" s="9"/>
    </row>
    <row r="7578" spans="2:21" x14ac:dyDescent="0.35">
      <c r="B7578" s="9"/>
      <c r="C7578" s="2"/>
      <c r="D7578" s="2"/>
      <c r="I7578" s="9"/>
      <c r="J7578" s="2"/>
      <c r="L7578" s="9"/>
      <c r="M7578" s="2"/>
      <c r="N7578" s="9"/>
      <c r="P7578" s="3">
        <v>-686.36949200000004</v>
      </c>
      <c r="S7578" s="9"/>
      <c r="T7578" s="2"/>
      <c r="U7578" s="9"/>
    </row>
    <row r="7579" spans="2:21" x14ac:dyDescent="0.35">
      <c r="B7579" s="9"/>
      <c r="C7579" s="2"/>
      <c r="D7579" s="2"/>
      <c r="I7579" s="9"/>
      <c r="J7579" s="2"/>
      <c r="L7579" s="9"/>
      <c r="M7579" s="2"/>
      <c r="N7579" s="9"/>
      <c r="P7579" s="3">
        <v>-1121.129492</v>
      </c>
      <c r="S7579" s="9"/>
      <c r="T7579" s="2"/>
      <c r="U7579" s="9"/>
    </row>
    <row r="7580" spans="2:21" x14ac:dyDescent="0.35">
      <c r="B7580" s="9"/>
      <c r="C7580" s="2"/>
      <c r="D7580" s="2"/>
      <c r="I7580" s="9"/>
      <c r="J7580" s="2"/>
      <c r="L7580" s="9"/>
      <c r="M7580" s="2"/>
      <c r="N7580" s="9"/>
      <c r="P7580" s="3">
        <v>-1555.889492</v>
      </c>
      <c r="S7580" s="9"/>
      <c r="T7580" s="2"/>
      <c r="U7580" s="9"/>
    </row>
    <row r="7581" spans="2:21" x14ac:dyDescent="0.35">
      <c r="B7581" s="9"/>
      <c r="C7581" s="2"/>
      <c r="D7581" s="2"/>
      <c r="I7581" s="9"/>
      <c r="J7581" s="2"/>
      <c r="L7581" s="9"/>
      <c r="M7581" s="2"/>
      <c r="N7581" s="9"/>
      <c r="P7581" s="3">
        <v>-1990.649492</v>
      </c>
      <c r="S7581" s="9"/>
      <c r="T7581" s="2"/>
      <c r="U7581" s="9"/>
    </row>
    <row r="7582" spans="2:21" x14ac:dyDescent="0.35">
      <c r="B7582" s="9"/>
      <c r="C7582" s="2"/>
      <c r="D7582" s="2"/>
      <c r="I7582" s="9"/>
      <c r="J7582" s="2"/>
      <c r="L7582" s="9"/>
      <c r="M7582" s="2"/>
      <c r="N7582" s="9"/>
      <c r="P7582" s="3">
        <v>-2425.4094919999998</v>
      </c>
      <c r="S7582" s="9"/>
      <c r="T7582" s="2"/>
      <c r="U7582" s="9"/>
    </row>
    <row r="7583" spans="2:21" x14ac:dyDescent="0.35">
      <c r="B7583" s="9"/>
      <c r="C7583" s="2"/>
      <c r="D7583" s="2"/>
      <c r="I7583" s="9"/>
      <c r="J7583" s="2"/>
      <c r="L7583" s="9"/>
      <c r="M7583" s="2"/>
      <c r="N7583" s="9"/>
      <c r="P7583" s="3">
        <v>-2860.169492</v>
      </c>
      <c r="S7583" s="9"/>
      <c r="T7583" s="2"/>
      <c r="U7583" s="9"/>
    </row>
    <row r="7584" spans="2:21" x14ac:dyDescent="0.35">
      <c r="B7584" s="9"/>
      <c r="C7584" s="2"/>
      <c r="D7584" s="2"/>
      <c r="I7584" s="9"/>
      <c r="J7584" s="2"/>
      <c r="L7584" s="9"/>
      <c r="M7584" s="2"/>
      <c r="N7584" s="9"/>
      <c r="P7584" s="3">
        <v>-2860.169492</v>
      </c>
      <c r="S7584" s="9"/>
      <c r="T7584" s="2"/>
      <c r="U7584" s="9"/>
    </row>
    <row r="7585" spans="2:21" x14ac:dyDescent="0.35">
      <c r="B7585" s="9"/>
      <c r="C7585" s="2"/>
      <c r="D7585" s="2"/>
      <c r="I7585" s="9"/>
      <c r="J7585" s="2"/>
      <c r="L7585" s="9"/>
      <c r="M7585" s="2"/>
      <c r="N7585" s="9"/>
      <c r="P7585" s="3">
        <v>-2860.169492</v>
      </c>
      <c r="S7585" s="9"/>
      <c r="T7585" s="2"/>
      <c r="U7585" s="9"/>
    </row>
    <row r="7586" spans="2:21" x14ac:dyDescent="0.35">
      <c r="B7586" s="9"/>
      <c r="C7586" s="2"/>
      <c r="D7586" s="2"/>
      <c r="I7586" s="9"/>
      <c r="J7586" s="2"/>
      <c r="L7586" s="9"/>
      <c r="M7586" s="2"/>
      <c r="N7586" s="9"/>
      <c r="P7586" s="3">
        <v>-2860.169492</v>
      </c>
      <c r="S7586" s="9"/>
      <c r="T7586" s="2"/>
      <c r="U7586" s="9"/>
    </row>
    <row r="7587" spans="2:21" x14ac:dyDescent="0.35">
      <c r="B7587" s="9"/>
      <c r="C7587" s="2"/>
      <c r="D7587" s="2"/>
      <c r="I7587" s="9"/>
      <c r="J7587" s="2"/>
      <c r="L7587" s="9"/>
      <c r="M7587" s="2"/>
      <c r="N7587" s="9"/>
      <c r="P7587" s="3">
        <v>-2860.169492</v>
      </c>
      <c r="S7587" s="9"/>
      <c r="T7587" s="2"/>
      <c r="U7587" s="9"/>
    </row>
    <row r="7588" spans="2:21" x14ac:dyDescent="0.35">
      <c r="B7588" s="9"/>
      <c r="C7588" s="2"/>
      <c r="D7588" s="2"/>
      <c r="I7588" s="9"/>
      <c r="J7588" s="2"/>
      <c r="L7588" s="9"/>
      <c r="M7588" s="2"/>
      <c r="N7588" s="9"/>
      <c r="P7588" s="3">
        <v>-2860.169492</v>
      </c>
      <c r="S7588" s="9"/>
      <c r="T7588" s="2"/>
      <c r="U7588" s="9"/>
    </row>
    <row r="7589" spans="2:21" x14ac:dyDescent="0.35">
      <c r="B7589" s="9"/>
      <c r="C7589" s="2"/>
      <c r="D7589" s="2"/>
      <c r="I7589" s="9"/>
      <c r="J7589" s="2"/>
      <c r="L7589" s="9"/>
      <c r="M7589" s="2"/>
      <c r="N7589" s="9"/>
      <c r="P7589" s="3">
        <v>-2860.169492</v>
      </c>
      <c r="S7589" s="9"/>
      <c r="T7589" s="2"/>
      <c r="U7589" s="9"/>
    </row>
    <row r="7590" spans="2:21" x14ac:dyDescent="0.35">
      <c r="B7590" s="9"/>
      <c r="C7590" s="2"/>
      <c r="D7590" s="2"/>
      <c r="I7590" s="9"/>
      <c r="J7590" s="2"/>
      <c r="L7590" s="9"/>
      <c r="M7590" s="2"/>
      <c r="N7590" s="9"/>
      <c r="P7590" s="3">
        <v>-2860.169492</v>
      </c>
      <c r="S7590" s="9"/>
      <c r="T7590" s="2"/>
      <c r="U7590" s="9"/>
    </row>
    <row r="7591" spans="2:21" x14ac:dyDescent="0.35">
      <c r="B7591" s="9"/>
      <c r="C7591" s="2"/>
      <c r="D7591" s="2"/>
      <c r="I7591" s="9"/>
      <c r="J7591" s="2"/>
      <c r="L7591" s="9"/>
      <c r="M7591" s="2"/>
      <c r="N7591" s="9"/>
      <c r="P7591" s="3">
        <v>-2860.169492</v>
      </c>
      <c r="S7591" s="9"/>
      <c r="T7591" s="2"/>
      <c r="U7591" s="9"/>
    </row>
    <row r="7592" spans="2:21" x14ac:dyDescent="0.35">
      <c r="B7592" s="9"/>
      <c r="C7592" s="2"/>
      <c r="D7592" s="2"/>
      <c r="I7592" s="9"/>
      <c r="J7592" s="2"/>
      <c r="L7592" s="9"/>
      <c r="M7592" s="2"/>
      <c r="N7592" s="9"/>
      <c r="P7592" s="3">
        <v>-2860.169492</v>
      </c>
      <c r="S7592" s="9"/>
      <c r="T7592" s="2"/>
      <c r="U7592" s="9"/>
    </row>
    <row r="7593" spans="2:21" x14ac:dyDescent="0.35">
      <c r="B7593" s="9"/>
      <c r="C7593" s="2"/>
      <c r="D7593" s="2"/>
      <c r="I7593" s="9"/>
      <c r="J7593" s="2"/>
      <c r="L7593" s="9"/>
      <c r="M7593" s="2"/>
      <c r="N7593" s="9"/>
      <c r="P7593" s="3">
        <v>-2860.169492</v>
      </c>
      <c r="S7593" s="9"/>
      <c r="T7593" s="2"/>
      <c r="U7593" s="9"/>
    </row>
    <row r="7594" spans="2:21" x14ac:dyDescent="0.35">
      <c r="B7594" s="9"/>
      <c r="C7594" s="2"/>
      <c r="D7594" s="2"/>
      <c r="I7594" s="9"/>
      <c r="J7594" s="2"/>
      <c r="L7594" s="9"/>
      <c r="M7594" s="2"/>
      <c r="N7594" s="9"/>
      <c r="P7594" s="3">
        <v>-2860.169492</v>
      </c>
      <c r="S7594" s="9"/>
      <c r="T7594" s="2"/>
      <c r="U7594" s="9"/>
    </row>
    <row r="7595" spans="2:21" x14ac:dyDescent="0.35">
      <c r="B7595" s="9"/>
      <c r="C7595" s="2"/>
      <c r="D7595" s="2"/>
      <c r="I7595" s="9"/>
      <c r="J7595" s="2"/>
      <c r="L7595" s="9"/>
      <c r="M7595" s="2"/>
      <c r="N7595" s="9"/>
      <c r="P7595" s="3">
        <v>-2860.169492</v>
      </c>
      <c r="S7595" s="9"/>
      <c r="T7595" s="2"/>
      <c r="U7595" s="9"/>
    </row>
    <row r="7596" spans="2:21" x14ac:dyDescent="0.35">
      <c r="B7596" s="9"/>
      <c r="C7596" s="2"/>
      <c r="D7596" s="2"/>
      <c r="I7596" s="9"/>
      <c r="J7596" s="2"/>
      <c r="L7596" s="9"/>
      <c r="M7596" s="2"/>
      <c r="N7596" s="9"/>
      <c r="P7596" s="3">
        <v>-2860.169492</v>
      </c>
      <c r="S7596" s="9"/>
      <c r="T7596" s="2"/>
      <c r="U7596" s="9"/>
    </row>
    <row r="7597" spans="2:21" x14ac:dyDescent="0.35">
      <c r="B7597" s="9"/>
      <c r="C7597" s="2"/>
      <c r="D7597" s="2"/>
      <c r="I7597" s="9"/>
      <c r="J7597" s="2"/>
      <c r="L7597" s="9"/>
      <c r="M7597" s="2"/>
      <c r="N7597" s="9"/>
      <c r="P7597" s="3">
        <v>-2860.169492</v>
      </c>
      <c r="S7597" s="9"/>
      <c r="T7597" s="2"/>
      <c r="U7597" s="9"/>
    </row>
    <row r="7598" spans="2:21" x14ac:dyDescent="0.35">
      <c r="B7598" s="9"/>
      <c r="C7598" s="2"/>
      <c r="D7598" s="2"/>
      <c r="I7598" s="9"/>
      <c r="J7598" s="2"/>
      <c r="L7598" s="9"/>
      <c r="M7598" s="2"/>
      <c r="N7598" s="9"/>
      <c r="P7598" s="3">
        <v>-2860.169492</v>
      </c>
      <c r="S7598" s="9"/>
      <c r="T7598" s="2"/>
      <c r="U7598" s="9"/>
    </row>
    <row r="7599" spans="2:21" x14ac:dyDescent="0.35">
      <c r="B7599" s="9"/>
      <c r="C7599" s="2"/>
      <c r="D7599" s="2"/>
      <c r="I7599" s="9"/>
      <c r="J7599" s="2"/>
      <c r="L7599" s="9"/>
      <c r="M7599" s="2"/>
      <c r="N7599" s="9"/>
      <c r="P7599" s="3">
        <v>-2860.169492</v>
      </c>
      <c r="S7599" s="9"/>
      <c r="T7599" s="2"/>
      <c r="U7599" s="9"/>
    </row>
    <row r="7600" spans="2:21" x14ac:dyDescent="0.35">
      <c r="B7600" s="9"/>
      <c r="C7600" s="2"/>
      <c r="D7600" s="2"/>
      <c r="I7600" s="9"/>
      <c r="J7600" s="2"/>
      <c r="L7600" s="9"/>
      <c r="M7600" s="2"/>
      <c r="N7600" s="9"/>
      <c r="P7600" s="3">
        <v>-2860.169492</v>
      </c>
      <c r="S7600" s="9"/>
      <c r="T7600" s="2"/>
      <c r="U7600" s="9"/>
    </row>
    <row r="7601" spans="2:21" x14ac:dyDescent="0.35">
      <c r="B7601" s="9"/>
      <c r="C7601" s="2"/>
      <c r="D7601" s="2"/>
      <c r="I7601" s="9"/>
      <c r="J7601" s="2"/>
      <c r="L7601" s="9"/>
      <c r="M7601" s="2"/>
      <c r="N7601" s="9"/>
      <c r="P7601" s="3">
        <v>-2425.4094919999998</v>
      </c>
      <c r="S7601" s="9"/>
      <c r="T7601" s="2"/>
      <c r="U7601" s="9"/>
    </row>
    <row r="7602" spans="2:21" x14ac:dyDescent="0.35">
      <c r="B7602" s="9"/>
      <c r="C7602" s="2"/>
      <c r="D7602" s="2"/>
      <c r="I7602" s="9"/>
      <c r="J7602" s="2"/>
      <c r="L7602" s="9"/>
      <c r="M7602" s="2"/>
      <c r="N7602" s="9"/>
      <c r="P7602" s="3">
        <v>-1990.649492</v>
      </c>
      <c r="S7602" s="9"/>
      <c r="T7602" s="2"/>
      <c r="U7602" s="9"/>
    </row>
    <row r="7603" spans="2:21" x14ac:dyDescent="0.35">
      <c r="B7603" s="9"/>
      <c r="C7603" s="2"/>
      <c r="D7603" s="2"/>
      <c r="I7603" s="9"/>
      <c r="J7603" s="2"/>
      <c r="L7603" s="9"/>
      <c r="M7603" s="2"/>
      <c r="N7603" s="9"/>
      <c r="P7603" s="3">
        <v>-1862.14174697</v>
      </c>
      <c r="S7603" s="9"/>
      <c r="T7603" s="2"/>
      <c r="U7603" s="9"/>
    </row>
    <row r="7604" spans="2:21" x14ac:dyDescent="0.35">
      <c r="B7604" s="9"/>
      <c r="C7604" s="2"/>
      <c r="D7604" s="2"/>
      <c r="I7604" s="9"/>
      <c r="J7604" s="2"/>
      <c r="L7604" s="9"/>
      <c r="M7604" s="2"/>
      <c r="N7604" s="9"/>
      <c r="P7604" s="3">
        <v>-2296.9017469700002</v>
      </c>
      <c r="S7604" s="9"/>
      <c r="T7604" s="2"/>
      <c r="U7604" s="9"/>
    </row>
    <row r="7605" spans="2:21" x14ac:dyDescent="0.35">
      <c r="B7605" s="9"/>
      <c r="C7605" s="2"/>
      <c r="D7605" s="2"/>
      <c r="I7605" s="9"/>
      <c r="J7605" s="2"/>
      <c r="L7605" s="9"/>
      <c r="M7605" s="2"/>
      <c r="N7605" s="9"/>
      <c r="P7605" s="3">
        <v>-2731.66174697</v>
      </c>
      <c r="S7605" s="9"/>
      <c r="T7605" s="2"/>
      <c r="U7605" s="9"/>
    </row>
    <row r="7606" spans="2:21" x14ac:dyDescent="0.35">
      <c r="B7606" s="9"/>
      <c r="C7606" s="2"/>
      <c r="D7606" s="2"/>
      <c r="I7606" s="9"/>
      <c r="J7606" s="2"/>
      <c r="L7606" s="9"/>
      <c r="M7606" s="2"/>
      <c r="N7606" s="9"/>
      <c r="P7606" s="3">
        <v>-2478.1917469700002</v>
      </c>
      <c r="S7606" s="9"/>
      <c r="T7606" s="2"/>
      <c r="U7606" s="9"/>
    </row>
    <row r="7607" spans="2:21" x14ac:dyDescent="0.35">
      <c r="B7607" s="9"/>
      <c r="C7607" s="2"/>
      <c r="D7607" s="2"/>
      <c r="I7607" s="9"/>
      <c r="J7607" s="2"/>
      <c r="L7607" s="9"/>
      <c r="M7607" s="2"/>
      <c r="N7607" s="9"/>
      <c r="P7607" s="3">
        <v>-2084.7019369700001</v>
      </c>
      <c r="S7607" s="9"/>
      <c r="T7607" s="2"/>
      <c r="U7607" s="9"/>
    </row>
    <row r="7608" spans="2:21" x14ac:dyDescent="0.35">
      <c r="B7608" s="9"/>
      <c r="C7608" s="2"/>
      <c r="D7608" s="2"/>
      <c r="I7608" s="9"/>
      <c r="J7608" s="2"/>
      <c r="L7608" s="9"/>
      <c r="M7608" s="2"/>
      <c r="N7608" s="9"/>
      <c r="P7608" s="3">
        <v>-1650.26997697</v>
      </c>
      <c r="S7608" s="9"/>
      <c r="T7608" s="2"/>
      <c r="U7608" s="9"/>
    </row>
    <row r="7609" spans="2:21" x14ac:dyDescent="0.35">
      <c r="B7609" s="9"/>
      <c r="C7609" s="2"/>
      <c r="D7609" s="2"/>
      <c r="I7609" s="9"/>
      <c r="J7609" s="2"/>
      <c r="L7609" s="9"/>
      <c r="M7609" s="2"/>
      <c r="N7609" s="9"/>
      <c r="P7609" s="3">
        <v>-1541.2164077299999</v>
      </c>
      <c r="S7609" s="9"/>
      <c r="T7609" s="2"/>
      <c r="U7609" s="9"/>
    </row>
    <row r="7610" spans="2:21" x14ac:dyDescent="0.35">
      <c r="B7610" s="9"/>
      <c r="C7610" s="2"/>
      <c r="D7610" s="2"/>
      <c r="I7610" s="9"/>
      <c r="J7610" s="2"/>
      <c r="L7610" s="9"/>
      <c r="M7610" s="2"/>
      <c r="N7610" s="9"/>
      <c r="P7610" s="3">
        <v>-1302.69636823</v>
      </c>
      <c r="S7610" s="9"/>
      <c r="T7610" s="2"/>
      <c r="U7610" s="9"/>
    </row>
    <row r="7611" spans="2:21" x14ac:dyDescent="0.35">
      <c r="B7611" s="9"/>
      <c r="C7611" s="2"/>
      <c r="D7611" s="2"/>
      <c r="I7611" s="9"/>
      <c r="J7611" s="2"/>
      <c r="L7611" s="9"/>
      <c r="M7611" s="2"/>
      <c r="N7611" s="9"/>
      <c r="P7611" s="3">
        <v>-1109.4771186</v>
      </c>
      <c r="S7611" s="9"/>
      <c r="T7611" s="2"/>
      <c r="U7611" s="9"/>
    </row>
    <row r="7612" spans="2:21" x14ac:dyDescent="0.35">
      <c r="B7612" s="9"/>
      <c r="C7612" s="2"/>
      <c r="D7612" s="2"/>
      <c r="I7612" s="9"/>
      <c r="J7612" s="2"/>
      <c r="L7612" s="9"/>
      <c r="M7612" s="2"/>
      <c r="N7612" s="9"/>
      <c r="P7612" s="3">
        <v>-864.10831886000005</v>
      </c>
      <c r="S7612" s="9"/>
      <c r="T7612" s="2"/>
      <c r="U7612" s="9"/>
    </row>
    <row r="7613" spans="2:21" x14ac:dyDescent="0.35">
      <c r="B7613" s="9"/>
      <c r="C7613" s="2"/>
      <c r="D7613" s="2"/>
      <c r="I7613" s="9"/>
      <c r="J7613" s="2"/>
      <c r="L7613" s="9"/>
      <c r="M7613" s="2"/>
      <c r="N7613" s="9"/>
      <c r="P7613" s="3">
        <v>-767.68108886000005</v>
      </c>
      <c r="S7613" s="9"/>
      <c r="T7613" s="2"/>
      <c r="U7613" s="9"/>
    </row>
    <row r="7614" spans="2:21" x14ac:dyDescent="0.35">
      <c r="B7614" s="9"/>
      <c r="C7614" s="2"/>
      <c r="D7614" s="2"/>
      <c r="I7614" s="9"/>
      <c r="J7614" s="2"/>
      <c r="L7614" s="9"/>
      <c r="M7614" s="2"/>
      <c r="N7614" s="9"/>
      <c r="P7614" s="3">
        <v>-631.55668742</v>
      </c>
      <c r="S7614" s="9"/>
      <c r="T7614" s="2"/>
      <c r="U7614" s="9"/>
    </row>
    <row r="7615" spans="2:21" x14ac:dyDescent="0.35">
      <c r="B7615" s="9"/>
      <c r="C7615" s="2"/>
      <c r="D7615" s="2"/>
      <c r="I7615" s="9"/>
      <c r="J7615" s="2"/>
      <c r="L7615" s="9"/>
      <c r="M7615" s="2"/>
      <c r="N7615" s="9"/>
      <c r="P7615" s="3">
        <v>-488.35749742000002</v>
      </c>
      <c r="S7615" s="9"/>
      <c r="T7615" s="2"/>
      <c r="U7615" s="9"/>
    </row>
    <row r="7616" spans="2:21" x14ac:dyDescent="0.35">
      <c r="B7616" s="9"/>
      <c r="C7616" s="2"/>
      <c r="D7616" s="2"/>
      <c r="I7616" s="9"/>
      <c r="J7616" s="2"/>
      <c r="L7616" s="9"/>
      <c r="M7616" s="2"/>
      <c r="N7616" s="9"/>
      <c r="P7616" s="3">
        <v>-382.62784742000002</v>
      </c>
      <c r="S7616" s="9"/>
      <c r="T7616" s="2"/>
      <c r="U7616" s="9"/>
    </row>
    <row r="7617" spans="2:21" x14ac:dyDescent="0.35">
      <c r="B7617" s="9"/>
      <c r="C7617" s="2"/>
      <c r="D7617" s="2"/>
      <c r="I7617" s="9"/>
      <c r="J7617" s="2"/>
      <c r="L7617" s="9"/>
      <c r="M7617" s="2"/>
      <c r="N7617" s="9"/>
      <c r="P7617" s="3">
        <v>-360.10096742000002</v>
      </c>
      <c r="S7617" s="9"/>
      <c r="T7617" s="2"/>
      <c r="U7617" s="9"/>
    </row>
    <row r="7618" spans="2:21" x14ac:dyDescent="0.35">
      <c r="B7618" s="9"/>
      <c r="C7618" s="2"/>
      <c r="D7618" s="2"/>
      <c r="I7618" s="9"/>
      <c r="J7618" s="2"/>
      <c r="L7618" s="9"/>
      <c r="M7618" s="2"/>
      <c r="N7618" s="9"/>
      <c r="P7618" s="3">
        <v>-434.55724742000001</v>
      </c>
      <c r="S7618" s="9"/>
      <c r="T7618" s="2"/>
      <c r="U7618" s="9"/>
    </row>
    <row r="7619" spans="2:21" x14ac:dyDescent="0.35">
      <c r="B7619" s="9"/>
      <c r="C7619" s="2"/>
      <c r="D7619" s="2"/>
      <c r="I7619" s="9"/>
      <c r="J7619" s="2"/>
      <c r="L7619" s="9"/>
      <c r="M7619" s="2"/>
      <c r="N7619" s="9"/>
      <c r="P7619" s="3">
        <v>-460.78474094000001</v>
      </c>
      <c r="S7619" s="9"/>
      <c r="T7619" s="2"/>
      <c r="U7619" s="9"/>
    </row>
    <row r="7620" spans="2:21" x14ac:dyDescent="0.35">
      <c r="B7620" s="9"/>
      <c r="C7620" s="2"/>
      <c r="D7620" s="2"/>
      <c r="I7620" s="9"/>
      <c r="J7620" s="2"/>
      <c r="L7620" s="9"/>
      <c r="M7620" s="2"/>
      <c r="N7620" s="9"/>
      <c r="P7620" s="3">
        <v>-398.73651446000002</v>
      </c>
      <c r="S7620" s="9"/>
      <c r="T7620" s="2"/>
      <c r="U7620" s="9"/>
    </row>
    <row r="7621" spans="2:21" x14ac:dyDescent="0.35">
      <c r="B7621" s="9"/>
      <c r="C7621" s="2"/>
      <c r="D7621" s="2"/>
      <c r="I7621" s="9"/>
      <c r="J7621" s="2"/>
      <c r="L7621" s="9"/>
      <c r="M7621" s="2"/>
      <c r="N7621" s="9"/>
      <c r="P7621" s="3">
        <v>-241.37179201000001</v>
      </c>
      <c r="S7621" s="9"/>
      <c r="T7621" s="2"/>
      <c r="U7621" s="9"/>
    </row>
    <row r="7622" spans="2:21" x14ac:dyDescent="0.35">
      <c r="B7622" s="9"/>
      <c r="C7622" s="2"/>
      <c r="D7622" s="2"/>
      <c r="I7622" s="9"/>
      <c r="J7622" s="2"/>
      <c r="L7622" s="9"/>
      <c r="M7622" s="2"/>
      <c r="N7622" s="9"/>
      <c r="P7622" s="3">
        <v>-13.087005530000001</v>
      </c>
      <c r="S7622" s="9"/>
      <c r="T7622" s="2"/>
      <c r="U7622" s="9"/>
    </row>
    <row r="7623" spans="2:21" x14ac:dyDescent="0.35">
      <c r="B7623" s="9"/>
      <c r="C7623" s="2"/>
      <c r="D7623" s="2"/>
      <c r="I7623" s="9"/>
      <c r="J7623" s="2"/>
      <c r="L7623" s="9"/>
      <c r="M7623" s="2"/>
      <c r="N7623" s="9"/>
      <c r="P7623" s="3">
        <v>-325.75325552999999</v>
      </c>
      <c r="S7623" s="9"/>
      <c r="T7623" s="2"/>
      <c r="U7623" s="9"/>
    </row>
    <row r="7624" spans="2:21" x14ac:dyDescent="0.35">
      <c r="B7624" s="9"/>
      <c r="C7624" s="2"/>
      <c r="D7624" s="2"/>
      <c r="I7624" s="9"/>
      <c r="J7624" s="2"/>
      <c r="L7624" s="9"/>
      <c r="M7624" s="2"/>
      <c r="N7624" s="9"/>
      <c r="P7624" s="3">
        <v>-760.51325553000004</v>
      </c>
      <c r="S7624" s="9"/>
      <c r="T7624" s="2"/>
      <c r="U7624" s="9"/>
    </row>
    <row r="7625" spans="2:21" x14ac:dyDescent="0.35">
      <c r="B7625" s="9"/>
      <c r="C7625" s="2"/>
      <c r="D7625" s="2"/>
      <c r="I7625" s="9"/>
      <c r="J7625" s="2"/>
      <c r="L7625" s="9"/>
      <c r="M7625" s="2"/>
      <c r="N7625" s="9"/>
      <c r="P7625" s="3">
        <v>-1195.2732555299999</v>
      </c>
      <c r="S7625" s="9"/>
      <c r="T7625" s="2"/>
      <c r="U7625" s="9"/>
    </row>
    <row r="7626" spans="2:21" x14ac:dyDescent="0.35">
      <c r="B7626" s="9"/>
      <c r="C7626" s="2"/>
      <c r="D7626" s="2"/>
      <c r="I7626" s="9"/>
      <c r="J7626" s="2"/>
      <c r="L7626" s="9"/>
      <c r="M7626" s="2"/>
      <c r="N7626" s="9"/>
      <c r="P7626" s="3">
        <v>-1449.07194553</v>
      </c>
      <c r="S7626" s="9"/>
      <c r="T7626" s="2"/>
      <c r="U7626" s="9"/>
    </row>
    <row r="7627" spans="2:21" x14ac:dyDescent="0.35">
      <c r="B7627" s="9"/>
      <c r="C7627" s="2"/>
      <c r="D7627" s="2"/>
      <c r="I7627" s="9"/>
      <c r="J7627" s="2"/>
      <c r="L7627" s="9"/>
      <c r="M7627" s="2"/>
      <c r="N7627" s="9"/>
      <c r="P7627" s="3">
        <v>-1350.61974541</v>
      </c>
      <c r="S7627" s="9"/>
      <c r="T7627" s="2"/>
      <c r="U7627" s="9"/>
    </row>
    <row r="7628" spans="2:21" x14ac:dyDescent="0.35">
      <c r="B7628" s="9"/>
      <c r="C7628" s="2"/>
      <c r="D7628" s="2"/>
      <c r="I7628" s="9"/>
      <c r="J7628" s="2"/>
      <c r="L7628" s="9"/>
      <c r="M7628" s="2"/>
      <c r="N7628" s="9"/>
      <c r="P7628" s="3">
        <v>-1230.87758553</v>
      </c>
      <c r="S7628" s="9"/>
      <c r="T7628" s="2"/>
      <c r="U7628" s="9"/>
    </row>
    <row r="7629" spans="2:21" x14ac:dyDescent="0.35">
      <c r="B7629" s="9"/>
      <c r="C7629" s="2"/>
      <c r="D7629" s="2"/>
      <c r="I7629" s="9"/>
      <c r="J7629" s="2"/>
      <c r="L7629" s="9"/>
      <c r="M7629" s="2"/>
      <c r="N7629" s="9"/>
      <c r="P7629" s="3">
        <v>-1145.12804553</v>
      </c>
      <c r="S7629" s="9"/>
      <c r="T7629" s="2"/>
      <c r="U7629" s="9"/>
    </row>
    <row r="7630" spans="2:21" x14ac:dyDescent="0.35">
      <c r="B7630" s="9"/>
      <c r="C7630" s="2"/>
      <c r="D7630" s="2"/>
      <c r="I7630" s="9"/>
      <c r="J7630" s="2"/>
      <c r="L7630" s="9"/>
      <c r="M7630" s="2"/>
      <c r="N7630" s="9"/>
      <c r="P7630" s="3">
        <v>-1073.43650553</v>
      </c>
      <c r="S7630" s="9"/>
      <c r="T7630" s="2"/>
      <c r="U7630" s="9"/>
    </row>
    <row r="7631" spans="2:21" x14ac:dyDescent="0.35">
      <c r="B7631" s="9"/>
      <c r="C7631" s="2"/>
      <c r="D7631" s="2"/>
      <c r="I7631" s="9"/>
      <c r="J7631" s="2"/>
      <c r="L7631" s="9"/>
      <c r="M7631" s="2"/>
      <c r="N7631" s="9"/>
      <c r="P7631" s="3">
        <v>-1112.5354955299999</v>
      </c>
      <c r="S7631" s="9"/>
      <c r="T7631" s="2"/>
      <c r="U7631" s="9"/>
    </row>
    <row r="7632" spans="2:21" x14ac:dyDescent="0.35">
      <c r="B7632" s="9"/>
      <c r="C7632" s="2"/>
      <c r="D7632" s="2"/>
      <c r="I7632" s="9"/>
      <c r="J7632" s="2"/>
      <c r="L7632" s="9"/>
      <c r="M7632" s="2"/>
      <c r="N7632" s="9"/>
      <c r="P7632" s="3">
        <v>-1412.89389553</v>
      </c>
      <c r="S7632" s="9"/>
      <c r="T7632" s="2"/>
      <c r="U7632" s="9"/>
    </row>
    <row r="7633" spans="2:21" x14ac:dyDescent="0.35">
      <c r="B7633" s="9"/>
      <c r="C7633" s="2"/>
      <c r="D7633" s="2"/>
      <c r="I7633" s="9"/>
      <c r="J7633" s="2"/>
      <c r="L7633" s="9"/>
      <c r="M7633" s="2"/>
      <c r="N7633" s="9"/>
      <c r="P7633" s="3">
        <v>-1847.65389553</v>
      </c>
      <c r="S7633" s="9"/>
      <c r="T7633" s="2"/>
      <c r="U7633" s="9"/>
    </row>
    <row r="7634" spans="2:21" x14ac:dyDescent="0.35">
      <c r="B7634" s="9"/>
      <c r="C7634" s="2"/>
      <c r="D7634" s="2"/>
      <c r="I7634" s="9"/>
      <c r="J7634" s="2"/>
      <c r="L7634" s="9"/>
      <c r="M7634" s="2"/>
      <c r="N7634" s="9"/>
      <c r="P7634" s="3">
        <v>-2282.41389553</v>
      </c>
      <c r="S7634" s="9"/>
      <c r="T7634" s="2"/>
      <c r="U7634" s="9"/>
    </row>
    <row r="7635" spans="2:21" x14ac:dyDescent="0.35">
      <c r="B7635" s="9"/>
      <c r="C7635" s="2"/>
      <c r="D7635" s="2"/>
      <c r="I7635" s="9"/>
      <c r="J7635" s="2"/>
      <c r="L7635" s="9"/>
      <c r="M7635" s="2"/>
      <c r="N7635" s="9"/>
      <c r="P7635" s="3">
        <v>-2396.61161717</v>
      </c>
      <c r="S7635" s="9"/>
      <c r="T7635" s="2"/>
      <c r="U7635" s="9"/>
    </row>
    <row r="7636" spans="2:21" x14ac:dyDescent="0.35">
      <c r="B7636" s="9"/>
      <c r="C7636" s="2"/>
      <c r="D7636" s="2"/>
      <c r="I7636" s="9"/>
      <c r="J7636" s="2"/>
      <c r="L7636" s="9"/>
      <c r="M7636" s="2"/>
      <c r="N7636" s="9"/>
      <c r="P7636" s="3">
        <v>-2213.6511074199998</v>
      </c>
      <c r="S7636" s="9"/>
      <c r="T7636" s="2"/>
      <c r="U7636" s="9"/>
    </row>
    <row r="7637" spans="2:21" x14ac:dyDescent="0.35">
      <c r="B7637" s="9"/>
      <c r="C7637" s="2"/>
      <c r="D7637" s="2"/>
      <c r="I7637" s="9"/>
      <c r="J7637" s="2"/>
      <c r="L7637" s="9"/>
      <c r="M7637" s="2"/>
      <c r="N7637" s="9"/>
      <c r="P7637" s="3">
        <v>-2352.2849974199999</v>
      </c>
      <c r="S7637" s="9"/>
      <c r="T7637" s="2"/>
      <c r="U7637" s="9"/>
    </row>
    <row r="7638" spans="2:21" x14ac:dyDescent="0.35">
      <c r="B7638" s="9"/>
      <c r="C7638" s="2"/>
      <c r="D7638" s="2"/>
      <c r="I7638" s="9"/>
      <c r="J7638" s="2"/>
      <c r="L7638" s="9"/>
      <c r="M7638" s="2"/>
      <c r="N7638" s="9"/>
      <c r="P7638" s="3">
        <v>-2787.0449974200001</v>
      </c>
      <c r="S7638" s="9"/>
      <c r="T7638" s="2"/>
      <c r="U7638" s="9"/>
    </row>
    <row r="7639" spans="2:21" x14ac:dyDescent="0.35">
      <c r="B7639" s="9"/>
      <c r="C7639" s="2"/>
      <c r="D7639" s="2"/>
      <c r="I7639" s="9"/>
      <c r="J7639" s="2"/>
      <c r="L7639" s="9"/>
      <c r="M7639" s="2"/>
      <c r="N7639" s="9"/>
      <c r="P7639" s="3">
        <v>-2860.169492</v>
      </c>
      <c r="S7639" s="9"/>
      <c r="T7639" s="2"/>
      <c r="U7639" s="9"/>
    </row>
    <row r="7640" spans="2:21" x14ac:dyDescent="0.35">
      <c r="B7640" s="9"/>
      <c r="C7640" s="2"/>
      <c r="D7640" s="2"/>
      <c r="I7640" s="9"/>
      <c r="J7640" s="2"/>
      <c r="L7640" s="9"/>
      <c r="M7640" s="2"/>
      <c r="N7640" s="9"/>
      <c r="P7640" s="3">
        <v>-2860.169492</v>
      </c>
      <c r="S7640" s="9"/>
      <c r="T7640" s="2"/>
      <c r="U7640" s="9"/>
    </row>
    <row r="7641" spans="2:21" x14ac:dyDescent="0.35">
      <c r="B7641" s="9"/>
      <c r="C7641" s="2"/>
      <c r="D7641" s="2"/>
      <c r="I7641" s="9"/>
      <c r="J7641" s="2"/>
      <c r="L7641" s="9"/>
      <c r="M7641" s="2"/>
      <c r="N7641" s="9"/>
      <c r="P7641" s="3">
        <v>-2860.169492</v>
      </c>
      <c r="S7641" s="9"/>
      <c r="T7641" s="2"/>
      <c r="U7641" s="9"/>
    </row>
    <row r="7642" spans="2:21" x14ac:dyDescent="0.35">
      <c r="B7642" s="9"/>
      <c r="C7642" s="2"/>
      <c r="D7642" s="2"/>
      <c r="I7642" s="9"/>
      <c r="J7642" s="2"/>
      <c r="L7642" s="9"/>
      <c r="M7642" s="2"/>
      <c r="N7642" s="9"/>
      <c r="P7642" s="3">
        <v>-2860.169492</v>
      </c>
      <c r="S7642" s="9"/>
      <c r="T7642" s="2"/>
      <c r="U7642" s="9"/>
    </row>
    <row r="7643" spans="2:21" x14ac:dyDescent="0.35">
      <c r="B7643" s="9"/>
      <c r="C7643" s="2"/>
      <c r="D7643" s="2"/>
      <c r="I7643" s="9"/>
      <c r="J7643" s="2"/>
      <c r="L7643" s="9"/>
      <c r="M7643" s="2"/>
      <c r="N7643" s="9"/>
      <c r="P7643" s="3">
        <v>-2860.169492</v>
      </c>
      <c r="S7643" s="9"/>
      <c r="T7643" s="2"/>
      <c r="U7643" s="9"/>
    </row>
    <row r="7644" spans="2:21" x14ac:dyDescent="0.35">
      <c r="B7644" s="9"/>
      <c r="C7644" s="2"/>
      <c r="D7644" s="2"/>
      <c r="I7644" s="9"/>
      <c r="J7644" s="2"/>
      <c r="L7644" s="9"/>
      <c r="M7644" s="2"/>
      <c r="N7644" s="9"/>
      <c r="P7644" s="3">
        <v>-2860.169492</v>
      </c>
      <c r="S7644" s="9"/>
      <c r="T7644" s="2"/>
      <c r="U7644" s="9"/>
    </row>
    <row r="7645" spans="2:21" x14ac:dyDescent="0.35">
      <c r="B7645" s="9"/>
      <c r="C7645" s="2"/>
      <c r="D7645" s="2"/>
      <c r="I7645" s="9"/>
      <c r="J7645" s="2"/>
      <c r="L7645" s="9"/>
      <c r="M7645" s="2"/>
      <c r="N7645" s="9"/>
      <c r="P7645" s="3">
        <v>-2860.169492</v>
      </c>
      <c r="S7645" s="9"/>
      <c r="T7645" s="2"/>
      <c r="U7645" s="9"/>
    </row>
    <row r="7646" spans="2:21" x14ac:dyDescent="0.35">
      <c r="B7646" s="9"/>
      <c r="C7646" s="2"/>
      <c r="D7646" s="2"/>
      <c r="I7646" s="9"/>
      <c r="J7646" s="2"/>
      <c r="L7646" s="9"/>
      <c r="M7646" s="2"/>
      <c r="N7646" s="9"/>
      <c r="P7646" s="3">
        <v>-2860.169492</v>
      </c>
      <c r="S7646" s="9"/>
      <c r="T7646" s="2"/>
      <c r="U7646" s="9"/>
    </row>
    <row r="7647" spans="2:21" x14ac:dyDescent="0.35">
      <c r="B7647" s="9"/>
      <c r="C7647" s="2"/>
      <c r="D7647" s="2"/>
      <c r="I7647" s="9"/>
      <c r="J7647" s="2"/>
      <c r="L7647" s="9"/>
      <c r="M7647" s="2"/>
      <c r="N7647" s="9"/>
      <c r="P7647" s="3">
        <v>-2860.169492</v>
      </c>
      <c r="S7647" s="9"/>
      <c r="T7647" s="2"/>
      <c r="U7647" s="9"/>
    </row>
    <row r="7648" spans="2:21" x14ac:dyDescent="0.35">
      <c r="B7648" s="9"/>
      <c r="C7648" s="2"/>
      <c r="D7648" s="2"/>
      <c r="I7648" s="9"/>
      <c r="J7648" s="2"/>
      <c r="L7648" s="9"/>
      <c r="M7648" s="2"/>
      <c r="N7648" s="9"/>
      <c r="P7648" s="3">
        <v>-2860.169492</v>
      </c>
      <c r="S7648" s="9"/>
      <c r="T7648" s="2"/>
      <c r="U7648" s="9"/>
    </row>
    <row r="7649" spans="2:21" x14ac:dyDescent="0.35">
      <c r="B7649" s="9"/>
      <c r="C7649" s="2"/>
      <c r="D7649" s="2"/>
      <c r="I7649" s="9"/>
      <c r="J7649" s="2"/>
      <c r="L7649" s="9"/>
      <c r="M7649" s="2"/>
      <c r="N7649" s="9"/>
      <c r="P7649" s="3">
        <v>-2860.169492</v>
      </c>
      <c r="S7649" s="9"/>
      <c r="T7649" s="2"/>
      <c r="U7649" s="9"/>
    </row>
    <row r="7650" spans="2:21" x14ac:dyDescent="0.35">
      <c r="B7650" s="9"/>
      <c r="C7650" s="2"/>
      <c r="D7650" s="2"/>
      <c r="I7650" s="9"/>
      <c r="J7650" s="2"/>
      <c r="L7650" s="9"/>
      <c r="M7650" s="2"/>
      <c r="N7650" s="9"/>
      <c r="P7650" s="3">
        <v>-2860.169492</v>
      </c>
      <c r="S7650" s="9"/>
      <c r="T7650" s="2"/>
      <c r="U7650" s="9"/>
    </row>
    <row r="7651" spans="2:21" x14ac:dyDescent="0.35">
      <c r="B7651" s="9"/>
      <c r="C7651" s="2"/>
      <c r="D7651" s="2"/>
      <c r="I7651" s="9"/>
      <c r="J7651" s="2"/>
      <c r="L7651" s="9"/>
      <c r="M7651" s="2"/>
      <c r="N7651" s="9"/>
      <c r="P7651" s="3">
        <v>-2860.169492</v>
      </c>
      <c r="S7651" s="9"/>
      <c r="T7651" s="2"/>
      <c r="U7651" s="9"/>
    </row>
    <row r="7652" spans="2:21" x14ac:dyDescent="0.35">
      <c r="B7652" s="9"/>
      <c r="C7652" s="2"/>
      <c r="D7652" s="2"/>
      <c r="I7652" s="9"/>
      <c r="J7652" s="2"/>
      <c r="L7652" s="9"/>
      <c r="M7652" s="2"/>
      <c r="N7652" s="9"/>
      <c r="P7652" s="3">
        <v>-2860.169492</v>
      </c>
      <c r="S7652" s="9"/>
      <c r="T7652" s="2"/>
      <c r="U7652" s="9"/>
    </row>
    <row r="7653" spans="2:21" x14ac:dyDescent="0.35">
      <c r="B7653" s="9"/>
      <c r="C7653" s="2"/>
      <c r="D7653" s="2"/>
      <c r="I7653" s="9"/>
      <c r="J7653" s="2"/>
      <c r="L7653" s="9"/>
      <c r="M7653" s="2"/>
      <c r="N7653" s="9"/>
      <c r="P7653" s="3">
        <v>-2860.169492</v>
      </c>
      <c r="S7653" s="9"/>
      <c r="T7653" s="2"/>
      <c r="U7653" s="9"/>
    </row>
    <row r="7654" spans="2:21" x14ac:dyDescent="0.35">
      <c r="B7654" s="9"/>
      <c r="C7654" s="2"/>
      <c r="D7654" s="2"/>
      <c r="I7654" s="9"/>
      <c r="J7654" s="2"/>
      <c r="L7654" s="9"/>
      <c r="M7654" s="2"/>
      <c r="N7654" s="9"/>
      <c r="P7654" s="3">
        <v>-2860.169492</v>
      </c>
      <c r="S7654" s="9"/>
      <c r="T7654" s="2"/>
      <c r="U7654" s="9"/>
    </row>
    <row r="7655" spans="2:21" x14ac:dyDescent="0.35">
      <c r="B7655" s="9"/>
      <c r="C7655" s="2"/>
      <c r="D7655" s="2"/>
      <c r="I7655" s="9"/>
      <c r="J7655" s="2"/>
      <c r="L7655" s="9"/>
      <c r="M7655" s="2"/>
      <c r="N7655" s="9"/>
      <c r="P7655" s="3">
        <v>-2860.169492</v>
      </c>
      <c r="S7655" s="9"/>
      <c r="T7655" s="2"/>
      <c r="U7655" s="9"/>
    </row>
    <row r="7656" spans="2:21" x14ac:dyDescent="0.35">
      <c r="B7656" s="9"/>
      <c r="C7656" s="2"/>
      <c r="D7656" s="2"/>
      <c r="I7656" s="9"/>
      <c r="J7656" s="2"/>
      <c r="L7656" s="9"/>
      <c r="M7656" s="2"/>
      <c r="N7656" s="9"/>
      <c r="P7656" s="3">
        <v>-2860.169492</v>
      </c>
      <c r="S7656" s="9"/>
      <c r="T7656" s="2"/>
      <c r="U7656" s="9"/>
    </row>
    <row r="7657" spans="2:21" x14ac:dyDescent="0.35">
      <c r="B7657" s="9"/>
      <c r="C7657" s="2"/>
      <c r="D7657" s="2"/>
      <c r="I7657" s="9"/>
      <c r="J7657" s="2"/>
      <c r="L7657" s="9"/>
      <c r="M7657" s="2"/>
      <c r="N7657" s="9"/>
      <c r="P7657" s="3">
        <v>-2860.169492</v>
      </c>
      <c r="S7657" s="9"/>
      <c r="T7657" s="2"/>
      <c r="U7657" s="9"/>
    </row>
    <row r="7658" spans="2:21" x14ac:dyDescent="0.35">
      <c r="B7658" s="9"/>
      <c r="C7658" s="2"/>
      <c r="D7658" s="2"/>
      <c r="I7658" s="9"/>
      <c r="J7658" s="2"/>
      <c r="L7658" s="9"/>
      <c r="M7658" s="2"/>
      <c r="N7658" s="9"/>
      <c r="P7658" s="3">
        <v>-2860.169492</v>
      </c>
      <c r="S7658" s="9"/>
      <c r="T7658" s="2"/>
      <c r="U7658" s="9"/>
    </row>
    <row r="7659" spans="2:21" x14ac:dyDescent="0.35">
      <c r="B7659" s="9"/>
      <c r="C7659" s="2"/>
      <c r="D7659" s="2"/>
      <c r="I7659" s="9"/>
      <c r="J7659" s="2"/>
      <c r="L7659" s="9"/>
      <c r="M7659" s="2"/>
      <c r="N7659" s="9"/>
      <c r="P7659" s="3">
        <v>-2860.169492</v>
      </c>
      <c r="S7659" s="9"/>
      <c r="T7659" s="2"/>
      <c r="U7659" s="9"/>
    </row>
    <row r="7660" spans="2:21" x14ac:dyDescent="0.35">
      <c r="B7660" s="9"/>
      <c r="C7660" s="2"/>
      <c r="D7660" s="2"/>
      <c r="I7660" s="9"/>
      <c r="J7660" s="2"/>
      <c r="L7660" s="9"/>
      <c r="M7660" s="2"/>
      <c r="N7660" s="9"/>
      <c r="P7660" s="3">
        <v>-2705.41213509</v>
      </c>
      <c r="S7660" s="9"/>
      <c r="T7660" s="2"/>
      <c r="U7660" s="9"/>
    </row>
    <row r="7661" spans="2:21" x14ac:dyDescent="0.35">
      <c r="B7661" s="9"/>
      <c r="C7661" s="2"/>
      <c r="D7661" s="2"/>
      <c r="I7661" s="9"/>
      <c r="J7661" s="2"/>
      <c r="L7661" s="9"/>
      <c r="M7661" s="2"/>
      <c r="N7661" s="9"/>
      <c r="P7661" s="3">
        <v>-2454.3760150899998</v>
      </c>
      <c r="S7661" s="9"/>
      <c r="T7661" s="2"/>
      <c r="U7661" s="9"/>
    </row>
    <row r="7662" spans="2:21" x14ac:dyDescent="0.35">
      <c r="B7662" s="9"/>
      <c r="C7662" s="2"/>
      <c r="D7662" s="2"/>
      <c r="I7662" s="9"/>
      <c r="J7662" s="2"/>
      <c r="L7662" s="9"/>
      <c r="M7662" s="2"/>
      <c r="N7662" s="9"/>
      <c r="P7662" s="3">
        <v>-2090.97202595</v>
      </c>
      <c r="S7662" s="9"/>
      <c r="T7662" s="2"/>
      <c r="U7662" s="9"/>
    </row>
    <row r="7663" spans="2:21" x14ac:dyDescent="0.35">
      <c r="B7663" s="9"/>
      <c r="C7663" s="2"/>
      <c r="D7663" s="2"/>
      <c r="I7663" s="9"/>
      <c r="J7663" s="2"/>
      <c r="L7663" s="9"/>
      <c r="M7663" s="2"/>
      <c r="N7663" s="9"/>
      <c r="P7663" s="3">
        <v>-1981.1130159500001</v>
      </c>
      <c r="S7663" s="9"/>
      <c r="T7663" s="2"/>
      <c r="U7663" s="9"/>
    </row>
    <row r="7664" spans="2:21" x14ac:dyDescent="0.35">
      <c r="B7664" s="9"/>
      <c r="C7664" s="2"/>
      <c r="D7664" s="2"/>
      <c r="I7664" s="9"/>
      <c r="J7664" s="2"/>
      <c r="L7664" s="9"/>
      <c r="M7664" s="2"/>
      <c r="N7664" s="9"/>
      <c r="P7664" s="3">
        <v>-1998.1047359500001</v>
      </c>
      <c r="S7664" s="9"/>
      <c r="T7664" s="2"/>
      <c r="U7664" s="9"/>
    </row>
    <row r="7665" spans="2:21" x14ac:dyDescent="0.35">
      <c r="B7665" s="9"/>
      <c r="C7665" s="2"/>
      <c r="D7665" s="2"/>
      <c r="I7665" s="9"/>
      <c r="J7665" s="2"/>
      <c r="L7665" s="9"/>
      <c r="M7665" s="2"/>
      <c r="N7665" s="9"/>
      <c r="P7665" s="3">
        <v>-2065.5639659499998</v>
      </c>
      <c r="S7665" s="9"/>
      <c r="T7665" s="2"/>
      <c r="U7665" s="9"/>
    </row>
    <row r="7666" spans="2:21" x14ac:dyDescent="0.35">
      <c r="B7666" s="9"/>
      <c r="C7666" s="2"/>
      <c r="D7666" s="2"/>
      <c r="I7666" s="9"/>
      <c r="J7666" s="2"/>
      <c r="L7666" s="9"/>
      <c r="M7666" s="2"/>
      <c r="N7666" s="9"/>
      <c r="P7666" s="3">
        <v>-2165.6725459499999</v>
      </c>
      <c r="S7666" s="9"/>
      <c r="T7666" s="2"/>
      <c r="U7666" s="9"/>
    </row>
    <row r="7667" spans="2:21" x14ac:dyDescent="0.35">
      <c r="B7667" s="9"/>
      <c r="C7667" s="2"/>
      <c r="D7667" s="2"/>
      <c r="I7667" s="9"/>
      <c r="J7667" s="2"/>
      <c r="L7667" s="9"/>
      <c r="M7667" s="2"/>
      <c r="N7667" s="9"/>
      <c r="P7667" s="3">
        <v>-2163.2834894699999</v>
      </c>
      <c r="S7667" s="9"/>
      <c r="T7667" s="2"/>
      <c r="U7667" s="9"/>
    </row>
    <row r="7668" spans="2:21" x14ac:dyDescent="0.35">
      <c r="B7668" s="9"/>
      <c r="C7668" s="2"/>
      <c r="D7668" s="2"/>
      <c r="I7668" s="9"/>
      <c r="J7668" s="2"/>
      <c r="L7668" s="9"/>
      <c r="M7668" s="2"/>
      <c r="N7668" s="9"/>
      <c r="P7668" s="3">
        <v>-2208.0128729899998</v>
      </c>
      <c r="S7668" s="9"/>
      <c r="T7668" s="2"/>
      <c r="U7668" s="9"/>
    </row>
    <row r="7669" spans="2:21" x14ac:dyDescent="0.35">
      <c r="B7669" s="9"/>
      <c r="C7669" s="2"/>
      <c r="D7669" s="2"/>
      <c r="I7669" s="9"/>
      <c r="J7669" s="2"/>
      <c r="L7669" s="9"/>
      <c r="M7669" s="2"/>
      <c r="N7669" s="9"/>
      <c r="P7669" s="3">
        <v>-2300.87274054</v>
      </c>
      <c r="S7669" s="9"/>
      <c r="T7669" s="2"/>
      <c r="U7669" s="9"/>
    </row>
    <row r="7670" spans="2:21" x14ac:dyDescent="0.35">
      <c r="B7670" s="9"/>
      <c r="C7670" s="2"/>
      <c r="D7670" s="2"/>
      <c r="I7670" s="9"/>
      <c r="J7670" s="2"/>
      <c r="L7670" s="9"/>
      <c r="M7670" s="2"/>
      <c r="N7670" s="9"/>
      <c r="P7670" s="3">
        <v>-2491.4311540600002</v>
      </c>
      <c r="S7670" s="9"/>
      <c r="T7670" s="2"/>
      <c r="U7670" s="9"/>
    </row>
    <row r="7671" spans="2:21" x14ac:dyDescent="0.35">
      <c r="B7671" s="9"/>
      <c r="C7671" s="2"/>
      <c r="D7671" s="2"/>
      <c r="I7671" s="9"/>
      <c r="J7671" s="2"/>
      <c r="L7671" s="9"/>
      <c r="M7671" s="2"/>
      <c r="N7671" s="9"/>
      <c r="P7671" s="3">
        <v>-2056.6711540599999</v>
      </c>
      <c r="S7671" s="9"/>
      <c r="T7671" s="2"/>
      <c r="U7671" s="9"/>
    </row>
    <row r="7672" spans="2:21" x14ac:dyDescent="0.35">
      <c r="B7672" s="9"/>
      <c r="C7672" s="2"/>
      <c r="D7672" s="2"/>
      <c r="I7672" s="9"/>
      <c r="J7672" s="2"/>
      <c r="L7672" s="9"/>
      <c r="M7672" s="2"/>
      <c r="N7672" s="9"/>
      <c r="P7672" s="3">
        <v>-1621.9111540599999</v>
      </c>
      <c r="S7672" s="9"/>
      <c r="T7672" s="2"/>
      <c r="U7672" s="9"/>
    </row>
    <row r="7673" spans="2:21" x14ac:dyDescent="0.35">
      <c r="B7673" s="9"/>
      <c r="C7673" s="2"/>
      <c r="D7673" s="2"/>
      <c r="I7673" s="9"/>
      <c r="J7673" s="2"/>
      <c r="L7673" s="9"/>
      <c r="M7673" s="2"/>
      <c r="N7673" s="9"/>
      <c r="P7673" s="3">
        <v>-1187.15115406</v>
      </c>
      <c r="S7673" s="9"/>
      <c r="T7673" s="2"/>
      <c r="U7673" s="9"/>
    </row>
    <row r="7674" spans="2:21" x14ac:dyDescent="0.35">
      <c r="B7674" s="9"/>
      <c r="C7674" s="2"/>
      <c r="D7674" s="2"/>
      <c r="I7674" s="9"/>
      <c r="J7674" s="2"/>
      <c r="L7674" s="9"/>
      <c r="M7674" s="2"/>
      <c r="N7674" s="9"/>
      <c r="P7674" s="3">
        <v>-752.39115405999996</v>
      </c>
      <c r="S7674" s="9"/>
      <c r="T7674" s="2"/>
      <c r="U7674" s="9"/>
    </row>
    <row r="7675" spans="2:21" x14ac:dyDescent="0.35">
      <c r="B7675" s="9"/>
      <c r="C7675" s="2"/>
      <c r="D7675" s="2"/>
      <c r="I7675" s="9"/>
      <c r="J7675" s="2"/>
      <c r="L7675" s="9"/>
      <c r="M7675" s="2"/>
      <c r="N7675" s="9"/>
      <c r="P7675" s="3">
        <v>-317.63115405999997</v>
      </c>
      <c r="S7675" s="9"/>
      <c r="T7675" s="2"/>
      <c r="U7675" s="9"/>
    </row>
    <row r="7676" spans="2:21" x14ac:dyDescent="0.35">
      <c r="B7676" s="9"/>
      <c r="C7676" s="2"/>
      <c r="D7676" s="2"/>
      <c r="I7676" s="9"/>
      <c r="J7676" s="2"/>
      <c r="L7676" s="9"/>
      <c r="M7676" s="2"/>
      <c r="N7676" s="9"/>
      <c r="P7676" s="3">
        <v>0</v>
      </c>
      <c r="S7676" s="9"/>
      <c r="T7676" s="2"/>
      <c r="U7676" s="9"/>
    </row>
    <row r="7677" spans="2:21" x14ac:dyDescent="0.35">
      <c r="B7677" s="9"/>
      <c r="C7677" s="2"/>
      <c r="D7677" s="2"/>
      <c r="I7677" s="9"/>
      <c r="J7677" s="2"/>
      <c r="L7677" s="9"/>
      <c r="M7677" s="2"/>
      <c r="N7677" s="9"/>
      <c r="P7677" s="3">
        <v>0</v>
      </c>
      <c r="S7677" s="9"/>
      <c r="T7677" s="2"/>
      <c r="U7677" s="9"/>
    </row>
    <row r="7678" spans="2:21" x14ac:dyDescent="0.35">
      <c r="B7678" s="9"/>
      <c r="C7678" s="2"/>
      <c r="D7678" s="2"/>
      <c r="I7678" s="9"/>
      <c r="J7678" s="2"/>
      <c r="L7678" s="9"/>
      <c r="M7678" s="2"/>
      <c r="N7678" s="9"/>
      <c r="P7678" s="3">
        <v>0</v>
      </c>
      <c r="S7678" s="9"/>
      <c r="T7678" s="2"/>
      <c r="U7678" s="9"/>
    </row>
    <row r="7679" spans="2:21" x14ac:dyDescent="0.35">
      <c r="B7679" s="9"/>
      <c r="C7679" s="2"/>
      <c r="D7679" s="2"/>
      <c r="I7679" s="9"/>
      <c r="J7679" s="2"/>
      <c r="L7679" s="9"/>
      <c r="M7679" s="2"/>
      <c r="N7679" s="9"/>
      <c r="P7679" s="3">
        <v>0</v>
      </c>
      <c r="S7679" s="9"/>
      <c r="T7679" s="2"/>
      <c r="U7679" s="9"/>
    </row>
    <row r="7680" spans="2:21" x14ac:dyDescent="0.35">
      <c r="B7680" s="9"/>
      <c r="C7680" s="2"/>
      <c r="D7680" s="2"/>
      <c r="I7680" s="9"/>
      <c r="J7680" s="2"/>
      <c r="L7680" s="9"/>
      <c r="M7680" s="2"/>
      <c r="N7680" s="9"/>
      <c r="P7680" s="3">
        <v>0</v>
      </c>
      <c r="S7680" s="9"/>
      <c r="T7680" s="2"/>
      <c r="U7680" s="9"/>
    </row>
    <row r="7681" spans="2:21" x14ac:dyDescent="0.35">
      <c r="B7681" s="9"/>
      <c r="C7681" s="2"/>
      <c r="D7681" s="2"/>
      <c r="I7681" s="9"/>
      <c r="J7681" s="2"/>
      <c r="L7681" s="9"/>
      <c r="M7681" s="2"/>
      <c r="N7681" s="9"/>
      <c r="P7681" s="3">
        <v>0</v>
      </c>
      <c r="S7681" s="9"/>
      <c r="T7681" s="2"/>
      <c r="U7681" s="9"/>
    </row>
    <row r="7682" spans="2:21" x14ac:dyDescent="0.35">
      <c r="B7682" s="9"/>
      <c r="C7682" s="2"/>
      <c r="D7682" s="2"/>
      <c r="I7682" s="9"/>
      <c r="J7682" s="2"/>
      <c r="L7682" s="9"/>
      <c r="M7682" s="2"/>
      <c r="N7682" s="9"/>
      <c r="P7682" s="3">
        <v>0</v>
      </c>
      <c r="S7682" s="9"/>
      <c r="T7682" s="2"/>
      <c r="U7682" s="9"/>
    </row>
    <row r="7683" spans="2:21" x14ac:dyDescent="0.35">
      <c r="B7683" s="9"/>
      <c r="C7683" s="2"/>
      <c r="D7683" s="2"/>
      <c r="I7683" s="9"/>
      <c r="J7683" s="2"/>
      <c r="L7683" s="9"/>
      <c r="M7683" s="2"/>
      <c r="N7683" s="9"/>
      <c r="P7683" s="3">
        <v>0</v>
      </c>
      <c r="S7683" s="9"/>
      <c r="T7683" s="2"/>
      <c r="U7683" s="9"/>
    </row>
    <row r="7684" spans="2:21" x14ac:dyDescent="0.35">
      <c r="B7684" s="9"/>
      <c r="C7684" s="2"/>
      <c r="D7684" s="2"/>
      <c r="I7684" s="9"/>
      <c r="J7684" s="2"/>
      <c r="L7684" s="9"/>
      <c r="M7684" s="2"/>
      <c r="N7684" s="9"/>
      <c r="P7684" s="3">
        <v>0</v>
      </c>
      <c r="S7684" s="9"/>
      <c r="T7684" s="2"/>
      <c r="U7684" s="9"/>
    </row>
    <row r="7685" spans="2:21" x14ac:dyDescent="0.35">
      <c r="B7685" s="9"/>
      <c r="C7685" s="2"/>
      <c r="D7685" s="2"/>
      <c r="I7685" s="9"/>
      <c r="J7685" s="2"/>
      <c r="L7685" s="9"/>
      <c r="M7685" s="2"/>
      <c r="N7685" s="9"/>
      <c r="P7685" s="3">
        <v>0</v>
      </c>
      <c r="S7685" s="9"/>
      <c r="T7685" s="2"/>
      <c r="U7685" s="9"/>
    </row>
    <row r="7686" spans="2:21" x14ac:dyDescent="0.35">
      <c r="B7686" s="9"/>
      <c r="C7686" s="2"/>
      <c r="D7686" s="2"/>
      <c r="I7686" s="9"/>
      <c r="J7686" s="2"/>
      <c r="L7686" s="9"/>
      <c r="M7686" s="2"/>
      <c r="N7686" s="9"/>
      <c r="P7686" s="3">
        <v>0</v>
      </c>
      <c r="S7686" s="9"/>
      <c r="T7686" s="2"/>
      <c r="U7686" s="9"/>
    </row>
    <row r="7687" spans="2:21" x14ac:dyDescent="0.35">
      <c r="B7687" s="9"/>
      <c r="C7687" s="2"/>
      <c r="D7687" s="2"/>
      <c r="I7687" s="9"/>
      <c r="J7687" s="2"/>
      <c r="L7687" s="9"/>
      <c r="M7687" s="2"/>
      <c r="N7687" s="9"/>
      <c r="P7687" s="3">
        <v>0</v>
      </c>
      <c r="S7687" s="9"/>
      <c r="T7687" s="2"/>
      <c r="U7687" s="9"/>
    </row>
    <row r="7688" spans="2:21" x14ac:dyDescent="0.35">
      <c r="B7688" s="9"/>
      <c r="C7688" s="2"/>
      <c r="D7688" s="2"/>
      <c r="I7688" s="9"/>
      <c r="J7688" s="2"/>
      <c r="L7688" s="9"/>
      <c r="M7688" s="2"/>
      <c r="N7688" s="9"/>
      <c r="P7688" s="3">
        <v>0</v>
      </c>
      <c r="S7688" s="9"/>
      <c r="T7688" s="2"/>
      <c r="U7688" s="9"/>
    </row>
    <row r="7689" spans="2:21" x14ac:dyDescent="0.35">
      <c r="B7689" s="9"/>
      <c r="C7689" s="2"/>
      <c r="D7689" s="2"/>
      <c r="I7689" s="9"/>
      <c r="J7689" s="2"/>
      <c r="L7689" s="9"/>
      <c r="M7689" s="2"/>
      <c r="N7689" s="9"/>
      <c r="P7689" s="3">
        <v>0</v>
      </c>
      <c r="S7689" s="9"/>
      <c r="T7689" s="2"/>
      <c r="U7689" s="9"/>
    </row>
    <row r="7690" spans="2:21" x14ac:dyDescent="0.35">
      <c r="B7690" s="9"/>
      <c r="C7690" s="2"/>
      <c r="D7690" s="2"/>
      <c r="I7690" s="9"/>
      <c r="J7690" s="2"/>
      <c r="L7690" s="9"/>
      <c r="M7690" s="2"/>
      <c r="N7690" s="9"/>
      <c r="P7690" s="3">
        <v>0</v>
      </c>
      <c r="S7690" s="9"/>
      <c r="T7690" s="2"/>
      <c r="U7690" s="9"/>
    </row>
    <row r="7691" spans="2:21" x14ac:dyDescent="0.35">
      <c r="B7691" s="9"/>
      <c r="C7691" s="2"/>
      <c r="D7691" s="2"/>
      <c r="I7691" s="9"/>
      <c r="J7691" s="2"/>
      <c r="L7691" s="9"/>
      <c r="M7691" s="2"/>
      <c r="N7691" s="9"/>
      <c r="P7691" s="3">
        <v>0</v>
      </c>
      <c r="S7691" s="9"/>
      <c r="T7691" s="2"/>
      <c r="U7691" s="9"/>
    </row>
    <row r="7692" spans="2:21" x14ac:dyDescent="0.35">
      <c r="B7692" s="9"/>
      <c r="C7692" s="2"/>
      <c r="D7692" s="2"/>
      <c r="I7692" s="9"/>
      <c r="J7692" s="2"/>
      <c r="L7692" s="9"/>
      <c r="M7692" s="2"/>
      <c r="N7692" s="9"/>
      <c r="P7692" s="3">
        <v>0</v>
      </c>
      <c r="S7692" s="9"/>
      <c r="T7692" s="2"/>
      <c r="U7692" s="9"/>
    </row>
    <row r="7693" spans="2:21" x14ac:dyDescent="0.35">
      <c r="B7693" s="9"/>
      <c r="C7693" s="2"/>
      <c r="D7693" s="2"/>
      <c r="I7693" s="9"/>
      <c r="J7693" s="2"/>
      <c r="L7693" s="9"/>
      <c r="M7693" s="2"/>
      <c r="N7693" s="9"/>
      <c r="P7693" s="3">
        <v>0</v>
      </c>
      <c r="S7693" s="9"/>
      <c r="T7693" s="2"/>
      <c r="U7693" s="9"/>
    </row>
    <row r="7694" spans="2:21" x14ac:dyDescent="0.35">
      <c r="B7694" s="9"/>
      <c r="C7694" s="2"/>
      <c r="D7694" s="2"/>
      <c r="I7694" s="9"/>
      <c r="J7694" s="2"/>
      <c r="L7694" s="9"/>
      <c r="M7694" s="2"/>
      <c r="N7694" s="9"/>
      <c r="P7694" s="3">
        <v>0</v>
      </c>
      <c r="S7694" s="9"/>
      <c r="T7694" s="2"/>
      <c r="U7694" s="9"/>
    </row>
    <row r="7695" spans="2:21" x14ac:dyDescent="0.35">
      <c r="B7695" s="9"/>
      <c r="C7695" s="2"/>
      <c r="D7695" s="2"/>
      <c r="I7695" s="9"/>
      <c r="J7695" s="2"/>
      <c r="L7695" s="9"/>
      <c r="M7695" s="2"/>
      <c r="N7695" s="9"/>
      <c r="P7695" s="3">
        <v>0</v>
      </c>
      <c r="S7695" s="9"/>
      <c r="T7695" s="2"/>
      <c r="U7695" s="9"/>
    </row>
    <row r="7696" spans="2:21" x14ac:dyDescent="0.35">
      <c r="B7696" s="9"/>
      <c r="C7696" s="2"/>
      <c r="D7696" s="2"/>
      <c r="I7696" s="9"/>
      <c r="J7696" s="2"/>
      <c r="L7696" s="9"/>
      <c r="M7696" s="2"/>
      <c r="N7696" s="9"/>
      <c r="P7696" s="3">
        <v>0</v>
      </c>
      <c r="S7696" s="9"/>
      <c r="T7696" s="2"/>
      <c r="U7696" s="9"/>
    </row>
    <row r="7697" spans="2:21" x14ac:dyDescent="0.35">
      <c r="B7697" s="9"/>
      <c r="C7697" s="2"/>
      <c r="D7697" s="2"/>
      <c r="I7697" s="9"/>
      <c r="J7697" s="2"/>
      <c r="L7697" s="9"/>
      <c r="M7697" s="2"/>
      <c r="N7697" s="9"/>
      <c r="P7697" s="3">
        <v>0</v>
      </c>
      <c r="S7697" s="9"/>
      <c r="T7697" s="2"/>
      <c r="U7697" s="9"/>
    </row>
    <row r="7698" spans="2:21" x14ac:dyDescent="0.35">
      <c r="B7698" s="9"/>
      <c r="C7698" s="2"/>
      <c r="D7698" s="2"/>
      <c r="I7698" s="9"/>
      <c r="J7698" s="2"/>
      <c r="L7698" s="9"/>
      <c r="M7698" s="2"/>
      <c r="N7698" s="9"/>
      <c r="P7698" s="3">
        <v>0</v>
      </c>
      <c r="S7698" s="9"/>
      <c r="T7698" s="2"/>
      <c r="U7698" s="9"/>
    </row>
    <row r="7699" spans="2:21" x14ac:dyDescent="0.35">
      <c r="B7699" s="9"/>
      <c r="C7699" s="2"/>
      <c r="D7699" s="2"/>
      <c r="I7699" s="9"/>
      <c r="J7699" s="2"/>
      <c r="L7699" s="9"/>
      <c r="M7699" s="2"/>
      <c r="N7699" s="9"/>
      <c r="P7699" s="3">
        <v>0</v>
      </c>
      <c r="S7699" s="9"/>
      <c r="T7699" s="2"/>
      <c r="U7699" s="9"/>
    </row>
    <row r="7700" spans="2:21" x14ac:dyDescent="0.35">
      <c r="B7700" s="9"/>
      <c r="C7700" s="2"/>
      <c r="D7700" s="2"/>
      <c r="I7700" s="9"/>
      <c r="J7700" s="2"/>
      <c r="L7700" s="9"/>
      <c r="M7700" s="2"/>
      <c r="N7700" s="9"/>
      <c r="P7700" s="3">
        <v>0</v>
      </c>
      <c r="S7700" s="9"/>
      <c r="T7700" s="2"/>
      <c r="U7700" s="9"/>
    </row>
    <row r="7701" spans="2:21" x14ac:dyDescent="0.35">
      <c r="B7701" s="9"/>
      <c r="C7701" s="2"/>
      <c r="D7701" s="2"/>
      <c r="I7701" s="9"/>
      <c r="J7701" s="2"/>
      <c r="L7701" s="9"/>
      <c r="M7701" s="2"/>
      <c r="N7701" s="9"/>
      <c r="P7701" s="3">
        <v>0</v>
      </c>
      <c r="S7701" s="9"/>
      <c r="T7701" s="2"/>
      <c r="U7701" s="9"/>
    </row>
    <row r="7702" spans="2:21" x14ac:dyDescent="0.35">
      <c r="B7702" s="9"/>
      <c r="C7702" s="2"/>
      <c r="D7702" s="2"/>
      <c r="I7702" s="9"/>
      <c r="J7702" s="2"/>
      <c r="L7702" s="9"/>
      <c r="M7702" s="2"/>
      <c r="N7702" s="9"/>
      <c r="P7702" s="3">
        <v>0</v>
      </c>
      <c r="S7702" s="9"/>
      <c r="T7702" s="2"/>
      <c r="U7702" s="9"/>
    </row>
    <row r="7703" spans="2:21" x14ac:dyDescent="0.35">
      <c r="B7703" s="9"/>
      <c r="C7703" s="2"/>
      <c r="D7703" s="2"/>
      <c r="I7703" s="9"/>
      <c r="J7703" s="2"/>
      <c r="L7703" s="9"/>
      <c r="M7703" s="2"/>
      <c r="N7703" s="9"/>
      <c r="P7703" s="3">
        <v>0</v>
      </c>
      <c r="S7703" s="9"/>
      <c r="T7703" s="2"/>
      <c r="U7703" s="9"/>
    </row>
    <row r="7704" spans="2:21" x14ac:dyDescent="0.35">
      <c r="B7704" s="9"/>
      <c r="C7704" s="2"/>
      <c r="D7704" s="2"/>
      <c r="I7704" s="9"/>
      <c r="J7704" s="2"/>
      <c r="L7704" s="9"/>
      <c r="M7704" s="2"/>
      <c r="N7704" s="9"/>
      <c r="P7704" s="3">
        <v>0</v>
      </c>
      <c r="S7704" s="9"/>
      <c r="T7704" s="2"/>
      <c r="U7704" s="9"/>
    </row>
    <row r="7705" spans="2:21" x14ac:dyDescent="0.35">
      <c r="B7705" s="9"/>
      <c r="C7705" s="2"/>
      <c r="D7705" s="2"/>
      <c r="I7705" s="9"/>
      <c r="J7705" s="2"/>
      <c r="L7705" s="9"/>
      <c r="M7705" s="2"/>
      <c r="N7705" s="9"/>
      <c r="P7705" s="3">
        <v>0</v>
      </c>
      <c r="S7705" s="9"/>
      <c r="T7705" s="2"/>
      <c r="U7705" s="9"/>
    </row>
    <row r="7706" spans="2:21" x14ac:dyDescent="0.35">
      <c r="B7706" s="9"/>
      <c r="C7706" s="2"/>
      <c r="D7706" s="2"/>
      <c r="I7706" s="9"/>
      <c r="J7706" s="2"/>
      <c r="L7706" s="9"/>
      <c r="M7706" s="2"/>
      <c r="N7706" s="9"/>
      <c r="P7706" s="3">
        <v>0</v>
      </c>
      <c r="S7706" s="9"/>
      <c r="T7706" s="2"/>
      <c r="U7706" s="9"/>
    </row>
    <row r="7707" spans="2:21" x14ac:dyDescent="0.35">
      <c r="B7707" s="9"/>
      <c r="C7707" s="2"/>
      <c r="D7707" s="2"/>
      <c r="I7707" s="9"/>
      <c r="J7707" s="2"/>
      <c r="L7707" s="9"/>
      <c r="M7707" s="2"/>
      <c r="N7707" s="9"/>
      <c r="P7707" s="3">
        <v>0</v>
      </c>
      <c r="S7707" s="9"/>
      <c r="T7707" s="2"/>
      <c r="U7707" s="9"/>
    </row>
    <row r="7708" spans="2:21" x14ac:dyDescent="0.35">
      <c r="B7708" s="9"/>
      <c r="C7708" s="2"/>
      <c r="D7708" s="2"/>
      <c r="I7708" s="9"/>
      <c r="J7708" s="2"/>
      <c r="L7708" s="9"/>
      <c r="M7708" s="2"/>
      <c r="N7708" s="9"/>
      <c r="P7708" s="3">
        <v>0</v>
      </c>
      <c r="S7708" s="9"/>
      <c r="T7708" s="2"/>
      <c r="U7708" s="9"/>
    </row>
    <row r="7709" spans="2:21" x14ac:dyDescent="0.35">
      <c r="B7709" s="9"/>
      <c r="C7709" s="2"/>
      <c r="D7709" s="2"/>
      <c r="I7709" s="9"/>
      <c r="J7709" s="2"/>
      <c r="L7709" s="9"/>
      <c r="M7709" s="2"/>
      <c r="N7709" s="9"/>
      <c r="P7709" s="3">
        <v>0</v>
      </c>
      <c r="S7709" s="9"/>
      <c r="T7709" s="2"/>
      <c r="U7709" s="9"/>
    </row>
    <row r="7710" spans="2:21" x14ac:dyDescent="0.35">
      <c r="B7710" s="9"/>
      <c r="C7710" s="2"/>
      <c r="D7710" s="2"/>
      <c r="I7710" s="9"/>
      <c r="J7710" s="2"/>
      <c r="L7710" s="9"/>
      <c r="M7710" s="2"/>
      <c r="N7710" s="9"/>
      <c r="P7710" s="3">
        <v>0</v>
      </c>
      <c r="S7710" s="9"/>
      <c r="T7710" s="2"/>
      <c r="U7710" s="9"/>
    </row>
    <row r="7711" spans="2:21" x14ac:dyDescent="0.35">
      <c r="B7711" s="9"/>
      <c r="C7711" s="2"/>
      <c r="D7711" s="2"/>
      <c r="I7711" s="9"/>
      <c r="J7711" s="2"/>
      <c r="L7711" s="9"/>
      <c r="M7711" s="2"/>
      <c r="N7711" s="9"/>
      <c r="P7711" s="3">
        <v>0</v>
      </c>
      <c r="S7711" s="9"/>
      <c r="T7711" s="2"/>
      <c r="U7711" s="9"/>
    </row>
    <row r="7712" spans="2:21" x14ac:dyDescent="0.35">
      <c r="B7712" s="9"/>
      <c r="C7712" s="2"/>
      <c r="D7712" s="2"/>
      <c r="I7712" s="9"/>
      <c r="J7712" s="2"/>
      <c r="L7712" s="9"/>
      <c r="M7712" s="2"/>
      <c r="N7712" s="9"/>
      <c r="P7712" s="3">
        <v>0</v>
      </c>
      <c r="S7712" s="9"/>
      <c r="T7712" s="2"/>
      <c r="U7712" s="9"/>
    </row>
    <row r="7713" spans="2:21" x14ac:dyDescent="0.35">
      <c r="B7713" s="9"/>
      <c r="C7713" s="2"/>
      <c r="D7713" s="2"/>
      <c r="I7713" s="9"/>
      <c r="J7713" s="2"/>
      <c r="L7713" s="9"/>
      <c r="M7713" s="2"/>
      <c r="N7713" s="9"/>
      <c r="P7713" s="3">
        <v>0</v>
      </c>
      <c r="S7713" s="9"/>
      <c r="T7713" s="2"/>
      <c r="U7713" s="9"/>
    </row>
    <row r="7714" spans="2:21" x14ac:dyDescent="0.35">
      <c r="B7714" s="9"/>
      <c r="C7714" s="2"/>
      <c r="D7714" s="2"/>
      <c r="I7714" s="9"/>
      <c r="J7714" s="2"/>
      <c r="L7714" s="9"/>
      <c r="M7714" s="2"/>
      <c r="N7714" s="9"/>
      <c r="P7714" s="3">
        <v>0</v>
      </c>
      <c r="S7714" s="9"/>
      <c r="T7714" s="2"/>
      <c r="U7714" s="9"/>
    </row>
    <row r="7715" spans="2:21" x14ac:dyDescent="0.35">
      <c r="B7715" s="9"/>
      <c r="C7715" s="2"/>
      <c r="D7715" s="2"/>
      <c r="I7715" s="9"/>
      <c r="J7715" s="2"/>
      <c r="L7715" s="9"/>
      <c r="M7715" s="2"/>
      <c r="N7715" s="9"/>
      <c r="P7715" s="3">
        <v>0</v>
      </c>
      <c r="S7715" s="9"/>
      <c r="T7715" s="2"/>
      <c r="U7715" s="9"/>
    </row>
    <row r="7716" spans="2:21" x14ac:dyDescent="0.35">
      <c r="B7716" s="9"/>
      <c r="C7716" s="2"/>
      <c r="D7716" s="2"/>
      <c r="I7716" s="9"/>
      <c r="J7716" s="2"/>
      <c r="L7716" s="9"/>
      <c r="M7716" s="2"/>
      <c r="N7716" s="9"/>
      <c r="P7716" s="3">
        <v>0</v>
      </c>
      <c r="S7716" s="9"/>
      <c r="T7716" s="2"/>
      <c r="U7716" s="9"/>
    </row>
    <row r="7717" spans="2:21" x14ac:dyDescent="0.35">
      <c r="B7717" s="9"/>
      <c r="C7717" s="2"/>
      <c r="D7717" s="2"/>
      <c r="I7717" s="9"/>
      <c r="J7717" s="2"/>
      <c r="L7717" s="9"/>
      <c r="M7717" s="2"/>
      <c r="N7717" s="9"/>
      <c r="P7717" s="3">
        <v>0</v>
      </c>
      <c r="S7717" s="9"/>
      <c r="T7717" s="2"/>
      <c r="U7717" s="9"/>
    </row>
    <row r="7718" spans="2:21" x14ac:dyDescent="0.35">
      <c r="B7718" s="9"/>
      <c r="C7718" s="2"/>
      <c r="D7718" s="2"/>
      <c r="I7718" s="9"/>
      <c r="J7718" s="2"/>
      <c r="L7718" s="9"/>
      <c r="M7718" s="2"/>
      <c r="N7718" s="9"/>
      <c r="P7718" s="3">
        <v>0</v>
      </c>
      <c r="S7718" s="9"/>
      <c r="T7718" s="2"/>
      <c r="U7718" s="9"/>
    </row>
    <row r="7719" spans="2:21" x14ac:dyDescent="0.35">
      <c r="B7719" s="9"/>
      <c r="C7719" s="2"/>
      <c r="D7719" s="2"/>
      <c r="I7719" s="9"/>
      <c r="J7719" s="2"/>
      <c r="L7719" s="9"/>
      <c r="M7719" s="2"/>
      <c r="N7719" s="9"/>
      <c r="P7719" s="3">
        <v>0</v>
      </c>
      <c r="S7719" s="9"/>
      <c r="T7719" s="2"/>
      <c r="U7719" s="9"/>
    </row>
    <row r="7720" spans="2:21" x14ac:dyDescent="0.35">
      <c r="B7720" s="9"/>
      <c r="C7720" s="2"/>
      <c r="D7720" s="2"/>
      <c r="I7720" s="9"/>
      <c r="J7720" s="2"/>
      <c r="L7720" s="9"/>
      <c r="M7720" s="2"/>
      <c r="N7720" s="9"/>
      <c r="P7720" s="3">
        <v>0</v>
      </c>
      <c r="S7720" s="9"/>
      <c r="T7720" s="2"/>
      <c r="U7720" s="9"/>
    </row>
    <row r="7721" spans="2:21" x14ac:dyDescent="0.35">
      <c r="B7721" s="9"/>
      <c r="C7721" s="2"/>
      <c r="D7721" s="2"/>
      <c r="I7721" s="9"/>
      <c r="J7721" s="2"/>
      <c r="L7721" s="9"/>
      <c r="M7721" s="2"/>
      <c r="N7721" s="9"/>
      <c r="P7721" s="3">
        <v>0</v>
      </c>
      <c r="S7721" s="9"/>
      <c r="T7721" s="2"/>
      <c r="U7721" s="9"/>
    </row>
    <row r="7722" spans="2:21" x14ac:dyDescent="0.35">
      <c r="B7722" s="9"/>
      <c r="C7722" s="2"/>
      <c r="D7722" s="2"/>
      <c r="I7722" s="9"/>
      <c r="J7722" s="2"/>
      <c r="L7722" s="9"/>
      <c r="M7722" s="2"/>
      <c r="N7722" s="9"/>
      <c r="P7722" s="3">
        <v>0</v>
      </c>
      <c r="S7722" s="9"/>
      <c r="T7722" s="2"/>
      <c r="U7722" s="9"/>
    </row>
    <row r="7723" spans="2:21" x14ac:dyDescent="0.35">
      <c r="B7723" s="9"/>
      <c r="C7723" s="2"/>
      <c r="D7723" s="2"/>
      <c r="I7723" s="9"/>
      <c r="J7723" s="2"/>
      <c r="L7723" s="9"/>
      <c r="M7723" s="2"/>
      <c r="N7723" s="9"/>
      <c r="P7723" s="3">
        <v>0</v>
      </c>
      <c r="S7723" s="9"/>
      <c r="T7723" s="2"/>
      <c r="U7723" s="9"/>
    </row>
    <row r="7724" spans="2:21" x14ac:dyDescent="0.35">
      <c r="B7724" s="9"/>
      <c r="C7724" s="2"/>
      <c r="D7724" s="2"/>
      <c r="I7724" s="9"/>
      <c r="J7724" s="2"/>
      <c r="L7724" s="9"/>
      <c r="M7724" s="2"/>
      <c r="N7724" s="9"/>
      <c r="P7724" s="3">
        <v>0</v>
      </c>
      <c r="S7724" s="9"/>
      <c r="T7724" s="2"/>
      <c r="U7724" s="9"/>
    </row>
    <row r="7725" spans="2:21" x14ac:dyDescent="0.35">
      <c r="B7725" s="9"/>
      <c r="C7725" s="2"/>
      <c r="D7725" s="2"/>
      <c r="I7725" s="9"/>
      <c r="J7725" s="2"/>
      <c r="L7725" s="9"/>
      <c r="M7725" s="2"/>
      <c r="N7725" s="9"/>
      <c r="P7725" s="3">
        <v>0</v>
      </c>
      <c r="S7725" s="9"/>
      <c r="T7725" s="2"/>
      <c r="U7725" s="9"/>
    </row>
    <row r="7726" spans="2:21" x14ac:dyDescent="0.35">
      <c r="B7726" s="9"/>
      <c r="C7726" s="2"/>
      <c r="D7726" s="2"/>
      <c r="I7726" s="9"/>
      <c r="J7726" s="2"/>
      <c r="L7726" s="9"/>
      <c r="M7726" s="2"/>
      <c r="N7726" s="9"/>
      <c r="P7726" s="3">
        <v>0</v>
      </c>
      <c r="S7726" s="9"/>
      <c r="T7726" s="2"/>
      <c r="U7726" s="9"/>
    </row>
    <row r="7727" spans="2:21" x14ac:dyDescent="0.35">
      <c r="B7727" s="9"/>
      <c r="C7727" s="2"/>
      <c r="D7727" s="2"/>
      <c r="I7727" s="9"/>
      <c r="J7727" s="2"/>
      <c r="L7727" s="9"/>
      <c r="M7727" s="2"/>
      <c r="N7727" s="9"/>
      <c r="P7727" s="3">
        <v>0</v>
      </c>
      <c r="S7727" s="9"/>
      <c r="T7727" s="2"/>
      <c r="U7727" s="9"/>
    </row>
    <row r="7728" spans="2:21" x14ac:dyDescent="0.35">
      <c r="B7728" s="9"/>
      <c r="C7728" s="2"/>
      <c r="D7728" s="2"/>
      <c r="I7728" s="9"/>
      <c r="J7728" s="2"/>
      <c r="L7728" s="9"/>
      <c r="M7728" s="2"/>
      <c r="N7728" s="9"/>
      <c r="P7728" s="3">
        <v>0</v>
      </c>
      <c r="S7728" s="9"/>
      <c r="T7728" s="2"/>
      <c r="U7728" s="9"/>
    </row>
    <row r="7729" spans="2:21" x14ac:dyDescent="0.35">
      <c r="B7729" s="9"/>
      <c r="C7729" s="2"/>
      <c r="D7729" s="2"/>
      <c r="I7729" s="9"/>
      <c r="J7729" s="2"/>
      <c r="L7729" s="9"/>
      <c r="M7729" s="2"/>
      <c r="N7729" s="9"/>
      <c r="P7729" s="3">
        <v>0</v>
      </c>
      <c r="S7729" s="9"/>
      <c r="T7729" s="2"/>
      <c r="U7729" s="9"/>
    </row>
    <row r="7730" spans="2:21" x14ac:dyDescent="0.35">
      <c r="B7730" s="9"/>
      <c r="C7730" s="2"/>
      <c r="D7730" s="2"/>
      <c r="I7730" s="9"/>
      <c r="J7730" s="2"/>
      <c r="L7730" s="9"/>
      <c r="M7730" s="2"/>
      <c r="N7730" s="9"/>
      <c r="P7730" s="3">
        <v>0</v>
      </c>
      <c r="S7730" s="9"/>
      <c r="T7730" s="2"/>
      <c r="U7730" s="9"/>
    </row>
    <row r="7731" spans="2:21" x14ac:dyDescent="0.35">
      <c r="B7731" s="9"/>
      <c r="C7731" s="2"/>
      <c r="D7731" s="2"/>
      <c r="I7731" s="9"/>
      <c r="J7731" s="2"/>
      <c r="L7731" s="9"/>
      <c r="M7731" s="2"/>
      <c r="N7731" s="9"/>
      <c r="P7731" s="3">
        <v>0</v>
      </c>
      <c r="S7731" s="9"/>
      <c r="T7731" s="2"/>
      <c r="U7731" s="9"/>
    </row>
    <row r="7732" spans="2:21" x14ac:dyDescent="0.35">
      <c r="B7732" s="9"/>
      <c r="C7732" s="2"/>
      <c r="D7732" s="2"/>
      <c r="I7732" s="9"/>
      <c r="J7732" s="2"/>
      <c r="L7732" s="9"/>
      <c r="M7732" s="2"/>
      <c r="N7732" s="9"/>
      <c r="P7732" s="3">
        <v>0</v>
      </c>
      <c r="S7732" s="9"/>
      <c r="T7732" s="2"/>
      <c r="U7732" s="9"/>
    </row>
    <row r="7733" spans="2:21" x14ac:dyDescent="0.35">
      <c r="B7733" s="9"/>
      <c r="C7733" s="2"/>
      <c r="D7733" s="2"/>
      <c r="I7733" s="9"/>
      <c r="J7733" s="2"/>
      <c r="L7733" s="9"/>
      <c r="M7733" s="2"/>
      <c r="N7733" s="9"/>
      <c r="P7733" s="3">
        <v>0</v>
      </c>
      <c r="S7733" s="9"/>
      <c r="T7733" s="2"/>
      <c r="U7733" s="9"/>
    </row>
    <row r="7734" spans="2:21" x14ac:dyDescent="0.35">
      <c r="B7734" s="9"/>
      <c r="C7734" s="2"/>
      <c r="D7734" s="2"/>
      <c r="I7734" s="9"/>
      <c r="J7734" s="2"/>
      <c r="L7734" s="9"/>
      <c r="M7734" s="2"/>
      <c r="N7734" s="9"/>
      <c r="P7734" s="3">
        <v>0</v>
      </c>
      <c r="S7734" s="9"/>
      <c r="T7734" s="2"/>
      <c r="U7734" s="9"/>
    </row>
    <row r="7735" spans="2:21" x14ac:dyDescent="0.35">
      <c r="B7735" s="9"/>
      <c r="C7735" s="2"/>
      <c r="D7735" s="2"/>
      <c r="I7735" s="9"/>
      <c r="J7735" s="2"/>
      <c r="L7735" s="9"/>
      <c r="M7735" s="2"/>
      <c r="N7735" s="9"/>
      <c r="P7735" s="3">
        <v>0</v>
      </c>
      <c r="S7735" s="9"/>
      <c r="T7735" s="2"/>
      <c r="U7735" s="9"/>
    </row>
    <row r="7736" spans="2:21" x14ac:dyDescent="0.35">
      <c r="B7736" s="9"/>
      <c r="C7736" s="2"/>
      <c r="D7736" s="2"/>
      <c r="I7736" s="9"/>
      <c r="J7736" s="2"/>
      <c r="L7736" s="9"/>
      <c r="M7736" s="2"/>
      <c r="N7736" s="9"/>
      <c r="P7736" s="3">
        <v>0</v>
      </c>
      <c r="S7736" s="9"/>
      <c r="T7736" s="2"/>
      <c r="U7736" s="9"/>
    </row>
    <row r="7737" spans="2:21" x14ac:dyDescent="0.35">
      <c r="B7737" s="9"/>
      <c r="C7737" s="2"/>
      <c r="D7737" s="2"/>
      <c r="I7737" s="9"/>
      <c r="J7737" s="2"/>
      <c r="L7737" s="9"/>
      <c r="M7737" s="2"/>
      <c r="N7737" s="9"/>
      <c r="P7737" s="3">
        <v>0</v>
      </c>
      <c r="S7737" s="9"/>
      <c r="T7737" s="2"/>
      <c r="U7737" s="9"/>
    </row>
    <row r="7738" spans="2:21" x14ac:dyDescent="0.35">
      <c r="B7738" s="9"/>
      <c r="C7738" s="2"/>
      <c r="D7738" s="2"/>
      <c r="I7738" s="9"/>
      <c r="J7738" s="2"/>
      <c r="L7738" s="9"/>
      <c r="M7738" s="2"/>
      <c r="N7738" s="9"/>
      <c r="P7738" s="3">
        <v>0</v>
      </c>
      <c r="S7738" s="9"/>
      <c r="T7738" s="2"/>
      <c r="U7738" s="9"/>
    </row>
    <row r="7739" spans="2:21" x14ac:dyDescent="0.35">
      <c r="B7739" s="9"/>
      <c r="C7739" s="2"/>
      <c r="D7739" s="2"/>
      <c r="I7739" s="9"/>
      <c r="J7739" s="2"/>
      <c r="L7739" s="9"/>
      <c r="M7739" s="2"/>
      <c r="N7739" s="9"/>
      <c r="P7739" s="3">
        <v>0</v>
      </c>
      <c r="S7739" s="9"/>
      <c r="T7739" s="2"/>
      <c r="U7739" s="9"/>
    </row>
    <row r="7740" spans="2:21" x14ac:dyDescent="0.35">
      <c r="B7740" s="9"/>
      <c r="C7740" s="2"/>
      <c r="D7740" s="2"/>
      <c r="I7740" s="9"/>
      <c r="J7740" s="2"/>
      <c r="L7740" s="9"/>
      <c r="M7740" s="2"/>
      <c r="N7740" s="9"/>
      <c r="P7740" s="3">
        <v>0</v>
      </c>
      <c r="S7740" s="9"/>
      <c r="T7740" s="2"/>
      <c r="U7740" s="9"/>
    </row>
    <row r="7741" spans="2:21" x14ac:dyDescent="0.35">
      <c r="B7741" s="9"/>
      <c r="C7741" s="2"/>
      <c r="D7741" s="2"/>
      <c r="I7741" s="9"/>
      <c r="J7741" s="2"/>
      <c r="L7741" s="9"/>
      <c r="M7741" s="2"/>
      <c r="N7741" s="9"/>
      <c r="P7741" s="3">
        <v>0</v>
      </c>
      <c r="S7741" s="9"/>
      <c r="T7741" s="2"/>
      <c r="U7741" s="9"/>
    </row>
    <row r="7742" spans="2:21" x14ac:dyDescent="0.35">
      <c r="B7742" s="9"/>
      <c r="C7742" s="2"/>
      <c r="D7742" s="2"/>
      <c r="I7742" s="9"/>
      <c r="J7742" s="2"/>
      <c r="L7742" s="9"/>
      <c r="M7742" s="2"/>
      <c r="N7742" s="9"/>
      <c r="P7742" s="3">
        <v>0</v>
      </c>
      <c r="S7742" s="9"/>
      <c r="T7742" s="2"/>
      <c r="U7742" s="9"/>
    </row>
    <row r="7743" spans="2:21" x14ac:dyDescent="0.35">
      <c r="B7743" s="9"/>
      <c r="C7743" s="2"/>
      <c r="D7743" s="2"/>
      <c r="I7743" s="9"/>
      <c r="J7743" s="2"/>
      <c r="L7743" s="9"/>
      <c r="M7743" s="2"/>
      <c r="N7743" s="9"/>
      <c r="P7743" s="3">
        <v>0</v>
      </c>
      <c r="S7743" s="9"/>
      <c r="T7743" s="2"/>
      <c r="U7743" s="9"/>
    </row>
    <row r="7744" spans="2:21" x14ac:dyDescent="0.35">
      <c r="B7744" s="9"/>
      <c r="C7744" s="2"/>
      <c r="D7744" s="2"/>
      <c r="I7744" s="9"/>
      <c r="J7744" s="2"/>
      <c r="L7744" s="9"/>
      <c r="M7744" s="2"/>
      <c r="N7744" s="9"/>
      <c r="P7744" s="3">
        <v>0</v>
      </c>
      <c r="S7744" s="9"/>
      <c r="T7744" s="2"/>
      <c r="U7744" s="9"/>
    </row>
    <row r="7745" spans="2:21" x14ac:dyDescent="0.35">
      <c r="B7745" s="9"/>
      <c r="C7745" s="2"/>
      <c r="D7745" s="2"/>
      <c r="I7745" s="9"/>
      <c r="J7745" s="2"/>
      <c r="L7745" s="9"/>
      <c r="M7745" s="2"/>
      <c r="N7745" s="9"/>
      <c r="P7745" s="3">
        <v>0</v>
      </c>
      <c r="S7745" s="9"/>
      <c r="T7745" s="2"/>
      <c r="U7745" s="9"/>
    </row>
    <row r="7746" spans="2:21" x14ac:dyDescent="0.35">
      <c r="B7746" s="9"/>
      <c r="C7746" s="2"/>
      <c r="D7746" s="2"/>
      <c r="I7746" s="9"/>
      <c r="J7746" s="2"/>
      <c r="L7746" s="9"/>
      <c r="M7746" s="2"/>
      <c r="N7746" s="9"/>
      <c r="P7746" s="3">
        <v>0</v>
      </c>
      <c r="S7746" s="9"/>
      <c r="T7746" s="2"/>
      <c r="U7746" s="9"/>
    </row>
    <row r="7747" spans="2:21" x14ac:dyDescent="0.35">
      <c r="B7747" s="9"/>
      <c r="C7747" s="2"/>
      <c r="D7747" s="2"/>
      <c r="I7747" s="9"/>
      <c r="J7747" s="2"/>
      <c r="L7747" s="9"/>
      <c r="M7747" s="2"/>
      <c r="N7747" s="9"/>
      <c r="P7747" s="3">
        <v>0</v>
      </c>
      <c r="S7747" s="9"/>
      <c r="T7747" s="2"/>
      <c r="U7747" s="9"/>
    </row>
    <row r="7748" spans="2:21" x14ac:dyDescent="0.35">
      <c r="B7748" s="9"/>
      <c r="C7748" s="2"/>
      <c r="D7748" s="2"/>
      <c r="I7748" s="9"/>
      <c r="J7748" s="2"/>
      <c r="L7748" s="9"/>
      <c r="M7748" s="2"/>
      <c r="N7748" s="9"/>
      <c r="P7748" s="3">
        <v>0</v>
      </c>
      <c r="S7748" s="9"/>
      <c r="T7748" s="2"/>
      <c r="U7748" s="9"/>
    </row>
    <row r="7749" spans="2:21" x14ac:dyDescent="0.35">
      <c r="B7749" s="9"/>
      <c r="C7749" s="2"/>
      <c r="D7749" s="2"/>
      <c r="I7749" s="9"/>
      <c r="J7749" s="2"/>
      <c r="L7749" s="9"/>
      <c r="M7749" s="2"/>
      <c r="N7749" s="9"/>
      <c r="P7749" s="3">
        <v>0</v>
      </c>
      <c r="S7749" s="9"/>
      <c r="T7749" s="2"/>
      <c r="U7749" s="9"/>
    </row>
    <row r="7750" spans="2:21" x14ac:dyDescent="0.35">
      <c r="B7750" s="9"/>
      <c r="C7750" s="2"/>
      <c r="D7750" s="2"/>
      <c r="I7750" s="9"/>
      <c r="J7750" s="2"/>
      <c r="L7750" s="9"/>
      <c r="M7750" s="2"/>
      <c r="N7750" s="9"/>
      <c r="P7750" s="3">
        <v>0</v>
      </c>
      <c r="S7750" s="9"/>
      <c r="T7750" s="2"/>
      <c r="U7750" s="9"/>
    </row>
    <row r="7751" spans="2:21" x14ac:dyDescent="0.35">
      <c r="B7751" s="9"/>
      <c r="C7751" s="2"/>
      <c r="D7751" s="2"/>
      <c r="I7751" s="9"/>
      <c r="J7751" s="2"/>
      <c r="L7751" s="9"/>
      <c r="M7751" s="2"/>
      <c r="N7751" s="9"/>
      <c r="P7751" s="3">
        <v>0</v>
      </c>
      <c r="S7751" s="9"/>
      <c r="T7751" s="2"/>
      <c r="U7751" s="9"/>
    </row>
    <row r="7752" spans="2:21" x14ac:dyDescent="0.35">
      <c r="B7752" s="9"/>
      <c r="C7752" s="2"/>
      <c r="D7752" s="2"/>
      <c r="I7752" s="9"/>
      <c r="J7752" s="2"/>
      <c r="L7752" s="9"/>
      <c r="M7752" s="2"/>
      <c r="N7752" s="9"/>
      <c r="P7752" s="3">
        <v>0</v>
      </c>
      <c r="S7752" s="9"/>
      <c r="T7752" s="2"/>
      <c r="U7752" s="9"/>
    </row>
    <row r="7753" spans="2:21" x14ac:dyDescent="0.35">
      <c r="B7753" s="9"/>
      <c r="C7753" s="2"/>
      <c r="D7753" s="2"/>
      <c r="I7753" s="9"/>
      <c r="J7753" s="2"/>
      <c r="L7753" s="9"/>
      <c r="M7753" s="2"/>
      <c r="N7753" s="9"/>
      <c r="P7753" s="3">
        <v>0</v>
      </c>
      <c r="S7753" s="9"/>
      <c r="T7753" s="2"/>
      <c r="U7753" s="9"/>
    </row>
    <row r="7754" spans="2:21" x14ac:dyDescent="0.35">
      <c r="B7754" s="9"/>
      <c r="C7754" s="2"/>
      <c r="D7754" s="2"/>
      <c r="I7754" s="9"/>
      <c r="J7754" s="2"/>
      <c r="L7754" s="9"/>
      <c r="M7754" s="2"/>
      <c r="N7754" s="9"/>
      <c r="P7754" s="3">
        <v>0</v>
      </c>
      <c r="S7754" s="9"/>
      <c r="T7754" s="2"/>
      <c r="U7754" s="9"/>
    </row>
    <row r="7755" spans="2:21" x14ac:dyDescent="0.35">
      <c r="B7755" s="9"/>
      <c r="C7755" s="2"/>
      <c r="D7755" s="2"/>
      <c r="I7755" s="9"/>
      <c r="J7755" s="2"/>
      <c r="L7755" s="9"/>
      <c r="M7755" s="2"/>
      <c r="N7755" s="9"/>
      <c r="P7755" s="3">
        <v>0</v>
      </c>
      <c r="S7755" s="9"/>
      <c r="T7755" s="2"/>
      <c r="U7755" s="9"/>
    </row>
    <row r="7756" spans="2:21" x14ac:dyDescent="0.35">
      <c r="B7756" s="9"/>
      <c r="C7756" s="2"/>
      <c r="D7756" s="2"/>
      <c r="I7756" s="9"/>
      <c r="J7756" s="2"/>
      <c r="L7756" s="9"/>
      <c r="M7756" s="2"/>
      <c r="N7756" s="9"/>
      <c r="P7756" s="3">
        <v>0</v>
      </c>
      <c r="S7756" s="9"/>
      <c r="T7756" s="2"/>
      <c r="U7756" s="9"/>
    </row>
    <row r="7757" spans="2:21" x14ac:dyDescent="0.35">
      <c r="B7757" s="9"/>
      <c r="C7757" s="2"/>
      <c r="D7757" s="2"/>
      <c r="I7757" s="9"/>
      <c r="J7757" s="2"/>
      <c r="L7757" s="9"/>
      <c r="M7757" s="2"/>
      <c r="N7757" s="9"/>
      <c r="P7757" s="3">
        <v>0</v>
      </c>
      <c r="S7757" s="9"/>
      <c r="T7757" s="2"/>
      <c r="U7757" s="9"/>
    </row>
    <row r="7758" spans="2:21" x14ac:dyDescent="0.35">
      <c r="B7758" s="9"/>
      <c r="C7758" s="2"/>
      <c r="D7758" s="2"/>
      <c r="I7758" s="9"/>
      <c r="J7758" s="2"/>
      <c r="L7758" s="9"/>
      <c r="M7758" s="2"/>
      <c r="N7758" s="9"/>
      <c r="P7758" s="3">
        <v>0</v>
      </c>
      <c r="S7758" s="9"/>
      <c r="T7758" s="2"/>
      <c r="U7758" s="9"/>
    </row>
    <row r="7759" spans="2:21" x14ac:dyDescent="0.35">
      <c r="B7759" s="9"/>
      <c r="C7759" s="2"/>
      <c r="D7759" s="2"/>
      <c r="I7759" s="9"/>
      <c r="J7759" s="2"/>
      <c r="L7759" s="9"/>
      <c r="M7759" s="2"/>
      <c r="N7759" s="9"/>
      <c r="P7759" s="3">
        <v>0</v>
      </c>
      <c r="S7759" s="9"/>
      <c r="T7759" s="2"/>
      <c r="U7759" s="9"/>
    </row>
    <row r="7760" spans="2:21" x14ac:dyDescent="0.35">
      <c r="B7760" s="9"/>
      <c r="C7760" s="2"/>
      <c r="D7760" s="2"/>
      <c r="I7760" s="9"/>
      <c r="J7760" s="2"/>
      <c r="L7760" s="9"/>
      <c r="M7760" s="2"/>
      <c r="N7760" s="9"/>
      <c r="P7760" s="3">
        <v>0</v>
      </c>
      <c r="S7760" s="9"/>
      <c r="T7760" s="2"/>
      <c r="U7760" s="9"/>
    </row>
    <row r="7761" spans="2:21" x14ac:dyDescent="0.35">
      <c r="B7761" s="9"/>
      <c r="C7761" s="2"/>
      <c r="D7761" s="2"/>
      <c r="I7761" s="9"/>
      <c r="J7761" s="2"/>
      <c r="L7761" s="9"/>
      <c r="M7761" s="2"/>
      <c r="N7761" s="9"/>
      <c r="P7761" s="3">
        <v>0</v>
      </c>
      <c r="S7761" s="9"/>
      <c r="T7761" s="2"/>
      <c r="U7761" s="9"/>
    </row>
    <row r="7762" spans="2:21" x14ac:dyDescent="0.35">
      <c r="B7762" s="9"/>
      <c r="C7762" s="2"/>
      <c r="D7762" s="2"/>
      <c r="I7762" s="9"/>
      <c r="J7762" s="2"/>
      <c r="L7762" s="9"/>
      <c r="M7762" s="2"/>
      <c r="N7762" s="9"/>
      <c r="P7762" s="3">
        <v>0</v>
      </c>
      <c r="S7762" s="9"/>
      <c r="T7762" s="2"/>
      <c r="U7762" s="9"/>
    </row>
    <row r="7763" spans="2:21" x14ac:dyDescent="0.35">
      <c r="B7763" s="9"/>
      <c r="C7763" s="2"/>
      <c r="D7763" s="2"/>
      <c r="I7763" s="9"/>
      <c r="J7763" s="2"/>
      <c r="L7763" s="9"/>
      <c r="M7763" s="2"/>
      <c r="N7763" s="9"/>
      <c r="P7763" s="3">
        <v>0</v>
      </c>
      <c r="S7763" s="9"/>
      <c r="T7763" s="2"/>
      <c r="U7763" s="9"/>
    </row>
    <row r="7764" spans="2:21" x14ac:dyDescent="0.35">
      <c r="B7764" s="9"/>
      <c r="C7764" s="2"/>
      <c r="D7764" s="2"/>
      <c r="I7764" s="9"/>
      <c r="J7764" s="2"/>
      <c r="L7764" s="9"/>
      <c r="M7764" s="2"/>
      <c r="N7764" s="9"/>
      <c r="P7764" s="3">
        <v>0</v>
      </c>
      <c r="S7764" s="9"/>
      <c r="T7764" s="2"/>
      <c r="U7764" s="9"/>
    </row>
    <row r="7765" spans="2:21" x14ac:dyDescent="0.35">
      <c r="B7765" s="9"/>
      <c r="C7765" s="2"/>
      <c r="D7765" s="2"/>
      <c r="I7765" s="9"/>
      <c r="J7765" s="2"/>
      <c r="L7765" s="9"/>
      <c r="M7765" s="2"/>
      <c r="N7765" s="9"/>
      <c r="P7765" s="3">
        <v>0</v>
      </c>
      <c r="S7765" s="9"/>
      <c r="T7765" s="2"/>
      <c r="U7765" s="9"/>
    </row>
    <row r="7766" spans="2:21" x14ac:dyDescent="0.35">
      <c r="B7766" s="9"/>
      <c r="C7766" s="2"/>
      <c r="D7766" s="2"/>
      <c r="I7766" s="9"/>
      <c r="J7766" s="2"/>
      <c r="L7766" s="9"/>
      <c r="M7766" s="2"/>
      <c r="N7766" s="9"/>
      <c r="P7766" s="3">
        <v>0</v>
      </c>
      <c r="S7766" s="9"/>
      <c r="T7766" s="2"/>
      <c r="U7766" s="9"/>
    </row>
    <row r="7767" spans="2:21" x14ac:dyDescent="0.35">
      <c r="B7767" s="9"/>
      <c r="C7767" s="2"/>
      <c r="D7767" s="2"/>
      <c r="I7767" s="9"/>
      <c r="J7767" s="2"/>
      <c r="L7767" s="9"/>
      <c r="M7767" s="2"/>
      <c r="N7767" s="9"/>
      <c r="P7767" s="3">
        <v>0</v>
      </c>
      <c r="S7767" s="9"/>
      <c r="T7767" s="2"/>
      <c r="U7767" s="9"/>
    </row>
    <row r="7768" spans="2:21" x14ac:dyDescent="0.35">
      <c r="B7768" s="9"/>
      <c r="C7768" s="2"/>
      <c r="D7768" s="2"/>
      <c r="I7768" s="9"/>
      <c r="J7768" s="2"/>
      <c r="L7768" s="9"/>
      <c r="M7768" s="2"/>
      <c r="N7768" s="9"/>
      <c r="P7768" s="3">
        <v>0</v>
      </c>
      <c r="S7768" s="9"/>
      <c r="T7768" s="2"/>
      <c r="U7768" s="9"/>
    </row>
    <row r="7769" spans="2:21" x14ac:dyDescent="0.35">
      <c r="B7769" s="9"/>
      <c r="C7769" s="2"/>
      <c r="D7769" s="2"/>
      <c r="I7769" s="9"/>
      <c r="J7769" s="2"/>
      <c r="L7769" s="9"/>
      <c r="M7769" s="2"/>
      <c r="N7769" s="9"/>
      <c r="P7769" s="3">
        <v>0</v>
      </c>
      <c r="S7769" s="9"/>
      <c r="T7769" s="2"/>
      <c r="U7769" s="9"/>
    </row>
    <row r="7770" spans="2:21" x14ac:dyDescent="0.35">
      <c r="B7770" s="9"/>
      <c r="C7770" s="2"/>
      <c r="D7770" s="2"/>
      <c r="I7770" s="9"/>
      <c r="J7770" s="2"/>
      <c r="L7770" s="9"/>
      <c r="M7770" s="2"/>
      <c r="N7770" s="9"/>
      <c r="P7770" s="3">
        <v>0</v>
      </c>
      <c r="S7770" s="9"/>
      <c r="T7770" s="2"/>
      <c r="U7770" s="9"/>
    </row>
    <row r="7771" spans="2:21" x14ac:dyDescent="0.35">
      <c r="B7771" s="9"/>
      <c r="C7771" s="2"/>
      <c r="D7771" s="2"/>
      <c r="I7771" s="9"/>
      <c r="J7771" s="2"/>
      <c r="L7771" s="9"/>
      <c r="M7771" s="2"/>
      <c r="N7771" s="9"/>
      <c r="P7771" s="3">
        <v>0</v>
      </c>
      <c r="S7771" s="9"/>
      <c r="T7771" s="2"/>
      <c r="U7771" s="9"/>
    </row>
    <row r="7772" spans="2:21" x14ac:dyDescent="0.35">
      <c r="B7772" s="9"/>
      <c r="C7772" s="2"/>
      <c r="D7772" s="2"/>
      <c r="I7772" s="9"/>
      <c r="J7772" s="2"/>
      <c r="L7772" s="9"/>
      <c r="M7772" s="2"/>
      <c r="N7772" s="9"/>
      <c r="P7772" s="3">
        <v>0</v>
      </c>
      <c r="S7772" s="9"/>
      <c r="T7772" s="2"/>
      <c r="U7772" s="9"/>
    </row>
    <row r="7773" spans="2:21" x14ac:dyDescent="0.35">
      <c r="B7773" s="9"/>
      <c r="C7773" s="2"/>
      <c r="D7773" s="2"/>
      <c r="I7773" s="9"/>
      <c r="J7773" s="2"/>
      <c r="L7773" s="9"/>
      <c r="M7773" s="2"/>
      <c r="N7773" s="9"/>
      <c r="P7773" s="3">
        <v>0</v>
      </c>
      <c r="S7773" s="9"/>
      <c r="T7773" s="2"/>
      <c r="U7773" s="9"/>
    </row>
    <row r="7774" spans="2:21" x14ac:dyDescent="0.35">
      <c r="B7774" s="9"/>
      <c r="C7774" s="2"/>
      <c r="D7774" s="2"/>
      <c r="I7774" s="9"/>
      <c r="J7774" s="2"/>
      <c r="L7774" s="9"/>
      <c r="M7774" s="2"/>
      <c r="N7774" s="9"/>
      <c r="P7774" s="3">
        <v>-140.86769998</v>
      </c>
      <c r="S7774" s="9"/>
      <c r="T7774" s="2"/>
      <c r="U7774" s="9"/>
    </row>
    <row r="7775" spans="2:21" x14ac:dyDescent="0.35">
      <c r="B7775" s="9"/>
      <c r="C7775" s="2"/>
      <c r="D7775" s="2"/>
      <c r="I7775" s="9"/>
      <c r="J7775" s="2"/>
      <c r="L7775" s="9"/>
      <c r="M7775" s="2"/>
      <c r="N7775" s="9"/>
      <c r="P7775" s="3">
        <v>-575.62769997999999</v>
      </c>
      <c r="S7775" s="9"/>
      <c r="T7775" s="2"/>
      <c r="U7775" s="9"/>
    </row>
    <row r="7776" spans="2:21" x14ac:dyDescent="0.35">
      <c r="B7776" s="9"/>
      <c r="C7776" s="2"/>
      <c r="D7776" s="2"/>
      <c r="I7776" s="9"/>
      <c r="J7776" s="2"/>
      <c r="L7776" s="9"/>
      <c r="M7776" s="2"/>
      <c r="N7776" s="9"/>
      <c r="P7776" s="3">
        <v>-140.86769998</v>
      </c>
      <c r="S7776" s="9"/>
      <c r="T7776" s="2"/>
      <c r="U7776" s="9"/>
    </row>
    <row r="7777" spans="2:21" x14ac:dyDescent="0.35">
      <c r="B7777" s="9"/>
      <c r="C7777" s="2"/>
      <c r="D7777" s="2"/>
      <c r="I7777" s="9"/>
      <c r="J7777" s="2"/>
      <c r="L7777" s="9"/>
      <c r="M7777" s="2"/>
      <c r="N7777" s="9"/>
      <c r="P7777" s="3">
        <v>-12.59301074</v>
      </c>
      <c r="S7777" s="9"/>
      <c r="T7777" s="2"/>
      <c r="U7777" s="9"/>
    </row>
    <row r="7778" spans="2:21" x14ac:dyDescent="0.35">
      <c r="B7778" s="9"/>
      <c r="C7778" s="2"/>
      <c r="D7778" s="2"/>
      <c r="I7778" s="9"/>
      <c r="J7778" s="2"/>
      <c r="L7778" s="9"/>
      <c r="M7778" s="2"/>
      <c r="N7778" s="9"/>
      <c r="P7778" s="3">
        <v>217.71019876</v>
      </c>
      <c r="S7778" s="9"/>
      <c r="T7778" s="2"/>
      <c r="U7778" s="9"/>
    </row>
    <row r="7779" spans="2:21" x14ac:dyDescent="0.35">
      <c r="B7779" s="9"/>
      <c r="C7779" s="2"/>
      <c r="D7779" s="2"/>
      <c r="I7779" s="9"/>
      <c r="J7779" s="2"/>
      <c r="L7779" s="9"/>
      <c r="M7779" s="2"/>
      <c r="N7779" s="9"/>
      <c r="P7779" s="3">
        <v>387.49873839000003</v>
      </c>
      <c r="S7779" s="9"/>
      <c r="T7779" s="2"/>
      <c r="U7779" s="9"/>
    </row>
    <row r="7780" spans="2:21" x14ac:dyDescent="0.35">
      <c r="B7780" s="9"/>
      <c r="C7780" s="2"/>
      <c r="D7780" s="2"/>
      <c r="I7780" s="9"/>
      <c r="J7780" s="2"/>
      <c r="L7780" s="9"/>
      <c r="M7780" s="2"/>
      <c r="N7780" s="9"/>
      <c r="P7780" s="3">
        <v>550.57214813999997</v>
      </c>
      <c r="S7780" s="9"/>
      <c r="T7780" s="2"/>
      <c r="U7780" s="9"/>
    </row>
    <row r="7781" spans="2:21" x14ac:dyDescent="0.35">
      <c r="B7781" s="9"/>
      <c r="C7781" s="2"/>
      <c r="D7781" s="2"/>
      <c r="I7781" s="9"/>
      <c r="J7781" s="2"/>
      <c r="L7781" s="9"/>
      <c r="M7781" s="2"/>
      <c r="N7781" s="9"/>
      <c r="P7781" s="3">
        <v>674.11356813999998</v>
      </c>
      <c r="S7781" s="9"/>
      <c r="T7781" s="2"/>
      <c r="U7781" s="9"/>
    </row>
    <row r="7782" spans="2:21" x14ac:dyDescent="0.35">
      <c r="B7782" s="9"/>
      <c r="C7782" s="2"/>
      <c r="D7782" s="2"/>
      <c r="I7782" s="9"/>
      <c r="J7782" s="2"/>
      <c r="L7782" s="9"/>
      <c r="M7782" s="2"/>
      <c r="N7782" s="9"/>
      <c r="P7782" s="3">
        <v>708.32092145000001</v>
      </c>
      <c r="S7782" s="9"/>
      <c r="T7782" s="2"/>
      <c r="U7782" s="9"/>
    </row>
    <row r="7783" spans="2:21" x14ac:dyDescent="0.35">
      <c r="B7783" s="9"/>
      <c r="C7783" s="2"/>
      <c r="D7783" s="2"/>
      <c r="I7783" s="9"/>
      <c r="J7783" s="2"/>
      <c r="L7783" s="9"/>
      <c r="M7783" s="2"/>
      <c r="N7783" s="9"/>
      <c r="P7783" s="3">
        <v>725.06130144999997</v>
      </c>
      <c r="S7783" s="9"/>
      <c r="T7783" s="2"/>
      <c r="U7783" s="9"/>
    </row>
    <row r="7784" spans="2:21" x14ac:dyDescent="0.35">
      <c r="B7784" s="9"/>
      <c r="C7784" s="2"/>
      <c r="D7784" s="2"/>
      <c r="I7784" s="9"/>
      <c r="J7784" s="2"/>
      <c r="L7784" s="9"/>
      <c r="M7784" s="2"/>
      <c r="N7784" s="9"/>
      <c r="P7784" s="3">
        <v>719.85416144999999</v>
      </c>
      <c r="S7784" s="9"/>
      <c r="T7784" s="2"/>
      <c r="U7784" s="9"/>
    </row>
    <row r="7785" spans="2:21" x14ac:dyDescent="0.35">
      <c r="B7785" s="9"/>
      <c r="C7785" s="2"/>
      <c r="D7785" s="2"/>
      <c r="I7785" s="9"/>
      <c r="J7785" s="2"/>
      <c r="L7785" s="9"/>
      <c r="M7785" s="2"/>
      <c r="N7785" s="9"/>
      <c r="P7785" s="3">
        <v>706.96979145</v>
      </c>
      <c r="S7785" s="9"/>
      <c r="T7785" s="2"/>
      <c r="U7785" s="9"/>
    </row>
    <row r="7786" spans="2:21" x14ac:dyDescent="0.35">
      <c r="B7786" s="9"/>
      <c r="C7786" s="2"/>
      <c r="D7786" s="2"/>
      <c r="I7786" s="9"/>
      <c r="J7786" s="2"/>
      <c r="L7786" s="9"/>
      <c r="M7786" s="2"/>
      <c r="N7786" s="9"/>
      <c r="P7786" s="3">
        <v>663.25012145000005</v>
      </c>
      <c r="S7786" s="9"/>
      <c r="T7786" s="2"/>
      <c r="U7786" s="9"/>
    </row>
    <row r="7787" spans="2:21" x14ac:dyDescent="0.35">
      <c r="B7787" s="9"/>
      <c r="C7787" s="2"/>
      <c r="D7787" s="2"/>
      <c r="I7787" s="9"/>
      <c r="J7787" s="2"/>
      <c r="L7787" s="9"/>
      <c r="M7787" s="2"/>
      <c r="N7787" s="9"/>
      <c r="P7787" s="3">
        <v>680.61378792999994</v>
      </c>
      <c r="S7787" s="9"/>
      <c r="T7787" s="2"/>
      <c r="U7787" s="9"/>
    </row>
    <row r="7788" spans="2:21" x14ac:dyDescent="0.35">
      <c r="B7788" s="9"/>
      <c r="C7788" s="2"/>
      <c r="D7788" s="2"/>
      <c r="I7788" s="9"/>
      <c r="J7788" s="2"/>
      <c r="L7788" s="9"/>
      <c r="M7788" s="2"/>
      <c r="N7788" s="9"/>
      <c r="P7788" s="3">
        <v>742.97512441000003</v>
      </c>
      <c r="S7788" s="9"/>
      <c r="T7788" s="2"/>
      <c r="U7788" s="9"/>
    </row>
    <row r="7789" spans="2:21" x14ac:dyDescent="0.35">
      <c r="B7789" s="9"/>
      <c r="C7789" s="2"/>
      <c r="D7789" s="2"/>
      <c r="I7789" s="9"/>
      <c r="J7789" s="2"/>
      <c r="L7789" s="9"/>
      <c r="M7789" s="2"/>
      <c r="N7789" s="9"/>
      <c r="P7789" s="3">
        <v>860.55925686</v>
      </c>
      <c r="S7789" s="9"/>
      <c r="T7789" s="2"/>
      <c r="U7789" s="9"/>
    </row>
    <row r="7790" spans="2:21" x14ac:dyDescent="0.35">
      <c r="B7790" s="9"/>
      <c r="C7790" s="2"/>
      <c r="D7790" s="2"/>
      <c r="I7790" s="9"/>
      <c r="J7790" s="2"/>
      <c r="L7790" s="9"/>
      <c r="M7790" s="2"/>
      <c r="N7790" s="9"/>
      <c r="P7790" s="3">
        <v>925.01935333999995</v>
      </c>
      <c r="S7790" s="9"/>
      <c r="T7790" s="2"/>
      <c r="U7790" s="9"/>
    </row>
    <row r="7791" spans="2:21" x14ac:dyDescent="0.35">
      <c r="B7791" s="9"/>
      <c r="C7791" s="2"/>
      <c r="D7791" s="2"/>
      <c r="I7791" s="9"/>
      <c r="J7791" s="2"/>
      <c r="L7791" s="9"/>
      <c r="M7791" s="2"/>
      <c r="N7791" s="9"/>
      <c r="P7791" s="3">
        <v>490.25935334000002</v>
      </c>
      <c r="S7791" s="9"/>
      <c r="T7791" s="2"/>
      <c r="U7791" s="9"/>
    </row>
    <row r="7792" spans="2:21" x14ac:dyDescent="0.35">
      <c r="B7792" s="9"/>
      <c r="C7792" s="2"/>
      <c r="D7792" s="2"/>
      <c r="I7792" s="9"/>
      <c r="J7792" s="2"/>
      <c r="L7792" s="9"/>
      <c r="M7792" s="2"/>
      <c r="N7792" s="9"/>
      <c r="P7792" s="3">
        <v>55.499353339999999</v>
      </c>
      <c r="S7792" s="9"/>
      <c r="T7792" s="2"/>
      <c r="U7792" s="9"/>
    </row>
    <row r="7793" spans="2:21" x14ac:dyDescent="0.35">
      <c r="B7793" s="9"/>
      <c r="C7793" s="2"/>
      <c r="D7793" s="2"/>
      <c r="I7793" s="9"/>
      <c r="J7793" s="2"/>
      <c r="L7793" s="9"/>
      <c r="M7793" s="2"/>
      <c r="N7793" s="9"/>
      <c r="P7793" s="3">
        <v>-379.26064666000002</v>
      </c>
      <c r="S7793" s="9"/>
      <c r="T7793" s="2"/>
      <c r="U7793" s="9"/>
    </row>
    <row r="7794" spans="2:21" x14ac:dyDescent="0.35">
      <c r="B7794" s="9"/>
      <c r="C7794" s="2"/>
      <c r="D7794" s="2"/>
      <c r="I7794" s="9"/>
      <c r="J7794" s="2"/>
      <c r="L7794" s="9"/>
      <c r="M7794" s="2"/>
      <c r="N7794" s="9"/>
      <c r="P7794" s="3">
        <v>-72.236341330000002</v>
      </c>
      <c r="S7794" s="9"/>
      <c r="T7794" s="2"/>
      <c r="U7794" s="9"/>
    </row>
    <row r="7795" spans="2:21" x14ac:dyDescent="0.35">
      <c r="B7795" s="9"/>
      <c r="C7795" s="2"/>
      <c r="D7795" s="2"/>
      <c r="I7795" s="9"/>
      <c r="J7795" s="2"/>
      <c r="L7795" s="9"/>
      <c r="M7795" s="2"/>
      <c r="N7795" s="9"/>
      <c r="P7795" s="3">
        <v>0</v>
      </c>
      <c r="S7795" s="9"/>
      <c r="T7795" s="2"/>
      <c r="U7795" s="9"/>
    </row>
    <row r="7796" spans="2:21" x14ac:dyDescent="0.35">
      <c r="B7796" s="9"/>
      <c r="C7796" s="2"/>
      <c r="D7796" s="2"/>
      <c r="I7796" s="9"/>
      <c r="J7796" s="2"/>
      <c r="L7796" s="9"/>
      <c r="M7796" s="2"/>
      <c r="N7796" s="9"/>
      <c r="P7796" s="3">
        <v>-314.46640353999999</v>
      </c>
      <c r="S7796" s="9"/>
      <c r="T7796" s="2"/>
      <c r="U7796" s="9"/>
    </row>
    <row r="7797" spans="2:21" x14ac:dyDescent="0.35">
      <c r="B7797" s="9"/>
      <c r="C7797" s="2"/>
      <c r="D7797" s="2"/>
      <c r="I7797" s="9"/>
      <c r="J7797" s="2"/>
      <c r="L7797" s="9"/>
      <c r="M7797" s="2"/>
      <c r="N7797" s="9"/>
      <c r="P7797" s="3">
        <v>-650.73764666</v>
      </c>
      <c r="S7797" s="9"/>
      <c r="T7797" s="2"/>
      <c r="U7797" s="9"/>
    </row>
    <row r="7798" spans="2:21" x14ac:dyDescent="0.35">
      <c r="B7798" s="9"/>
      <c r="C7798" s="2"/>
      <c r="D7798" s="2"/>
      <c r="I7798" s="9"/>
      <c r="J7798" s="2"/>
      <c r="L7798" s="9"/>
      <c r="M7798" s="2"/>
      <c r="N7798" s="9"/>
      <c r="P7798" s="3">
        <v>-215.97764666</v>
      </c>
      <c r="S7798" s="9"/>
      <c r="T7798" s="2"/>
      <c r="U7798" s="9"/>
    </row>
    <row r="7799" spans="2:21" x14ac:dyDescent="0.35">
      <c r="B7799" s="9"/>
      <c r="C7799" s="2"/>
      <c r="D7799" s="2"/>
      <c r="I7799" s="9"/>
      <c r="J7799" s="2"/>
      <c r="L7799" s="9"/>
      <c r="M7799" s="2"/>
      <c r="N7799" s="9"/>
      <c r="P7799" s="3">
        <v>218.78235333999999</v>
      </c>
      <c r="S7799" s="9"/>
      <c r="T7799" s="2"/>
      <c r="U7799" s="9"/>
    </row>
    <row r="7800" spans="2:21" x14ac:dyDescent="0.35">
      <c r="B7800" s="9"/>
      <c r="C7800" s="2"/>
      <c r="D7800" s="2"/>
      <c r="I7800" s="9"/>
      <c r="J7800" s="2"/>
      <c r="L7800" s="9"/>
      <c r="M7800" s="2"/>
      <c r="N7800" s="9"/>
      <c r="P7800" s="3">
        <v>636.33264334</v>
      </c>
      <c r="S7800" s="9"/>
      <c r="T7800" s="2"/>
      <c r="U7800" s="9"/>
    </row>
    <row r="7801" spans="2:21" x14ac:dyDescent="0.35">
      <c r="B7801" s="9"/>
      <c r="C7801" s="2"/>
      <c r="D7801" s="2"/>
      <c r="I7801" s="9"/>
      <c r="J7801" s="2"/>
      <c r="L7801" s="9"/>
      <c r="M7801" s="2"/>
      <c r="N7801" s="9"/>
      <c r="P7801" s="3">
        <v>383.09167258000002</v>
      </c>
      <c r="S7801" s="9"/>
      <c r="T7801" s="2"/>
      <c r="U7801" s="9"/>
    </row>
    <row r="7802" spans="2:21" x14ac:dyDescent="0.35">
      <c r="B7802" s="9"/>
      <c r="C7802" s="2"/>
      <c r="D7802" s="2"/>
      <c r="I7802" s="9"/>
      <c r="J7802" s="2"/>
      <c r="L7802" s="9"/>
      <c r="M7802" s="2"/>
      <c r="N7802" s="9"/>
      <c r="P7802" s="3">
        <v>151.23884208000001</v>
      </c>
      <c r="S7802" s="9"/>
      <c r="T7802" s="2"/>
      <c r="U7802" s="9"/>
    </row>
    <row r="7803" spans="2:21" x14ac:dyDescent="0.35">
      <c r="B7803" s="9"/>
      <c r="C7803" s="2"/>
      <c r="D7803" s="2"/>
      <c r="I7803" s="9"/>
      <c r="J7803" s="2"/>
      <c r="L7803" s="9"/>
      <c r="M7803" s="2"/>
      <c r="N7803" s="9"/>
      <c r="P7803" s="3">
        <v>-44.195908289999998</v>
      </c>
      <c r="S7803" s="9"/>
      <c r="T7803" s="2"/>
      <c r="U7803" s="9"/>
    </row>
    <row r="7804" spans="2:21" x14ac:dyDescent="0.35">
      <c r="B7804" s="9"/>
      <c r="C7804" s="2"/>
      <c r="D7804" s="2"/>
      <c r="I7804" s="9"/>
      <c r="J7804" s="2"/>
      <c r="L7804" s="9"/>
      <c r="M7804" s="2"/>
      <c r="N7804" s="9"/>
      <c r="P7804" s="3">
        <v>-188.68810855000001</v>
      </c>
      <c r="S7804" s="9"/>
      <c r="T7804" s="2"/>
      <c r="U7804" s="9"/>
    </row>
    <row r="7805" spans="2:21" x14ac:dyDescent="0.35">
      <c r="B7805" s="9"/>
      <c r="C7805" s="2"/>
      <c r="D7805" s="2"/>
      <c r="I7805" s="9"/>
      <c r="J7805" s="2"/>
      <c r="L7805" s="9"/>
      <c r="M7805" s="2"/>
      <c r="N7805" s="9"/>
      <c r="P7805" s="3">
        <v>-290.57594855000002</v>
      </c>
      <c r="S7805" s="9"/>
      <c r="T7805" s="2"/>
      <c r="U7805" s="9"/>
    </row>
    <row r="7806" spans="2:21" x14ac:dyDescent="0.35">
      <c r="B7806" s="9"/>
      <c r="C7806" s="2"/>
      <c r="D7806" s="2"/>
      <c r="I7806" s="9"/>
      <c r="J7806" s="2"/>
      <c r="L7806" s="9"/>
      <c r="M7806" s="2"/>
      <c r="N7806" s="9"/>
      <c r="P7806" s="3">
        <v>-394.03278396000002</v>
      </c>
      <c r="S7806" s="9"/>
      <c r="T7806" s="2"/>
      <c r="U7806" s="9"/>
    </row>
    <row r="7807" spans="2:21" x14ac:dyDescent="0.35">
      <c r="B7807" s="9"/>
      <c r="C7807" s="2"/>
      <c r="D7807" s="2"/>
      <c r="I7807" s="9"/>
      <c r="J7807" s="2"/>
      <c r="L7807" s="9"/>
      <c r="M7807" s="2"/>
      <c r="N7807" s="9"/>
      <c r="P7807" s="3">
        <v>-475.77082395999997</v>
      </c>
      <c r="S7807" s="9"/>
      <c r="T7807" s="2"/>
      <c r="U7807" s="9"/>
    </row>
    <row r="7808" spans="2:21" x14ac:dyDescent="0.35">
      <c r="B7808" s="9"/>
      <c r="C7808" s="2"/>
      <c r="D7808" s="2"/>
      <c r="I7808" s="9"/>
      <c r="J7808" s="2"/>
      <c r="L7808" s="9"/>
      <c r="M7808" s="2"/>
      <c r="N7808" s="9"/>
      <c r="P7808" s="3">
        <v>-489.99354396000001</v>
      </c>
      <c r="S7808" s="9"/>
      <c r="T7808" s="2"/>
      <c r="U7808" s="9"/>
    </row>
    <row r="7809" spans="2:21" x14ac:dyDescent="0.35">
      <c r="B7809" s="9"/>
      <c r="C7809" s="2"/>
      <c r="D7809" s="2"/>
      <c r="I7809" s="9"/>
      <c r="J7809" s="2"/>
      <c r="L7809" s="9"/>
      <c r="M7809" s="2"/>
      <c r="N7809" s="9"/>
      <c r="P7809" s="3">
        <v>-514.35364396</v>
      </c>
      <c r="S7809" s="9"/>
      <c r="T7809" s="2"/>
      <c r="U7809" s="9"/>
    </row>
    <row r="7810" spans="2:21" x14ac:dyDescent="0.35">
      <c r="B7810" s="9"/>
      <c r="C7810" s="2"/>
      <c r="D7810" s="2"/>
      <c r="I7810" s="9"/>
      <c r="J7810" s="2"/>
      <c r="L7810" s="9"/>
      <c r="M7810" s="2"/>
      <c r="N7810" s="9"/>
      <c r="P7810" s="3">
        <v>-656.66746395999996</v>
      </c>
      <c r="S7810" s="9"/>
      <c r="T7810" s="2"/>
      <c r="U7810" s="9"/>
    </row>
    <row r="7811" spans="2:21" x14ac:dyDescent="0.35">
      <c r="B7811" s="9"/>
      <c r="C7811" s="2"/>
      <c r="D7811" s="2"/>
      <c r="I7811" s="9"/>
      <c r="J7811" s="2"/>
      <c r="L7811" s="9"/>
      <c r="M7811" s="2"/>
      <c r="N7811" s="9"/>
      <c r="P7811" s="3">
        <v>-771.43621747999998</v>
      </c>
      <c r="S7811" s="9"/>
      <c r="T7811" s="2"/>
      <c r="U7811" s="9"/>
    </row>
    <row r="7812" spans="2:21" x14ac:dyDescent="0.35">
      <c r="B7812" s="9"/>
      <c r="C7812" s="2"/>
      <c r="D7812" s="2"/>
      <c r="I7812" s="9"/>
      <c r="J7812" s="2"/>
      <c r="L7812" s="9"/>
      <c r="M7812" s="2"/>
      <c r="N7812" s="9"/>
      <c r="P7812" s="3">
        <v>-840.96377099999995</v>
      </c>
      <c r="S7812" s="9"/>
      <c r="T7812" s="2"/>
      <c r="U7812" s="9"/>
    </row>
    <row r="7813" spans="2:21" x14ac:dyDescent="0.35">
      <c r="B7813" s="9"/>
      <c r="C7813" s="2"/>
      <c r="D7813" s="2"/>
      <c r="I7813" s="9"/>
      <c r="J7813" s="2"/>
      <c r="L7813" s="9"/>
      <c r="M7813" s="2"/>
      <c r="N7813" s="9"/>
      <c r="P7813" s="3">
        <v>-992.72949855000002</v>
      </c>
      <c r="S7813" s="9"/>
      <c r="T7813" s="2"/>
      <c r="U7813" s="9"/>
    </row>
    <row r="7814" spans="2:21" x14ac:dyDescent="0.35">
      <c r="B7814" s="9"/>
      <c r="C7814" s="2"/>
      <c r="D7814" s="2"/>
      <c r="I7814" s="9"/>
      <c r="J7814" s="2"/>
      <c r="L7814" s="9"/>
      <c r="M7814" s="2"/>
      <c r="N7814" s="9"/>
      <c r="P7814" s="3">
        <v>-1204.8016220699999</v>
      </c>
      <c r="S7814" s="9"/>
      <c r="T7814" s="2"/>
      <c r="U7814" s="9"/>
    </row>
    <row r="7815" spans="2:21" x14ac:dyDescent="0.35">
      <c r="B7815" s="9"/>
      <c r="C7815" s="2"/>
      <c r="D7815" s="2"/>
      <c r="I7815" s="9"/>
      <c r="J7815" s="2"/>
      <c r="L7815" s="9"/>
      <c r="M7815" s="2"/>
      <c r="N7815" s="9"/>
      <c r="P7815" s="3">
        <v>-1639.5616220700001</v>
      </c>
      <c r="S7815" s="9"/>
      <c r="T7815" s="2"/>
      <c r="U7815" s="9"/>
    </row>
    <row r="7816" spans="2:21" x14ac:dyDescent="0.35">
      <c r="B7816" s="9"/>
      <c r="C7816" s="2"/>
      <c r="D7816" s="2"/>
      <c r="I7816" s="9"/>
      <c r="J7816" s="2"/>
      <c r="L7816" s="9"/>
      <c r="M7816" s="2"/>
      <c r="N7816" s="9"/>
      <c r="P7816" s="3">
        <v>-2074.3216220700001</v>
      </c>
      <c r="S7816" s="9"/>
      <c r="T7816" s="2"/>
      <c r="U7816" s="9"/>
    </row>
    <row r="7817" spans="2:21" x14ac:dyDescent="0.35">
      <c r="B7817" s="9"/>
      <c r="C7817" s="2"/>
      <c r="D7817" s="2"/>
      <c r="I7817" s="9"/>
      <c r="J7817" s="2"/>
      <c r="L7817" s="9"/>
      <c r="M7817" s="2"/>
      <c r="N7817" s="9"/>
      <c r="P7817" s="3">
        <v>-2509.0816220699999</v>
      </c>
      <c r="S7817" s="9"/>
      <c r="T7817" s="2"/>
      <c r="U7817" s="9"/>
    </row>
    <row r="7818" spans="2:21" x14ac:dyDescent="0.35">
      <c r="B7818" s="9"/>
      <c r="C7818" s="2"/>
      <c r="D7818" s="2"/>
      <c r="I7818" s="9"/>
      <c r="J7818" s="2"/>
      <c r="L7818" s="9"/>
      <c r="M7818" s="2"/>
      <c r="N7818" s="9"/>
      <c r="P7818" s="3">
        <v>-2074.3216220700001</v>
      </c>
      <c r="S7818" s="9"/>
      <c r="T7818" s="2"/>
      <c r="U7818" s="9"/>
    </row>
    <row r="7819" spans="2:21" x14ac:dyDescent="0.35">
      <c r="B7819" s="9"/>
      <c r="C7819" s="2"/>
      <c r="D7819" s="2"/>
      <c r="I7819" s="9"/>
      <c r="J7819" s="2"/>
      <c r="L7819" s="9"/>
      <c r="M7819" s="2"/>
      <c r="N7819" s="9"/>
      <c r="P7819" s="3">
        <v>-2286.9387514599998</v>
      </c>
      <c r="S7819" s="9"/>
      <c r="T7819" s="2"/>
      <c r="U7819" s="9"/>
    </row>
    <row r="7820" spans="2:21" x14ac:dyDescent="0.35">
      <c r="B7820" s="9"/>
      <c r="C7820" s="2"/>
      <c r="D7820" s="2"/>
      <c r="I7820" s="9"/>
      <c r="J7820" s="2"/>
      <c r="L7820" s="9"/>
      <c r="M7820" s="2"/>
      <c r="N7820" s="9"/>
      <c r="P7820" s="3">
        <v>-2721.69875146</v>
      </c>
      <c r="S7820" s="9"/>
      <c r="T7820" s="2"/>
      <c r="U7820" s="9"/>
    </row>
    <row r="7821" spans="2:21" x14ac:dyDescent="0.35">
      <c r="B7821" s="9"/>
      <c r="C7821" s="2"/>
      <c r="D7821" s="2"/>
      <c r="I7821" s="9"/>
      <c r="J7821" s="2"/>
      <c r="L7821" s="9"/>
      <c r="M7821" s="2"/>
      <c r="N7821" s="9"/>
      <c r="P7821" s="3">
        <v>-2860.169492</v>
      </c>
      <c r="S7821" s="9"/>
      <c r="T7821" s="2"/>
      <c r="U7821" s="9"/>
    </row>
    <row r="7822" spans="2:21" x14ac:dyDescent="0.35">
      <c r="B7822" s="9"/>
      <c r="C7822" s="2"/>
      <c r="D7822" s="2"/>
      <c r="I7822" s="9"/>
      <c r="J7822" s="2"/>
      <c r="L7822" s="9"/>
      <c r="M7822" s="2"/>
      <c r="N7822" s="9"/>
      <c r="P7822" s="3">
        <v>-2860.169492</v>
      </c>
      <c r="S7822" s="9"/>
      <c r="T7822" s="2"/>
      <c r="U7822" s="9"/>
    </row>
    <row r="7823" spans="2:21" x14ac:dyDescent="0.35">
      <c r="B7823" s="9"/>
      <c r="C7823" s="2"/>
      <c r="D7823" s="2"/>
      <c r="I7823" s="9"/>
      <c r="J7823" s="2"/>
      <c r="L7823" s="9"/>
      <c r="M7823" s="2"/>
      <c r="N7823" s="9"/>
      <c r="P7823" s="3">
        <v>-2472.7757320699998</v>
      </c>
      <c r="S7823" s="9"/>
      <c r="T7823" s="2"/>
      <c r="U7823" s="9"/>
    </row>
    <row r="7824" spans="2:21" x14ac:dyDescent="0.35">
      <c r="B7824" s="9"/>
      <c r="C7824" s="2"/>
      <c r="D7824" s="2"/>
      <c r="I7824" s="9"/>
      <c r="J7824" s="2"/>
      <c r="L7824" s="9"/>
      <c r="M7824" s="2"/>
      <c r="N7824" s="9"/>
      <c r="P7824" s="3">
        <v>-2038.01573207</v>
      </c>
      <c r="S7824" s="9"/>
      <c r="T7824" s="2"/>
      <c r="U7824" s="9"/>
    </row>
    <row r="7825" spans="2:21" x14ac:dyDescent="0.35">
      <c r="B7825" s="9"/>
      <c r="C7825" s="2"/>
      <c r="D7825" s="2"/>
      <c r="I7825" s="9"/>
      <c r="J7825" s="2"/>
      <c r="L7825" s="9"/>
      <c r="M7825" s="2"/>
      <c r="N7825" s="9"/>
      <c r="P7825" s="3">
        <v>-2233.75877283</v>
      </c>
      <c r="S7825" s="9"/>
      <c r="T7825" s="2"/>
      <c r="U7825" s="9"/>
    </row>
    <row r="7826" spans="2:21" x14ac:dyDescent="0.35">
      <c r="B7826" s="9"/>
      <c r="C7826" s="2"/>
      <c r="D7826" s="2"/>
      <c r="I7826" s="9"/>
      <c r="J7826" s="2"/>
      <c r="L7826" s="9"/>
      <c r="M7826" s="2"/>
      <c r="N7826" s="9"/>
      <c r="P7826" s="3">
        <v>-2417.1306733299998</v>
      </c>
      <c r="S7826" s="9"/>
      <c r="T7826" s="2"/>
      <c r="U7826" s="9"/>
    </row>
    <row r="7827" spans="2:21" x14ac:dyDescent="0.35">
      <c r="B7827" s="9"/>
      <c r="C7827" s="2"/>
      <c r="D7827" s="2"/>
      <c r="I7827" s="9"/>
      <c r="J7827" s="2"/>
      <c r="L7827" s="9"/>
      <c r="M7827" s="2"/>
      <c r="N7827" s="9"/>
      <c r="P7827" s="3">
        <v>-2450.01278637</v>
      </c>
      <c r="S7827" s="9"/>
      <c r="T7827" s="2"/>
      <c r="U7827" s="9"/>
    </row>
    <row r="7828" spans="2:21" x14ac:dyDescent="0.35">
      <c r="B7828" s="9"/>
      <c r="C7828" s="2"/>
      <c r="D7828" s="2"/>
      <c r="I7828" s="9"/>
      <c r="J7828" s="2"/>
      <c r="L7828" s="9"/>
      <c r="M7828" s="2"/>
      <c r="N7828" s="9"/>
      <c r="P7828" s="3">
        <v>-2015.25278637</v>
      </c>
      <c r="S7828" s="9"/>
      <c r="T7828" s="2"/>
      <c r="U7828" s="9"/>
    </row>
    <row r="7829" spans="2:21" x14ac:dyDescent="0.35">
      <c r="B7829" s="9"/>
      <c r="C7829" s="2"/>
      <c r="D7829" s="2"/>
      <c r="I7829" s="9"/>
      <c r="J7829" s="2"/>
      <c r="L7829" s="9"/>
      <c r="M7829" s="2"/>
      <c r="N7829" s="9"/>
      <c r="P7829" s="3">
        <v>-1580.49278637</v>
      </c>
      <c r="S7829" s="9"/>
      <c r="T7829" s="2"/>
      <c r="U7829" s="9"/>
    </row>
    <row r="7830" spans="2:21" x14ac:dyDescent="0.35">
      <c r="B7830" s="9"/>
      <c r="C7830" s="2"/>
      <c r="D7830" s="2"/>
      <c r="I7830" s="9"/>
      <c r="J7830" s="2"/>
      <c r="L7830" s="9"/>
      <c r="M7830" s="2"/>
      <c r="N7830" s="9"/>
      <c r="P7830" s="3">
        <v>-1145.73278637</v>
      </c>
      <c r="S7830" s="9"/>
      <c r="T7830" s="2"/>
      <c r="U7830" s="9"/>
    </row>
    <row r="7831" spans="2:21" x14ac:dyDescent="0.35">
      <c r="B7831" s="9"/>
      <c r="C7831" s="2"/>
      <c r="D7831" s="2"/>
      <c r="I7831" s="9"/>
      <c r="J7831" s="2"/>
      <c r="L7831" s="9"/>
      <c r="M7831" s="2"/>
      <c r="N7831" s="9"/>
      <c r="P7831" s="3">
        <v>-710.97278636999999</v>
      </c>
      <c r="S7831" s="9"/>
      <c r="T7831" s="2"/>
      <c r="U7831" s="9"/>
    </row>
    <row r="7832" spans="2:21" x14ac:dyDescent="0.35">
      <c r="B7832" s="9"/>
      <c r="C7832" s="2"/>
      <c r="D7832" s="2"/>
      <c r="I7832" s="9"/>
      <c r="J7832" s="2"/>
      <c r="L7832" s="9"/>
      <c r="M7832" s="2"/>
      <c r="N7832" s="9"/>
      <c r="P7832" s="3">
        <v>-373.66314636999999</v>
      </c>
      <c r="S7832" s="9"/>
      <c r="T7832" s="2"/>
      <c r="U7832" s="9"/>
    </row>
    <row r="7833" spans="2:21" x14ac:dyDescent="0.35">
      <c r="B7833" s="9"/>
      <c r="C7833" s="2"/>
      <c r="D7833" s="2"/>
      <c r="I7833" s="9"/>
      <c r="J7833" s="2"/>
      <c r="L7833" s="9"/>
      <c r="M7833" s="2"/>
      <c r="N7833" s="9"/>
      <c r="P7833" s="3">
        <v>-216.70628636999999</v>
      </c>
      <c r="S7833" s="9"/>
      <c r="T7833" s="2"/>
      <c r="U7833" s="9"/>
    </row>
    <row r="7834" spans="2:21" x14ac:dyDescent="0.35">
      <c r="B7834" s="9"/>
      <c r="C7834" s="2"/>
      <c r="D7834" s="2"/>
      <c r="I7834" s="9"/>
      <c r="J7834" s="2"/>
      <c r="L7834" s="9"/>
      <c r="M7834" s="2"/>
      <c r="N7834" s="9"/>
      <c r="P7834" s="3">
        <v>-346.41902636999998</v>
      </c>
      <c r="S7834" s="9"/>
      <c r="T7834" s="2"/>
      <c r="U7834" s="9"/>
    </row>
    <row r="7835" spans="2:21" x14ac:dyDescent="0.35">
      <c r="B7835" s="9"/>
      <c r="C7835" s="2"/>
      <c r="D7835" s="2"/>
      <c r="I7835" s="9"/>
      <c r="J7835" s="2"/>
      <c r="L7835" s="9"/>
      <c r="M7835" s="2"/>
      <c r="N7835" s="9"/>
      <c r="P7835" s="3">
        <v>-567.4399899</v>
      </c>
      <c r="S7835" s="9"/>
      <c r="T7835" s="2"/>
      <c r="U7835" s="9"/>
    </row>
    <row r="7836" spans="2:21" x14ac:dyDescent="0.35">
      <c r="B7836" s="9"/>
      <c r="C7836" s="2"/>
      <c r="D7836" s="2"/>
      <c r="I7836" s="9"/>
      <c r="J7836" s="2"/>
      <c r="L7836" s="9"/>
      <c r="M7836" s="2"/>
      <c r="N7836" s="9"/>
      <c r="P7836" s="3">
        <v>-975.58997341999998</v>
      </c>
      <c r="S7836" s="9"/>
      <c r="T7836" s="2"/>
      <c r="U7836" s="9"/>
    </row>
    <row r="7837" spans="2:21" x14ac:dyDescent="0.35">
      <c r="B7837" s="9"/>
      <c r="C7837" s="2"/>
      <c r="D7837" s="2"/>
      <c r="I7837" s="9"/>
      <c r="J7837" s="2"/>
      <c r="L7837" s="9"/>
      <c r="M7837" s="2"/>
      <c r="N7837" s="9"/>
      <c r="P7837" s="3">
        <v>-1410.34997342</v>
      </c>
      <c r="S7837" s="9"/>
      <c r="T7837" s="2"/>
      <c r="U7837" s="9"/>
    </row>
    <row r="7838" spans="2:21" x14ac:dyDescent="0.35">
      <c r="B7838" s="9"/>
      <c r="C7838" s="2"/>
      <c r="D7838" s="2"/>
      <c r="I7838" s="9"/>
      <c r="J7838" s="2"/>
      <c r="L7838" s="9"/>
      <c r="M7838" s="2"/>
      <c r="N7838" s="9"/>
      <c r="P7838" s="3">
        <v>-1845.10997342</v>
      </c>
      <c r="S7838" s="9"/>
      <c r="T7838" s="2"/>
      <c r="U7838" s="9"/>
    </row>
    <row r="7839" spans="2:21" x14ac:dyDescent="0.35">
      <c r="B7839" s="9"/>
      <c r="C7839" s="2"/>
      <c r="D7839" s="2"/>
      <c r="I7839" s="9"/>
      <c r="J7839" s="2"/>
      <c r="L7839" s="9"/>
      <c r="M7839" s="2"/>
      <c r="N7839" s="9"/>
      <c r="P7839" s="3">
        <v>-2279.86997342</v>
      </c>
      <c r="S7839" s="9"/>
      <c r="T7839" s="2"/>
      <c r="U7839" s="9"/>
    </row>
    <row r="7840" spans="2:21" x14ac:dyDescent="0.35">
      <c r="B7840" s="9"/>
      <c r="C7840" s="2"/>
      <c r="D7840" s="2"/>
      <c r="I7840" s="9"/>
      <c r="J7840" s="2"/>
      <c r="L7840" s="9"/>
      <c r="M7840" s="2"/>
      <c r="N7840" s="9"/>
      <c r="P7840" s="3">
        <v>-2714.6299734200002</v>
      </c>
      <c r="S7840" s="9"/>
      <c r="T7840" s="2"/>
      <c r="U7840" s="9"/>
    </row>
    <row r="7841" spans="2:21" x14ac:dyDescent="0.35">
      <c r="B7841" s="9"/>
      <c r="C7841" s="2"/>
      <c r="D7841" s="2"/>
      <c r="I7841" s="9"/>
      <c r="J7841" s="2"/>
      <c r="L7841" s="9"/>
      <c r="M7841" s="2"/>
      <c r="N7841" s="9"/>
      <c r="P7841" s="3">
        <v>-2860.169492</v>
      </c>
      <c r="S7841" s="9"/>
      <c r="T7841" s="2"/>
      <c r="U7841" s="9"/>
    </row>
    <row r="7842" spans="2:21" x14ac:dyDescent="0.35">
      <c r="B7842" s="9"/>
      <c r="C7842" s="2"/>
      <c r="D7842" s="2"/>
      <c r="I7842" s="9"/>
      <c r="J7842" s="2"/>
      <c r="L7842" s="9"/>
      <c r="M7842" s="2"/>
      <c r="N7842" s="9"/>
      <c r="P7842" s="3">
        <v>-2860.169492</v>
      </c>
      <c r="S7842" s="9"/>
      <c r="T7842" s="2"/>
      <c r="U7842" s="9"/>
    </row>
    <row r="7843" spans="2:21" x14ac:dyDescent="0.35">
      <c r="B7843" s="9"/>
      <c r="C7843" s="2"/>
      <c r="D7843" s="2"/>
      <c r="I7843" s="9"/>
      <c r="J7843" s="2"/>
      <c r="L7843" s="9"/>
      <c r="M7843" s="2"/>
      <c r="N7843" s="9"/>
      <c r="P7843" s="3">
        <v>-2860.169492</v>
      </c>
      <c r="S7843" s="9"/>
      <c r="T7843" s="2"/>
      <c r="U7843" s="9"/>
    </row>
    <row r="7844" spans="2:21" x14ac:dyDescent="0.35">
      <c r="B7844" s="9"/>
      <c r="C7844" s="2"/>
      <c r="D7844" s="2"/>
      <c r="I7844" s="9"/>
      <c r="J7844" s="2"/>
      <c r="L7844" s="9"/>
      <c r="M7844" s="2"/>
      <c r="N7844" s="9"/>
      <c r="P7844" s="3">
        <v>-2860.169492</v>
      </c>
      <c r="S7844" s="9"/>
      <c r="T7844" s="2"/>
      <c r="U7844" s="9"/>
    </row>
    <row r="7845" spans="2:21" x14ac:dyDescent="0.35">
      <c r="B7845" s="9"/>
      <c r="C7845" s="2"/>
      <c r="D7845" s="2"/>
      <c r="I7845" s="9"/>
      <c r="J7845" s="2"/>
      <c r="L7845" s="9"/>
      <c r="M7845" s="2"/>
      <c r="N7845" s="9"/>
      <c r="P7845" s="3">
        <v>-2858.9272244899998</v>
      </c>
      <c r="S7845" s="9"/>
      <c r="T7845" s="2"/>
      <c r="U7845" s="9"/>
    </row>
    <row r="7846" spans="2:21" x14ac:dyDescent="0.35">
      <c r="B7846" s="9"/>
      <c r="C7846" s="2"/>
      <c r="D7846" s="2"/>
      <c r="I7846" s="9"/>
      <c r="J7846" s="2"/>
      <c r="L7846" s="9"/>
      <c r="M7846" s="2"/>
      <c r="N7846" s="9"/>
      <c r="P7846" s="3">
        <v>-2711.4573844900001</v>
      </c>
      <c r="S7846" s="9"/>
      <c r="T7846" s="2"/>
      <c r="U7846" s="9"/>
    </row>
    <row r="7847" spans="2:21" x14ac:dyDescent="0.35">
      <c r="B7847" s="9"/>
      <c r="C7847" s="2"/>
      <c r="D7847" s="2"/>
      <c r="I7847" s="9"/>
      <c r="J7847" s="2"/>
      <c r="L7847" s="9"/>
      <c r="M7847" s="2"/>
      <c r="N7847" s="9"/>
      <c r="P7847" s="3">
        <v>-2629.3373644899998</v>
      </c>
      <c r="S7847" s="9"/>
      <c r="T7847" s="2"/>
      <c r="U7847" s="9"/>
    </row>
    <row r="7848" spans="2:21" x14ac:dyDescent="0.35">
      <c r="B7848" s="9"/>
      <c r="C7848" s="2"/>
      <c r="D7848" s="2"/>
      <c r="I7848" s="9"/>
      <c r="J7848" s="2"/>
      <c r="L7848" s="9"/>
      <c r="M7848" s="2"/>
      <c r="N7848" s="9"/>
      <c r="P7848" s="3">
        <v>-2740.35296449</v>
      </c>
      <c r="S7848" s="9"/>
      <c r="T7848" s="2"/>
      <c r="U7848" s="9"/>
    </row>
    <row r="7849" spans="2:21" x14ac:dyDescent="0.35">
      <c r="B7849" s="9"/>
      <c r="C7849" s="2"/>
      <c r="D7849" s="2"/>
      <c r="I7849" s="9"/>
      <c r="J7849" s="2"/>
      <c r="L7849" s="9"/>
      <c r="M7849" s="2"/>
      <c r="N7849" s="9"/>
      <c r="P7849" s="3">
        <v>-2860.169492</v>
      </c>
      <c r="S7849" s="9"/>
      <c r="T7849" s="2"/>
      <c r="U7849" s="9"/>
    </row>
    <row r="7850" spans="2:21" x14ac:dyDescent="0.35">
      <c r="B7850" s="9"/>
      <c r="C7850" s="2"/>
      <c r="D7850" s="2"/>
      <c r="I7850" s="9"/>
      <c r="J7850" s="2"/>
      <c r="L7850" s="9"/>
      <c r="M7850" s="2"/>
      <c r="N7850" s="9"/>
      <c r="P7850" s="3">
        <v>-2749.2036157500002</v>
      </c>
      <c r="S7850" s="9"/>
      <c r="T7850" s="2"/>
      <c r="U7850" s="9"/>
    </row>
    <row r="7851" spans="2:21" x14ac:dyDescent="0.35">
      <c r="B7851" s="9"/>
      <c r="C7851" s="2"/>
      <c r="D7851" s="2"/>
      <c r="I7851" s="9"/>
      <c r="J7851" s="2"/>
      <c r="L7851" s="9"/>
      <c r="M7851" s="2"/>
      <c r="N7851" s="9"/>
      <c r="P7851" s="3">
        <v>-2487.6710061200001</v>
      </c>
      <c r="S7851" s="9"/>
      <c r="T7851" s="2"/>
      <c r="U7851" s="9"/>
    </row>
    <row r="7852" spans="2:21" x14ac:dyDescent="0.35">
      <c r="B7852" s="9"/>
      <c r="C7852" s="2"/>
      <c r="D7852" s="2"/>
      <c r="I7852" s="9"/>
      <c r="J7852" s="2"/>
      <c r="L7852" s="9"/>
      <c r="M7852" s="2"/>
      <c r="N7852" s="9"/>
      <c r="P7852" s="3">
        <v>-2130.10516637</v>
      </c>
      <c r="S7852" s="9"/>
      <c r="T7852" s="2"/>
      <c r="U7852" s="9"/>
    </row>
    <row r="7853" spans="2:21" x14ac:dyDescent="0.35">
      <c r="B7853" s="9"/>
      <c r="C7853" s="2"/>
      <c r="D7853" s="2"/>
      <c r="I7853" s="9"/>
      <c r="J7853" s="2"/>
      <c r="L7853" s="9"/>
      <c r="M7853" s="2"/>
      <c r="N7853" s="9"/>
      <c r="P7853" s="3">
        <v>-1721.4037660700001</v>
      </c>
      <c r="S7853" s="9"/>
      <c r="T7853" s="2"/>
      <c r="U7853" s="9"/>
    </row>
    <row r="7854" spans="2:21" x14ac:dyDescent="0.35">
      <c r="B7854" s="9"/>
      <c r="C7854" s="2"/>
      <c r="D7854" s="2"/>
      <c r="I7854" s="9"/>
      <c r="J7854" s="2"/>
      <c r="L7854" s="9"/>
      <c r="M7854" s="2"/>
      <c r="N7854" s="9"/>
      <c r="P7854" s="3">
        <v>-1286.6437660700001</v>
      </c>
      <c r="S7854" s="9"/>
      <c r="T7854" s="2"/>
      <c r="U7854" s="9"/>
    </row>
    <row r="7855" spans="2:21" x14ac:dyDescent="0.35">
      <c r="B7855" s="9"/>
      <c r="C7855" s="2"/>
      <c r="D7855" s="2"/>
      <c r="I7855" s="9"/>
      <c r="J7855" s="2"/>
      <c r="L7855" s="9"/>
      <c r="M7855" s="2"/>
      <c r="N7855" s="9"/>
      <c r="P7855" s="3">
        <v>-1091.6649860699999</v>
      </c>
      <c r="S7855" s="9"/>
      <c r="T7855" s="2"/>
      <c r="U7855" s="9"/>
    </row>
    <row r="7856" spans="2:21" x14ac:dyDescent="0.35">
      <c r="B7856" s="9"/>
      <c r="C7856" s="2"/>
      <c r="D7856" s="2"/>
      <c r="I7856" s="9"/>
      <c r="J7856" s="2"/>
      <c r="L7856" s="9"/>
      <c r="M7856" s="2"/>
      <c r="N7856" s="9"/>
      <c r="P7856" s="3">
        <v>-992.62282606999997</v>
      </c>
      <c r="S7856" s="9"/>
      <c r="T7856" s="2"/>
      <c r="U7856" s="9"/>
    </row>
    <row r="7857" spans="2:21" x14ac:dyDescent="0.35">
      <c r="B7857" s="9"/>
      <c r="C7857" s="2"/>
      <c r="D7857" s="2"/>
      <c r="I7857" s="9"/>
      <c r="J7857" s="2"/>
      <c r="L7857" s="9"/>
      <c r="M7857" s="2"/>
      <c r="N7857" s="9"/>
      <c r="P7857" s="3">
        <v>-920.64586607000001</v>
      </c>
      <c r="S7857" s="9"/>
      <c r="T7857" s="2"/>
      <c r="U7857" s="9"/>
    </row>
    <row r="7858" spans="2:21" x14ac:dyDescent="0.35">
      <c r="B7858" s="9"/>
      <c r="C7858" s="2"/>
      <c r="D7858" s="2"/>
      <c r="I7858" s="9"/>
      <c r="J7858" s="2"/>
      <c r="L7858" s="9"/>
      <c r="M7858" s="2"/>
      <c r="N7858" s="9"/>
      <c r="P7858" s="3">
        <v>-824.92650606999996</v>
      </c>
      <c r="S7858" s="9"/>
      <c r="T7858" s="2"/>
      <c r="U7858" s="9"/>
    </row>
    <row r="7859" spans="2:21" x14ac:dyDescent="0.35">
      <c r="B7859" s="9"/>
      <c r="C7859" s="2"/>
      <c r="D7859" s="2"/>
      <c r="I7859" s="9"/>
      <c r="J7859" s="2"/>
      <c r="L7859" s="9"/>
      <c r="M7859" s="2"/>
      <c r="N7859" s="9"/>
      <c r="P7859" s="3">
        <v>-712.68331607000005</v>
      </c>
      <c r="S7859" s="9"/>
      <c r="T7859" s="2"/>
      <c r="U7859" s="9"/>
    </row>
    <row r="7860" spans="2:21" x14ac:dyDescent="0.35">
      <c r="B7860" s="9"/>
      <c r="C7860" s="2"/>
      <c r="D7860" s="2"/>
      <c r="I7860" s="9"/>
      <c r="J7860" s="2"/>
      <c r="L7860" s="9"/>
      <c r="M7860" s="2"/>
      <c r="N7860" s="9"/>
      <c r="P7860" s="3">
        <v>-659.77837607000004</v>
      </c>
      <c r="S7860" s="9"/>
      <c r="T7860" s="2"/>
      <c r="U7860" s="9"/>
    </row>
    <row r="7861" spans="2:21" x14ac:dyDescent="0.35">
      <c r="B7861" s="9"/>
      <c r="C7861" s="2"/>
      <c r="D7861" s="2"/>
      <c r="I7861" s="9"/>
      <c r="J7861" s="2"/>
      <c r="L7861" s="9"/>
      <c r="M7861" s="2"/>
      <c r="N7861" s="9"/>
      <c r="P7861" s="3">
        <v>-730.98072606999995</v>
      </c>
      <c r="S7861" s="9"/>
      <c r="T7861" s="2"/>
      <c r="U7861" s="9"/>
    </row>
    <row r="7862" spans="2:21" x14ac:dyDescent="0.35">
      <c r="B7862" s="9"/>
      <c r="C7862" s="2"/>
      <c r="D7862" s="2"/>
      <c r="I7862" s="9"/>
      <c r="J7862" s="2"/>
      <c r="L7862" s="9"/>
      <c r="M7862" s="2"/>
      <c r="N7862" s="9"/>
      <c r="P7862" s="3">
        <v>-867.66921606999995</v>
      </c>
      <c r="S7862" s="9"/>
      <c r="T7862" s="2"/>
      <c r="U7862" s="9"/>
    </row>
    <row r="7863" spans="2:21" x14ac:dyDescent="0.35">
      <c r="B7863" s="9"/>
      <c r="C7863" s="2"/>
      <c r="D7863" s="2"/>
      <c r="I7863" s="9"/>
      <c r="J7863" s="2"/>
      <c r="L7863" s="9"/>
      <c r="M7863" s="2"/>
      <c r="N7863" s="9"/>
      <c r="P7863" s="3">
        <v>-1302.4292160699999</v>
      </c>
      <c r="S7863" s="9"/>
      <c r="T7863" s="2"/>
      <c r="U7863" s="9"/>
    </row>
    <row r="7864" spans="2:21" x14ac:dyDescent="0.35">
      <c r="B7864" s="9"/>
      <c r="C7864" s="2"/>
      <c r="D7864" s="2"/>
      <c r="I7864" s="9"/>
      <c r="J7864" s="2"/>
      <c r="L7864" s="9"/>
      <c r="M7864" s="2"/>
      <c r="N7864" s="9"/>
      <c r="P7864" s="3">
        <v>-1737.1892160699999</v>
      </c>
      <c r="S7864" s="9"/>
      <c r="T7864" s="2"/>
      <c r="U7864" s="9"/>
    </row>
    <row r="7865" spans="2:21" x14ac:dyDescent="0.35">
      <c r="B7865" s="9"/>
      <c r="C7865" s="2"/>
      <c r="D7865" s="2"/>
      <c r="I7865" s="9"/>
      <c r="J7865" s="2"/>
      <c r="L7865" s="9"/>
      <c r="M7865" s="2"/>
      <c r="N7865" s="9"/>
      <c r="P7865" s="3">
        <v>-2171.9492160700001</v>
      </c>
      <c r="S7865" s="9"/>
      <c r="T7865" s="2"/>
      <c r="U7865" s="9"/>
    </row>
    <row r="7866" spans="2:21" x14ac:dyDescent="0.35">
      <c r="B7866" s="9"/>
      <c r="C7866" s="2"/>
      <c r="D7866" s="2"/>
      <c r="I7866" s="9"/>
      <c r="J7866" s="2"/>
      <c r="L7866" s="9"/>
      <c r="M7866" s="2"/>
      <c r="N7866" s="9"/>
      <c r="P7866" s="3">
        <v>-2606.7092160699999</v>
      </c>
      <c r="S7866" s="9"/>
      <c r="T7866" s="2"/>
      <c r="U7866" s="9"/>
    </row>
    <row r="7867" spans="2:21" x14ac:dyDescent="0.35">
      <c r="B7867" s="9"/>
      <c r="C7867" s="2"/>
      <c r="D7867" s="2"/>
      <c r="I7867" s="9"/>
      <c r="J7867" s="2"/>
      <c r="L7867" s="9"/>
      <c r="M7867" s="2"/>
      <c r="N7867" s="9"/>
      <c r="P7867" s="3">
        <v>-2860.169492</v>
      </c>
      <c r="S7867" s="9"/>
      <c r="T7867" s="2"/>
      <c r="U7867" s="9"/>
    </row>
    <row r="7868" spans="2:21" x14ac:dyDescent="0.35">
      <c r="B7868" s="9"/>
      <c r="C7868" s="2"/>
      <c r="D7868" s="2"/>
      <c r="I7868" s="9"/>
      <c r="J7868" s="2"/>
      <c r="L7868" s="9"/>
      <c r="M7868" s="2"/>
      <c r="N7868" s="9"/>
      <c r="P7868" s="3">
        <v>-2860.169492</v>
      </c>
      <c r="S7868" s="9"/>
      <c r="T7868" s="2"/>
      <c r="U7868" s="9"/>
    </row>
    <row r="7869" spans="2:21" x14ac:dyDescent="0.35">
      <c r="B7869" s="9"/>
      <c r="C7869" s="2"/>
      <c r="D7869" s="2"/>
      <c r="I7869" s="9"/>
      <c r="J7869" s="2"/>
      <c r="L7869" s="9"/>
      <c r="M7869" s="2"/>
      <c r="N7869" s="9"/>
      <c r="P7869" s="3">
        <v>-2860.169492</v>
      </c>
      <c r="S7869" s="9"/>
      <c r="T7869" s="2"/>
      <c r="U7869" s="9"/>
    </row>
    <row r="7870" spans="2:21" x14ac:dyDescent="0.35">
      <c r="B7870" s="9"/>
      <c r="C7870" s="2"/>
      <c r="D7870" s="2"/>
      <c r="I7870" s="9"/>
      <c r="J7870" s="2"/>
      <c r="L7870" s="9"/>
      <c r="M7870" s="2"/>
      <c r="N7870" s="9"/>
      <c r="P7870" s="3">
        <v>-2860.169492</v>
      </c>
      <c r="S7870" s="9"/>
      <c r="T7870" s="2"/>
      <c r="U7870" s="9"/>
    </row>
    <row r="7871" spans="2:21" x14ac:dyDescent="0.35">
      <c r="B7871" s="9"/>
      <c r="C7871" s="2"/>
      <c r="D7871" s="2"/>
      <c r="I7871" s="9"/>
      <c r="J7871" s="2"/>
      <c r="L7871" s="9"/>
      <c r="M7871" s="2"/>
      <c r="N7871" s="9"/>
      <c r="P7871" s="3">
        <v>-2860.169492</v>
      </c>
      <c r="S7871" s="9"/>
      <c r="T7871" s="2"/>
      <c r="U7871" s="9"/>
    </row>
    <row r="7872" spans="2:21" x14ac:dyDescent="0.35">
      <c r="B7872" s="9"/>
      <c r="C7872" s="2"/>
      <c r="D7872" s="2"/>
      <c r="I7872" s="9"/>
      <c r="J7872" s="2"/>
      <c r="L7872" s="9"/>
      <c r="M7872" s="2"/>
      <c r="N7872" s="9"/>
      <c r="P7872" s="3">
        <v>-2781.4656960699999</v>
      </c>
      <c r="S7872" s="9"/>
      <c r="T7872" s="2"/>
      <c r="U7872" s="9"/>
    </row>
    <row r="7873" spans="2:21" x14ac:dyDescent="0.35">
      <c r="B7873" s="9"/>
      <c r="C7873" s="2"/>
      <c r="D7873" s="2"/>
      <c r="I7873" s="9"/>
      <c r="J7873" s="2"/>
      <c r="L7873" s="9"/>
      <c r="M7873" s="2"/>
      <c r="N7873" s="9"/>
      <c r="P7873" s="3">
        <v>-2860.169492</v>
      </c>
      <c r="S7873" s="9"/>
      <c r="T7873" s="2"/>
      <c r="U7873" s="9"/>
    </row>
    <row r="7874" spans="2:21" x14ac:dyDescent="0.35">
      <c r="B7874" s="9"/>
      <c r="C7874" s="2"/>
      <c r="D7874" s="2"/>
      <c r="I7874" s="9"/>
      <c r="J7874" s="2"/>
      <c r="L7874" s="9"/>
      <c r="M7874" s="2"/>
      <c r="N7874" s="9"/>
      <c r="P7874" s="3">
        <v>-2772.4480460700001</v>
      </c>
      <c r="S7874" s="9"/>
      <c r="T7874" s="2"/>
      <c r="U7874" s="9"/>
    </row>
    <row r="7875" spans="2:21" x14ac:dyDescent="0.35">
      <c r="B7875" s="9"/>
      <c r="C7875" s="2"/>
      <c r="D7875" s="2"/>
      <c r="I7875" s="9"/>
      <c r="J7875" s="2"/>
      <c r="L7875" s="9"/>
      <c r="M7875" s="2"/>
      <c r="N7875" s="9"/>
      <c r="P7875" s="3">
        <v>-2337.6880460699999</v>
      </c>
      <c r="S7875" s="9"/>
      <c r="T7875" s="2"/>
      <c r="U7875" s="9"/>
    </row>
    <row r="7876" spans="2:21" x14ac:dyDescent="0.35">
      <c r="B7876" s="9"/>
      <c r="C7876" s="2"/>
      <c r="D7876" s="2"/>
      <c r="I7876" s="9"/>
      <c r="J7876" s="2"/>
      <c r="L7876" s="9"/>
      <c r="M7876" s="2"/>
      <c r="N7876" s="9"/>
      <c r="P7876" s="3">
        <v>-1902.9280460699999</v>
      </c>
      <c r="S7876" s="9"/>
      <c r="T7876" s="2"/>
      <c r="U7876" s="9"/>
    </row>
    <row r="7877" spans="2:21" x14ac:dyDescent="0.35">
      <c r="B7877" s="9"/>
      <c r="C7877" s="2"/>
      <c r="D7877" s="2"/>
      <c r="I7877" s="9"/>
      <c r="J7877" s="2"/>
      <c r="L7877" s="9"/>
      <c r="M7877" s="2"/>
      <c r="N7877" s="9"/>
      <c r="P7877" s="3">
        <v>-1468.1680460699999</v>
      </c>
      <c r="S7877" s="9"/>
      <c r="T7877" s="2"/>
      <c r="U7877" s="9"/>
    </row>
    <row r="7878" spans="2:21" x14ac:dyDescent="0.35">
      <c r="B7878" s="9"/>
      <c r="C7878" s="2"/>
      <c r="D7878" s="2"/>
      <c r="I7878" s="9"/>
      <c r="J7878" s="2"/>
      <c r="L7878" s="9"/>
      <c r="M7878" s="2"/>
      <c r="N7878" s="9"/>
      <c r="P7878" s="3">
        <v>-1117.5773038699999</v>
      </c>
      <c r="S7878" s="9"/>
      <c r="T7878" s="2"/>
      <c r="U7878" s="9"/>
    </row>
    <row r="7879" spans="2:21" x14ac:dyDescent="0.35">
      <c r="B7879" s="9"/>
      <c r="C7879" s="2"/>
      <c r="D7879" s="2"/>
      <c r="I7879" s="9"/>
      <c r="J7879" s="2"/>
      <c r="L7879" s="9"/>
      <c r="M7879" s="2"/>
      <c r="N7879" s="9"/>
      <c r="P7879" s="3">
        <v>-800.95635387000004</v>
      </c>
      <c r="S7879" s="9"/>
      <c r="T7879" s="2"/>
      <c r="U7879" s="9"/>
    </row>
    <row r="7880" spans="2:21" x14ac:dyDescent="0.35">
      <c r="B7880" s="9"/>
      <c r="C7880" s="2"/>
      <c r="D7880" s="2"/>
      <c r="I7880" s="9"/>
      <c r="J7880" s="2"/>
      <c r="L7880" s="9"/>
      <c r="M7880" s="2"/>
      <c r="N7880" s="9"/>
      <c r="P7880" s="3">
        <v>-564.03645386999995</v>
      </c>
      <c r="S7880" s="9"/>
      <c r="T7880" s="2"/>
      <c r="U7880" s="9"/>
    </row>
    <row r="7881" spans="2:21" x14ac:dyDescent="0.35">
      <c r="B7881" s="9"/>
      <c r="C7881" s="2"/>
      <c r="D7881" s="2"/>
      <c r="I7881" s="9"/>
      <c r="J7881" s="2"/>
      <c r="L7881" s="9"/>
      <c r="M7881" s="2"/>
      <c r="N7881" s="9"/>
      <c r="P7881" s="3">
        <v>-346.56487386999999</v>
      </c>
      <c r="S7881" s="9"/>
      <c r="T7881" s="2"/>
      <c r="U7881" s="9"/>
    </row>
    <row r="7882" spans="2:21" x14ac:dyDescent="0.35">
      <c r="B7882" s="9"/>
      <c r="C7882" s="2"/>
      <c r="D7882" s="2"/>
      <c r="I7882" s="9"/>
      <c r="J7882" s="2"/>
      <c r="L7882" s="9"/>
      <c r="M7882" s="2"/>
      <c r="N7882" s="9"/>
      <c r="P7882" s="3">
        <v>-144.33628386999999</v>
      </c>
      <c r="S7882" s="9"/>
      <c r="T7882" s="2"/>
      <c r="U7882" s="9"/>
    </row>
    <row r="7883" spans="2:21" x14ac:dyDescent="0.35">
      <c r="B7883" s="9"/>
      <c r="C7883" s="2"/>
      <c r="D7883" s="2"/>
      <c r="I7883" s="9"/>
      <c r="J7883" s="2"/>
      <c r="L7883" s="9"/>
      <c r="M7883" s="2"/>
      <c r="N7883" s="9"/>
      <c r="P7883" s="3">
        <v>23.176146129999999</v>
      </c>
      <c r="S7883" s="9"/>
      <c r="T7883" s="2"/>
      <c r="U7883" s="9"/>
    </row>
    <row r="7884" spans="2:21" x14ac:dyDescent="0.35">
      <c r="B7884" s="9"/>
      <c r="C7884" s="2"/>
      <c r="D7884" s="2"/>
      <c r="I7884" s="9"/>
      <c r="J7884" s="2"/>
      <c r="L7884" s="9"/>
      <c r="M7884" s="2"/>
      <c r="N7884" s="9"/>
      <c r="P7884" s="3">
        <v>183.62620613000001</v>
      </c>
      <c r="S7884" s="9"/>
      <c r="T7884" s="2"/>
      <c r="U7884" s="9"/>
    </row>
    <row r="7885" spans="2:21" x14ac:dyDescent="0.35">
      <c r="B7885" s="9"/>
      <c r="C7885" s="2"/>
      <c r="D7885" s="2"/>
      <c r="I7885" s="9"/>
      <c r="J7885" s="2"/>
      <c r="L7885" s="9"/>
      <c r="M7885" s="2"/>
      <c r="N7885" s="9"/>
      <c r="P7885" s="3">
        <v>298.29759612999999</v>
      </c>
      <c r="S7885" s="9"/>
      <c r="T7885" s="2"/>
      <c r="U7885" s="9"/>
    </row>
    <row r="7886" spans="2:21" x14ac:dyDescent="0.35">
      <c r="B7886" s="9"/>
      <c r="C7886" s="2"/>
      <c r="D7886" s="2"/>
      <c r="I7886" s="9"/>
      <c r="J7886" s="2"/>
      <c r="L7886" s="9"/>
      <c r="M7886" s="2"/>
      <c r="N7886" s="9"/>
      <c r="P7886" s="3">
        <v>343.25053613</v>
      </c>
      <c r="S7886" s="9"/>
      <c r="T7886" s="2"/>
      <c r="U7886" s="9"/>
    </row>
    <row r="7887" spans="2:21" x14ac:dyDescent="0.35">
      <c r="B7887" s="9"/>
      <c r="C7887" s="2"/>
      <c r="D7887" s="2"/>
      <c r="I7887" s="9"/>
      <c r="J7887" s="2"/>
      <c r="L7887" s="9"/>
      <c r="M7887" s="2"/>
      <c r="N7887" s="9"/>
      <c r="P7887" s="3">
        <v>-69.740843870000006</v>
      </c>
      <c r="S7887" s="9"/>
      <c r="T7887" s="2"/>
      <c r="U7887" s="9"/>
    </row>
    <row r="7888" spans="2:21" x14ac:dyDescent="0.35">
      <c r="B7888" s="9"/>
      <c r="C7888" s="2"/>
      <c r="D7888" s="2"/>
      <c r="I7888" s="9"/>
      <c r="J7888" s="2"/>
      <c r="L7888" s="9"/>
      <c r="M7888" s="2"/>
      <c r="N7888" s="9"/>
      <c r="P7888" s="3">
        <v>0</v>
      </c>
      <c r="S7888" s="9"/>
      <c r="T7888" s="2"/>
      <c r="U7888" s="9"/>
    </row>
    <row r="7889" spans="2:21" x14ac:dyDescent="0.35">
      <c r="B7889" s="9"/>
      <c r="C7889" s="2"/>
      <c r="D7889" s="2"/>
      <c r="I7889" s="9"/>
      <c r="J7889" s="2"/>
      <c r="L7889" s="9"/>
      <c r="M7889" s="2"/>
      <c r="N7889" s="9"/>
      <c r="P7889" s="3">
        <v>0</v>
      </c>
      <c r="S7889" s="9"/>
      <c r="T7889" s="2"/>
      <c r="U7889" s="9"/>
    </row>
    <row r="7890" spans="2:21" x14ac:dyDescent="0.35">
      <c r="B7890" s="9"/>
      <c r="C7890" s="2"/>
      <c r="D7890" s="2"/>
      <c r="I7890" s="9"/>
      <c r="J7890" s="2"/>
      <c r="L7890" s="9"/>
      <c r="M7890" s="2"/>
      <c r="N7890" s="9"/>
      <c r="P7890" s="3">
        <v>-119.36775675</v>
      </c>
      <c r="S7890" s="9"/>
      <c r="T7890" s="2"/>
      <c r="U7890" s="9"/>
    </row>
    <row r="7891" spans="2:21" x14ac:dyDescent="0.35">
      <c r="B7891" s="9"/>
      <c r="C7891" s="2"/>
      <c r="D7891" s="2"/>
      <c r="I7891" s="9"/>
      <c r="J7891" s="2"/>
      <c r="L7891" s="9"/>
      <c r="M7891" s="2"/>
      <c r="N7891" s="9"/>
      <c r="P7891" s="3">
        <v>-554.12775675</v>
      </c>
      <c r="S7891" s="9"/>
      <c r="T7891" s="2"/>
      <c r="U7891" s="9"/>
    </row>
    <row r="7892" spans="2:21" x14ac:dyDescent="0.35">
      <c r="B7892" s="9"/>
      <c r="C7892" s="2"/>
      <c r="D7892" s="2"/>
      <c r="I7892" s="9"/>
      <c r="J7892" s="2"/>
      <c r="L7892" s="9"/>
      <c r="M7892" s="2"/>
      <c r="N7892" s="9"/>
      <c r="P7892" s="3">
        <v>-988.88775674999999</v>
      </c>
      <c r="S7892" s="9"/>
      <c r="T7892" s="2"/>
      <c r="U7892" s="9"/>
    </row>
    <row r="7893" spans="2:21" x14ac:dyDescent="0.35">
      <c r="B7893" s="9"/>
      <c r="C7893" s="2"/>
      <c r="D7893" s="2"/>
      <c r="I7893" s="9"/>
      <c r="J7893" s="2"/>
      <c r="L7893" s="9"/>
      <c r="M7893" s="2"/>
      <c r="N7893" s="9"/>
      <c r="P7893" s="3">
        <v>-1423.6477567500001</v>
      </c>
      <c r="S7893" s="9"/>
      <c r="T7893" s="2"/>
      <c r="U7893" s="9"/>
    </row>
    <row r="7894" spans="2:21" x14ac:dyDescent="0.35">
      <c r="B7894" s="9"/>
      <c r="C7894" s="2"/>
      <c r="D7894" s="2"/>
      <c r="I7894" s="9"/>
      <c r="J7894" s="2"/>
      <c r="L7894" s="9"/>
      <c r="M7894" s="2"/>
      <c r="N7894" s="9"/>
      <c r="P7894" s="3">
        <v>-1858.4077567500001</v>
      </c>
      <c r="S7894" s="9"/>
      <c r="T7894" s="2"/>
      <c r="U7894" s="9"/>
    </row>
    <row r="7895" spans="2:21" x14ac:dyDescent="0.35">
      <c r="B7895" s="9"/>
      <c r="C7895" s="2"/>
      <c r="D7895" s="2"/>
      <c r="I7895" s="9"/>
      <c r="J7895" s="2"/>
      <c r="L7895" s="9"/>
      <c r="M7895" s="2"/>
      <c r="N7895" s="9"/>
      <c r="P7895" s="3">
        <v>-1510.4231438700001</v>
      </c>
      <c r="S7895" s="9"/>
      <c r="T7895" s="2"/>
      <c r="U7895" s="9"/>
    </row>
    <row r="7896" spans="2:21" x14ac:dyDescent="0.35">
      <c r="B7896" s="9"/>
      <c r="C7896" s="2"/>
      <c r="D7896" s="2"/>
      <c r="I7896" s="9"/>
      <c r="J7896" s="2"/>
      <c r="L7896" s="9"/>
      <c r="M7896" s="2"/>
      <c r="N7896" s="9"/>
      <c r="P7896" s="3">
        <v>-1198.48251387</v>
      </c>
      <c r="S7896" s="9"/>
      <c r="T7896" s="2"/>
      <c r="U7896" s="9"/>
    </row>
    <row r="7897" spans="2:21" x14ac:dyDescent="0.35">
      <c r="B7897" s="9"/>
      <c r="C7897" s="2"/>
      <c r="D7897" s="2"/>
      <c r="I7897" s="9"/>
      <c r="J7897" s="2"/>
      <c r="L7897" s="9"/>
      <c r="M7897" s="2"/>
      <c r="N7897" s="9"/>
      <c r="P7897" s="3">
        <v>-1545.3366838699999</v>
      </c>
      <c r="S7897" s="9"/>
      <c r="T7897" s="2"/>
      <c r="U7897" s="9"/>
    </row>
    <row r="7898" spans="2:21" x14ac:dyDescent="0.35">
      <c r="B7898" s="9"/>
      <c r="C7898" s="2"/>
      <c r="D7898" s="2"/>
      <c r="I7898" s="9"/>
      <c r="J7898" s="2"/>
      <c r="L7898" s="9"/>
      <c r="M7898" s="2"/>
      <c r="N7898" s="9"/>
      <c r="P7898" s="3">
        <v>-1959.39661387</v>
      </c>
      <c r="S7898" s="9"/>
      <c r="T7898" s="2"/>
      <c r="U7898" s="9"/>
    </row>
    <row r="7899" spans="2:21" x14ac:dyDescent="0.35">
      <c r="B7899" s="9"/>
      <c r="C7899" s="2"/>
      <c r="D7899" s="2"/>
      <c r="I7899" s="9"/>
      <c r="J7899" s="2"/>
      <c r="L7899" s="9"/>
      <c r="M7899" s="2"/>
      <c r="N7899" s="9"/>
      <c r="P7899" s="3">
        <v>-2343.6386738699998</v>
      </c>
      <c r="S7899" s="9"/>
      <c r="T7899" s="2"/>
      <c r="U7899" s="9"/>
    </row>
    <row r="7900" spans="2:21" x14ac:dyDescent="0.35">
      <c r="B7900" s="9"/>
      <c r="C7900" s="2"/>
      <c r="D7900" s="2"/>
      <c r="I7900" s="9"/>
      <c r="J7900" s="2"/>
      <c r="L7900" s="9"/>
      <c r="M7900" s="2"/>
      <c r="N7900" s="9"/>
      <c r="P7900" s="3">
        <v>-2716.2850138700001</v>
      </c>
      <c r="S7900" s="9"/>
      <c r="T7900" s="2"/>
      <c r="U7900" s="9"/>
    </row>
    <row r="7901" spans="2:21" x14ac:dyDescent="0.35">
      <c r="B7901" s="9"/>
      <c r="C7901" s="2"/>
      <c r="D7901" s="2"/>
      <c r="I7901" s="9"/>
      <c r="J7901" s="2"/>
      <c r="L7901" s="9"/>
      <c r="M7901" s="2"/>
      <c r="N7901" s="9"/>
      <c r="P7901" s="3">
        <v>-2860.169492</v>
      </c>
      <c r="S7901" s="9"/>
      <c r="T7901" s="2"/>
      <c r="U7901" s="9"/>
    </row>
    <row r="7902" spans="2:21" x14ac:dyDescent="0.35">
      <c r="B7902" s="9"/>
      <c r="C7902" s="2"/>
      <c r="D7902" s="2"/>
      <c r="I7902" s="9"/>
      <c r="J7902" s="2"/>
      <c r="L7902" s="9"/>
      <c r="M7902" s="2"/>
      <c r="N7902" s="9"/>
      <c r="P7902" s="3">
        <v>-2860.169492</v>
      </c>
      <c r="S7902" s="9"/>
      <c r="T7902" s="2"/>
      <c r="U7902" s="9"/>
    </row>
    <row r="7903" spans="2:21" x14ac:dyDescent="0.35">
      <c r="B7903" s="9"/>
      <c r="C7903" s="2"/>
      <c r="D7903" s="2"/>
      <c r="I7903" s="9"/>
      <c r="J7903" s="2"/>
      <c r="L7903" s="9"/>
      <c r="M7903" s="2"/>
      <c r="N7903" s="9"/>
      <c r="P7903" s="3">
        <v>-2860.169492</v>
      </c>
      <c r="S7903" s="9"/>
      <c r="T7903" s="2"/>
      <c r="U7903" s="9"/>
    </row>
    <row r="7904" spans="2:21" x14ac:dyDescent="0.35">
      <c r="B7904" s="9"/>
      <c r="C7904" s="2"/>
      <c r="D7904" s="2"/>
      <c r="I7904" s="9"/>
      <c r="J7904" s="2"/>
      <c r="L7904" s="9"/>
      <c r="M7904" s="2"/>
      <c r="N7904" s="9"/>
      <c r="P7904" s="3">
        <v>-2860.169492</v>
      </c>
      <c r="S7904" s="9"/>
      <c r="T7904" s="2"/>
      <c r="U7904" s="9"/>
    </row>
    <row r="7905" spans="2:21" x14ac:dyDescent="0.35">
      <c r="B7905" s="9"/>
      <c r="C7905" s="2"/>
      <c r="D7905" s="2"/>
      <c r="I7905" s="9"/>
      <c r="J7905" s="2"/>
      <c r="L7905" s="9"/>
      <c r="M7905" s="2"/>
      <c r="N7905" s="9"/>
      <c r="P7905" s="3">
        <v>-2860.169492</v>
      </c>
      <c r="S7905" s="9"/>
      <c r="T7905" s="2"/>
      <c r="U7905" s="9"/>
    </row>
    <row r="7906" spans="2:21" x14ac:dyDescent="0.35">
      <c r="B7906" s="9"/>
      <c r="C7906" s="2"/>
      <c r="D7906" s="2"/>
      <c r="I7906" s="9"/>
      <c r="J7906" s="2"/>
      <c r="L7906" s="9"/>
      <c r="M7906" s="2"/>
      <c r="N7906" s="9"/>
      <c r="P7906" s="3">
        <v>-2860.169492</v>
      </c>
      <c r="S7906" s="9"/>
      <c r="T7906" s="2"/>
      <c r="U7906" s="9"/>
    </row>
    <row r="7907" spans="2:21" x14ac:dyDescent="0.35">
      <c r="B7907" s="9"/>
      <c r="C7907" s="2"/>
      <c r="D7907" s="2"/>
      <c r="I7907" s="9"/>
      <c r="J7907" s="2"/>
      <c r="L7907" s="9"/>
      <c r="M7907" s="2"/>
      <c r="N7907" s="9"/>
      <c r="P7907" s="3">
        <v>-2860.169492</v>
      </c>
      <c r="S7907" s="9"/>
      <c r="T7907" s="2"/>
      <c r="U7907" s="9"/>
    </row>
    <row r="7908" spans="2:21" x14ac:dyDescent="0.35">
      <c r="B7908" s="9"/>
      <c r="C7908" s="2"/>
      <c r="D7908" s="2"/>
      <c r="I7908" s="9"/>
      <c r="J7908" s="2"/>
      <c r="L7908" s="9"/>
      <c r="M7908" s="2"/>
      <c r="N7908" s="9"/>
      <c r="P7908" s="3">
        <v>-2860.169492</v>
      </c>
      <c r="S7908" s="9"/>
      <c r="T7908" s="2"/>
      <c r="U7908" s="9"/>
    </row>
    <row r="7909" spans="2:21" x14ac:dyDescent="0.35">
      <c r="B7909" s="9"/>
      <c r="C7909" s="2"/>
      <c r="D7909" s="2"/>
      <c r="I7909" s="9"/>
      <c r="J7909" s="2"/>
      <c r="L7909" s="9"/>
      <c r="M7909" s="2"/>
      <c r="N7909" s="9"/>
      <c r="P7909" s="3">
        <v>-2860.169492</v>
      </c>
      <c r="S7909" s="9"/>
      <c r="T7909" s="2"/>
      <c r="U7909" s="9"/>
    </row>
    <row r="7910" spans="2:21" x14ac:dyDescent="0.35">
      <c r="B7910" s="9"/>
      <c r="C7910" s="2"/>
      <c r="D7910" s="2"/>
      <c r="I7910" s="9"/>
      <c r="J7910" s="2"/>
      <c r="L7910" s="9"/>
      <c r="M7910" s="2"/>
      <c r="N7910" s="9"/>
      <c r="P7910" s="3">
        <v>-2860.169492</v>
      </c>
      <c r="S7910" s="9"/>
      <c r="T7910" s="2"/>
      <c r="U7910" s="9"/>
    </row>
    <row r="7911" spans="2:21" x14ac:dyDescent="0.35">
      <c r="B7911" s="9"/>
      <c r="C7911" s="2"/>
      <c r="D7911" s="2"/>
      <c r="I7911" s="9"/>
      <c r="J7911" s="2"/>
      <c r="L7911" s="9"/>
      <c r="M7911" s="2"/>
      <c r="N7911" s="9"/>
      <c r="P7911" s="3">
        <v>-2860.169492</v>
      </c>
      <c r="S7911" s="9"/>
      <c r="T7911" s="2"/>
      <c r="U7911" s="9"/>
    </row>
    <row r="7912" spans="2:21" x14ac:dyDescent="0.35">
      <c r="B7912" s="9"/>
      <c r="C7912" s="2"/>
      <c r="D7912" s="2"/>
      <c r="I7912" s="9"/>
      <c r="J7912" s="2"/>
      <c r="L7912" s="9"/>
      <c r="M7912" s="2"/>
      <c r="N7912" s="9"/>
      <c r="P7912" s="3">
        <v>-2425.4094919999998</v>
      </c>
      <c r="S7912" s="9"/>
      <c r="T7912" s="2"/>
      <c r="U7912" s="9"/>
    </row>
    <row r="7913" spans="2:21" x14ac:dyDescent="0.35">
      <c r="B7913" s="9"/>
      <c r="C7913" s="2"/>
      <c r="D7913" s="2"/>
      <c r="I7913" s="9"/>
      <c r="J7913" s="2"/>
      <c r="L7913" s="9"/>
      <c r="M7913" s="2"/>
      <c r="N7913" s="9"/>
      <c r="P7913" s="3">
        <v>-1990.649492</v>
      </c>
      <c r="S7913" s="9"/>
      <c r="T7913" s="2"/>
      <c r="U7913" s="9"/>
    </row>
    <row r="7914" spans="2:21" x14ac:dyDescent="0.35">
      <c r="B7914" s="9"/>
      <c r="C7914" s="2"/>
      <c r="D7914" s="2"/>
      <c r="I7914" s="9"/>
      <c r="J7914" s="2"/>
      <c r="L7914" s="9"/>
      <c r="M7914" s="2"/>
      <c r="N7914" s="9"/>
      <c r="P7914" s="3">
        <v>-1555.889492</v>
      </c>
      <c r="S7914" s="9"/>
      <c r="T7914" s="2"/>
      <c r="U7914" s="9"/>
    </row>
    <row r="7915" spans="2:21" x14ac:dyDescent="0.35">
      <c r="B7915" s="9"/>
      <c r="C7915" s="2"/>
      <c r="D7915" s="2"/>
      <c r="I7915" s="9"/>
      <c r="J7915" s="2"/>
      <c r="L7915" s="9"/>
      <c r="M7915" s="2"/>
      <c r="N7915" s="9"/>
      <c r="P7915" s="3">
        <v>-1555.889492</v>
      </c>
      <c r="S7915" s="9"/>
      <c r="T7915" s="2"/>
      <c r="U7915" s="9"/>
    </row>
    <row r="7916" spans="2:21" x14ac:dyDescent="0.35">
      <c r="B7916" s="9"/>
      <c r="C7916" s="2"/>
      <c r="D7916" s="2"/>
      <c r="I7916" s="9"/>
      <c r="J7916" s="2"/>
      <c r="L7916" s="9"/>
      <c r="M7916" s="2"/>
      <c r="N7916" s="9"/>
      <c r="P7916" s="3">
        <v>-1990.649492</v>
      </c>
      <c r="S7916" s="9"/>
      <c r="T7916" s="2"/>
      <c r="U7916" s="9"/>
    </row>
    <row r="7917" spans="2:21" x14ac:dyDescent="0.35">
      <c r="B7917" s="9"/>
      <c r="C7917" s="2"/>
      <c r="D7917" s="2"/>
      <c r="I7917" s="9"/>
      <c r="J7917" s="2"/>
      <c r="L7917" s="9"/>
      <c r="M7917" s="2"/>
      <c r="N7917" s="9"/>
      <c r="P7917" s="3">
        <v>-2425.4094919999998</v>
      </c>
      <c r="S7917" s="9"/>
      <c r="T7917" s="2"/>
      <c r="U7917" s="9"/>
    </row>
    <row r="7918" spans="2:21" x14ac:dyDescent="0.35">
      <c r="B7918" s="9"/>
      <c r="C7918" s="2"/>
      <c r="D7918" s="2"/>
      <c r="I7918" s="9"/>
      <c r="J7918" s="2"/>
      <c r="L7918" s="9"/>
      <c r="M7918" s="2"/>
      <c r="N7918" s="9"/>
      <c r="P7918" s="3">
        <v>-2860.169492</v>
      </c>
      <c r="S7918" s="9"/>
      <c r="T7918" s="2"/>
      <c r="U7918" s="9"/>
    </row>
    <row r="7919" spans="2:21" x14ac:dyDescent="0.35">
      <c r="B7919" s="9"/>
      <c r="C7919" s="2"/>
      <c r="D7919" s="2"/>
      <c r="I7919" s="9"/>
      <c r="J7919" s="2"/>
      <c r="L7919" s="9"/>
      <c r="M7919" s="2"/>
      <c r="N7919" s="9"/>
      <c r="P7919" s="3">
        <v>-2860.169492</v>
      </c>
      <c r="S7919" s="9"/>
      <c r="T7919" s="2"/>
      <c r="U7919" s="9"/>
    </row>
    <row r="7920" spans="2:21" x14ac:dyDescent="0.35">
      <c r="B7920" s="9"/>
      <c r="C7920" s="2"/>
      <c r="D7920" s="2"/>
      <c r="I7920" s="9"/>
      <c r="J7920" s="2"/>
      <c r="L7920" s="9"/>
      <c r="M7920" s="2"/>
      <c r="N7920" s="9"/>
      <c r="P7920" s="3">
        <v>-2860.169492</v>
      </c>
      <c r="S7920" s="9"/>
      <c r="T7920" s="2"/>
      <c r="U7920" s="9"/>
    </row>
    <row r="7921" spans="2:21" x14ac:dyDescent="0.35">
      <c r="B7921" s="9"/>
      <c r="C7921" s="2"/>
      <c r="D7921" s="2"/>
      <c r="I7921" s="9"/>
      <c r="J7921" s="2"/>
      <c r="L7921" s="9"/>
      <c r="M7921" s="2"/>
      <c r="N7921" s="9"/>
      <c r="P7921" s="3">
        <v>-2860.169492</v>
      </c>
      <c r="S7921" s="9"/>
      <c r="T7921" s="2"/>
      <c r="U7921" s="9"/>
    </row>
    <row r="7922" spans="2:21" x14ac:dyDescent="0.35">
      <c r="B7922" s="9"/>
      <c r="C7922" s="2"/>
      <c r="D7922" s="2"/>
      <c r="I7922" s="9"/>
      <c r="J7922" s="2"/>
      <c r="L7922" s="9"/>
      <c r="M7922" s="2"/>
      <c r="N7922" s="9"/>
      <c r="P7922" s="3">
        <v>-2860.169492</v>
      </c>
      <c r="S7922" s="9"/>
      <c r="T7922" s="2"/>
      <c r="U7922" s="9"/>
    </row>
    <row r="7923" spans="2:21" x14ac:dyDescent="0.35">
      <c r="B7923" s="9"/>
      <c r="C7923" s="2"/>
      <c r="D7923" s="2"/>
      <c r="I7923" s="9"/>
      <c r="J7923" s="2"/>
      <c r="L7923" s="9"/>
      <c r="M7923" s="2"/>
      <c r="N7923" s="9"/>
      <c r="P7923" s="3">
        <v>-2860.169492</v>
      </c>
      <c r="S7923" s="9"/>
      <c r="T7923" s="2"/>
      <c r="U7923" s="9"/>
    </row>
    <row r="7924" spans="2:21" x14ac:dyDescent="0.35">
      <c r="B7924" s="9"/>
      <c r="C7924" s="2"/>
      <c r="D7924" s="2"/>
      <c r="I7924" s="9"/>
      <c r="J7924" s="2"/>
      <c r="L7924" s="9"/>
      <c r="M7924" s="2"/>
      <c r="N7924" s="9"/>
      <c r="P7924" s="3">
        <v>-2860.169492</v>
      </c>
      <c r="S7924" s="9"/>
      <c r="T7924" s="2"/>
      <c r="U7924" s="9"/>
    </row>
    <row r="7925" spans="2:21" x14ac:dyDescent="0.35">
      <c r="B7925" s="9"/>
      <c r="C7925" s="2"/>
      <c r="D7925" s="2"/>
      <c r="I7925" s="9"/>
      <c r="J7925" s="2"/>
      <c r="L7925" s="9"/>
      <c r="M7925" s="2"/>
      <c r="N7925" s="9"/>
      <c r="P7925" s="3">
        <v>-2860.169492</v>
      </c>
      <c r="S7925" s="9"/>
      <c r="T7925" s="2"/>
      <c r="U7925" s="9"/>
    </row>
    <row r="7926" spans="2:21" x14ac:dyDescent="0.35">
      <c r="B7926" s="9"/>
      <c r="C7926" s="2"/>
      <c r="D7926" s="2"/>
      <c r="I7926" s="9"/>
      <c r="J7926" s="2"/>
      <c r="L7926" s="9"/>
      <c r="M7926" s="2"/>
      <c r="N7926" s="9"/>
      <c r="P7926" s="3">
        <v>-2860.169492</v>
      </c>
      <c r="S7926" s="9"/>
      <c r="T7926" s="2"/>
      <c r="U7926" s="9"/>
    </row>
    <row r="7927" spans="2:21" x14ac:dyDescent="0.35">
      <c r="B7927" s="9"/>
      <c r="C7927" s="2"/>
      <c r="D7927" s="2"/>
      <c r="I7927" s="9"/>
      <c r="J7927" s="2"/>
      <c r="L7927" s="9"/>
      <c r="M7927" s="2"/>
      <c r="N7927" s="9"/>
      <c r="P7927" s="3">
        <v>-2860.169492</v>
      </c>
      <c r="S7927" s="9"/>
      <c r="T7927" s="2"/>
      <c r="U7927" s="9"/>
    </row>
    <row r="7928" spans="2:21" x14ac:dyDescent="0.35">
      <c r="B7928" s="9"/>
      <c r="C7928" s="2"/>
      <c r="D7928" s="2"/>
      <c r="I7928" s="9"/>
      <c r="J7928" s="2"/>
      <c r="L7928" s="9"/>
      <c r="M7928" s="2"/>
      <c r="N7928" s="9"/>
      <c r="P7928" s="3">
        <v>-2860.169492</v>
      </c>
      <c r="S7928" s="9"/>
      <c r="T7928" s="2"/>
      <c r="U7928" s="9"/>
    </row>
    <row r="7929" spans="2:21" x14ac:dyDescent="0.35">
      <c r="B7929" s="9"/>
      <c r="C7929" s="2"/>
      <c r="D7929" s="2"/>
      <c r="I7929" s="9"/>
      <c r="J7929" s="2"/>
      <c r="L7929" s="9"/>
      <c r="M7929" s="2"/>
      <c r="N7929" s="9"/>
      <c r="P7929" s="3">
        <v>-2860.169492</v>
      </c>
      <c r="S7929" s="9"/>
      <c r="T7929" s="2"/>
      <c r="U7929" s="9"/>
    </row>
    <row r="7930" spans="2:21" x14ac:dyDescent="0.35">
      <c r="B7930" s="9"/>
      <c r="C7930" s="2"/>
      <c r="D7930" s="2"/>
      <c r="I7930" s="9"/>
      <c r="J7930" s="2"/>
      <c r="L7930" s="9"/>
      <c r="M7930" s="2"/>
      <c r="N7930" s="9"/>
      <c r="P7930" s="3">
        <v>-2860.169492</v>
      </c>
      <c r="S7930" s="9"/>
      <c r="T7930" s="2"/>
      <c r="U7930" s="9"/>
    </row>
    <row r="7931" spans="2:21" x14ac:dyDescent="0.35">
      <c r="B7931" s="9"/>
      <c r="C7931" s="2"/>
      <c r="D7931" s="2"/>
      <c r="I7931" s="9"/>
      <c r="J7931" s="2"/>
      <c r="L7931" s="9"/>
      <c r="M7931" s="2"/>
      <c r="N7931" s="9"/>
      <c r="P7931" s="3">
        <v>-2860.169492</v>
      </c>
      <c r="S7931" s="9"/>
      <c r="T7931" s="2"/>
      <c r="U7931" s="9"/>
    </row>
    <row r="7932" spans="2:21" x14ac:dyDescent="0.35">
      <c r="B7932" s="9"/>
      <c r="C7932" s="2"/>
      <c r="D7932" s="2"/>
      <c r="I7932" s="9"/>
      <c r="J7932" s="2"/>
      <c r="L7932" s="9"/>
      <c r="M7932" s="2"/>
      <c r="N7932" s="9"/>
      <c r="P7932" s="3">
        <v>-2860.169492</v>
      </c>
      <c r="S7932" s="9"/>
      <c r="T7932" s="2"/>
      <c r="U7932" s="9"/>
    </row>
    <row r="7933" spans="2:21" x14ac:dyDescent="0.35">
      <c r="B7933" s="9"/>
      <c r="C7933" s="2"/>
      <c r="D7933" s="2"/>
      <c r="I7933" s="9"/>
      <c r="J7933" s="2"/>
      <c r="L7933" s="9"/>
      <c r="M7933" s="2"/>
      <c r="N7933" s="9"/>
      <c r="P7933" s="3">
        <v>-2860.169492</v>
      </c>
      <c r="S7933" s="9"/>
      <c r="T7933" s="2"/>
      <c r="U7933" s="9"/>
    </row>
    <row r="7934" spans="2:21" x14ac:dyDescent="0.35">
      <c r="B7934" s="9"/>
      <c r="C7934" s="2"/>
      <c r="D7934" s="2"/>
      <c r="I7934" s="9"/>
      <c r="J7934" s="2"/>
      <c r="L7934" s="9"/>
      <c r="M7934" s="2"/>
      <c r="N7934" s="9"/>
      <c r="P7934" s="3">
        <v>-2860.169492</v>
      </c>
      <c r="S7934" s="9"/>
      <c r="T7934" s="2"/>
      <c r="U7934" s="9"/>
    </row>
    <row r="7935" spans="2:21" x14ac:dyDescent="0.35">
      <c r="B7935" s="9"/>
      <c r="C7935" s="2"/>
      <c r="D7935" s="2"/>
      <c r="I7935" s="9"/>
      <c r="J7935" s="2"/>
      <c r="L7935" s="9"/>
      <c r="M7935" s="2"/>
      <c r="N7935" s="9"/>
      <c r="P7935" s="3">
        <v>-2860.169492</v>
      </c>
      <c r="S7935" s="9"/>
      <c r="T7935" s="2"/>
      <c r="U7935" s="9"/>
    </row>
    <row r="7936" spans="2:21" x14ac:dyDescent="0.35">
      <c r="B7936" s="9"/>
      <c r="C7936" s="2"/>
      <c r="D7936" s="2"/>
      <c r="I7936" s="9"/>
      <c r="J7936" s="2"/>
      <c r="L7936" s="9"/>
      <c r="M7936" s="2"/>
      <c r="N7936" s="9"/>
      <c r="P7936" s="3">
        <v>-2425.4094919999998</v>
      </c>
      <c r="S7936" s="9"/>
      <c r="T7936" s="2"/>
      <c r="U7936" s="9"/>
    </row>
    <row r="7937" spans="2:21" x14ac:dyDescent="0.35">
      <c r="B7937" s="9"/>
      <c r="C7937" s="2"/>
      <c r="D7937" s="2"/>
      <c r="I7937" s="9"/>
      <c r="J7937" s="2"/>
      <c r="L7937" s="9"/>
      <c r="M7937" s="2"/>
      <c r="N7937" s="9"/>
      <c r="P7937" s="3">
        <v>-1990.649492</v>
      </c>
      <c r="S7937" s="9"/>
      <c r="T7937" s="2"/>
      <c r="U7937" s="9"/>
    </row>
    <row r="7938" spans="2:21" x14ac:dyDescent="0.35">
      <c r="B7938" s="9"/>
      <c r="C7938" s="2"/>
      <c r="D7938" s="2"/>
      <c r="I7938" s="9"/>
      <c r="J7938" s="2"/>
      <c r="L7938" s="9"/>
      <c r="M7938" s="2"/>
      <c r="N7938" s="9"/>
      <c r="P7938" s="3">
        <v>-1555.889492</v>
      </c>
      <c r="S7938" s="9"/>
      <c r="T7938" s="2"/>
      <c r="U7938" s="9"/>
    </row>
    <row r="7939" spans="2:21" x14ac:dyDescent="0.35">
      <c r="B7939" s="9"/>
      <c r="C7939" s="2"/>
      <c r="D7939" s="2"/>
      <c r="I7939" s="9"/>
      <c r="J7939" s="2"/>
      <c r="L7939" s="9"/>
      <c r="M7939" s="2"/>
      <c r="N7939" s="9"/>
      <c r="P7939" s="3">
        <v>-1121.129492</v>
      </c>
      <c r="S7939" s="9"/>
      <c r="T7939" s="2"/>
      <c r="U7939" s="9"/>
    </row>
    <row r="7940" spans="2:21" x14ac:dyDescent="0.35">
      <c r="B7940" s="9"/>
      <c r="C7940" s="2"/>
      <c r="D7940" s="2"/>
      <c r="I7940" s="9"/>
      <c r="J7940" s="2"/>
      <c r="L7940" s="9"/>
      <c r="M7940" s="2"/>
      <c r="N7940" s="9"/>
      <c r="P7940" s="3">
        <v>-785.74508294999998</v>
      </c>
      <c r="S7940" s="9"/>
      <c r="T7940" s="2"/>
      <c r="U7940" s="9"/>
    </row>
    <row r="7941" spans="2:21" x14ac:dyDescent="0.35">
      <c r="B7941" s="9"/>
      <c r="C7941" s="2"/>
      <c r="D7941" s="2"/>
      <c r="I7941" s="9"/>
      <c r="J7941" s="2"/>
      <c r="L7941" s="9"/>
      <c r="M7941" s="2"/>
      <c r="N7941" s="9"/>
      <c r="P7941" s="3">
        <v>-1220.5050829500001</v>
      </c>
      <c r="S7941" s="9"/>
      <c r="T7941" s="2"/>
      <c r="U7941" s="9"/>
    </row>
    <row r="7942" spans="2:21" x14ac:dyDescent="0.35">
      <c r="B7942" s="9"/>
      <c r="C7942" s="2"/>
      <c r="D7942" s="2"/>
      <c r="I7942" s="9"/>
      <c r="J7942" s="2"/>
      <c r="L7942" s="9"/>
      <c r="M7942" s="2"/>
      <c r="N7942" s="9"/>
      <c r="P7942" s="3">
        <v>-1655.2650829500001</v>
      </c>
      <c r="S7942" s="9"/>
      <c r="T7942" s="2"/>
      <c r="U7942" s="9"/>
    </row>
    <row r="7943" spans="2:21" x14ac:dyDescent="0.35">
      <c r="B7943" s="9"/>
      <c r="C7943" s="2"/>
      <c r="D7943" s="2"/>
      <c r="I7943" s="9"/>
      <c r="J7943" s="2"/>
      <c r="L7943" s="9"/>
      <c r="M7943" s="2"/>
      <c r="N7943" s="9"/>
      <c r="P7943" s="3">
        <v>-2090.0250829500001</v>
      </c>
      <c r="S7943" s="9"/>
      <c r="T7943" s="2"/>
      <c r="U7943" s="9"/>
    </row>
    <row r="7944" spans="2:21" x14ac:dyDescent="0.35">
      <c r="B7944" s="9"/>
      <c r="C7944" s="2"/>
      <c r="D7944" s="2"/>
      <c r="I7944" s="9"/>
      <c r="J7944" s="2"/>
      <c r="L7944" s="9"/>
      <c r="M7944" s="2"/>
      <c r="N7944" s="9"/>
      <c r="P7944" s="3">
        <v>-2524.7850829499998</v>
      </c>
      <c r="S7944" s="9"/>
      <c r="T7944" s="2"/>
      <c r="U7944" s="9"/>
    </row>
    <row r="7945" spans="2:21" x14ac:dyDescent="0.35">
      <c r="B7945" s="9"/>
      <c r="C7945" s="2"/>
      <c r="D7945" s="2"/>
      <c r="I7945" s="9"/>
      <c r="J7945" s="2"/>
      <c r="L7945" s="9"/>
      <c r="M7945" s="2"/>
      <c r="N7945" s="9"/>
      <c r="P7945" s="3">
        <v>-2860.169492</v>
      </c>
      <c r="S7945" s="9"/>
      <c r="T7945" s="2"/>
      <c r="U7945" s="9"/>
    </row>
    <row r="7946" spans="2:21" x14ac:dyDescent="0.35">
      <c r="B7946" s="9"/>
      <c r="C7946" s="2"/>
      <c r="D7946" s="2"/>
      <c r="I7946" s="9"/>
      <c r="J7946" s="2"/>
      <c r="L7946" s="9"/>
      <c r="M7946" s="2"/>
      <c r="N7946" s="9"/>
      <c r="P7946" s="3">
        <v>-2860.169492</v>
      </c>
      <c r="S7946" s="9"/>
      <c r="T7946" s="2"/>
      <c r="U7946" s="9"/>
    </row>
    <row r="7947" spans="2:21" x14ac:dyDescent="0.35">
      <c r="B7947" s="9"/>
      <c r="C7947" s="2"/>
      <c r="D7947" s="2"/>
      <c r="I7947" s="9"/>
      <c r="J7947" s="2"/>
      <c r="L7947" s="9"/>
      <c r="M7947" s="2"/>
      <c r="N7947" s="9"/>
      <c r="P7947" s="3">
        <v>-2860.169492</v>
      </c>
      <c r="S7947" s="9"/>
      <c r="T7947" s="2"/>
      <c r="U7947" s="9"/>
    </row>
    <row r="7948" spans="2:21" x14ac:dyDescent="0.35">
      <c r="B7948" s="9"/>
      <c r="C7948" s="2"/>
      <c r="D7948" s="2"/>
      <c r="I7948" s="9"/>
      <c r="J7948" s="2"/>
      <c r="L7948" s="9"/>
      <c r="M7948" s="2"/>
      <c r="N7948" s="9"/>
      <c r="P7948" s="3">
        <v>-2545.6883208300001</v>
      </c>
      <c r="S7948" s="9"/>
      <c r="T7948" s="2"/>
      <c r="U7948" s="9"/>
    </row>
    <row r="7949" spans="2:21" x14ac:dyDescent="0.35">
      <c r="B7949" s="9"/>
      <c r="C7949" s="2"/>
      <c r="D7949" s="2"/>
      <c r="I7949" s="9"/>
      <c r="J7949" s="2"/>
      <c r="L7949" s="9"/>
      <c r="M7949" s="2"/>
      <c r="N7949" s="9"/>
      <c r="P7949" s="3">
        <v>-2110.9283208299998</v>
      </c>
      <c r="S7949" s="9"/>
      <c r="T7949" s="2"/>
      <c r="U7949" s="9"/>
    </row>
    <row r="7950" spans="2:21" x14ac:dyDescent="0.35">
      <c r="B7950" s="9"/>
      <c r="C7950" s="2"/>
      <c r="D7950" s="2"/>
      <c r="I7950" s="9"/>
      <c r="J7950" s="2"/>
      <c r="L7950" s="9"/>
      <c r="M7950" s="2"/>
      <c r="N7950" s="9"/>
      <c r="P7950" s="3">
        <v>-1676.1683208300001</v>
      </c>
      <c r="S7950" s="9"/>
      <c r="T7950" s="2"/>
      <c r="U7950" s="9"/>
    </row>
    <row r="7951" spans="2:21" x14ac:dyDescent="0.35">
      <c r="B7951" s="9"/>
      <c r="C7951" s="2"/>
      <c r="D7951" s="2"/>
      <c r="I7951" s="9"/>
      <c r="J7951" s="2"/>
      <c r="L7951" s="9"/>
      <c r="M7951" s="2"/>
      <c r="N7951" s="9"/>
      <c r="P7951" s="3">
        <v>-1241.4083208300001</v>
      </c>
      <c r="S7951" s="9"/>
      <c r="T7951" s="2"/>
      <c r="U7951" s="9"/>
    </row>
    <row r="7952" spans="2:21" x14ac:dyDescent="0.35">
      <c r="B7952" s="9"/>
      <c r="C7952" s="2"/>
      <c r="D7952" s="2"/>
      <c r="I7952" s="9"/>
      <c r="J7952" s="2"/>
      <c r="L7952" s="9"/>
      <c r="M7952" s="2"/>
      <c r="N7952" s="9"/>
      <c r="P7952" s="3">
        <v>-806.64832082999999</v>
      </c>
      <c r="S7952" s="9"/>
      <c r="T7952" s="2"/>
      <c r="U7952" s="9"/>
    </row>
    <row r="7953" spans="2:21" x14ac:dyDescent="0.35">
      <c r="B7953" s="9"/>
      <c r="C7953" s="2"/>
      <c r="D7953" s="2"/>
      <c r="I7953" s="9"/>
      <c r="J7953" s="2"/>
      <c r="L7953" s="9"/>
      <c r="M7953" s="2"/>
      <c r="N7953" s="9"/>
      <c r="P7953" s="3">
        <v>-371.88832083</v>
      </c>
      <c r="S7953" s="9"/>
      <c r="T7953" s="2"/>
      <c r="U7953" s="9"/>
    </row>
    <row r="7954" spans="2:21" x14ac:dyDescent="0.35">
      <c r="B7954" s="9"/>
      <c r="C7954" s="2"/>
      <c r="D7954" s="2"/>
      <c r="I7954" s="9"/>
      <c r="J7954" s="2"/>
      <c r="L7954" s="9"/>
      <c r="M7954" s="2"/>
      <c r="N7954" s="9"/>
      <c r="P7954" s="3">
        <v>0</v>
      </c>
      <c r="S7954" s="9"/>
      <c r="T7954" s="2"/>
      <c r="U7954" s="9"/>
    </row>
    <row r="7955" spans="2:21" x14ac:dyDescent="0.35">
      <c r="B7955" s="9"/>
      <c r="C7955" s="2"/>
      <c r="D7955" s="2"/>
      <c r="I7955" s="9"/>
      <c r="J7955" s="2"/>
      <c r="L7955" s="9"/>
      <c r="M7955" s="2"/>
      <c r="N7955" s="9"/>
      <c r="P7955" s="3">
        <v>0</v>
      </c>
      <c r="S7955" s="9"/>
      <c r="T7955" s="2"/>
      <c r="U7955" s="9"/>
    </row>
    <row r="7956" spans="2:21" x14ac:dyDescent="0.35">
      <c r="B7956" s="9"/>
      <c r="C7956" s="2"/>
      <c r="D7956" s="2"/>
      <c r="I7956" s="9"/>
      <c r="J7956" s="2"/>
      <c r="L7956" s="9"/>
      <c r="M7956" s="2"/>
      <c r="N7956" s="9"/>
      <c r="P7956" s="3">
        <v>0</v>
      </c>
      <c r="S7956" s="9"/>
      <c r="T7956" s="2"/>
      <c r="U7956" s="9"/>
    </row>
    <row r="7957" spans="2:21" x14ac:dyDescent="0.35">
      <c r="B7957" s="9"/>
      <c r="C7957" s="2"/>
      <c r="D7957" s="2"/>
      <c r="I7957" s="9"/>
      <c r="J7957" s="2"/>
      <c r="L7957" s="9"/>
      <c r="M7957" s="2"/>
      <c r="N7957" s="9"/>
      <c r="P7957" s="3">
        <v>0</v>
      </c>
      <c r="S7957" s="9"/>
      <c r="T7957" s="2"/>
      <c r="U7957" s="9"/>
    </row>
    <row r="7958" spans="2:21" x14ac:dyDescent="0.35">
      <c r="B7958" s="9"/>
      <c r="C7958" s="2"/>
      <c r="D7958" s="2"/>
      <c r="I7958" s="9"/>
      <c r="J7958" s="2"/>
      <c r="L7958" s="9"/>
      <c r="M7958" s="2"/>
      <c r="N7958" s="9"/>
      <c r="P7958" s="3">
        <v>0</v>
      </c>
      <c r="S7958" s="9"/>
      <c r="T7958" s="2"/>
      <c r="U7958" s="9"/>
    </row>
    <row r="7959" spans="2:21" x14ac:dyDescent="0.35">
      <c r="B7959" s="9"/>
      <c r="C7959" s="2"/>
      <c r="D7959" s="2"/>
      <c r="I7959" s="9"/>
      <c r="J7959" s="2"/>
      <c r="L7959" s="9"/>
      <c r="M7959" s="2"/>
      <c r="N7959" s="9"/>
      <c r="P7959" s="3">
        <v>0</v>
      </c>
      <c r="S7959" s="9"/>
      <c r="T7959" s="2"/>
      <c r="U7959" s="9"/>
    </row>
    <row r="7960" spans="2:21" x14ac:dyDescent="0.35">
      <c r="B7960" s="9"/>
      <c r="C7960" s="2"/>
      <c r="D7960" s="2"/>
      <c r="I7960" s="9"/>
      <c r="J7960" s="2"/>
      <c r="L7960" s="9"/>
      <c r="M7960" s="2"/>
      <c r="N7960" s="9"/>
      <c r="P7960" s="3">
        <v>0</v>
      </c>
      <c r="S7960" s="9"/>
      <c r="T7960" s="2"/>
      <c r="U7960" s="9"/>
    </row>
    <row r="7961" spans="2:21" x14ac:dyDescent="0.35">
      <c r="B7961" s="9"/>
      <c r="C7961" s="2"/>
      <c r="D7961" s="2"/>
      <c r="I7961" s="9"/>
      <c r="J7961" s="2"/>
      <c r="L7961" s="9"/>
      <c r="M7961" s="2"/>
      <c r="N7961" s="9"/>
      <c r="P7961" s="3">
        <v>0</v>
      </c>
      <c r="S7961" s="9"/>
      <c r="T7961" s="2"/>
      <c r="U7961" s="9"/>
    </row>
    <row r="7962" spans="2:21" x14ac:dyDescent="0.35">
      <c r="B7962" s="9"/>
      <c r="C7962" s="2"/>
      <c r="D7962" s="2"/>
      <c r="I7962" s="9"/>
      <c r="J7962" s="2"/>
      <c r="L7962" s="9"/>
      <c r="M7962" s="2"/>
      <c r="N7962" s="9"/>
      <c r="P7962" s="3">
        <v>0</v>
      </c>
      <c r="S7962" s="9"/>
      <c r="T7962" s="2"/>
      <c r="U7962" s="9"/>
    </row>
    <row r="7963" spans="2:21" x14ac:dyDescent="0.35">
      <c r="B7963" s="9"/>
      <c r="C7963" s="2"/>
      <c r="D7963" s="2"/>
      <c r="I7963" s="9"/>
      <c r="J7963" s="2"/>
      <c r="L7963" s="9"/>
      <c r="M7963" s="2"/>
      <c r="N7963" s="9"/>
      <c r="P7963" s="3">
        <v>0</v>
      </c>
      <c r="S7963" s="9"/>
      <c r="T7963" s="2"/>
      <c r="U7963" s="9"/>
    </row>
    <row r="7964" spans="2:21" x14ac:dyDescent="0.35">
      <c r="B7964" s="9"/>
      <c r="C7964" s="2"/>
      <c r="D7964" s="2"/>
      <c r="I7964" s="9"/>
      <c r="J7964" s="2"/>
      <c r="L7964" s="9"/>
      <c r="M7964" s="2"/>
      <c r="N7964" s="9"/>
      <c r="P7964" s="3">
        <v>0</v>
      </c>
      <c r="S7964" s="9"/>
      <c r="T7964" s="2"/>
      <c r="U7964" s="9"/>
    </row>
    <row r="7965" spans="2:21" x14ac:dyDescent="0.35">
      <c r="B7965" s="9"/>
      <c r="C7965" s="2"/>
      <c r="D7965" s="2"/>
      <c r="I7965" s="9"/>
      <c r="J7965" s="2"/>
      <c r="L7965" s="9"/>
      <c r="M7965" s="2"/>
      <c r="N7965" s="9"/>
      <c r="P7965" s="3">
        <v>0</v>
      </c>
      <c r="S7965" s="9"/>
      <c r="T7965" s="2"/>
      <c r="U7965" s="9"/>
    </row>
    <row r="7966" spans="2:21" x14ac:dyDescent="0.35">
      <c r="B7966" s="9"/>
      <c r="C7966" s="2"/>
      <c r="D7966" s="2"/>
      <c r="I7966" s="9"/>
      <c r="J7966" s="2"/>
      <c r="L7966" s="9"/>
      <c r="M7966" s="2"/>
      <c r="N7966" s="9"/>
      <c r="P7966" s="3">
        <v>0</v>
      </c>
      <c r="S7966" s="9"/>
      <c r="T7966" s="2"/>
      <c r="U7966" s="9"/>
    </row>
    <row r="7967" spans="2:21" x14ac:dyDescent="0.35">
      <c r="B7967" s="9"/>
      <c r="C7967" s="2"/>
      <c r="D7967" s="2"/>
      <c r="I7967" s="9"/>
      <c r="J7967" s="2"/>
      <c r="L7967" s="9"/>
      <c r="M7967" s="2"/>
      <c r="N7967" s="9"/>
      <c r="P7967" s="3">
        <v>0</v>
      </c>
      <c r="S7967" s="9"/>
      <c r="T7967" s="2"/>
      <c r="U7967" s="9"/>
    </row>
    <row r="7968" spans="2:21" x14ac:dyDescent="0.35">
      <c r="B7968" s="9"/>
      <c r="C7968" s="2"/>
      <c r="D7968" s="2"/>
      <c r="I7968" s="9"/>
      <c r="J7968" s="2"/>
      <c r="L7968" s="9"/>
      <c r="M7968" s="2"/>
      <c r="N7968" s="9"/>
      <c r="P7968" s="3">
        <v>0</v>
      </c>
      <c r="S7968" s="9"/>
      <c r="T7968" s="2"/>
      <c r="U7968" s="9"/>
    </row>
    <row r="7969" spans="2:21" x14ac:dyDescent="0.35">
      <c r="B7969" s="9"/>
      <c r="C7969" s="2"/>
      <c r="D7969" s="2"/>
      <c r="I7969" s="9"/>
      <c r="J7969" s="2"/>
      <c r="L7969" s="9"/>
      <c r="M7969" s="2"/>
      <c r="N7969" s="9"/>
      <c r="P7969" s="3">
        <v>0</v>
      </c>
      <c r="S7969" s="9"/>
      <c r="T7969" s="2"/>
      <c r="U7969" s="9"/>
    </row>
    <row r="7970" spans="2:21" x14ac:dyDescent="0.35">
      <c r="B7970" s="9"/>
      <c r="C7970" s="2"/>
      <c r="D7970" s="2"/>
      <c r="I7970" s="9"/>
      <c r="J7970" s="2"/>
      <c r="L7970" s="9"/>
      <c r="M7970" s="2"/>
      <c r="N7970" s="9"/>
      <c r="P7970" s="3">
        <v>0</v>
      </c>
      <c r="S7970" s="9"/>
      <c r="T7970" s="2"/>
      <c r="U7970" s="9"/>
    </row>
    <row r="7971" spans="2:21" x14ac:dyDescent="0.35">
      <c r="B7971" s="9"/>
      <c r="C7971" s="2"/>
      <c r="D7971" s="2"/>
      <c r="I7971" s="9"/>
      <c r="J7971" s="2"/>
      <c r="L7971" s="9"/>
      <c r="M7971" s="2"/>
      <c r="N7971" s="9"/>
      <c r="P7971" s="3">
        <v>0</v>
      </c>
      <c r="S7971" s="9"/>
      <c r="T7971" s="2"/>
      <c r="U7971" s="9"/>
    </row>
    <row r="7972" spans="2:21" x14ac:dyDescent="0.35">
      <c r="B7972" s="9"/>
      <c r="C7972" s="2"/>
      <c r="D7972" s="2"/>
      <c r="I7972" s="9"/>
      <c r="J7972" s="2"/>
      <c r="L7972" s="9"/>
      <c r="M7972" s="2"/>
      <c r="N7972" s="9"/>
      <c r="P7972" s="3">
        <v>0</v>
      </c>
      <c r="S7972" s="9"/>
      <c r="T7972" s="2"/>
      <c r="U7972" s="9"/>
    </row>
    <row r="7973" spans="2:21" x14ac:dyDescent="0.35">
      <c r="B7973" s="9"/>
      <c r="C7973" s="2"/>
      <c r="D7973" s="2"/>
      <c r="I7973" s="9"/>
      <c r="J7973" s="2"/>
      <c r="L7973" s="9"/>
      <c r="M7973" s="2"/>
      <c r="N7973" s="9"/>
      <c r="P7973" s="3">
        <v>0</v>
      </c>
      <c r="S7973" s="9"/>
      <c r="T7973" s="2"/>
      <c r="U7973" s="9"/>
    </row>
    <row r="7974" spans="2:21" x14ac:dyDescent="0.35">
      <c r="B7974" s="9"/>
      <c r="C7974" s="2"/>
      <c r="D7974" s="2"/>
      <c r="I7974" s="9"/>
      <c r="J7974" s="2"/>
      <c r="L7974" s="9"/>
      <c r="M7974" s="2"/>
      <c r="N7974" s="9"/>
      <c r="P7974" s="3">
        <v>0</v>
      </c>
      <c r="S7974" s="9"/>
      <c r="T7974" s="2"/>
      <c r="U7974" s="9"/>
    </row>
    <row r="7975" spans="2:21" x14ac:dyDescent="0.35">
      <c r="B7975" s="9"/>
      <c r="C7975" s="2"/>
      <c r="D7975" s="2"/>
      <c r="I7975" s="9"/>
      <c r="J7975" s="2"/>
      <c r="L7975" s="9"/>
      <c r="M7975" s="2"/>
      <c r="N7975" s="9"/>
      <c r="P7975" s="3">
        <v>0</v>
      </c>
      <c r="S7975" s="9"/>
      <c r="T7975" s="2"/>
      <c r="U7975" s="9"/>
    </row>
    <row r="7976" spans="2:21" x14ac:dyDescent="0.35">
      <c r="B7976" s="9"/>
      <c r="C7976" s="2"/>
      <c r="D7976" s="2"/>
      <c r="I7976" s="9"/>
      <c r="J7976" s="2"/>
      <c r="L7976" s="9"/>
      <c r="M7976" s="2"/>
      <c r="N7976" s="9"/>
      <c r="P7976" s="3">
        <v>0</v>
      </c>
      <c r="S7976" s="9"/>
      <c r="T7976" s="2"/>
      <c r="U7976" s="9"/>
    </row>
    <row r="7977" spans="2:21" x14ac:dyDescent="0.35">
      <c r="B7977" s="9"/>
      <c r="C7977" s="2"/>
      <c r="D7977" s="2"/>
      <c r="I7977" s="9"/>
      <c r="J7977" s="2"/>
      <c r="L7977" s="9"/>
      <c r="M7977" s="2"/>
      <c r="N7977" s="9"/>
      <c r="P7977" s="3">
        <v>0</v>
      </c>
      <c r="S7977" s="9"/>
      <c r="T7977" s="2"/>
      <c r="U7977" s="9"/>
    </row>
    <row r="7978" spans="2:21" x14ac:dyDescent="0.35">
      <c r="B7978" s="9"/>
      <c r="C7978" s="2"/>
      <c r="D7978" s="2"/>
      <c r="I7978" s="9"/>
      <c r="J7978" s="2"/>
      <c r="L7978" s="9"/>
      <c r="M7978" s="2"/>
      <c r="N7978" s="9"/>
      <c r="P7978" s="3">
        <v>0</v>
      </c>
      <c r="S7978" s="9"/>
      <c r="T7978" s="2"/>
      <c r="U7978" s="9"/>
    </row>
    <row r="7979" spans="2:21" x14ac:dyDescent="0.35">
      <c r="B7979" s="9"/>
      <c r="C7979" s="2"/>
      <c r="D7979" s="2"/>
      <c r="I7979" s="9"/>
      <c r="J7979" s="2"/>
      <c r="L7979" s="9"/>
      <c r="M7979" s="2"/>
      <c r="N7979" s="9"/>
      <c r="P7979" s="3">
        <v>0</v>
      </c>
      <c r="S7979" s="9"/>
      <c r="T7979" s="2"/>
      <c r="U7979" s="9"/>
    </row>
    <row r="7980" spans="2:21" x14ac:dyDescent="0.35">
      <c r="B7980" s="9"/>
      <c r="C7980" s="2"/>
      <c r="D7980" s="2"/>
      <c r="I7980" s="9"/>
      <c r="J7980" s="2"/>
      <c r="L7980" s="9"/>
      <c r="M7980" s="2"/>
      <c r="N7980" s="9"/>
      <c r="P7980" s="3">
        <v>0</v>
      </c>
      <c r="S7980" s="9"/>
      <c r="T7980" s="2"/>
      <c r="U7980" s="9"/>
    </row>
    <row r="7981" spans="2:21" x14ac:dyDescent="0.35">
      <c r="B7981" s="9"/>
      <c r="C7981" s="2"/>
      <c r="D7981" s="2"/>
      <c r="I7981" s="9"/>
      <c r="J7981" s="2"/>
      <c r="L7981" s="9"/>
      <c r="M7981" s="2"/>
      <c r="N7981" s="9"/>
      <c r="P7981" s="3">
        <v>0</v>
      </c>
      <c r="S7981" s="9"/>
      <c r="T7981" s="2"/>
      <c r="U7981" s="9"/>
    </row>
    <row r="7982" spans="2:21" x14ac:dyDescent="0.35">
      <c r="B7982" s="9"/>
      <c r="C7982" s="2"/>
      <c r="D7982" s="2"/>
      <c r="I7982" s="9"/>
      <c r="J7982" s="2"/>
      <c r="L7982" s="9"/>
      <c r="M7982" s="2"/>
      <c r="N7982" s="9"/>
      <c r="P7982" s="3">
        <v>0</v>
      </c>
      <c r="S7982" s="9"/>
      <c r="T7982" s="2"/>
      <c r="U7982" s="9"/>
    </row>
    <row r="7983" spans="2:21" x14ac:dyDescent="0.35">
      <c r="B7983" s="9"/>
      <c r="C7983" s="2"/>
      <c r="D7983" s="2"/>
      <c r="I7983" s="9"/>
      <c r="J7983" s="2"/>
      <c r="L7983" s="9"/>
      <c r="M7983" s="2"/>
      <c r="N7983" s="9"/>
      <c r="P7983" s="3">
        <v>0</v>
      </c>
      <c r="S7983" s="9"/>
      <c r="T7983" s="2"/>
      <c r="U7983" s="9"/>
    </row>
    <row r="7984" spans="2:21" x14ac:dyDescent="0.35">
      <c r="B7984" s="9"/>
      <c r="C7984" s="2"/>
      <c r="D7984" s="2"/>
      <c r="I7984" s="9"/>
      <c r="J7984" s="2"/>
      <c r="L7984" s="9"/>
      <c r="M7984" s="2"/>
      <c r="N7984" s="9"/>
      <c r="P7984" s="3">
        <v>0</v>
      </c>
      <c r="S7984" s="9"/>
      <c r="T7984" s="2"/>
      <c r="U7984" s="9"/>
    </row>
    <row r="7985" spans="2:21" x14ac:dyDescent="0.35">
      <c r="B7985" s="9"/>
      <c r="C7985" s="2"/>
      <c r="D7985" s="2"/>
      <c r="I7985" s="9"/>
      <c r="J7985" s="2"/>
      <c r="L7985" s="9"/>
      <c r="M7985" s="2"/>
      <c r="N7985" s="9"/>
      <c r="P7985" s="3">
        <v>0</v>
      </c>
      <c r="S7985" s="9"/>
      <c r="T7985" s="2"/>
      <c r="U7985" s="9"/>
    </row>
    <row r="7986" spans="2:21" x14ac:dyDescent="0.35">
      <c r="B7986" s="9"/>
      <c r="C7986" s="2"/>
      <c r="D7986" s="2"/>
      <c r="I7986" s="9"/>
      <c r="J7986" s="2"/>
      <c r="L7986" s="9"/>
      <c r="M7986" s="2"/>
      <c r="N7986" s="9"/>
      <c r="P7986" s="3">
        <v>-251.60949199999999</v>
      </c>
      <c r="S7986" s="9"/>
      <c r="T7986" s="2"/>
      <c r="U7986" s="9"/>
    </row>
    <row r="7987" spans="2:21" x14ac:dyDescent="0.35">
      <c r="B7987" s="9"/>
      <c r="C7987" s="2"/>
      <c r="D7987" s="2"/>
      <c r="I7987" s="9"/>
      <c r="J7987" s="2"/>
      <c r="L7987" s="9"/>
      <c r="M7987" s="2"/>
      <c r="N7987" s="9"/>
      <c r="P7987" s="3">
        <v>-686.36949200000004</v>
      </c>
      <c r="S7987" s="9"/>
      <c r="T7987" s="2"/>
      <c r="U7987" s="9"/>
    </row>
    <row r="7988" spans="2:21" x14ac:dyDescent="0.35">
      <c r="B7988" s="9"/>
      <c r="C7988" s="2"/>
      <c r="D7988" s="2"/>
      <c r="I7988" s="9"/>
      <c r="J7988" s="2"/>
      <c r="L7988" s="9"/>
      <c r="M7988" s="2"/>
      <c r="N7988" s="9"/>
      <c r="P7988" s="3">
        <v>-1121.129492</v>
      </c>
      <c r="S7988" s="9"/>
      <c r="T7988" s="2"/>
      <c r="U7988" s="9"/>
    </row>
    <row r="7989" spans="2:21" x14ac:dyDescent="0.35">
      <c r="B7989" s="9"/>
      <c r="C7989" s="2"/>
      <c r="D7989" s="2"/>
      <c r="I7989" s="9"/>
      <c r="J7989" s="2"/>
      <c r="L7989" s="9"/>
      <c r="M7989" s="2"/>
      <c r="N7989" s="9"/>
      <c r="P7989" s="3">
        <v>-1555.889492</v>
      </c>
      <c r="S7989" s="9"/>
      <c r="T7989" s="2"/>
      <c r="U7989" s="9"/>
    </row>
    <row r="7990" spans="2:21" x14ac:dyDescent="0.35">
      <c r="B7990" s="9"/>
      <c r="C7990" s="2"/>
      <c r="D7990" s="2"/>
      <c r="I7990" s="9"/>
      <c r="J7990" s="2"/>
      <c r="L7990" s="9"/>
      <c r="M7990" s="2"/>
      <c r="N7990" s="9"/>
      <c r="P7990" s="3">
        <v>-1990.649492</v>
      </c>
      <c r="S7990" s="9"/>
      <c r="T7990" s="2"/>
      <c r="U7990" s="9"/>
    </row>
    <row r="7991" spans="2:21" x14ac:dyDescent="0.35">
      <c r="B7991" s="9"/>
      <c r="C7991" s="2"/>
      <c r="D7991" s="2"/>
      <c r="I7991" s="9"/>
      <c r="J7991" s="2"/>
      <c r="L7991" s="9"/>
      <c r="M7991" s="2"/>
      <c r="N7991" s="9"/>
      <c r="P7991" s="3">
        <v>-2425.4094919999998</v>
      </c>
      <c r="S7991" s="9"/>
      <c r="T7991" s="2"/>
      <c r="U7991" s="9"/>
    </row>
    <row r="7992" spans="2:21" x14ac:dyDescent="0.35">
      <c r="B7992" s="9"/>
      <c r="C7992" s="2"/>
      <c r="D7992" s="2"/>
      <c r="I7992" s="9"/>
      <c r="J7992" s="2"/>
      <c r="L7992" s="9"/>
      <c r="M7992" s="2"/>
      <c r="N7992" s="9"/>
      <c r="P7992" s="3">
        <v>-2860.169492</v>
      </c>
      <c r="S7992" s="9"/>
      <c r="T7992" s="2"/>
      <c r="U7992" s="9"/>
    </row>
    <row r="7993" spans="2:21" x14ac:dyDescent="0.35">
      <c r="B7993" s="9"/>
      <c r="C7993" s="2"/>
      <c r="D7993" s="2"/>
      <c r="I7993" s="9"/>
      <c r="J7993" s="2"/>
      <c r="L7993" s="9"/>
      <c r="M7993" s="2"/>
      <c r="N7993" s="9"/>
      <c r="P7993" s="3">
        <v>-2860.169492</v>
      </c>
      <c r="S7993" s="9"/>
      <c r="T7993" s="2"/>
      <c r="U7993" s="9"/>
    </row>
    <row r="7994" spans="2:21" x14ac:dyDescent="0.35">
      <c r="B7994" s="9"/>
      <c r="C7994" s="2"/>
      <c r="D7994" s="2"/>
      <c r="I7994" s="9"/>
      <c r="J7994" s="2"/>
      <c r="L7994" s="9"/>
      <c r="M7994" s="2"/>
      <c r="N7994" s="9"/>
      <c r="P7994" s="3">
        <v>-2860.169492</v>
      </c>
      <c r="S7994" s="9"/>
      <c r="T7994" s="2"/>
      <c r="U7994" s="9"/>
    </row>
    <row r="7995" spans="2:21" x14ac:dyDescent="0.35">
      <c r="B7995" s="9"/>
      <c r="C7995" s="2"/>
      <c r="D7995" s="2"/>
      <c r="I7995" s="9"/>
      <c r="J7995" s="2"/>
      <c r="L7995" s="9"/>
      <c r="M7995" s="2"/>
      <c r="N7995" s="9"/>
      <c r="P7995" s="3">
        <v>-2631.09247886</v>
      </c>
      <c r="S7995" s="9"/>
      <c r="T7995" s="2"/>
      <c r="U7995" s="9"/>
    </row>
    <row r="7996" spans="2:21" x14ac:dyDescent="0.35">
      <c r="B7996" s="9"/>
      <c r="C7996" s="2"/>
      <c r="D7996" s="2"/>
      <c r="I7996" s="9"/>
      <c r="J7996" s="2"/>
      <c r="L7996" s="9"/>
      <c r="M7996" s="2"/>
      <c r="N7996" s="9"/>
      <c r="P7996" s="3">
        <v>-2196.3324788599998</v>
      </c>
      <c r="S7996" s="9"/>
      <c r="T7996" s="2"/>
      <c r="U7996" s="9"/>
    </row>
    <row r="7997" spans="2:21" x14ac:dyDescent="0.35">
      <c r="B7997" s="9"/>
      <c r="C7997" s="2"/>
      <c r="D7997" s="2"/>
      <c r="I7997" s="9"/>
      <c r="J7997" s="2"/>
      <c r="L7997" s="9"/>
      <c r="M7997" s="2"/>
      <c r="N7997" s="9"/>
      <c r="P7997" s="3">
        <v>-1761.57247886</v>
      </c>
      <c r="S7997" s="9"/>
      <c r="T7997" s="2"/>
      <c r="U7997" s="9"/>
    </row>
    <row r="7998" spans="2:21" x14ac:dyDescent="0.35">
      <c r="B7998" s="9"/>
      <c r="C7998" s="2"/>
      <c r="D7998" s="2"/>
      <c r="I7998" s="9"/>
      <c r="J7998" s="2"/>
      <c r="L7998" s="9"/>
      <c r="M7998" s="2"/>
      <c r="N7998" s="9"/>
      <c r="P7998" s="3">
        <v>-1326.8124788600001</v>
      </c>
      <c r="S7998" s="9"/>
      <c r="T7998" s="2"/>
      <c r="U7998" s="9"/>
    </row>
    <row r="7999" spans="2:21" x14ac:dyDescent="0.35">
      <c r="B7999" s="9"/>
      <c r="C7999" s="2"/>
      <c r="D7999" s="2"/>
      <c r="I7999" s="9"/>
      <c r="J7999" s="2"/>
      <c r="L7999" s="9"/>
      <c r="M7999" s="2"/>
      <c r="N7999" s="9"/>
      <c r="P7999" s="3">
        <v>-1046.8900088600001</v>
      </c>
      <c r="S7999" s="9"/>
      <c r="T7999" s="2"/>
      <c r="U7999" s="9"/>
    </row>
    <row r="8000" spans="2:21" x14ac:dyDescent="0.35">
      <c r="B8000" s="9"/>
      <c r="C8000" s="2"/>
      <c r="D8000" s="2"/>
      <c r="I8000" s="9"/>
      <c r="J8000" s="2"/>
      <c r="L8000" s="9"/>
      <c r="M8000" s="2"/>
      <c r="N8000" s="9"/>
      <c r="P8000" s="3">
        <v>-781.48419885999999</v>
      </c>
      <c r="S8000" s="9"/>
      <c r="T8000" s="2"/>
      <c r="U8000" s="9"/>
    </row>
    <row r="8001" spans="2:21" x14ac:dyDescent="0.35">
      <c r="B8001" s="9"/>
      <c r="C8001" s="2"/>
      <c r="D8001" s="2"/>
      <c r="I8001" s="9"/>
      <c r="J8001" s="2"/>
      <c r="L8001" s="9"/>
      <c r="M8001" s="2"/>
      <c r="N8001" s="9"/>
      <c r="P8001" s="3">
        <v>-609.38445886</v>
      </c>
      <c r="S8001" s="9"/>
      <c r="T8001" s="2"/>
      <c r="U8001" s="9"/>
    </row>
    <row r="8002" spans="2:21" x14ac:dyDescent="0.35">
      <c r="B8002" s="9"/>
      <c r="C8002" s="2"/>
      <c r="D8002" s="2"/>
      <c r="I8002" s="9"/>
      <c r="J8002" s="2"/>
      <c r="L8002" s="9"/>
      <c r="M8002" s="2"/>
      <c r="N8002" s="9"/>
      <c r="P8002" s="3">
        <v>-470.42680885999999</v>
      </c>
      <c r="S8002" s="9"/>
      <c r="T8002" s="2"/>
      <c r="U8002" s="9"/>
    </row>
    <row r="8003" spans="2:21" x14ac:dyDescent="0.35">
      <c r="B8003" s="9"/>
      <c r="C8003" s="2"/>
      <c r="D8003" s="2"/>
      <c r="I8003" s="9"/>
      <c r="J8003" s="2"/>
      <c r="L8003" s="9"/>
      <c r="M8003" s="2"/>
      <c r="N8003" s="9"/>
      <c r="P8003" s="3">
        <v>-201.58256238000001</v>
      </c>
      <c r="S8003" s="9"/>
      <c r="T8003" s="2"/>
      <c r="U8003" s="9"/>
    </row>
    <row r="8004" spans="2:21" x14ac:dyDescent="0.35">
      <c r="B8004" s="9"/>
      <c r="C8004" s="2"/>
      <c r="D8004" s="2"/>
      <c r="I8004" s="9"/>
      <c r="J8004" s="2"/>
      <c r="L8004" s="9"/>
      <c r="M8004" s="2"/>
      <c r="N8004" s="9"/>
      <c r="P8004" s="3">
        <v>0.23200409999999999</v>
      </c>
      <c r="S8004" s="9"/>
      <c r="T8004" s="2"/>
      <c r="U8004" s="9"/>
    </row>
    <row r="8005" spans="2:21" x14ac:dyDescent="0.35">
      <c r="B8005" s="9"/>
      <c r="C8005" s="2"/>
      <c r="D8005" s="2"/>
      <c r="I8005" s="9"/>
      <c r="J8005" s="2"/>
      <c r="L8005" s="9"/>
      <c r="M8005" s="2"/>
      <c r="N8005" s="9"/>
      <c r="P8005" s="3">
        <v>183.37682655</v>
      </c>
      <c r="S8005" s="9"/>
      <c r="T8005" s="2"/>
      <c r="U8005" s="9"/>
    </row>
    <row r="8006" spans="2:21" x14ac:dyDescent="0.35">
      <c r="B8006" s="9"/>
      <c r="C8006" s="2"/>
      <c r="D8006" s="2"/>
      <c r="I8006" s="9"/>
      <c r="J8006" s="2"/>
      <c r="L8006" s="9"/>
      <c r="M8006" s="2"/>
      <c r="N8006" s="9"/>
      <c r="P8006" s="3">
        <v>272.75295303000001</v>
      </c>
      <c r="S8006" s="9"/>
      <c r="T8006" s="2"/>
      <c r="U8006" s="9"/>
    </row>
    <row r="8007" spans="2:21" x14ac:dyDescent="0.35">
      <c r="B8007" s="9"/>
      <c r="C8007" s="2"/>
      <c r="D8007" s="2"/>
      <c r="I8007" s="9"/>
      <c r="J8007" s="2"/>
      <c r="L8007" s="9"/>
      <c r="M8007" s="2"/>
      <c r="N8007" s="9"/>
      <c r="P8007" s="3">
        <v>-162.00704697</v>
      </c>
      <c r="S8007" s="9"/>
      <c r="T8007" s="2"/>
      <c r="U8007" s="9"/>
    </row>
    <row r="8008" spans="2:21" x14ac:dyDescent="0.35">
      <c r="B8008" s="9"/>
      <c r="C8008" s="2"/>
      <c r="D8008" s="2"/>
      <c r="I8008" s="9"/>
      <c r="J8008" s="2"/>
      <c r="L8008" s="9"/>
      <c r="M8008" s="2"/>
      <c r="N8008" s="9"/>
      <c r="P8008" s="3">
        <v>-596.76704697000002</v>
      </c>
      <c r="S8008" s="9"/>
      <c r="T8008" s="2"/>
      <c r="U8008" s="9"/>
    </row>
    <row r="8009" spans="2:21" x14ac:dyDescent="0.35">
      <c r="B8009" s="9"/>
      <c r="C8009" s="2"/>
      <c r="D8009" s="2"/>
      <c r="I8009" s="9"/>
      <c r="J8009" s="2"/>
      <c r="L8009" s="9"/>
      <c r="M8009" s="2"/>
      <c r="N8009" s="9"/>
      <c r="P8009" s="3">
        <v>-162.00704697</v>
      </c>
      <c r="S8009" s="9"/>
      <c r="T8009" s="2"/>
      <c r="U8009" s="9"/>
    </row>
    <row r="8010" spans="2:21" x14ac:dyDescent="0.35">
      <c r="B8010" s="9"/>
      <c r="C8010" s="2"/>
      <c r="D8010" s="2"/>
      <c r="I8010" s="9"/>
      <c r="J8010" s="2"/>
      <c r="L8010" s="9"/>
      <c r="M8010" s="2"/>
      <c r="N8010" s="9"/>
      <c r="P8010" s="3">
        <v>0</v>
      </c>
      <c r="S8010" s="9"/>
      <c r="T8010" s="2"/>
      <c r="U8010" s="9"/>
    </row>
    <row r="8011" spans="2:21" x14ac:dyDescent="0.35">
      <c r="B8011" s="9"/>
      <c r="C8011" s="2"/>
      <c r="D8011" s="2"/>
      <c r="I8011" s="9"/>
      <c r="J8011" s="2"/>
      <c r="L8011" s="9"/>
      <c r="M8011" s="2"/>
      <c r="N8011" s="9"/>
      <c r="P8011" s="3">
        <v>-83.498026969999998</v>
      </c>
      <c r="S8011" s="9"/>
      <c r="T8011" s="2"/>
      <c r="U8011" s="9"/>
    </row>
    <row r="8012" spans="2:21" x14ac:dyDescent="0.35">
      <c r="B8012" s="9"/>
      <c r="C8012" s="2"/>
      <c r="D8012" s="2"/>
      <c r="I8012" s="9"/>
      <c r="J8012" s="2"/>
      <c r="L8012" s="9"/>
      <c r="M8012" s="2"/>
      <c r="N8012" s="9"/>
      <c r="P8012" s="3">
        <v>-518.25802696999995</v>
      </c>
      <c r="S8012" s="9"/>
      <c r="T8012" s="2"/>
      <c r="U8012" s="9"/>
    </row>
    <row r="8013" spans="2:21" x14ac:dyDescent="0.35">
      <c r="B8013" s="9"/>
      <c r="C8013" s="2"/>
      <c r="D8013" s="2"/>
      <c r="I8013" s="9"/>
      <c r="J8013" s="2"/>
      <c r="L8013" s="9"/>
      <c r="M8013" s="2"/>
      <c r="N8013" s="9"/>
      <c r="P8013" s="3">
        <v>-953.01802697000005</v>
      </c>
      <c r="S8013" s="9"/>
      <c r="T8013" s="2"/>
      <c r="U8013" s="9"/>
    </row>
    <row r="8014" spans="2:21" x14ac:dyDescent="0.35">
      <c r="B8014" s="9"/>
      <c r="C8014" s="2"/>
      <c r="D8014" s="2"/>
      <c r="I8014" s="9"/>
      <c r="J8014" s="2"/>
      <c r="L8014" s="9"/>
      <c r="M8014" s="2"/>
      <c r="N8014" s="9"/>
      <c r="P8014" s="3">
        <v>-1387.7780269699999</v>
      </c>
      <c r="S8014" s="9"/>
      <c r="T8014" s="2"/>
      <c r="U8014" s="9"/>
    </row>
    <row r="8015" spans="2:21" x14ac:dyDescent="0.35">
      <c r="B8015" s="9"/>
      <c r="C8015" s="2"/>
      <c r="D8015" s="2"/>
      <c r="I8015" s="9"/>
      <c r="J8015" s="2"/>
      <c r="L8015" s="9"/>
      <c r="M8015" s="2"/>
      <c r="N8015" s="9"/>
      <c r="P8015" s="3">
        <v>-953.01802697000005</v>
      </c>
      <c r="S8015" s="9"/>
      <c r="T8015" s="2"/>
      <c r="U8015" s="9"/>
    </row>
    <row r="8016" spans="2:21" x14ac:dyDescent="0.35">
      <c r="B8016" s="9"/>
      <c r="C8016" s="2"/>
      <c r="D8016" s="2"/>
      <c r="I8016" s="9"/>
      <c r="J8016" s="2"/>
      <c r="L8016" s="9"/>
      <c r="M8016" s="2"/>
      <c r="N8016" s="9"/>
      <c r="P8016" s="3">
        <v>-546.89092697000001</v>
      </c>
      <c r="S8016" s="9"/>
      <c r="T8016" s="2"/>
      <c r="U8016" s="9"/>
    </row>
    <row r="8017" spans="2:21" x14ac:dyDescent="0.35">
      <c r="B8017" s="9"/>
      <c r="C8017" s="2"/>
      <c r="D8017" s="2"/>
      <c r="I8017" s="9"/>
      <c r="J8017" s="2"/>
      <c r="L8017" s="9"/>
      <c r="M8017" s="2"/>
      <c r="N8017" s="9"/>
      <c r="P8017" s="3">
        <v>-597.25010772999997</v>
      </c>
      <c r="S8017" s="9"/>
      <c r="T8017" s="2"/>
      <c r="U8017" s="9"/>
    </row>
    <row r="8018" spans="2:21" x14ac:dyDescent="0.35">
      <c r="B8018" s="9"/>
      <c r="C8018" s="2"/>
      <c r="D8018" s="2"/>
      <c r="I8018" s="9"/>
      <c r="J8018" s="2"/>
      <c r="L8018" s="9"/>
      <c r="M8018" s="2"/>
      <c r="N8018" s="9"/>
      <c r="P8018" s="3">
        <v>-626.42917823000005</v>
      </c>
      <c r="S8018" s="9"/>
      <c r="T8018" s="2"/>
      <c r="U8018" s="9"/>
    </row>
    <row r="8019" spans="2:21" x14ac:dyDescent="0.35">
      <c r="B8019" s="9"/>
      <c r="C8019" s="2"/>
      <c r="D8019" s="2"/>
      <c r="I8019" s="9"/>
      <c r="J8019" s="2"/>
      <c r="L8019" s="9"/>
      <c r="M8019" s="2"/>
      <c r="N8019" s="9"/>
      <c r="P8019" s="3">
        <v>-625.74488859999997</v>
      </c>
      <c r="S8019" s="9"/>
      <c r="T8019" s="2"/>
      <c r="U8019" s="9"/>
    </row>
    <row r="8020" spans="2:21" x14ac:dyDescent="0.35">
      <c r="B8020" s="9"/>
      <c r="C8020" s="2"/>
      <c r="D8020" s="2"/>
      <c r="I8020" s="9"/>
      <c r="J8020" s="2"/>
      <c r="L8020" s="9"/>
      <c r="M8020" s="2"/>
      <c r="N8020" s="9"/>
      <c r="P8020" s="3">
        <v>-691.20556885999997</v>
      </c>
      <c r="S8020" s="9"/>
      <c r="T8020" s="2"/>
      <c r="U8020" s="9"/>
    </row>
    <row r="8021" spans="2:21" x14ac:dyDescent="0.35">
      <c r="B8021" s="9"/>
      <c r="C8021" s="2"/>
      <c r="D8021" s="2"/>
      <c r="I8021" s="9"/>
      <c r="J8021" s="2"/>
      <c r="L8021" s="9"/>
      <c r="M8021" s="2"/>
      <c r="N8021" s="9"/>
      <c r="P8021" s="3">
        <v>-636.10286839000003</v>
      </c>
      <c r="S8021" s="9"/>
      <c r="T8021" s="2"/>
      <c r="U8021" s="9"/>
    </row>
    <row r="8022" spans="2:21" x14ac:dyDescent="0.35">
      <c r="B8022" s="9"/>
      <c r="C8022" s="2"/>
      <c r="D8022" s="2"/>
      <c r="I8022" s="9"/>
      <c r="J8022" s="2"/>
      <c r="L8022" s="9"/>
      <c r="M8022" s="2"/>
      <c r="N8022" s="9"/>
      <c r="P8022" s="3">
        <v>-201.34286839000001</v>
      </c>
      <c r="S8022" s="9"/>
      <c r="T8022" s="2"/>
      <c r="U8022" s="9"/>
    </row>
    <row r="8023" spans="2:21" x14ac:dyDescent="0.35">
      <c r="B8023" s="9"/>
      <c r="C8023" s="2"/>
      <c r="D8023" s="2"/>
      <c r="I8023" s="9"/>
      <c r="J8023" s="2"/>
      <c r="L8023" s="9"/>
      <c r="M8023" s="2"/>
      <c r="N8023" s="9"/>
      <c r="P8023" s="3">
        <v>-240.74147839</v>
      </c>
      <c r="S8023" s="9"/>
      <c r="T8023" s="2"/>
      <c r="U8023" s="9"/>
    </row>
    <row r="8024" spans="2:21" x14ac:dyDescent="0.35">
      <c r="B8024" s="9"/>
      <c r="C8024" s="2"/>
      <c r="D8024" s="2"/>
      <c r="I8024" s="9"/>
      <c r="J8024" s="2"/>
      <c r="L8024" s="9"/>
      <c r="M8024" s="2"/>
      <c r="N8024" s="9"/>
      <c r="P8024" s="3">
        <v>-232.50547839000001</v>
      </c>
      <c r="S8024" s="9"/>
      <c r="T8024" s="2"/>
      <c r="U8024" s="9"/>
    </row>
    <row r="8025" spans="2:21" x14ac:dyDescent="0.35">
      <c r="B8025" s="9"/>
      <c r="C8025" s="2"/>
      <c r="D8025" s="2"/>
      <c r="I8025" s="9"/>
      <c r="J8025" s="2"/>
      <c r="L8025" s="9"/>
      <c r="M8025" s="2"/>
      <c r="N8025" s="9"/>
      <c r="P8025" s="3">
        <v>-221.15896839000001</v>
      </c>
      <c r="S8025" s="9"/>
      <c r="T8025" s="2"/>
      <c r="U8025" s="9"/>
    </row>
    <row r="8026" spans="2:21" x14ac:dyDescent="0.35">
      <c r="B8026" s="9"/>
      <c r="C8026" s="2"/>
      <c r="D8026" s="2"/>
      <c r="I8026" s="9"/>
      <c r="J8026" s="2"/>
      <c r="L8026" s="9"/>
      <c r="M8026" s="2"/>
      <c r="N8026" s="9"/>
      <c r="P8026" s="3">
        <v>-204.10689839</v>
      </c>
      <c r="S8026" s="9"/>
      <c r="T8026" s="2"/>
      <c r="U8026" s="9"/>
    </row>
    <row r="8027" spans="2:21" x14ac:dyDescent="0.35">
      <c r="B8027" s="9"/>
      <c r="C8027" s="2"/>
      <c r="D8027" s="2"/>
      <c r="I8027" s="9"/>
      <c r="J8027" s="2"/>
      <c r="L8027" s="9"/>
      <c r="M8027" s="2"/>
      <c r="N8027" s="9"/>
      <c r="P8027" s="3">
        <v>-246.10907839000001</v>
      </c>
      <c r="S8027" s="9"/>
      <c r="T8027" s="2"/>
      <c r="U8027" s="9"/>
    </row>
    <row r="8028" spans="2:21" x14ac:dyDescent="0.35">
      <c r="B8028" s="9"/>
      <c r="C8028" s="2"/>
      <c r="D8028" s="2"/>
      <c r="I8028" s="9"/>
      <c r="J8028" s="2"/>
      <c r="L8028" s="9"/>
      <c r="M8028" s="2"/>
      <c r="N8028" s="9"/>
      <c r="P8028" s="3">
        <v>-230.44505839000001</v>
      </c>
      <c r="S8028" s="9"/>
      <c r="T8028" s="2"/>
      <c r="U8028" s="9"/>
    </row>
    <row r="8029" spans="2:21" x14ac:dyDescent="0.35">
      <c r="B8029" s="9"/>
      <c r="C8029" s="2"/>
      <c r="D8029" s="2"/>
      <c r="I8029" s="9"/>
      <c r="J8029" s="2"/>
      <c r="L8029" s="9"/>
      <c r="M8029" s="2"/>
      <c r="N8029" s="9"/>
      <c r="P8029" s="3">
        <v>-218.51066839000001</v>
      </c>
      <c r="S8029" s="9"/>
      <c r="T8029" s="2"/>
      <c r="U8029" s="9"/>
    </row>
    <row r="8030" spans="2:21" x14ac:dyDescent="0.35">
      <c r="B8030" s="9"/>
      <c r="C8030" s="2"/>
      <c r="D8030" s="2"/>
      <c r="I8030" s="9"/>
      <c r="J8030" s="2"/>
      <c r="L8030" s="9"/>
      <c r="M8030" s="2"/>
      <c r="N8030" s="9"/>
      <c r="P8030" s="3">
        <v>-108.62183838999999</v>
      </c>
      <c r="S8030" s="9"/>
      <c r="T8030" s="2"/>
      <c r="U8030" s="9"/>
    </row>
    <row r="8031" spans="2:21" x14ac:dyDescent="0.35">
      <c r="B8031" s="9"/>
      <c r="C8031" s="2"/>
      <c r="D8031" s="2"/>
      <c r="I8031" s="9"/>
      <c r="J8031" s="2"/>
      <c r="L8031" s="9"/>
      <c r="M8031" s="2"/>
      <c r="N8031" s="9"/>
      <c r="P8031" s="3">
        <v>-494.44932839000001</v>
      </c>
      <c r="S8031" s="9"/>
      <c r="T8031" s="2"/>
      <c r="U8031" s="9"/>
    </row>
    <row r="8032" spans="2:21" x14ac:dyDescent="0.35">
      <c r="B8032" s="9"/>
      <c r="C8032" s="2"/>
      <c r="D8032" s="2"/>
      <c r="I8032" s="9"/>
      <c r="J8032" s="2"/>
      <c r="L8032" s="9"/>
      <c r="M8032" s="2"/>
      <c r="N8032" s="9"/>
      <c r="P8032" s="3">
        <v>-929.20932839</v>
      </c>
      <c r="S8032" s="9"/>
      <c r="T8032" s="2"/>
      <c r="U8032" s="9"/>
    </row>
    <row r="8033" spans="2:21" x14ac:dyDescent="0.35">
      <c r="B8033" s="9"/>
      <c r="C8033" s="2"/>
      <c r="D8033" s="2"/>
      <c r="I8033" s="9"/>
      <c r="J8033" s="2"/>
      <c r="L8033" s="9"/>
      <c r="M8033" s="2"/>
      <c r="N8033" s="9"/>
      <c r="P8033" s="3">
        <v>-1363.9693283900001</v>
      </c>
      <c r="S8033" s="9"/>
      <c r="T8033" s="2"/>
      <c r="U8033" s="9"/>
    </row>
    <row r="8034" spans="2:21" x14ac:dyDescent="0.35">
      <c r="B8034" s="9"/>
      <c r="C8034" s="2"/>
      <c r="D8034" s="2"/>
      <c r="I8034" s="9"/>
      <c r="J8034" s="2"/>
      <c r="L8034" s="9"/>
      <c r="M8034" s="2"/>
      <c r="N8034" s="9"/>
      <c r="P8034" s="3">
        <v>-1782.9507011999999</v>
      </c>
      <c r="S8034" s="9"/>
      <c r="T8034" s="2"/>
      <c r="U8034" s="9"/>
    </row>
    <row r="8035" spans="2:21" x14ac:dyDescent="0.35">
      <c r="B8035" s="9"/>
      <c r="C8035" s="2"/>
      <c r="D8035" s="2"/>
      <c r="I8035" s="9"/>
      <c r="J8035" s="2"/>
      <c r="L8035" s="9"/>
      <c r="M8035" s="2"/>
      <c r="N8035" s="9"/>
      <c r="P8035" s="3">
        <v>-1758.0872112</v>
      </c>
      <c r="S8035" s="9"/>
      <c r="T8035" s="2"/>
      <c r="U8035" s="9"/>
    </row>
    <row r="8036" spans="2:21" x14ac:dyDescent="0.35">
      <c r="B8036" s="9"/>
      <c r="C8036" s="2"/>
      <c r="D8036" s="2"/>
      <c r="I8036" s="9"/>
      <c r="J8036" s="2"/>
      <c r="L8036" s="9"/>
      <c r="M8036" s="2"/>
      <c r="N8036" s="9"/>
      <c r="P8036" s="3">
        <v>-1470.9944512</v>
      </c>
      <c r="S8036" s="9"/>
      <c r="T8036" s="2"/>
      <c r="U8036" s="9"/>
    </row>
    <row r="8037" spans="2:21" x14ac:dyDescent="0.35">
      <c r="B8037" s="9"/>
      <c r="C8037" s="2"/>
      <c r="D8037" s="2"/>
      <c r="I8037" s="9"/>
      <c r="J8037" s="2"/>
      <c r="L8037" s="9"/>
      <c r="M8037" s="2"/>
      <c r="N8037" s="9"/>
      <c r="P8037" s="3">
        <v>-1111.43226839</v>
      </c>
      <c r="S8037" s="9"/>
      <c r="T8037" s="2"/>
      <c r="U8037" s="9"/>
    </row>
    <row r="8038" spans="2:21" x14ac:dyDescent="0.35">
      <c r="B8038" s="9"/>
      <c r="C8038" s="2"/>
      <c r="D8038" s="2"/>
      <c r="I8038" s="9"/>
      <c r="J8038" s="2"/>
      <c r="L8038" s="9"/>
      <c r="M8038" s="2"/>
      <c r="N8038" s="9"/>
      <c r="P8038" s="3">
        <v>-676.67226839</v>
      </c>
      <c r="S8038" s="9"/>
      <c r="T8038" s="2"/>
      <c r="U8038" s="9"/>
    </row>
    <row r="8039" spans="2:21" x14ac:dyDescent="0.35">
      <c r="B8039" s="9"/>
      <c r="C8039" s="2"/>
      <c r="D8039" s="2"/>
      <c r="I8039" s="9"/>
      <c r="J8039" s="2"/>
      <c r="L8039" s="9"/>
      <c r="M8039" s="2"/>
      <c r="N8039" s="9"/>
      <c r="P8039" s="3">
        <v>-241.91226839000001</v>
      </c>
      <c r="S8039" s="9"/>
      <c r="T8039" s="2"/>
      <c r="U8039" s="9"/>
    </row>
    <row r="8040" spans="2:21" x14ac:dyDescent="0.35">
      <c r="B8040" s="9"/>
      <c r="C8040" s="2"/>
      <c r="D8040" s="2"/>
      <c r="I8040" s="9"/>
      <c r="J8040" s="2"/>
      <c r="L8040" s="9"/>
      <c r="M8040" s="2"/>
      <c r="N8040" s="9"/>
      <c r="P8040" s="3">
        <v>-25.049158389999999</v>
      </c>
      <c r="S8040" s="9"/>
      <c r="T8040" s="2"/>
      <c r="U8040" s="9"/>
    </row>
    <row r="8041" spans="2:21" x14ac:dyDescent="0.35">
      <c r="B8041" s="9"/>
      <c r="C8041" s="2"/>
      <c r="D8041" s="2"/>
      <c r="I8041" s="9"/>
      <c r="J8041" s="2"/>
      <c r="L8041" s="9"/>
      <c r="M8041" s="2"/>
      <c r="N8041" s="9"/>
      <c r="P8041" s="3">
        <v>-29.478138390000002</v>
      </c>
      <c r="S8041" s="9"/>
      <c r="T8041" s="2"/>
      <c r="U8041" s="9"/>
    </row>
    <row r="8042" spans="2:21" x14ac:dyDescent="0.35">
      <c r="B8042" s="9"/>
      <c r="C8042" s="2"/>
      <c r="D8042" s="2"/>
      <c r="I8042" s="9"/>
      <c r="J8042" s="2"/>
      <c r="L8042" s="9"/>
      <c r="M8042" s="2"/>
      <c r="N8042" s="9"/>
      <c r="P8042" s="3">
        <v>1.05044161</v>
      </c>
      <c r="S8042" s="9"/>
      <c r="T8042" s="2"/>
      <c r="U8042" s="9"/>
    </row>
    <row r="8043" spans="2:21" x14ac:dyDescent="0.35">
      <c r="B8043" s="9"/>
      <c r="C8043" s="2"/>
      <c r="D8043" s="2"/>
      <c r="I8043" s="9"/>
      <c r="J8043" s="2"/>
      <c r="L8043" s="9"/>
      <c r="M8043" s="2"/>
      <c r="N8043" s="9"/>
      <c r="P8043" s="3">
        <v>57.208601610000002</v>
      </c>
      <c r="S8043" s="9"/>
      <c r="T8043" s="2"/>
      <c r="U8043" s="9"/>
    </row>
    <row r="8044" spans="2:21" x14ac:dyDescent="0.35">
      <c r="B8044" s="9"/>
      <c r="C8044" s="2"/>
      <c r="D8044" s="2"/>
      <c r="I8044" s="9"/>
      <c r="J8044" s="2"/>
      <c r="L8044" s="9"/>
      <c r="M8044" s="2"/>
      <c r="N8044" s="9"/>
      <c r="P8044" s="3">
        <v>113.13246160999999</v>
      </c>
      <c r="S8044" s="9"/>
      <c r="T8044" s="2"/>
      <c r="U8044" s="9"/>
    </row>
    <row r="8045" spans="2:21" x14ac:dyDescent="0.35">
      <c r="B8045" s="9"/>
      <c r="C8045" s="2"/>
      <c r="D8045" s="2"/>
      <c r="I8045" s="9"/>
      <c r="J8045" s="2"/>
      <c r="L8045" s="9"/>
      <c r="M8045" s="2"/>
      <c r="N8045" s="9"/>
      <c r="P8045" s="3">
        <v>160.25019161</v>
      </c>
      <c r="S8045" s="9"/>
      <c r="T8045" s="2"/>
      <c r="U8045" s="9"/>
    </row>
    <row r="8046" spans="2:21" x14ac:dyDescent="0.35">
      <c r="B8046" s="9"/>
      <c r="C8046" s="2"/>
      <c r="D8046" s="2"/>
      <c r="I8046" s="9"/>
      <c r="J8046" s="2"/>
      <c r="L8046" s="9"/>
      <c r="M8046" s="2"/>
      <c r="N8046" s="9"/>
      <c r="P8046" s="3">
        <v>199.94274161000001</v>
      </c>
      <c r="S8046" s="9"/>
      <c r="T8046" s="2"/>
      <c r="U8046" s="9"/>
    </row>
    <row r="8047" spans="2:21" x14ac:dyDescent="0.35">
      <c r="B8047" s="9"/>
      <c r="C8047" s="2"/>
      <c r="D8047" s="2"/>
      <c r="I8047" s="9"/>
      <c r="J8047" s="2"/>
      <c r="L8047" s="9"/>
      <c r="M8047" s="2"/>
      <c r="N8047" s="9"/>
      <c r="P8047" s="3">
        <v>233.04578161000001</v>
      </c>
      <c r="S8047" s="9"/>
      <c r="T8047" s="2"/>
      <c r="U8047" s="9"/>
    </row>
    <row r="8048" spans="2:21" x14ac:dyDescent="0.35">
      <c r="B8048" s="9"/>
      <c r="C8048" s="2"/>
      <c r="D8048" s="2"/>
      <c r="I8048" s="9"/>
      <c r="J8048" s="2"/>
      <c r="L8048" s="9"/>
      <c r="M8048" s="2"/>
      <c r="N8048" s="9"/>
      <c r="P8048" s="3">
        <v>248.47550161000001</v>
      </c>
      <c r="S8048" s="9"/>
      <c r="T8048" s="2"/>
      <c r="U8048" s="9"/>
    </row>
    <row r="8049" spans="2:21" x14ac:dyDescent="0.35">
      <c r="B8049" s="9"/>
      <c r="C8049" s="2"/>
      <c r="D8049" s="2"/>
      <c r="I8049" s="9"/>
      <c r="J8049" s="2"/>
      <c r="L8049" s="9"/>
      <c r="M8049" s="2"/>
      <c r="N8049" s="9"/>
      <c r="P8049" s="3">
        <v>250.08223161000001</v>
      </c>
      <c r="S8049" s="9"/>
      <c r="T8049" s="2"/>
      <c r="U8049" s="9"/>
    </row>
    <row r="8050" spans="2:21" x14ac:dyDescent="0.35">
      <c r="B8050" s="9"/>
      <c r="C8050" s="2"/>
      <c r="D8050" s="2"/>
      <c r="I8050" s="9"/>
      <c r="J8050" s="2"/>
      <c r="L8050" s="9"/>
      <c r="M8050" s="2"/>
      <c r="N8050" s="9"/>
      <c r="P8050" s="3">
        <v>237.71119160999999</v>
      </c>
      <c r="S8050" s="9"/>
      <c r="T8050" s="2"/>
      <c r="U8050" s="9"/>
    </row>
    <row r="8051" spans="2:21" x14ac:dyDescent="0.35">
      <c r="B8051" s="9"/>
      <c r="C8051" s="2"/>
      <c r="D8051" s="2"/>
      <c r="I8051" s="9"/>
      <c r="J8051" s="2"/>
      <c r="L8051" s="9"/>
      <c r="M8051" s="2"/>
      <c r="N8051" s="9"/>
      <c r="P8051" s="3">
        <v>171.58960160999999</v>
      </c>
      <c r="S8051" s="9"/>
      <c r="T8051" s="2"/>
      <c r="U8051" s="9"/>
    </row>
    <row r="8052" spans="2:21" x14ac:dyDescent="0.35">
      <c r="B8052" s="9"/>
      <c r="C8052" s="2"/>
      <c r="D8052" s="2"/>
      <c r="I8052" s="9"/>
      <c r="J8052" s="2"/>
      <c r="L8052" s="9"/>
      <c r="M8052" s="2"/>
      <c r="N8052" s="9"/>
      <c r="P8052" s="3">
        <v>74.933751610000002</v>
      </c>
      <c r="S8052" s="9"/>
      <c r="T8052" s="2"/>
      <c r="U8052" s="9"/>
    </row>
    <row r="8053" spans="2:21" x14ac:dyDescent="0.35">
      <c r="B8053" s="9"/>
      <c r="C8053" s="2"/>
      <c r="D8053" s="2"/>
      <c r="I8053" s="9"/>
      <c r="J8053" s="2"/>
      <c r="L8053" s="9"/>
      <c r="M8053" s="2"/>
      <c r="N8053" s="9"/>
      <c r="P8053" s="3">
        <v>22.67065161</v>
      </c>
      <c r="S8053" s="9"/>
      <c r="T8053" s="2"/>
      <c r="U8053" s="9"/>
    </row>
    <row r="8054" spans="2:21" x14ac:dyDescent="0.35">
      <c r="B8054" s="9"/>
      <c r="C8054" s="2"/>
      <c r="D8054" s="2"/>
      <c r="I8054" s="9"/>
      <c r="J8054" s="2"/>
      <c r="L8054" s="9"/>
      <c r="M8054" s="2"/>
      <c r="N8054" s="9"/>
      <c r="P8054" s="3">
        <v>33.030971610000002</v>
      </c>
      <c r="S8054" s="9"/>
      <c r="T8054" s="2"/>
      <c r="U8054" s="9"/>
    </row>
    <row r="8055" spans="2:21" x14ac:dyDescent="0.35">
      <c r="B8055" s="9"/>
      <c r="C8055" s="2"/>
      <c r="D8055" s="2"/>
      <c r="I8055" s="9"/>
      <c r="J8055" s="2"/>
      <c r="L8055" s="9"/>
      <c r="M8055" s="2"/>
      <c r="N8055" s="9"/>
      <c r="P8055" s="3">
        <v>-299.20926838999998</v>
      </c>
      <c r="S8055" s="9"/>
      <c r="T8055" s="2"/>
      <c r="U8055" s="9"/>
    </row>
    <row r="8056" spans="2:21" x14ac:dyDescent="0.35">
      <c r="B8056" s="9"/>
      <c r="C8056" s="2"/>
      <c r="D8056" s="2"/>
      <c r="I8056" s="9"/>
      <c r="J8056" s="2"/>
      <c r="L8056" s="9"/>
      <c r="M8056" s="2"/>
      <c r="N8056" s="9"/>
      <c r="P8056" s="3">
        <v>-733.96926839000002</v>
      </c>
      <c r="S8056" s="9"/>
      <c r="T8056" s="2"/>
      <c r="U8056" s="9"/>
    </row>
    <row r="8057" spans="2:21" x14ac:dyDescent="0.35">
      <c r="B8057" s="9"/>
      <c r="C8057" s="2"/>
      <c r="D8057" s="2"/>
      <c r="I8057" s="9"/>
      <c r="J8057" s="2"/>
      <c r="L8057" s="9"/>
      <c r="M8057" s="2"/>
      <c r="N8057" s="9"/>
      <c r="P8057" s="3">
        <v>-1168.72926839</v>
      </c>
      <c r="S8057" s="9"/>
      <c r="T8057" s="2"/>
      <c r="U8057" s="9"/>
    </row>
    <row r="8058" spans="2:21" x14ac:dyDescent="0.35">
      <c r="B8058" s="9"/>
      <c r="C8058" s="2"/>
      <c r="D8058" s="2"/>
      <c r="I8058" s="9"/>
      <c r="J8058" s="2"/>
      <c r="L8058" s="9"/>
      <c r="M8058" s="2"/>
      <c r="N8058" s="9"/>
      <c r="P8058" s="3">
        <v>-1603.48926839</v>
      </c>
      <c r="S8058" s="9"/>
      <c r="T8058" s="2"/>
      <c r="U8058" s="9"/>
    </row>
    <row r="8059" spans="2:21" x14ac:dyDescent="0.35">
      <c r="B8059" s="9"/>
      <c r="C8059" s="2"/>
      <c r="D8059" s="2"/>
      <c r="I8059" s="9"/>
      <c r="J8059" s="2"/>
      <c r="L8059" s="9"/>
      <c r="M8059" s="2"/>
      <c r="N8059" s="9"/>
      <c r="P8059" s="3">
        <v>-1795.2060111999999</v>
      </c>
      <c r="S8059" s="9"/>
      <c r="T8059" s="2"/>
      <c r="U8059" s="9"/>
    </row>
    <row r="8060" spans="2:21" x14ac:dyDescent="0.35">
      <c r="B8060" s="9"/>
      <c r="C8060" s="2"/>
      <c r="D8060" s="2"/>
      <c r="I8060" s="9"/>
      <c r="J8060" s="2"/>
      <c r="L8060" s="9"/>
      <c r="M8060" s="2"/>
      <c r="N8060" s="9"/>
      <c r="P8060" s="3">
        <v>-1635.3878511999999</v>
      </c>
      <c r="S8060" s="9"/>
      <c r="T8060" s="2"/>
      <c r="U8060" s="9"/>
    </row>
    <row r="8061" spans="2:21" x14ac:dyDescent="0.35">
      <c r="B8061" s="9"/>
      <c r="C8061" s="2"/>
      <c r="D8061" s="2"/>
      <c r="I8061" s="9"/>
      <c r="J8061" s="2"/>
      <c r="L8061" s="9"/>
      <c r="M8061" s="2"/>
      <c r="N8061" s="9"/>
      <c r="P8061" s="3">
        <v>-1431.5329283900001</v>
      </c>
      <c r="S8061" s="9"/>
      <c r="T8061" s="2"/>
      <c r="U8061" s="9"/>
    </row>
    <row r="8062" spans="2:21" x14ac:dyDescent="0.35">
      <c r="B8062" s="9"/>
      <c r="C8062" s="2"/>
      <c r="D8062" s="2"/>
      <c r="I8062" s="9"/>
      <c r="J8062" s="2"/>
      <c r="L8062" s="9"/>
      <c r="M8062" s="2"/>
      <c r="N8062" s="9"/>
      <c r="P8062" s="3">
        <v>-996.77292838999995</v>
      </c>
      <c r="S8062" s="9"/>
      <c r="T8062" s="2"/>
      <c r="U8062" s="9"/>
    </row>
    <row r="8063" spans="2:21" x14ac:dyDescent="0.35">
      <c r="B8063" s="9"/>
      <c r="C8063" s="2"/>
      <c r="D8063" s="2"/>
      <c r="I8063" s="9"/>
      <c r="J8063" s="2"/>
      <c r="L8063" s="9"/>
      <c r="M8063" s="2"/>
      <c r="N8063" s="9"/>
      <c r="P8063" s="3">
        <v>-562.01292838999996</v>
      </c>
      <c r="S8063" s="9"/>
      <c r="T8063" s="2"/>
      <c r="U8063" s="9"/>
    </row>
    <row r="8064" spans="2:21" x14ac:dyDescent="0.35">
      <c r="B8064" s="9"/>
      <c r="C8064" s="2"/>
      <c r="D8064" s="2"/>
      <c r="I8064" s="9"/>
      <c r="J8064" s="2"/>
      <c r="L8064" s="9"/>
      <c r="M8064" s="2"/>
      <c r="N8064" s="9"/>
      <c r="P8064" s="3">
        <v>-249.51991838999999</v>
      </c>
      <c r="S8064" s="9"/>
      <c r="T8064" s="2"/>
      <c r="U8064" s="9"/>
    </row>
    <row r="8065" spans="2:21" x14ac:dyDescent="0.35">
      <c r="B8065" s="9"/>
      <c r="C8065" s="2"/>
      <c r="D8065" s="2"/>
      <c r="I8065" s="9"/>
      <c r="J8065" s="2"/>
      <c r="L8065" s="9"/>
      <c r="M8065" s="2"/>
      <c r="N8065" s="9"/>
      <c r="P8065" s="3">
        <v>-382.19832838999997</v>
      </c>
      <c r="S8065" s="9"/>
      <c r="T8065" s="2"/>
      <c r="U8065" s="9"/>
    </row>
    <row r="8066" spans="2:21" x14ac:dyDescent="0.35">
      <c r="B8066" s="9"/>
      <c r="C8066" s="2"/>
      <c r="D8066" s="2"/>
      <c r="I8066" s="9"/>
      <c r="J8066" s="2"/>
      <c r="L8066" s="9"/>
      <c r="M8066" s="2"/>
      <c r="N8066" s="9"/>
      <c r="P8066" s="3">
        <v>-477.84526839</v>
      </c>
      <c r="S8066" s="9"/>
      <c r="T8066" s="2"/>
      <c r="U8066" s="9"/>
    </row>
    <row r="8067" spans="2:21" x14ac:dyDescent="0.35">
      <c r="B8067" s="9"/>
      <c r="C8067" s="2"/>
      <c r="D8067" s="2"/>
      <c r="I8067" s="9"/>
      <c r="J8067" s="2"/>
      <c r="L8067" s="9"/>
      <c r="M8067" s="2"/>
      <c r="N8067" s="9"/>
      <c r="P8067" s="3">
        <v>-601.28302839000003</v>
      </c>
      <c r="S8067" s="9"/>
      <c r="T8067" s="2"/>
      <c r="U8067" s="9"/>
    </row>
    <row r="8068" spans="2:21" x14ac:dyDescent="0.35">
      <c r="B8068" s="9"/>
      <c r="C8068" s="2"/>
      <c r="D8068" s="2"/>
      <c r="I8068" s="9"/>
      <c r="J8068" s="2"/>
      <c r="L8068" s="9"/>
      <c r="M8068" s="2"/>
      <c r="N8068" s="9"/>
      <c r="P8068" s="3">
        <v>-639.16436839000005</v>
      </c>
      <c r="S8068" s="9"/>
      <c r="T8068" s="2"/>
      <c r="U8068" s="9"/>
    </row>
    <row r="8069" spans="2:21" x14ac:dyDescent="0.35">
      <c r="B8069" s="9"/>
      <c r="C8069" s="2"/>
      <c r="D8069" s="2"/>
      <c r="I8069" s="9"/>
      <c r="J8069" s="2"/>
      <c r="L8069" s="9"/>
      <c r="M8069" s="2"/>
      <c r="N8069" s="9"/>
      <c r="P8069" s="3">
        <v>-720.75756838999996</v>
      </c>
      <c r="S8069" s="9"/>
      <c r="T8069" s="2"/>
      <c r="U8069" s="9"/>
    </row>
    <row r="8070" spans="2:21" x14ac:dyDescent="0.35">
      <c r="B8070" s="9"/>
      <c r="C8070" s="2"/>
      <c r="D8070" s="2"/>
      <c r="I8070" s="9"/>
      <c r="J8070" s="2"/>
      <c r="L8070" s="9"/>
      <c r="M8070" s="2"/>
      <c r="N8070" s="9"/>
      <c r="P8070" s="3">
        <v>-1107.2546753300001</v>
      </c>
      <c r="S8070" s="9"/>
      <c r="T8070" s="2"/>
      <c r="U8070" s="9"/>
    </row>
    <row r="8071" spans="2:21" x14ac:dyDescent="0.35">
      <c r="B8071" s="9"/>
      <c r="C8071" s="2"/>
      <c r="D8071" s="2"/>
      <c r="I8071" s="9"/>
      <c r="J8071" s="2"/>
      <c r="L8071" s="9"/>
      <c r="M8071" s="2"/>
      <c r="N8071" s="9"/>
      <c r="P8071" s="3">
        <v>-1270.38427533</v>
      </c>
      <c r="S8071" s="9"/>
      <c r="T8071" s="2"/>
      <c r="U8071" s="9"/>
    </row>
    <row r="8072" spans="2:21" x14ac:dyDescent="0.35">
      <c r="B8072" s="9"/>
      <c r="C8072" s="2"/>
      <c r="D8072" s="2"/>
      <c r="I8072" s="9"/>
      <c r="J8072" s="2"/>
      <c r="L8072" s="9"/>
      <c r="M8072" s="2"/>
      <c r="N8072" s="9"/>
      <c r="P8072" s="3">
        <v>-1352.8777553299999</v>
      </c>
      <c r="S8072" s="9"/>
      <c r="T8072" s="2"/>
      <c r="U8072" s="9"/>
    </row>
    <row r="8073" spans="2:21" x14ac:dyDescent="0.35">
      <c r="B8073" s="9"/>
      <c r="C8073" s="2"/>
      <c r="D8073" s="2"/>
      <c r="I8073" s="9"/>
      <c r="J8073" s="2"/>
      <c r="L8073" s="9"/>
      <c r="M8073" s="2"/>
      <c r="N8073" s="9"/>
      <c r="P8073" s="3">
        <v>-1442.0438153299999</v>
      </c>
      <c r="S8073" s="9"/>
      <c r="T8073" s="2"/>
      <c r="U8073" s="9"/>
    </row>
    <row r="8074" spans="2:21" x14ac:dyDescent="0.35">
      <c r="B8074" s="9"/>
      <c r="C8074" s="2"/>
      <c r="D8074" s="2"/>
      <c r="I8074" s="9"/>
      <c r="J8074" s="2"/>
      <c r="L8074" s="9"/>
      <c r="M8074" s="2"/>
      <c r="N8074" s="9"/>
      <c r="P8074" s="3">
        <v>-1514.3814553300001</v>
      </c>
      <c r="S8074" s="9"/>
      <c r="T8074" s="2"/>
      <c r="U8074" s="9"/>
    </row>
    <row r="8075" spans="2:21" x14ac:dyDescent="0.35">
      <c r="B8075" s="9"/>
      <c r="C8075" s="2"/>
      <c r="D8075" s="2"/>
      <c r="I8075" s="9"/>
      <c r="J8075" s="2"/>
      <c r="L8075" s="9"/>
      <c r="M8075" s="2"/>
      <c r="N8075" s="9"/>
      <c r="P8075" s="3">
        <v>-1471.9760888599999</v>
      </c>
      <c r="S8075" s="9"/>
      <c r="T8075" s="2"/>
      <c r="U8075" s="9"/>
    </row>
    <row r="8076" spans="2:21" x14ac:dyDescent="0.35">
      <c r="B8076" s="9"/>
      <c r="C8076" s="2"/>
      <c r="D8076" s="2"/>
      <c r="I8076" s="9"/>
      <c r="J8076" s="2"/>
      <c r="L8076" s="9"/>
      <c r="M8076" s="2"/>
      <c r="N8076" s="9"/>
      <c r="P8076" s="3">
        <v>-1354.59046238</v>
      </c>
      <c r="S8076" s="9"/>
      <c r="T8076" s="2"/>
      <c r="U8076" s="9"/>
    </row>
    <row r="8077" spans="2:21" x14ac:dyDescent="0.35">
      <c r="B8077" s="9"/>
      <c r="C8077" s="2"/>
      <c r="D8077" s="2"/>
      <c r="I8077" s="9"/>
      <c r="J8077" s="2"/>
      <c r="L8077" s="9"/>
      <c r="M8077" s="2"/>
      <c r="N8077" s="9"/>
      <c r="P8077" s="3">
        <v>-1252.9444099299999</v>
      </c>
      <c r="S8077" s="9"/>
      <c r="T8077" s="2"/>
      <c r="U8077" s="9"/>
    </row>
    <row r="8078" spans="2:21" x14ac:dyDescent="0.35">
      <c r="B8078" s="9"/>
      <c r="C8078" s="2"/>
      <c r="D8078" s="2"/>
      <c r="I8078" s="9"/>
      <c r="J8078" s="2"/>
      <c r="L8078" s="9"/>
      <c r="M8078" s="2"/>
      <c r="N8078" s="9"/>
      <c r="P8078" s="3">
        <v>-1181.3424234500001</v>
      </c>
      <c r="S8078" s="9"/>
      <c r="T8078" s="2"/>
      <c r="U8078" s="9"/>
    </row>
    <row r="8079" spans="2:21" x14ac:dyDescent="0.35">
      <c r="B8079" s="9"/>
      <c r="C8079" s="2"/>
      <c r="D8079" s="2"/>
      <c r="I8079" s="9"/>
      <c r="J8079" s="2"/>
      <c r="L8079" s="9"/>
      <c r="M8079" s="2"/>
      <c r="N8079" s="9"/>
      <c r="P8079" s="3">
        <v>-1588.4329934499999</v>
      </c>
      <c r="S8079" s="9"/>
      <c r="T8079" s="2"/>
      <c r="U8079" s="9"/>
    </row>
    <row r="8080" spans="2:21" x14ac:dyDescent="0.35">
      <c r="B8080" s="9"/>
      <c r="C8080" s="2"/>
      <c r="D8080" s="2"/>
      <c r="I8080" s="9"/>
      <c r="J8080" s="2"/>
      <c r="L8080" s="9"/>
      <c r="M8080" s="2"/>
      <c r="N8080" s="9"/>
      <c r="P8080" s="3">
        <v>-2023.1929934499999</v>
      </c>
      <c r="S8080" s="9"/>
      <c r="T8080" s="2"/>
      <c r="U8080" s="9"/>
    </row>
    <row r="8081" spans="2:21" x14ac:dyDescent="0.35">
      <c r="B8081" s="9"/>
      <c r="C8081" s="2"/>
      <c r="D8081" s="2"/>
      <c r="I8081" s="9"/>
      <c r="J8081" s="2"/>
      <c r="L8081" s="9"/>
      <c r="M8081" s="2"/>
      <c r="N8081" s="9"/>
      <c r="P8081" s="3">
        <v>-2457.9529934500001</v>
      </c>
      <c r="S8081" s="9"/>
      <c r="T8081" s="2"/>
      <c r="U8081" s="9"/>
    </row>
    <row r="8082" spans="2:21" x14ac:dyDescent="0.35">
      <c r="B8082" s="9"/>
      <c r="C8082" s="2"/>
      <c r="D8082" s="2"/>
      <c r="I8082" s="9"/>
      <c r="J8082" s="2"/>
      <c r="L8082" s="9"/>
      <c r="M8082" s="2"/>
      <c r="N8082" s="9"/>
      <c r="P8082" s="3">
        <v>-2860.169492</v>
      </c>
      <c r="S8082" s="9"/>
      <c r="T8082" s="2"/>
      <c r="U8082" s="9"/>
    </row>
    <row r="8083" spans="2:21" x14ac:dyDescent="0.35">
      <c r="B8083" s="9"/>
      <c r="C8083" s="2"/>
      <c r="D8083" s="2"/>
      <c r="I8083" s="9"/>
      <c r="J8083" s="2"/>
      <c r="L8083" s="9"/>
      <c r="M8083" s="2"/>
      <c r="N8083" s="9"/>
      <c r="P8083" s="3">
        <v>-2860.169492</v>
      </c>
      <c r="S8083" s="9"/>
      <c r="T8083" s="2"/>
      <c r="U8083" s="9"/>
    </row>
    <row r="8084" spans="2:21" x14ac:dyDescent="0.35">
      <c r="B8084" s="9"/>
      <c r="C8084" s="2"/>
      <c r="D8084" s="2"/>
      <c r="I8084" s="9"/>
      <c r="J8084" s="2"/>
      <c r="L8084" s="9"/>
      <c r="M8084" s="2"/>
      <c r="N8084" s="9"/>
      <c r="P8084" s="3">
        <v>-2860.169492</v>
      </c>
      <c r="S8084" s="9"/>
      <c r="T8084" s="2"/>
      <c r="U8084" s="9"/>
    </row>
    <row r="8085" spans="2:21" x14ac:dyDescent="0.35">
      <c r="B8085" s="9"/>
      <c r="C8085" s="2"/>
      <c r="D8085" s="2"/>
      <c r="I8085" s="9"/>
      <c r="J8085" s="2"/>
      <c r="L8085" s="9"/>
      <c r="M8085" s="2"/>
      <c r="N8085" s="9"/>
      <c r="P8085" s="3">
        <v>-2860.169492</v>
      </c>
      <c r="S8085" s="9"/>
      <c r="T8085" s="2"/>
      <c r="U8085" s="9"/>
    </row>
    <row r="8086" spans="2:21" x14ac:dyDescent="0.35">
      <c r="B8086" s="9"/>
      <c r="C8086" s="2"/>
      <c r="D8086" s="2"/>
      <c r="I8086" s="9"/>
      <c r="J8086" s="2"/>
      <c r="L8086" s="9"/>
      <c r="M8086" s="2"/>
      <c r="N8086" s="9"/>
      <c r="P8086" s="3">
        <v>-2549.9050734500001</v>
      </c>
      <c r="S8086" s="9"/>
      <c r="T8086" s="2"/>
      <c r="U8086" s="9"/>
    </row>
    <row r="8087" spans="2:21" x14ac:dyDescent="0.35">
      <c r="B8087" s="9"/>
      <c r="C8087" s="2"/>
      <c r="D8087" s="2"/>
      <c r="I8087" s="9"/>
      <c r="J8087" s="2"/>
      <c r="L8087" s="9"/>
      <c r="M8087" s="2"/>
      <c r="N8087" s="9"/>
      <c r="P8087" s="3">
        <v>-2115.1450734499999</v>
      </c>
      <c r="S8087" s="9"/>
      <c r="T8087" s="2"/>
      <c r="U8087" s="9"/>
    </row>
    <row r="8088" spans="2:21" x14ac:dyDescent="0.35">
      <c r="B8088" s="9"/>
      <c r="C8088" s="2"/>
      <c r="D8088" s="2"/>
      <c r="I8088" s="9"/>
      <c r="J8088" s="2"/>
      <c r="L8088" s="9"/>
      <c r="M8088" s="2"/>
      <c r="N8088" s="9"/>
      <c r="P8088" s="3">
        <v>-1746.7814534500001</v>
      </c>
      <c r="S8088" s="9"/>
      <c r="T8088" s="2"/>
      <c r="U8088" s="9"/>
    </row>
    <row r="8089" spans="2:21" x14ac:dyDescent="0.35">
      <c r="B8089" s="9"/>
      <c r="C8089" s="2"/>
      <c r="D8089" s="2"/>
      <c r="I8089" s="9"/>
      <c r="J8089" s="2"/>
      <c r="L8089" s="9"/>
      <c r="M8089" s="2"/>
      <c r="N8089" s="9"/>
      <c r="P8089" s="3">
        <v>-1970.4850042</v>
      </c>
      <c r="S8089" s="9"/>
      <c r="T8089" s="2"/>
      <c r="U8089" s="9"/>
    </row>
    <row r="8090" spans="2:21" x14ac:dyDescent="0.35">
      <c r="B8090" s="9"/>
      <c r="C8090" s="2"/>
      <c r="D8090" s="2"/>
      <c r="I8090" s="9"/>
      <c r="J8090" s="2"/>
      <c r="L8090" s="9"/>
      <c r="M8090" s="2"/>
      <c r="N8090" s="9"/>
      <c r="P8090" s="3">
        <v>-2149.90149471</v>
      </c>
      <c r="S8090" s="9"/>
      <c r="T8090" s="2"/>
      <c r="U8090" s="9"/>
    </row>
    <row r="8091" spans="2:21" x14ac:dyDescent="0.35">
      <c r="B8091" s="9"/>
      <c r="C8091" s="2"/>
      <c r="D8091" s="2"/>
      <c r="I8091" s="9"/>
      <c r="J8091" s="2"/>
      <c r="L8091" s="9"/>
      <c r="M8091" s="2"/>
      <c r="N8091" s="9"/>
      <c r="P8091" s="3">
        <v>-2342.5438150800001</v>
      </c>
      <c r="S8091" s="9"/>
      <c r="T8091" s="2"/>
      <c r="U8091" s="9"/>
    </row>
    <row r="8092" spans="2:21" x14ac:dyDescent="0.35">
      <c r="B8092" s="9"/>
      <c r="C8092" s="2"/>
      <c r="D8092" s="2"/>
      <c r="I8092" s="9"/>
      <c r="J8092" s="2"/>
      <c r="L8092" s="9"/>
      <c r="M8092" s="2"/>
      <c r="N8092" s="9"/>
      <c r="P8092" s="3">
        <v>-2556.2603053299999</v>
      </c>
      <c r="S8092" s="9"/>
      <c r="T8092" s="2"/>
      <c r="U8092" s="9"/>
    </row>
    <row r="8093" spans="2:21" x14ac:dyDescent="0.35">
      <c r="B8093" s="9"/>
      <c r="C8093" s="2"/>
      <c r="D8093" s="2"/>
      <c r="I8093" s="9"/>
      <c r="J8093" s="2"/>
      <c r="L8093" s="9"/>
      <c r="M8093" s="2"/>
      <c r="N8093" s="9"/>
      <c r="P8093" s="3">
        <v>-2654.3929553299999</v>
      </c>
      <c r="S8093" s="9"/>
      <c r="T8093" s="2"/>
      <c r="U8093" s="9"/>
    </row>
    <row r="8094" spans="2:21" x14ac:dyDescent="0.35">
      <c r="B8094" s="9"/>
      <c r="C8094" s="2"/>
      <c r="D8094" s="2"/>
      <c r="I8094" s="9"/>
      <c r="J8094" s="2"/>
      <c r="L8094" s="9"/>
      <c r="M8094" s="2"/>
      <c r="N8094" s="9"/>
      <c r="P8094" s="3">
        <v>-2754.1476544799998</v>
      </c>
      <c r="S8094" s="9"/>
      <c r="T8094" s="2"/>
      <c r="U8094" s="9"/>
    </row>
    <row r="8095" spans="2:21" x14ac:dyDescent="0.35">
      <c r="B8095" s="9"/>
      <c r="C8095" s="2"/>
      <c r="D8095" s="2"/>
      <c r="I8095" s="9"/>
      <c r="J8095" s="2"/>
      <c r="L8095" s="9"/>
      <c r="M8095" s="2"/>
      <c r="N8095" s="9"/>
      <c r="P8095" s="3">
        <v>-2752.5494444800001</v>
      </c>
      <c r="S8095" s="9"/>
      <c r="T8095" s="2"/>
      <c r="U8095" s="9"/>
    </row>
    <row r="8096" spans="2:21" x14ac:dyDescent="0.35">
      <c r="B8096" s="9"/>
      <c r="C8096" s="2"/>
      <c r="D8096" s="2"/>
      <c r="I8096" s="9"/>
      <c r="J8096" s="2"/>
      <c r="L8096" s="9"/>
      <c r="M8096" s="2"/>
      <c r="N8096" s="9"/>
      <c r="P8096" s="3">
        <v>-2686.31851448</v>
      </c>
      <c r="S8096" s="9"/>
      <c r="T8096" s="2"/>
      <c r="U8096" s="9"/>
    </row>
    <row r="8097" spans="2:21" x14ac:dyDescent="0.35">
      <c r="B8097" s="9"/>
      <c r="C8097" s="2"/>
      <c r="D8097" s="2"/>
      <c r="I8097" s="9"/>
      <c r="J8097" s="2"/>
      <c r="L8097" s="9"/>
      <c r="M8097" s="2"/>
      <c r="N8097" s="9"/>
      <c r="P8097" s="3">
        <v>-2636.8201544799999</v>
      </c>
      <c r="S8097" s="9"/>
      <c r="T8097" s="2"/>
      <c r="U8097" s="9"/>
    </row>
    <row r="8098" spans="2:21" x14ac:dyDescent="0.35">
      <c r="B8098" s="9"/>
      <c r="C8098" s="2"/>
      <c r="D8098" s="2"/>
      <c r="I8098" s="9"/>
      <c r="J8098" s="2"/>
      <c r="L8098" s="9"/>
      <c r="M8098" s="2"/>
      <c r="N8098" s="9"/>
      <c r="P8098" s="3">
        <v>-2583.52329448</v>
      </c>
      <c r="S8098" s="9"/>
      <c r="T8098" s="2"/>
      <c r="U8098" s="9"/>
    </row>
    <row r="8099" spans="2:21" x14ac:dyDescent="0.35">
      <c r="B8099" s="9"/>
      <c r="C8099" s="2"/>
      <c r="D8099" s="2"/>
      <c r="I8099" s="9"/>
      <c r="J8099" s="2"/>
      <c r="L8099" s="9"/>
      <c r="M8099" s="2"/>
      <c r="N8099" s="9"/>
      <c r="P8099" s="3">
        <v>-2345.9777890700002</v>
      </c>
      <c r="S8099" s="9"/>
      <c r="T8099" s="2"/>
      <c r="U8099" s="9"/>
    </row>
    <row r="8100" spans="2:21" x14ac:dyDescent="0.35">
      <c r="B8100" s="9"/>
      <c r="C8100" s="2"/>
      <c r="D8100" s="2"/>
      <c r="I8100" s="9"/>
      <c r="J8100" s="2"/>
      <c r="L8100" s="9"/>
      <c r="M8100" s="2"/>
      <c r="N8100" s="9"/>
      <c r="P8100" s="3">
        <v>-1911.21778907</v>
      </c>
      <c r="S8100" s="9"/>
      <c r="T8100" s="2"/>
      <c r="U8100" s="9"/>
    </row>
    <row r="8101" spans="2:21" x14ac:dyDescent="0.35">
      <c r="B8101" s="9"/>
      <c r="C8101" s="2"/>
      <c r="D8101" s="2"/>
      <c r="I8101" s="9"/>
      <c r="J8101" s="2"/>
      <c r="L8101" s="9"/>
      <c r="M8101" s="2"/>
      <c r="N8101" s="9"/>
      <c r="P8101" s="3">
        <v>-1476.45778907</v>
      </c>
      <c r="S8101" s="9"/>
      <c r="T8101" s="2"/>
      <c r="U8101" s="9"/>
    </row>
    <row r="8102" spans="2:21" x14ac:dyDescent="0.35">
      <c r="B8102" s="9"/>
      <c r="C8102" s="2"/>
      <c r="D8102" s="2"/>
      <c r="I8102" s="9"/>
      <c r="J8102" s="2"/>
      <c r="L8102" s="9"/>
      <c r="M8102" s="2"/>
      <c r="N8102" s="9"/>
      <c r="P8102" s="3">
        <v>-1139.3882226000001</v>
      </c>
      <c r="S8102" s="9"/>
      <c r="T8102" s="2"/>
      <c r="U8102" s="9"/>
    </row>
    <row r="8103" spans="2:21" x14ac:dyDescent="0.35">
      <c r="B8103" s="9"/>
      <c r="C8103" s="2"/>
      <c r="D8103" s="2"/>
      <c r="I8103" s="9"/>
      <c r="J8103" s="2"/>
      <c r="L8103" s="9"/>
      <c r="M8103" s="2"/>
      <c r="N8103" s="9"/>
      <c r="P8103" s="3">
        <v>-704.62822259999996</v>
      </c>
      <c r="S8103" s="9"/>
      <c r="T8103" s="2"/>
      <c r="U8103" s="9"/>
    </row>
    <row r="8104" spans="2:21" x14ac:dyDescent="0.35">
      <c r="B8104" s="9"/>
      <c r="C8104" s="2"/>
      <c r="D8104" s="2"/>
      <c r="I8104" s="9"/>
      <c r="J8104" s="2"/>
      <c r="L8104" s="9"/>
      <c r="M8104" s="2"/>
      <c r="N8104" s="9"/>
      <c r="P8104" s="3">
        <v>-269.86822260000002</v>
      </c>
      <c r="S8104" s="9"/>
      <c r="T8104" s="2"/>
      <c r="U8104" s="9"/>
    </row>
    <row r="8105" spans="2:21" x14ac:dyDescent="0.35">
      <c r="B8105" s="9"/>
      <c r="C8105" s="2"/>
      <c r="D8105" s="2"/>
      <c r="I8105" s="9"/>
      <c r="J8105" s="2"/>
      <c r="L8105" s="9"/>
      <c r="M8105" s="2"/>
      <c r="N8105" s="9"/>
      <c r="P8105" s="3">
        <v>0</v>
      </c>
      <c r="S8105" s="9"/>
      <c r="T8105" s="2"/>
      <c r="U8105" s="9"/>
    </row>
    <row r="8106" spans="2:21" x14ac:dyDescent="0.35">
      <c r="B8106" s="9"/>
      <c r="C8106" s="2"/>
      <c r="D8106" s="2"/>
      <c r="I8106" s="9"/>
      <c r="J8106" s="2"/>
      <c r="L8106" s="9"/>
      <c r="M8106" s="2"/>
      <c r="N8106" s="9"/>
      <c r="P8106" s="3">
        <v>0</v>
      </c>
      <c r="S8106" s="9"/>
      <c r="T8106" s="2"/>
      <c r="U8106" s="9"/>
    </row>
    <row r="8107" spans="2:21" x14ac:dyDescent="0.35">
      <c r="B8107" s="9"/>
      <c r="C8107" s="2"/>
      <c r="D8107" s="2"/>
      <c r="I8107" s="9"/>
      <c r="J8107" s="2"/>
      <c r="L8107" s="9"/>
      <c r="M8107" s="2"/>
      <c r="N8107" s="9"/>
      <c r="P8107" s="3">
        <v>0</v>
      </c>
      <c r="S8107" s="9"/>
      <c r="T8107" s="2"/>
      <c r="U8107" s="9"/>
    </row>
    <row r="8108" spans="2:21" x14ac:dyDescent="0.35">
      <c r="B8108" s="9"/>
      <c r="C8108" s="2"/>
      <c r="D8108" s="2"/>
      <c r="I8108" s="9"/>
      <c r="J8108" s="2"/>
      <c r="L8108" s="9"/>
      <c r="M8108" s="2"/>
      <c r="N8108" s="9"/>
      <c r="P8108" s="3">
        <v>-384.44094260000003</v>
      </c>
      <c r="S8108" s="9"/>
      <c r="T8108" s="2"/>
      <c r="U8108" s="9"/>
    </row>
    <row r="8109" spans="2:21" x14ac:dyDescent="0.35">
      <c r="B8109" s="9"/>
      <c r="C8109" s="2"/>
      <c r="D8109" s="2"/>
      <c r="I8109" s="9"/>
      <c r="J8109" s="2"/>
      <c r="L8109" s="9"/>
      <c r="M8109" s="2"/>
      <c r="N8109" s="9"/>
      <c r="P8109" s="3">
        <v>-819.20094259999996</v>
      </c>
      <c r="S8109" s="9"/>
      <c r="T8109" s="2"/>
      <c r="U8109" s="9"/>
    </row>
    <row r="8110" spans="2:21" x14ac:dyDescent="0.35">
      <c r="B8110" s="9"/>
      <c r="C8110" s="2"/>
      <c r="D8110" s="2"/>
      <c r="I8110" s="9"/>
      <c r="J8110" s="2"/>
      <c r="L8110" s="9"/>
      <c r="M8110" s="2"/>
      <c r="N8110" s="9"/>
      <c r="P8110" s="3">
        <v>-1253.9609426</v>
      </c>
      <c r="S8110" s="9"/>
      <c r="T8110" s="2"/>
      <c r="U8110" s="9"/>
    </row>
    <row r="8111" spans="2:21" x14ac:dyDescent="0.35">
      <c r="B8111" s="9"/>
      <c r="C8111" s="2"/>
      <c r="D8111" s="2"/>
      <c r="I8111" s="9"/>
      <c r="J8111" s="2"/>
      <c r="L8111" s="9"/>
      <c r="M8111" s="2"/>
      <c r="N8111" s="9"/>
      <c r="P8111" s="3">
        <v>-819.20094259999996</v>
      </c>
      <c r="S8111" s="9"/>
      <c r="T8111" s="2"/>
      <c r="U8111" s="9"/>
    </row>
    <row r="8112" spans="2:21" x14ac:dyDescent="0.35">
      <c r="B8112" s="9"/>
      <c r="C8112" s="2"/>
      <c r="D8112" s="2"/>
      <c r="I8112" s="9"/>
      <c r="J8112" s="2"/>
      <c r="L8112" s="9"/>
      <c r="M8112" s="2"/>
      <c r="N8112" s="9"/>
      <c r="P8112" s="3">
        <v>-549.67358260000003</v>
      </c>
      <c r="S8112" s="9"/>
      <c r="T8112" s="2"/>
      <c r="U8112" s="9"/>
    </row>
    <row r="8113" spans="2:21" x14ac:dyDescent="0.35">
      <c r="B8113" s="9"/>
      <c r="C8113" s="2"/>
      <c r="D8113" s="2"/>
      <c r="I8113" s="9"/>
      <c r="J8113" s="2"/>
      <c r="L8113" s="9"/>
      <c r="M8113" s="2"/>
      <c r="N8113" s="9"/>
      <c r="P8113" s="3">
        <v>-739.55557335000003</v>
      </c>
      <c r="S8113" s="9"/>
      <c r="T8113" s="2"/>
      <c r="U8113" s="9"/>
    </row>
    <row r="8114" spans="2:21" x14ac:dyDescent="0.35">
      <c r="B8114" s="9"/>
      <c r="C8114" s="2"/>
      <c r="D8114" s="2"/>
      <c r="I8114" s="9"/>
      <c r="J8114" s="2"/>
      <c r="L8114" s="9"/>
      <c r="M8114" s="2"/>
      <c r="N8114" s="9"/>
      <c r="P8114" s="3">
        <v>-798.57665384999996</v>
      </c>
      <c r="S8114" s="9"/>
      <c r="T8114" s="2"/>
      <c r="U8114" s="9"/>
    </row>
    <row r="8115" spans="2:21" x14ac:dyDescent="0.35">
      <c r="B8115" s="9"/>
      <c r="C8115" s="2"/>
      <c r="D8115" s="2"/>
      <c r="I8115" s="9"/>
      <c r="J8115" s="2"/>
      <c r="L8115" s="9"/>
      <c r="M8115" s="2"/>
      <c r="N8115" s="9"/>
      <c r="P8115" s="3">
        <v>-765.79681423</v>
      </c>
      <c r="S8115" s="9"/>
      <c r="T8115" s="2"/>
      <c r="U8115" s="9"/>
    </row>
    <row r="8116" spans="2:21" x14ac:dyDescent="0.35">
      <c r="B8116" s="9"/>
      <c r="C8116" s="2"/>
      <c r="D8116" s="2"/>
      <c r="I8116" s="9"/>
      <c r="J8116" s="2"/>
      <c r="L8116" s="9"/>
      <c r="M8116" s="2"/>
      <c r="N8116" s="9"/>
      <c r="P8116" s="3">
        <v>-569.87312448</v>
      </c>
      <c r="S8116" s="9"/>
      <c r="T8116" s="2"/>
      <c r="U8116" s="9"/>
    </row>
    <row r="8117" spans="2:21" x14ac:dyDescent="0.35">
      <c r="B8117" s="9"/>
      <c r="C8117" s="2"/>
      <c r="D8117" s="2"/>
      <c r="I8117" s="9"/>
      <c r="J8117" s="2"/>
      <c r="L8117" s="9"/>
      <c r="M8117" s="2"/>
      <c r="N8117" s="9"/>
      <c r="P8117" s="3">
        <v>-341.16721447999998</v>
      </c>
      <c r="S8117" s="9"/>
      <c r="T8117" s="2"/>
      <c r="U8117" s="9"/>
    </row>
    <row r="8118" spans="2:21" x14ac:dyDescent="0.35">
      <c r="B8118" s="9"/>
      <c r="C8118" s="2"/>
      <c r="D8118" s="2"/>
      <c r="I8118" s="9"/>
      <c r="J8118" s="2"/>
      <c r="L8118" s="9"/>
      <c r="M8118" s="2"/>
      <c r="N8118" s="9"/>
      <c r="P8118" s="3">
        <v>93.330629849999994</v>
      </c>
      <c r="S8118" s="9"/>
      <c r="T8118" s="2"/>
      <c r="U8118" s="9"/>
    </row>
    <row r="8119" spans="2:21" x14ac:dyDescent="0.35">
      <c r="B8119" s="9"/>
      <c r="C8119" s="2"/>
      <c r="D8119" s="2"/>
      <c r="I8119" s="9"/>
      <c r="J8119" s="2"/>
      <c r="L8119" s="9"/>
      <c r="M8119" s="2"/>
      <c r="N8119" s="9"/>
      <c r="P8119" s="3">
        <v>216.09743985</v>
      </c>
      <c r="S8119" s="9"/>
      <c r="T8119" s="2"/>
      <c r="U8119" s="9"/>
    </row>
    <row r="8120" spans="2:21" x14ac:dyDescent="0.35">
      <c r="B8120" s="9"/>
      <c r="C8120" s="2"/>
      <c r="D8120" s="2"/>
      <c r="I8120" s="9"/>
      <c r="J8120" s="2"/>
      <c r="L8120" s="9"/>
      <c r="M8120" s="2"/>
      <c r="N8120" s="9"/>
      <c r="P8120" s="3">
        <v>297.01045985000002</v>
      </c>
      <c r="S8120" s="9"/>
      <c r="T8120" s="2"/>
      <c r="U8120" s="9"/>
    </row>
    <row r="8121" spans="2:21" x14ac:dyDescent="0.35">
      <c r="B8121" s="9"/>
      <c r="C8121" s="2"/>
      <c r="D8121" s="2"/>
      <c r="I8121" s="9"/>
      <c r="J8121" s="2"/>
      <c r="L8121" s="9"/>
      <c r="M8121" s="2"/>
      <c r="N8121" s="9"/>
      <c r="P8121" s="3">
        <v>389.13650984999998</v>
      </c>
      <c r="S8121" s="9"/>
      <c r="T8121" s="2"/>
      <c r="U8121" s="9"/>
    </row>
    <row r="8122" spans="2:21" x14ac:dyDescent="0.35">
      <c r="B8122" s="9"/>
      <c r="C8122" s="2"/>
      <c r="D8122" s="2"/>
      <c r="I8122" s="9"/>
      <c r="J8122" s="2"/>
      <c r="L8122" s="9"/>
      <c r="M8122" s="2"/>
      <c r="N8122" s="9"/>
      <c r="P8122" s="3">
        <v>480.89903985000001</v>
      </c>
      <c r="S8122" s="9"/>
      <c r="T8122" s="2"/>
      <c r="U8122" s="9"/>
    </row>
    <row r="8123" spans="2:21" x14ac:dyDescent="0.35">
      <c r="B8123" s="9"/>
      <c r="C8123" s="2"/>
      <c r="D8123" s="2"/>
      <c r="I8123" s="9"/>
      <c r="J8123" s="2"/>
      <c r="L8123" s="9"/>
      <c r="M8123" s="2"/>
      <c r="N8123" s="9"/>
      <c r="P8123" s="3">
        <v>680.50621633000003</v>
      </c>
      <c r="S8123" s="9"/>
      <c r="T8123" s="2"/>
      <c r="U8123" s="9"/>
    </row>
    <row r="8124" spans="2:21" x14ac:dyDescent="0.35">
      <c r="B8124" s="9"/>
      <c r="C8124" s="2"/>
      <c r="D8124" s="2"/>
      <c r="I8124" s="9"/>
      <c r="J8124" s="2"/>
      <c r="L8124" s="9"/>
      <c r="M8124" s="2"/>
      <c r="N8124" s="9"/>
      <c r="P8124" s="3">
        <v>881.64628279999999</v>
      </c>
      <c r="S8124" s="9"/>
      <c r="T8124" s="2"/>
      <c r="U8124" s="9"/>
    </row>
    <row r="8125" spans="2:21" x14ac:dyDescent="0.35">
      <c r="B8125" s="9"/>
      <c r="C8125" s="2"/>
      <c r="D8125" s="2"/>
      <c r="I8125" s="9"/>
      <c r="J8125" s="2"/>
      <c r="L8125" s="9"/>
      <c r="M8125" s="2"/>
      <c r="N8125" s="9"/>
      <c r="P8125" s="3">
        <v>1064.6008252500001</v>
      </c>
      <c r="S8125" s="9"/>
      <c r="T8125" s="2"/>
      <c r="U8125" s="9"/>
    </row>
    <row r="8126" spans="2:21" x14ac:dyDescent="0.35">
      <c r="B8126" s="9"/>
      <c r="C8126" s="2"/>
      <c r="D8126" s="2"/>
      <c r="I8126" s="9"/>
      <c r="J8126" s="2"/>
      <c r="L8126" s="9"/>
      <c r="M8126" s="2"/>
      <c r="N8126" s="9"/>
      <c r="P8126" s="3">
        <v>1237.9117317299999</v>
      </c>
      <c r="S8126" s="9"/>
      <c r="T8126" s="2"/>
      <c r="U8126" s="9"/>
    </row>
    <row r="8127" spans="2:21" x14ac:dyDescent="0.35">
      <c r="B8127" s="9"/>
      <c r="C8127" s="2"/>
      <c r="D8127" s="2"/>
      <c r="I8127" s="9"/>
      <c r="J8127" s="2"/>
      <c r="L8127" s="9"/>
      <c r="M8127" s="2"/>
      <c r="N8127" s="9"/>
      <c r="P8127" s="3">
        <v>803.15173173000005</v>
      </c>
      <c r="S8127" s="9"/>
      <c r="T8127" s="2"/>
      <c r="U8127" s="9"/>
    </row>
    <row r="8128" spans="2:21" x14ac:dyDescent="0.35">
      <c r="B8128" s="9"/>
      <c r="C8128" s="2"/>
      <c r="D8128" s="2"/>
      <c r="I8128" s="9"/>
      <c r="J8128" s="2"/>
      <c r="L8128" s="9"/>
      <c r="M8128" s="2"/>
      <c r="N8128" s="9"/>
      <c r="P8128" s="3">
        <v>368.39173173</v>
      </c>
      <c r="S8128" s="9"/>
      <c r="T8128" s="2"/>
      <c r="U8128" s="9"/>
    </row>
    <row r="8129" spans="2:21" x14ac:dyDescent="0.35">
      <c r="B8129" s="9"/>
      <c r="C8129" s="2"/>
      <c r="D8129" s="2"/>
      <c r="I8129" s="9"/>
      <c r="J8129" s="2"/>
      <c r="L8129" s="9"/>
      <c r="M8129" s="2"/>
      <c r="N8129" s="9"/>
      <c r="P8129" s="3">
        <v>-66.368268270000002</v>
      </c>
      <c r="S8129" s="9"/>
      <c r="T8129" s="2"/>
      <c r="U8129" s="9"/>
    </row>
    <row r="8130" spans="2:21" x14ac:dyDescent="0.35">
      <c r="B8130" s="9"/>
      <c r="C8130" s="2"/>
      <c r="D8130" s="2"/>
      <c r="I8130" s="9"/>
      <c r="J8130" s="2"/>
      <c r="L8130" s="9"/>
      <c r="M8130" s="2"/>
      <c r="N8130" s="9"/>
      <c r="P8130" s="3">
        <v>-501.12826826999998</v>
      </c>
      <c r="S8130" s="9"/>
      <c r="T8130" s="2"/>
      <c r="U8130" s="9"/>
    </row>
    <row r="8131" spans="2:21" x14ac:dyDescent="0.35">
      <c r="B8131" s="9"/>
      <c r="C8131" s="2"/>
      <c r="D8131" s="2"/>
      <c r="I8131" s="9"/>
      <c r="J8131" s="2"/>
      <c r="L8131" s="9"/>
      <c r="M8131" s="2"/>
      <c r="N8131" s="9"/>
      <c r="P8131" s="3">
        <v>-935.88826827000003</v>
      </c>
      <c r="S8131" s="9"/>
      <c r="T8131" s="2"/>
      <c r="U8131" s="9"/>
    </row>
    <row r="8132" spans="2:21" x14ac:dyDescent="0.35">
      <c r="B8132" s="9"/>
      <c r="C8132" s="2"/>
      <c r="D8132" s="2"/>
      <c r="I8132" s="9"/>
      <c r="J8132" s="2"/>
      <c r="L8132" s="9"/>
      <c r="M8132" s="2"/>
      <c r="N8132" s="9"/>
      <c r="P8132" s="3">
        <v>-1370.64826827</v>
      </c>
      <c r="S8132" s="9"/>
      <c r="T8132" s="2"/>
      <c r="U8132" s="9"/>
    </row>
    <row r="8133" spans="2:21" x14ac:dyDescent="0.35">
      <c r="B8133" s="9"/>
      <c r="C8133" s="2"/>
      <c r="D8133" s="2"/>
      <c r="I8133" s="9"/>
      <c r="J8133" s="2"/>
      <c r="L8133" s="9"/>
      <c r="M8133" s="2"/>
      <c r="N8133" s="9"/>
      <c r="P8133" s="3">
        <v>-1529.5774282699999</v>
      </c>
      <c r="S8133" s="9"/>
      <c r="T8133" s="2"/>
      <c r="U8133" s="9"/>
    </row>
    <row r="8134" spans="2:21" x14ac:dyDescent="0.35">
      <c r="B8134" s="9"/>
      <c r="C8134" s="2"/>
      <c r="D8134" s="2"/>
      <c r="I8134" s="9"/>
      <c r="J8134" s="2"/>
      <c r="L8134" s="9"/>
      <c r="M8134" s="2"/>
      <c r="N8134" s="9"/>
      <c r="P8134" s="3">
        <v>-1094.8174282699999</v>
      </c>
      <c r="S8134" s="9"/>
      <c r="T8134" s="2"/>
      <c r="U8134" s="9"/>
    </row>
    <row r="8135" spans="2:21" x14ac:dyDescent="0.35">
      <c r="B8135" s="9"/>
      <c r="C8135" s="2"/>
      <c r="D8135" s="2"/>
      <c r="I8135" s="9"/>
      <c r="J8135" s="2"/>
      <c r="L8135" s="9"/>
      <c r="M8135" s="2"/>
      <c r="N8135" s="9"/>
      <c r="P8135" s="3">
        <v>-660.05742826999995</v>
      </c>
      <c r="S8135" s="9"/>
      <c r="T8135" s="2"/>
      <c r="U8135" s="9"/>
    </row>
    <row r="8136" spans="2:21" x14ac:dyDescent="0.35">
      <c r="B8136" s="9"/>
      <c r="C8136" s="2"/>
      <c r="D8136" s="2"/>
      <c r="I8136" s="9"/>
      <c r="J8136" s="2"/>
      <c r="L8136" s="9"/>
      <c r="M8136" s="2"/>
      <c r="N8136" s="9"/>
      <c r="P8136" s="3">
        <v>-386.21468827000001</v>
      </c>
      <c r="S8136" s="9"/>
      <c r="T8136" s="2"/>
      <c r="U8136" s="9"/>
    </row>
    <row r="8137" spans="2:21" x14ac:dyDescent="0.35">
      <c r="B8137" s="9"/>
      <c r="C8137" s="2"/>
      <c r="D8137" s="2"/>
      <c r="I8137" s="9"/>
      <c r="J8137" s="2"/>
      <c r="L8137" s="9"/>
      <c r="M8137" s="2"/>
      <c r="N8137" s="9"/>
      <c r="P8137" s="3">
        <v>-820.97468827</v>
      </c>
      <c r="S8137" s="9"/>
      <c r="T8137" s="2"/>
      <c r="U8137" s="9"/>
    </row>
    <row r="8138" spans="2:21" x14ac:dyDescent="0.35">
      <c r="B8138" s="9"/>
      <c r="C8138" s="2"/>
      <c r="D8138" s="2"/>
      <c r="I8138" s="9"/>
      <c r="J8138" s="2"/>
      <c r="L8138" s="9"/>
      <c r="M8138" s="2"/>
      <c r="N8138" s="9"/>
      <c r="P8138" s="3">
        <v>-1198.40122952</v>
      </c>
      <c r="S8138" s="9"/>
      <c r="T8138" s="2"/>
      <c r="U8138" s="9"/>
    </row>
    <row r="8139" spans="2:21" x14ac:dyDescent="0.35">
      <c r="B8139" s="9"/>
      <c r="C8139" s="2"/>
      <c r="D8139" s="2"/>
      <c r="I8139" s="9"/>
      <c r="J8139" s="2"/>
      <c r="L8139" s="9"/>
      <c r="M8139" s="2"/>
      <c r="N8139" s="9"/>
      <c r="P8139" s="3">
        <v>-1511.1237199</v>
      </c>
      <c r="S8139" s="9"/>
      <c r="T8139" s="2"/>
      <c r="U8139" s="9"/>
    </row>
    <row r="8140" spans="2:21" x14ac:dyDescent="0.35">
      <c r="B8140" s="9"/>
      <c r="C8140" s="2"/>
      <c r="D8140" s="2"/>
      <c r="I8140" s="9"/>
      <c r="J8140" s="2"/>
      <c r="L8140" s="9"/>
      <c r="M8140" s="2"/>
      <c r="N8140" s="9"/>
      <c r="P8140" s="3">
        <v>-1868.8814601500001</v>
      </c>
      <c r="S8140" s="9"/>
      <c r="T8140" s="2"/>
      <c r="U8140" s="9"/>
    </row>
    <row r="8141" spans="2:21" x14ac:dyDescent="0.35">
      <c r="B8141" s="9"/>
      <c r="C8141" s="2"/>
      <c r="D8141" s="2"/>
      <c r="I8141" s="9"/>
      <c r="J8141" s="2"/>
      <c r="L8141" s="9"/>
      <c r="M8141" s="2"/>
      <c r="N8141" s="9"/>
      <c r="P8141" s="3">
        <v>-2199.7883201499999</v>
      </c>
      <c r="S8141" s="9"/>
      <c r="T8141" s="2"/>
      <c r="U8141" s="9"/>
    </row>
    <row r="8142" spans="2:21" x14ac:dyDescent="0.35">
      <c r="B8142" s="9"/>
      <c r="C8142" s="2"/>
      <c r="D8142" s="2"/>
      <c r="I8142" s="9"/>
      <c r="J8142" s="2"/>
      <c r="L8142" s="9"/>
      <c r="M8142" s="2"/>
      <c r="N8142" s="9"/>
      <c r="P8142" s="3">
        <v>-2634.5483201500001</v>
      </c>
      <c r="S8142" s="9"/>
      <c r="T8142" s="2"/>
      <c r="U8142" s="9"/>
    </row>
    <row r="8143" spans="2:21" x14ac:dyDescent="0.35">
      <c r="B8143" s="9"/>
      <c r="C8143" s="2"/>
      <c r="D8143" s="2"/>
      <c r="I8143" s="9"/>
      <c r="J8143" s="2"/>
      <c r="L8143" s="9"/>
      <c r="M8143" s="2"/>
      <c r="N8143" s="9"/>
      <c r="P8143" s="3">
        <v>-2860.169492</v>
      </c>
      <c r="S8143" s="9"/>
      <c r="T8143" s="2"/>
      <c r="U8143" s="9"/>
    </row>
    <row r="8144" spans="2:21" x14ac:dyDescent="0.35">
      <c r="B8144" s="9"/>
      <c r="C8144" s="2"/>
      <c r="D8144" s="2"/>
      <c r="I8144" s="9"/>
      <c r="J8144" s="2"/>
      <c r="L8144" s="9"/>
      <c r="M8144" s="2"/>
      <c r="N8144" s="9"/>
      <c r="P8144" s="3">
        <v>-2860.169492</v>
      </c>
      <c r="S8144" s="9"/>
      <c r="T8144" s="2"/>
      <c r="U8144" s="9"/>
    </row>
    <row r="8145" spans="2:21" x14ac:dyDescent="0.35">
      <c r="B8145" s="9"/>
      <c r="C8145" s="2"/>
      <c r="D8145" s="2"/>
      <c r="I8145" s="9"/>
      <c r="J8145" s="2"/>
      <c r="L8145" s="9"/>
      <c r="M8145" s="2"/>
      <c r="N8145" s="9"/>
      <c r="P8145" s="3">
        <v>-2860.169492</v>
      </c>
      <c r="S8145" s="9"/>
      <c r="T8145" s="2"/>
      <c r="U8145" s="9"/>
    </row>
    <row r="8146" spans="2:21" x14ac:dyDescent="0.35">
      <c r="B8146" s="9"/>
      <c r="C8146" s="2"/>
      <c r="D8146" s="2"/>
      <c r="I8146" s="9"/>
      <c r="J8146" s="2"/>
      <c r="L8146" s="9"/>
      <c r="M8146" s="2"/>
      <c r="N8146" s="9"/>
      <c r="P8146" s="3">
        <v>-2860.169492</v>
      </c>
      <c r="S8146" s="9"/>
      <c r="T8146" s="2"/>
      <c r="U8146" s="9"/>
    </row>
    <row r="8147" spans="2:21" x14ac:dyDescent="0.35">
      <c r="B8147" s="9"/>
      <c r="C8147" s="2"/>
      <c r="D8147" s="2"/>
      <c r="I8147" s="9"/>
      <c r="J8147" s="2"/>
      <c r="L8147" s="9"/>
      <c r="M8147" s="2"/>
      <c r="N8147" s="9"/>
      <c r="P8147" s="3">
        <v>-2860.169492</v>
      </c>
      <c r="S8147" s="9"/>
      <c r="T8147" s="2"/>
      <c r="U8147" s="9"/>
    </row>
    <row r="8148" spans="2:21" x14ac:dyDescent="0.35">
      <c r="B8148" s="9"/>
      <c r="C8148" s="2"/>
      <c r="D8148" s="2"/>
      <c r="I8148" s="9"/>
      <c r="J8148" s="2"/>
      <c r="L8148" s="9"/>
      <c r="M8148" s="2"/>
      <c r="N8148" s="9"/>
      <c r="P8148" s="3">
        <v>-2860.169492</v>
      </c>
      <c r="S8148" s="9"/>
      <c r="T8148" s="2"/>
      <c r="U8148" s="9"/>
    </row>
    <row r="8149" spans="2:21" x14ac:dyDescent="0.35">
      <c r="B8149" s="9"/>
      <c r="C8149" s="2"/>
      <c r="D8149" s="2"/>
      <c r="I8149" s="9"/>
      <c r="J8149" s="2"/>
      <c r="L8149" s="9"/>
      <c r="M8149" s="2"/>
      <c r="N8149" s="9"/>
      <c r="P8149" s="3">
        <v>-2477.37580987</v>
      </c>
      <c r="S8149" s="9"/>
      <c r="T8149" s="2"/>
      <c r="U8149" s="9"/>
    </row>
    <row r="8150" spans="2:21" x14ac:dyDescent="0.35">
      <c r="B8150" s="9"/>
      <c r="C8150" s="2"/>
      <c r="D8150" s="2"/>
      <c r="I8150" s="9"/>
      <c r="J8150" s="2"/>
      <c r="L8150" s="9"/>
      <c r="M8150" s="2"/>
      <c r="N8150" s="9"/>
      <c r="P8150" s="3">
        <v>-2042.61580987</v>
      </c>
      <c r="S8150" s="9"/>
      <c r="T8150" s="2"/>
      <c r="U8150" s="9"/>
    </row>
    <row r="8151" spans="2:21" x14ac:dyDescent="0.35">
      <c r="B8151" s="9"/>
      <c r="C8151" s="2"/>
      <c r="D8151" s="2"/>
      <c r="I8151" s="9"/>
      <c r="J8151" s="2"/>
      <c r="L8151" s="9"/>
      <c r="M8151" s="2"/>
      <c r="N8151" s="9"/>
      <c r="P8151" s="3">
        <v>-1607.85580987</v>
      </c>
      <c r="S8151" s="9"/>
      <c r="T8151" s="2"/>
      <c r="U8151" s="9"/>
    </row>
    <row r="8152" spans="2:21" x14ac:dyDescent="0.35">
      <c r="B8152" s="9"/>
      <c r="C8152" s="2"/>
      <c r="D8152" s="2"/>
      <c r="I8152" s="9"/>
      <c r="J8152" s="2"/>
      <c r="L8152" s="9"/>
      <c r="M8152" s="2"/>
      <c r="N8152" s="9"/>
      <c r="P8152" s="3">
        <v>-1173.09580987</v>
      </c>
      <c r="S8152" s="9"/>
      <c r="T8152" s="2"/>
      <c r="U8152" s="9"/>
    </row>
    <row r="8153" spans="2:21" x14ac:dyDescent="0.35">
      <c r="B8153" s="9"/>
      <c r="C8153" s="2"/>
      <c r="D8153" s="2"/>
      <c r="I8153" s="9"/>
      <c r="J8153" s="2"/>
      <c r="L8153" s="9"/>
      <c r="M8153" s="2"/>
      <c r="N8153" s="9"/>
      <c r="P8153" s="3">
        <v>-738.33580987000005</v>
      </c>
      <c r="S8153" s="9"/>
      <c r="T8153" s="2"/>
      <c r="U8153" s="9"/>
    </row>
    <row r="8154" spans="2:21" x14ac:dyDescent="0.35">
      <c r="B8154" s="9"/>
      <c r="C8154" s="2"/>
      <c r="D8154" s="2"/>
      <c r="I8154" s="9"/>
      <c r="J8154" s="2"/>
      <c r="L8154" s="9"/>
      <c r="M8154" s="2"/>
      <c r="N8154" s="9"/>
      <c r="P8154" s="3">
        <v>-303.57580987</v>
      </c>
      <c r="S8154" s="9"/>
      <c r="T8154" s="2"/>
      <c r="U8154" s="9"/>
    </row>
    <row r="8155" spans="2:21" x14ac:dyDescent="0.35">
      <c r="B8155" s="9"/>
      <c r="C8155" s="2"/>
      <c r="D8155" s="2"/>
      <c r="I8155" s="9"/>
      <c r="J8155" s="2"/>
      <c r="L8155" s="9"/>
      <c r="M8155" s="2"/>
      <c r="N8155" s="9"/>
      <c r="P8155" s="3">
        <v>0</v>
      </c>
      <c r="S8155" s="9"/>
      <c r="T8155" s="2"/>
      <c r="U8155" s="9"/>
    </row>
    <row r="8156" spans="2:21" x14ac:dyDescent="0.35">
      <c r="B8156" s="9"/>
      <c r="C8156" s="2"/>
      <c r="D8156" s="2"/>
      <c r="I8156" s="9"/>
      <c r="J8156" s="2"/>
      <c r="L8156" s="9"/>
      <c r="M8156" s="2"/>
      <c r="N8156" s="9"/>
      <c r="P8156" s="3">
        <v>0</v>
      </c>
      <c r="S8156" s="9"/>
      <c r="T8156" s="2"/>
      <c r="U8156" s="9"/>
    </row>
    <row r="8157" spans="2:21" x14ac:dyDescent="0.35">
      <c r="B8157" s="9"/>
      <c r="C8157" s="2"/>
      <c r="D8157" s="2"/>
      <c r="I8157" s="9"/>
      <c r="J8157" s="2"/>
      <c r="L8157" s="9"/>
      <c r="M8157" s="2"/>
      <c r="N8157" s="9"/>
      <c r="P8157" s="3">
        <v>0</v>
      </c>
      <c r="S8157" s="9"/>
      <c r="T8157" s="2"/>
      <c r="U8157" s="9"/>
    </row>
    <row r="8158" spans="2:21" x14ac:dyDescent="0.35">
      <c r="B8158" s="9"/>
      <c r="C8158" s="2"/>
      <c r="D8158" s="2"/>
      <c r="I8158" s="9"/>
      <c r="J8158" s="2"/>
      <c r="L8158" s="9"/>
      <c r="M8158" s="2"/>
      <c r="N8158" s="9"/>
      <c r="P8158" s="3">
        <v>-200.64791987000001</v>
      </c>
      <c r="S8158" s="9"/>
      <c r="T8158" s="2"/>
      <c r="U8158" s="9"/>
    </row>
    <row r="8159" spans="2:21" x14ac:dyDescent="0.35">
      <c r="B8159" s="9"/>
      <c r="C8159" s="2"/>
      <c r="D8159" s="2"/>
      <c r="I8159" s="9"/>
      <c r="J8159" s="2"/>
      <c r="L8159" s="9"/>
      <c r="M8159" s="2"/>
      <c r="N8159" s="9"/>
      <c r="P8159" s="3">
        <v>234.11208013000001</v>
      </c>
      <c r="S8159" s="9"/>
      <c r="T8159" s="2"/>
      <c r="U8159" s="9"/>
    </row>
    <row r="8160" spans="2:21" x14ac:dyDescent="0.35">
      <c r="B8160" s="9"/>
      <c r="C8160" s="2"/>
      <c r="D8160" s="2"/>
      <c r="I8160" s="9"/>
      <c r="J8160" s="2"/>
      <c r="L8160" s="9"/>
      <c r="M8160" s="2"/>
      <c r="N8160" s="9"/>
      <c r="P8160" s="3">
        <v>582.02131012999996</v>
      </c>
      <c r="S8160" s="9"/>
      <c r="T8160" s="2"/>
      <c r="U8160" s="9"/>
    </row>
    <row r="8161" spans="2:21" x14ac:dyDescent="0.35">
      <c r="B8161" s="9"/>
      <c r="C8161" s="2"/>
      <c r="D8161" s="2"/>
      <c r="I8161" s="9"/>
      <c r="J8161" s="2"/>
      <c r="L8161" s="9"/>
      <c r="M8161" s="2"/>
      <c r="N8161" s="9"/>
      <c r="P8161" s="3">
        <v>508.67303937000003</v>
      </c>
      <c r="S8161" s="9"/>
      <c r="T8161" s="2"/>
      <c r="U8161" s="9"/>
    </row>
    <row r="8162" spans="2:21" x14ac:dyDescent="0.35">
      <c r="B8162" s="9"/>
      <c r="C8162" s="2"/>
      <c r="D8162" s="2"/>
      <c r="I8162" s="9"/>
      <c r="J8162" s="2"/>
      <c r="L8162" s="9"/>
      <c r="M8162" s="2"/>
      <c r="N8162" s="9"/>
      <c r="P8162" s="3">
        <v>481.11773886999998</v>
      </c>
      <c r="S8162" s="9"/>
      <c r="T8162" s="2"/>
      <c r="U8162" s="9"/>
    </row>
    <row r="8163" spans="2:21" x14ac:dyDescent="0.35">
      <c r="B8163" s="9"/>
      <c r="C8163" s="2"/>
      <c r="D8163" s="2"/>
      <c r="I8163" s="9"/>
      <c r="J8163" s="2"/>
      <c r="L8163" s="9"/>
      <c r="M8163" s="2"/>
      <c r="N8163" s="9"/>
      <c r="P8163" s="3">
        <v>484.89549849000002</v>
      </c>
      <c r="S8163" s="9"/>
      <c r="T8163" s="2"/>
      <c r="U8163" s="9"/>
    </row>
    <row r="8164" spans="2:21" x14ac:dyDescent="0.35">
      <c r="B8164" s="9"/>
      <c r="C8164" s="2"/>
      <c r="D8164" s="2"/>
      <c r="I8164" s="9"/>
      <c r="J8164" s="2"/>
      <c r="L8164" s="9"/>
      <c r="M8164" s="2"/>
      <c r="N8164" s="9"/>
      <c r="P8164" s="3">
        <v>492.72527824000002</v>
      </c>
      <c r="S8164" s="9"/>
      <c r="T8164" s="2"/>
      <c r="U8164" s="9"/>
    </row>
    <row r="8165" spans="2:21" x14ac:dyDescent="0.35">
      <c r="B8165" s="9"/>
      <c r="C8165" s="2"/>
      <c r="D8165" s="2"/>
      <c r="I8165" s="9"/>
      <c r="J8165" s="2"/>
      <c r="L8165" s="9"/>
      <c r="M8165" s="2"/>
      <c r="N8165" s="9"/>
      <c r="P8165" s="3">
        <v>510.65348824</v>
      </c>
      <c r="S8165" s="9"/>
      <c r="T8165" s="2"/>
      <c r="U8165" s="9"/>
    </row>
    <row r="8166" spans="2:21" x14ac:dyDescent="0.35">
      <c r="B8166" s="9"/>
      <c r="C8166" s="2"/>
      <c r="D8166" s="2"/>
      <c r="I8166" s="9"/>
      <c r="J8166" s="2"/>
      <c r="L8166" s="9"/>
      <c r="M8166" s="2"/>
      <c r="N8166" s="9"/>
      <c r="P8166" s="3">
        <v>715.22089645999995</v>
      </c>
      <c r="S8166" s="9"/>
      <c r="T8166" s="2"/>
      <c r="U8166" s="9"/>
    </row>
    <row r="8167" spans="2:21" x14ac:dyDescent="0.35">
      <c r="B8167" s="9"/>
      <c r="C8167" s="2"/>
      <c r="D8167" s="2"/>
      <c r="I8167" s="9"/>
      <c r="J8167" s="2"/>
      <c r="L8167" s="9"/>
      <c r="M8167" s="2"/>
      <c r="N8167" s="9"/>
      <c r="P8167" s="3">
        <v>747.07859645999997</v>
      </c>
      <c r="S8167" s="9"/>
      <c r="T8167" s="2"/>
      <c r="U8167" s="9"/>
    </row>
    <row r="8168" spans="2:21" x14ac:dyDescent="0.35">
      <c r="B8168" s="9"/>
      <c r="C8168" s="2"/>
      <c r="D8168" s="2"/>
      <c r="I8168" s="9"/>
      <c r="J8168" s="2"/>
      <c r="L8168" s="9"/>
      <c r="M8168" s="2"/>
      <c r="N8168" s="9"/>
      <c r="P8168" s="3">
        <v>776.33556646</v>
      </c>
      <c r="S8168" s="9"/>
      <c r="T8168" s="2"/>
      <c r="U8168" s="9"/>
    </row>
    <row r="8169" spans="2:21" x14ac:dyDescent="0.35">
      <c r="B8169" s="9"/>
      <c r="C8169" s="2"/>
      <c r="D8169" s="2"/>
      <c r="I8169" s="9"/>
      <c r="J8169" s="2"/>
      <c r="L8169" s="9"/>
      <c r="M8169" s="2"/>
      <c r="N8169" s="9"/>
      <c r="P8169" s="3">
        <v>809.10845645999996</v>
      </c>
      <c r="S8169" s="9"/>
      <c r="T8169" s="2"/>
      <c r="U8169" s="9"/>
    </row>
    <row r="8170" spans="2:21" x14ac:dyDescent="0.35">
      <c r="B8170" s="9"/>
      <c r="C8170" s="2"/>
      <c r="D8170" s="2"/>
      <c r="I8170" s="9"/>
      <c r="J8170" s="2"/>
      <c r="L8170" s="9"/>
      <c r="M8170" s="2"/>
      <c r="N8170" s="9"/>
      <c r="P8170" s="3">
        <v>842.15043646000004</v>
      </c>
      <c r="S8170" s="9"/>
      <c r="T8170" s="2"/>
      <c r="U8170" s="9"/>
    </row>
    <row r="8171" spans="2:21" x14ac:dyDescent="0.35">
      <c r="B8171" s="9"/>
      <c r="C8171" s="2"/>
      <c r="D8171" s="2"/>
      <c r="I8171" s="9"/>
      <c r="J8171" s="2"/>
      <c r="L8171" s="9"/>
      <c r="M8171" s="2"/>
      <c r="N8171" s="9"/>
      <c r="P8171" s="3">
        <v>981.47932293999997</v>
      </c>
      <c r="S8171" s="9"/>
      <c r="T8171" s="2"/>
      <c r="U8171" s="9"/>
    </row>
    <row r="8172" spans="2:21" x14ac:dyDescent="0.35">
      <c r="B8172" s="9"/>
      <c r="C8172" s="2"/>
      <c r="D8172" s="2"/>
      <c r="I8172" s="9"/>
      <c r="J8172" s="2"/>
      <c r="L8172" s="9"/>
      <c r="M8172" s="2"/>
      <c r="N8172" s="9"/>
      <c r="P8172" s="3">
        <v>1116.7164794099999</v>
      </c>
      <c r="S8172" s="9"/>
      <c r="T8172" s="2"/>
      <c r="U8172" s="9"/>
    </row>
    <row r="8173" spans="2:21" x14ac:dyDescent="0.35">
      <c r="B8173" s="9"/>
      <c r="C8173" s="2"/>
      <c r="D8173" s="2"/>
      <c r="I8173" s="9"/>
      <c r="J8173" s="2"/>
      <c r="L8173" s="9"/>
      <c r="M8173" s="2"/>
      <c r="N8173" s="9"/>
      <c r="P8173" s="3">
        <v>1232.4929518599999</v>
      </c>
      <c r="S8173" s="9"/>
      <c r="T8173" s="2"/>
      <c r="U8173" s="9"/>
    </row>
    <row r="8174" spans="2:21" x14ac:dyDescent="0.35">
      <c r="B8174" s="9"/>
      <c r="C8174" s="2"/>
      <c r="D8174" s="2"/>
      <c r="I8174" s="9"/>
      <c r="J8174" s="2"/>
      <c r="L8174" s="9"/>
      <c r="M8174" s="2"/>
      <c r="N8174" s="9"/>
      <c r="P8174" s="3">
        <v>1334.4836483399999</v>
      </c>
      <c r="S8174" s="9"/>
      <c r="T8174" s="2"/>
      <c r="U8174" s="9"/>
    </row>
    <row r="8175" spans="2:21" x14ac:dyDescent="0.35">
      <c r="B8175" s="9"/>
      <c r="C8175" s="2"/>
      <c r="D8175" s="2"/>
      <c r="I8175" s="9"/>
      <c r="J8175" s="2"/>
      <c r="L8175" s="9"/>
      <c r="M8175" s="2"/>
      <c r="N8175" s="9"/>
      <c r="P8175" s="3">
        <v>919.41480834000004</v>
      </c>
      <c r="S8175" s="9"/>
      <c r="T8175" s="2"/>
      <c r="U8175" s="9"/>
    </row>
    <row r="8176" spans="2:21" x14ac:dyDescent="0.35">
      <c r="B8176" s="9"/>
      <c r="C8176" s="2"/>
      <c r="D8176" s="2"/>
      <c r="I8176" s="9"/>
      <c r="J8176" s="2"/>
      <c r="L8176" s="9"/>
      <c r="M8176" s="2"/>
      <c r="N8176" s="9"/>
      <c r="P8176" s="3">
        <v>484.65480833999999</v>
      </c>
      <c r="S8176" s="9"/>
      <c r="T8176" s="2"/>
      <c r="U8176" s="9"/>
    </row>
    <row r="8177" spans="2:21" x14ac:dyDescent="0.35">
      <c r="B8177" s="9"/>
      <c r="C8177" s="2"/>
      <c r="D8177" s="2"/>
      <c r="I8177" s="9"/>
      <c r="J8177" s="2"/>
      <c r="L8177" s="9"/>
      <c r="M8177" s="2"/>
      <c r="N8177" s="9"/>
      <c r="P8177" s="3">
        <v>49.894808339999997</v>
      </c>
      <c r="S8177" s="9"/>
      <c r="T8177" s="2"/>
      <c r="U8177" s="9"/>
    </row>
    <row r="8178" spans="2:21" x14ac:dyDescent="0.35">
      <c r="B8178" s="9"/>
      <c r="C8178" s="2"/>
      <c r="D8178" s="2"/>
      <c r="I8178" s="9"/>
      <c r="J8178" s="2"/>
      <c r="L8178" s="9"/>
      <c r="M8178" s="2"/>
      <c r="N8178" s="9"/>
      <c r="P8178" s="3">
        <v>-384.86519165999999</v>
      </c>
      <c r="S8178" s="9"/>
      <c r="T8178" s="2"/>
      <c r="U8178" s="9"/>
    </row>
    <row r="8179" spans="2:21" x14ac:dyDescent="0.35">
      <c r="B8179" s="9"/>
      <c r="C8179" s="2"/>
      <c r="D8179" s="2"/>
      <c r="I8179" s="9"/>
      <c r="J8179" s="2"/>
      <c r="L8179" s="9"/>
      <c r="M8179" s="2"/>
      <c r="N8179" s="9"/>
      <c r="P8179" s="3">
        <v>-819.62519166000004</v>
      </c>
      <c r="S8179" s="9"/>
      <c r="T8179" s="2"/>
      <c r="U8179" s="9"/>
    </row>
    <row r="8180" spans="2:21" x14ac:dyDescent="0.35">
      <c r="B8180" s="9"/>
      <c r="C8180" s="2"/>
      <c r="D8180" s="2"/>
      <c r="I8180" s="9"/>
      <c r="J8180" s="2"/>
      <c r="L8180" s="9"/>
      <c r="M8180" s="2"/>
      <c r="N8180" s="9"/>
      <c r="P8180" s="3">
        <v>-526.84036165999999</v>
      </c>
      <c r="S8180" s="9"/>
      <c r="T8180" s="2"/>
      <c r="U8180" s="9"/>
    </row>
    <row r="8181" spans="2:21" x14ac:dyDescent="0.35">
      <c r="B8181" s="9"/>
      <c r="C8181" s="2"/>
      <c r="D8181" s="2"/>
      <c r="I8181" s="9"/>
      <c r="J8181" s="2"/>
      <c r="L8181" s="9"/>
      <c r="M8181" s="2"/>
      <c r="N8181" s="9"/>
      <c r="P8181" s="3">
        <v>-92.080361659999994</v>
      </c>
      <c r="S8181" s="9"/>
      <c r="T8181" s="2"/>
      <c r="U8181" s="9"/>
    </row>
    <row r="8182" spans="2:21" x14ac:dyDescent="0.35">
      <c r="B8182" s="9"/>
      <c r="C8182" s="2"/>
      <c r="D8182" s="2"/>
      <c r="I8182" s="9"/>
      <c r="J8182" s="2"/>
      <c r="L8182" s="9"/>
      <c r="M8182" s="2"/>
      <c r="N8182" s="9"/>
      <c r="P8182" s="3">
        <v>342.67963834</v>
      </c>
      <c r="S8182" s="9"/>
      <c r="T8182" s="2"/>
      <c r="U8182" s="9"/>
    </row>
    <row r="8183" spans="2:21" x14ac:dyDescent="0.35">
      <c r="B8183" s="9"/>
      <c r="C8183" s="2"/>
      <c r="D8183" s="2"/>
      <c r="I8183" s="9"/>
      <c r="J8183" s="2"/>
      <c r="L8183" s="9"/>
      <c r="M8183" s="2"/>
      <c r="N8183" s="9"/>
      <c r="P8183" s="3">
        <v>777.43963833999999</v>
      </c>
      <c r="S8183" s="9"/>
      <c r="T8183" s="2"/>
      <c r="U8183" s="9"/>
    </row>
    <row r="8184" spans="2:21" x14ac:dyDescent="0.35">
      <c r="B8184" s="9"/>
      <c r="C8184" s="2"/>
      <c r="D8184" s="2"/>
      <c r="I8184" s="9"/>
      <c r="J8184" s="2"/>
      <c r="L8184" s="9"/>
      <c r="M8184" s="2"/>
      <c r="N8184" s="9"/>
      <c r="P8184" s="3">
        <v>1212.1996383400001</v>
      </c>
      <c r="S8184" s="9"/>
      <c r="T8184" s="2"/>
      <c r="U8184" s="9"/>
    </row>
    <row r="8185" spans="2:21" x14ac:dyDescent="0.35">
      <c r="B8185" s="9"/>
      <c r="C8185" s="2"/>
      <c r="D8185" s="2"/>
      <c r="I8185" s="9"/>
      <c r="J8185" s="2"/>
      <c r="L8185" s="9"/>
      <c r="M8185" s="2"/>
      <c r="N8185" s="9"/>
      <c r="P8185" s="3">
        <v>1016.78319759</v>
      </c>
      <c r="S8185" s="9"/>
      <c r="T8185" s="2"/>
      <c r="U8185" s="9"/>
    </row>
    <row r="8186" spans="2:21" x14ac:dyDescent="0.35">
      <c r="B8186" s="9"/>
      <c r="C8186" s="2"/>
      <c r="D8186" s="2"/>
      <c r="I8186" s="9"/>
      <c r="J8186" s="2"/>
      <c r="L8186" s="9"/>
      <c r="M8186" s="2"/>
      <c r="N8186" s="9"/>
      <c r="P8186" s="3">
        <v>845.00843709000003</v>
      </c>
      <c r="S8186" s="9"/>
      <c r="T8186" s="2"/>
      <c r="U8186" s="9"/>
    </row>
    <row r="8187" spans="2:21" x14ac:dyDescent="0.35">
      <c r="B8187" s="9"/>
      <c r="C8187" s="2"/>
      <c r="D8187" s="2"/>
      <c r="I8187" s="9"/>
      <c r="J8187" s="2"/>
      <c r="L8187" s="9"/>
      <c r="M8187" s="2"/>
      <c r="N8187" s="9"/>
      <c r="P8187" s="3">
        <v>700.28401670999995</v>
      </c>
      <c r="S8187" s="9"/>
      <c r="T8187" s="2"/>
      <c r="U8187" s="9"/>
    </row>
    <row r="8188" spans="2:21" x14ac:dyDescent="0.35">
      <c r="B8188" s="9"/>
      <c r="C8188" s="2"/>
      <c r="D8188" s="2"/>
      <c r="I8188" s="9"/>
      <c r="J8188" s="2"/>
      <c r="L8188" s="9"/>
      <c r="M8188" s="2"/>
      <c r="N8188" s="9"/>
      <c r="P8188" s="3">
        <v>554.72539645999996</v>
      </c>
      <c r="S8188" s="9"/>
      <c r="T8188" s="2"/>
      <c r="U8188" s="9"/>
    </row>
    <row r="8189" spans="2:21" x14ac:dyDescent="0.35">
      <c r="B8189" s="9"/>
      <c r="C8189" s="2"/>
      <c r="D8189" s="2"/>
      <c r="I8189" s="9"/>
      <c r="J8189" s="2"/>
      <c r="L8189" s="9"/>
      <c r="M8189" s="2"/>
      <c r="N8189" s="9"/>
      <c r="P8189" s="3">
        <v>402.70445646000002</v>
      </c>
      <c r="S8189" s="9"/>
      <c r="T8189" s="2"/>
      <c r="U8189" s="9"/>
    </row>
    <row r="8190" spans="2:21" x14ac:dyDescent="0.35">
      <c r="B8190" s="9"/>
      <c r="C8190" s="2"/>
      <c r="D8190" s="2"/>
      <c r="I8190" s="9"/>
      <c r="J8190" s="2"/>
      <c r="L8190" s="9"/>
      <c r="M8190" s="2"/>
      <c r="N8190" s="9"/>
      <c r="P8190" s="3">
        <v>564.94111015999999</v>
      </c>
      <c r="S8190" s="9"/>
      <c r="T8190" s="2"/>
      <c r="U8190" s="9"/>
    </row>
    <row r="8191" spans="2:21" x14ac:dyDescent="0.35">
      <c r="B8191" s="9"/>
      <c r="C8191" s="2"/>
      <c r="D8191" s="2"/>
      <c r="I8191" s="9"/>
      <c r="J8191" s="2"/>
      <c r="L8191" s="9"/>
      <c r="M8191" s="2"/>
      <c r="N8191" s="9"/>
      <c r="P8191" s="3">
        <v>428.59910015999998</v>
      </c>
      <c r="S8191" s="9"/>
      <c r="T8191" s="2"/>
      <c r="U8191" s="9"/>
    </row>
    <row r="8192" spans="2:21" x14ac:dyDescent="0.35">
      <c r="B8192" s="9"/>
      <c r="C8192" s="2"/>
      <c r="D8192" s="2"/>
      <c r="I8192" s="9"/>
      <c r="J8192" s="2"/>
      <c r="L8192" s="9"/>
      <c r="M8192" s="2"/>
      <c r="N8192" s="9"/>
      <c r="P8192" s="3">
        <v>281.85985016000001</v>
      </c>
      <c r="S8192" s="9"/>
      <c r="T8192" s="2"/>
      <c r="U8192" s="9"/>
    </row>
    <row r="8193" spans="2:21" x14ac:dyDescent="0.35">
      <c r="B8193" s="9"/>
      <c r="C8193" s="2"/>
      <c r="D8193" s="2"/>
      <c r="I8193" s="9"/>
      <c r="J8193" s="2"/>
      <c r="L8193" s="9"/>
      <c r="M8193" s="2"/>
      <c r="N8193" s="9"/>
      <c r="P8193" s="3">
        <v>193.26250016</v>
      </c>
      <c r="S8193" s="9"/>
      <c r="T8193" s="2"/>
      <c r="U8193" s="9"/>
    </row>
    <row r="8194" spans="2:21" x14ac:dyDescent="0.35">
      <c r="B8194" s="9"/>
      <c r="C8194" s="2"/>
      <c r="D8194" s="2"/>
      <c r="I8194" s="9"/>
      <c r="J8194" s="2"/>
      <c r="L8194" s="9"/>
      <c r="M8194" s="2"/>
      <c r="N8194" s="9"/>
      <c r="P8194" s="3">
        <v>113.28810016</v>
      </c>
      <c r="S8194" s="9"/>
      <c r="T8194" s="2"/>
      <c r="U8194" s="9"/>
    </row>
    <row r="8195" spans="2:21" x14ac:dyDescent="0.35">
      <c r="B8195" s="9"/>
      <c r="C8195" s="2"/>
      <c r="D8195" s="2"/>
      <c r="I8195" s="9"/>
      <c r="J8195" s="2"/>
      <c r="L8195" s="9"/>
      <c r="M8195" s="2"/>
      <c r="N8195" s="9"/>
      <c r="P8195" s="3">
        <v>86.100780159999999</v>
      </c>
      <c r="S8195" s="9"/>
      <c r="T8195" s="2"/>
      <c r="U8195" s="9"/>
    </row>
    <row r="8196" spans="2:21" x14ac:dyDescent="0.35">
      <c r="B8196" s="9"/>
      <c r="C8196" s="2"/>
      <c r="D8196" s="2"/>
      <c r="I8196" s="9"/>
      <c r="J8196" s="2"/>
      <c r="L8196" s="9"/>
      <c r="M8196" s="2"/>
      <c r="N8196" s="9"/>
      <c r="P8196" s="3">
        <v>55.940690160000003</v>
      </c>
      <c r="S8196" s="9"/>
      <c r="T8196" s="2"/>
      <c r="U8196" s="9"/>
    </row>
    <row r="8197" spans="2:21" x14ac:dyDescent="0.35">
      <c r="B8197" s="9"/>
      <c r="C8197" s="2"/>
      <c r="D8197" s="2"/>
      <c r="I8197" s="9"/>
      <c r="J8197" s="2"/>
      <c r="L8197" s="9"/>
      <c r="M8197" s="2"/>
      <c r="N8197" s="9"/>
      <c r="P8197" s="3">
        <v>-17.971729839999998</v>
      </c>
      <c r="S8197" s="9"/>
      <c r="T8197" s="2"/>
      <c r="U8197" s="9"/>
    </row>
    <row r="8198" spans="2:21" x14ac:dyDescent="0.35">
      <c r="B8198" s="9"/>
      <c r="C8198" s="2"/>
      <c r="D8198" s="2"/>
      <c r="I8198" s="9"/>
      <c r="J8198" s="2"/>
      <c r="L8198" s="9"/>
      <c r="M8198" s="2"/>
      <c r="N8198" s="9"/>
      <c r="P8198" s="3">
        <v>-69.115159840000004</v>
      </c>
      <c r="S8198" s="9"/>
      <c r="T8198" s="2"/>
      <c r="U8198" s="9"/>
    </row>
    <row r="8199" spans="2:21" x14ac:dyDescent="0.35">
      <c r="B8199" s="9"/>
      <c r="C8199" s="2"/>
      <c r="D8199" s="2"/>
      <c r="I8199" s="9"/>
      <c r="J8199" s="2"/>
      <c r="L8199" s="9"/>
      <c r="M8199" s="2"/>
      <c r="N8199" s="9"/>
      <c r="P8199" s="3">
        <v>-503.87515983999998</v>
      </c>
      <c r="S8199" s="9"/>
      <c r="T8199" s="2"/>
      <c r="U8199" s="9"/>
    </row>
    <row r="8200" spans="2:21" x14ac:dyDescent="0.35">
      <c r="B8200" s="9"/>
      <c r="C8200" s="2"/>
      <c r="D8200" s="2"/>
      <c r="I8200" s="9"/>
      <c r="J8200" s="2"/>
      <c r="L8200" s="9"/>
      <c r="M8200" s="2"/>
      <c r="N8200" s="9"/>
      <c r="P8200" s="3">
        <v>-938.63515984000003</v>
      </c>
      <c r="S8200" s="9"/>
      <c r="T8200" s="2"/>
      <c r="U8200" s="9"/>
    </row>
    <row r="8201" spans="2:21" x14ac:dyDescent="0.35">
      <c r="B8201" s="9"/>
      <c r="C8201" s="2"/>
      <c r="D8201" s="2"/>
      <c r="I8201" s="9"/>
      <c r="J8201" s="2"/>
      <c r="L8201" s="9"/>
      <c r="M8201" s="2"/>
      <c r="N8201" s="9"/>
      <c r="P8201" s="3">
        <v>-1373.3951598399999</v>
      </c>
      <c r="S8201" s="9"/>
      <c r="T8201" s="2"/>
      <c r="U8201" s="9"/>
    </row>
    <row r="8202" spans="2:21" x14ac:dyDescent="0.35">
      <c r="B8202" s="9"/>
      <c r="C8202" s="2"/>
      <c r="D8202" s="2"/>
      <c r="I8202" s="9"/>
      <c r="J8202" s="2"/>
      <c r="L8202" s="9"/>
      <c r="M8202" s="2"/>
      <c r="N8202" s="9"/>
      <c r="P8202" s="3">
        <v>-1808.1551598399999</v>
      </c>
      <c r="S8202" s="9"/>
      <c r="T8202" s="2"/>
      <c r="U8202" s="9"/>
    </row>
    <row r="8203" spans="2:21" x14ac:dyDescent="0.35">
      <c r="B8203" s="9"/>
      <c r="C8203" s="2"/>
      <c r="D8203" s="2"/>
      <c r="I8203" s="9"/>
      <c r="J8203" s="2"/>
      <c r="L8203" s="9"/>
      <c r="M8203" s="2"/>
      <c r="N8203" s="9"/>
      <c r="P8203" s="3">
        <v>-2242.9151598399999</v>
      </c>
      <c r="S8203" s="9"/>
      <c r="T8203" s="2"/>
      <c r="U8203" s="9"/>
    </row>
    <row r="8204" spans="2:21" x14ac:dyDescent="0.35">
      <c r="B8204" s="9"/>
      <c r="C8204" s="2"/>
      <c r="D8204" s="2"/>
      <c r="I8204" s="9"/>
      <c r="J8204" s="2"/>
      <c r="L8204" s="9"/>
      <c r="M8204" s="2"/>
      <c r="N8204" s="9"/>
      <c r="P8204" s="3">
        <v>-2677.6751598400001</v>
      </c>
      <c r="S8204" s="9"/>
      <c r="T8204" s="2"/>
      <c r="U8204" s="9"/>
    </row>
    <row r="8205" spans="2:21" x14ac:dyDescent="0.35">
      <c r="B8205" s="9"/>
      <c r="C8205" s="2"/>
      <c r="D8205" s="2"/>
      <c r="I8205" s="9"/>
      <c r="J8205" s="2"/>
      <c r="L8205" s="9"/>
      <c r="M8205" s="2"/>
      <c r="N8205" s="9"/>
      <c r="P8205" s="3">
        <v>-2630.8839498399998</v>
      </c>
      <c r="S8205" s="9"/>
      <c r="T8205" s="2"/>
      <c r="U8205" s="9"/>
    </row>
    <row r="8206" spans="2:21" x14ac:dyDescent="0.35">
      <c r="B8206" s="9"/>
      <c r="C8206" s="2"/>
      <c r="D8206" s="2"/>
      <c r="I8206" s="9"/>
      <c r="J8206" s="2"/>
      <c r="L8206" s="9"/>
      <c r="M8206" s="2"/>
      <c r="N8206" s="9"/>
      <c r="P8206" s="3">
        <v>-2196.12394984</v>
      </c>
      <c r="S8206" s="9"/>
      <c r="T8206" s="2"/>
      <c r="U8206" s="9"/>
    </row>
    <row r="8207" spans="2:21" x14ac:dyDescent="0.35">
      <c r="B8207" s="9"/>
      <c r="C8207" s="2"/>
      <c r="D8207" s="2"/>
      <c r="I8207" s="9"/>
      <c r="J8207" s="2"/>
      <c r="L8207" s="9"/>
      <c r="M8207" s="2"/>
      <c r="N8207" s="9"/>
      <c r="P8207" s="3">
        <v>-1761.36394984</v>
      </c>
      <c r="S8207" s="9"/>
      <c r="T8207" s="2"/>
      <c r="U8207" s="9"/>
    </row>
    <row r="8208" spans="2:21" x14ac:dyDescent="0.35">
      <c r="B8208" s="9"/>
      <c r="C8208" s="2"/>
      <c r="D8208" s="2"/>
      <c r="I8208" s="9"/>
      <c r="J8208" s="2"/>
      <c r="L8208" s="9"/>
      <c r="M8208" s="2"/>
      <c r="N8208" s="9"/>
      <c r="P8208" s="3">
        <v>-1461.2483698399999</v>
      </c>
      <c r="S8208" s="9"/>
      <c r="T8208" s="2"/>
      <c r="U8208" s="9"/>
    </row>
    <row r="8209" spans="2:21" x14ac:dyDescent="0.35">
      <c r="B8209" s="9"/>
      <c r="C8209" s="2"/>
      <c r="D8209" s="2"/>
      <c r="I8209" s="9"/>
      <c r="J8209" s="2"/>
      <c r="L8209" s="9"/>
      <c r="M8209" s="2"/>
      <c r="N8209" s="9"/>
      <c r="P8209" s="3">
        <v>-1658.47429984</v>
      </c>
      <c r="S8209" s="9"/>
      <c r="T8209" s="2"/>
      <c r="U8209" s="9"/>
    </row>
    <row r="8210" spans="2:21" x14ac:dyDescent="0.35">
      <c r="B8210" s="9"/>
      <c r="C8210" s="2"/>
      <c r="D8210" s="2"/>
      <c r="I8210" s="9"/>
      <c r="J8210" s="2"/>
      <c r="L8210" s="9"/>
      <c r="M8210" s="2"/>
      <c r="N8210" s="9"/>
      <c r="P8210" s="3">
        <v>-1816.2895498400001</v>
      </c>
      <c r="S8210" s="9"/>
      <c r="T8210" s="2"/>
      <c r="U8210" s="9"/>
    </row>
    <row r="8211" spans="2:21" x14ac:dyDescent="0.35">
      <c r="B8211" s="9"/>
      <c r="C8211" s="2"/>
      <c r="D8211" s="2"/>
      <c r="I8211" s="9"/>
      <c r="J8211" s="2"/>
      <c r="L8211" s="9"/>
      <c r="M8211" s="2"/>
      <c r="N8211" s="9"/>
      <c r="P8211" s="3">
        <v>-2016.48185984</v>
      </c>
      <c r="S8211" s="9"/>
      <c r="T8211" s="2"/>
      <c r="U8211" s="9"/>
    </row>
    <row r="8212" spans="2:21" x14ac:dyDescent="0.35">
      <c r="B8212" s="9"/>
      <c r="C8212" s="2"/>
      <c r="D8212" s="2"/>
      <c r="I8212" s="9"/>
      <c r="J8212" s="2"/>
      <c r="L8212" s="9"/>
      <c r="M8212" s="2"/>
      <c r="N8212" s="9"/>
      <c r="P8212" s="3">
        <v>-2165.6940398400002</v>
      </c>
      <c r="S8212" s="9"/>
      <c r="T8212" s="2"/>
      <c r="U8212" s="9"/>
    </row>
    <row r="8213" spans="2:21" x14ac:dyDescent="0.35">
      <c r="B8213" s="9"/>
      <c r="C8213" s="2"/>
      <c r="D8213" s="2"/>
      <c r="I8213" s="9"/>
      <c r="J8213" s="2"/>
      <c r="L8213" s="9"/>
      <c r="M8213" s="2"/>
      <c r="N8213" s="9"/>
      <c r="P8213" s="3">
        <v>-2324.7595998400002</v>
      </c>
      <c r="S8213" s="9"/>
      <c r="T8213" s="2"/>
      <c r="U8213" s="9"/>
    </row>
    <row r="8214" spans="2:21" x14ac:dyDescent="0.35">
      <c r="B8214" s="9"/>
      <c r="C8214" s="2"/>
      <c r="D8214" s="2"/>
      <c r="I8214" s="9"/>
      <c r="J8214" s="2"/>
      <c r="L8214" s="9"/>
      <c r="M8214" s="2"/>
      <c r="N8214" s="9"/>
      <c r="P8214" s="3">
        <v>-2611.4779205200002</v>
      </c>
      <c r="S8214" s="9"/>
      <c r="T8214" s="2"/>
      <c r="U8214" s="9"/>
    </row>
    <row r="8215" spans="2:21" x14ac:dyDescent="0.35">
      <c r="B8215" s="9"/>
      <c r="C8215" s="2"/>
      <c r="D8215" s="2"/>
      <c r="I8215" s="9"/>
      <c r="J8215" s="2"/>
      <c r="L8215" s="9"/>
      <c r="M8215" s="2"/>
      <c r="N8215" s="9"/>
      <c r="P8215" s="3">
        <v>-2847.4755305200001</v>
      </c>
      <c r="S8215" s="9"/>
      <c r="T8215" s="2"/>
      <c r="U8215" s="9"/>
    </row>
    <row r="8216" spans="2:21" x14ac:dyDescent="0.35">
      <c r="B8216" s="9"/>
      <c r="C8216" s="2"/>
      <c r="D8216" s="2"/>
      <c r="I8216" s="9"/>
      <c r="J8216" s="2"/>
      <c r="L8216" s="9"/>
      <c r="M8216" s="2"/>
      <c r="N8216" s="9"/>
      <c r="P8216" s="3">
        <v>-2860.169492</v>
      </c>
      <c r="S8216" s="9"/>
      <c r="T8216" s="2"/>
      <c r="U8216" s="9"/>
    </row>
    <row r="8217" spans="2:21" x14ac:dyDescent="0.35">
      <c r="B8217" s="9"/>
      <c r="C8217" s="2"/>
      <c r="D8217" s="2"/>
      <c r="I8217" s="9"/>
      <c r="J8217" s="2"/>
      <c r="L8217" s="9"/>
      <c r="M8217" s="2"/>
      <c r="N8217" s="9"/>
      <c r="P8217" s="3">
        <v>-2860.169492</v>
      </c>
      <c r="S8217" s="9"/>
      <c r="T8217" s="2"/>
      <c r="U8217" s="9"/>
    </row>
    <row r="8218" spans="2:21" x14ac:dyDescent="0.35">
      <c r="B8218" s="9"/>
      <c r="C8218" s="2"/>
      <c r="D8218" s="2"/>
      <c r="I8218" s="9"/>
      <c r="J8218" s="2"/>
      <c r="L8218" s="9"/>
      <c r="M8218" s="2"/>
      <c r="N8218" s="9"/>
      <c r="P8218" s="3">
        <v>-2860.169492</v>
      </c>
      <c r="S8218" s="9"/>
      <c r="T8218" s="2"/>
      <c r="U8218" s="9"/>
    </row>
    <row r="8219" spans="2:21" x14ac:dyDescent="0.35">
      <c r="B8219" s="9"/>
      <c r="C8219" s="2"/>
      <c r="D8219" s="2"/>
      <c r="I8219" s="9"/>
      <c r="J8219" s="2"/>
      <c r="L8219" s="9"/>
      <c r="M8219" s="2"/>
      <c r="N8219" s="9"/>
      <c r="P8219" s="3">
        <v>-2860.169492</v>
      </c>
      <c r="S8219" s="9"/>
      <c r="T8219" s="2"/>
      <c r="U8219" s="9"/>
    </row>
    <row r="8220" spans="2:21" x14ac:dyDescent="0.35">
      <c r="B8220" s="9"/>
      <c r="C8220" s="2"/>
      <c r="D8220" s="2"/>
      <c r="I8220" s="9"/>
      <c r="J8220" s="2"/>
      <c r="L8220" s="9"/>
      <c r="M8220" s="2"/>
      <c r="N8220" s="9"/>
      <c r="P8220" s="3">
        <v>-2860.169492</v>
      </c>
      <c r="S8220" s="9"/>
      <c r="T8220" s="2"/>
      <c r="U8220" s="9"/>
    </row>
    <row r="8221" spans="2:21" x14ac:dyDescent="0.35">
      <c r="B8221" s="9"/>
      <c r="C8221" s="2"/>
      <c r="D8221" s="2"/>
      <c r="I8221" s="9"/>
      <c r="J8221" s="2"/>
      <c r="L8221" s="9"/>
      <c r="M8221" s="2"/>
      <c r="N8221" s="9"/>
      <c r="P8221" s="3">
        <v>-2860.169492</v>
      </c>
      <c r="S8221" s="9"/>
      <c r="T8221" s="2"/>
      <c r="U8221" s="9"/>
    </row>
    <row r="8222" spans="2:21" x14ac:dyDescent="0.35">
      <c r="B8222" s="9"/>
      <c r="C8222" s="2"/>
      <c r="D8222" s="2"/>
      <c r="I8222" s="9"/>
      <c r="J8222" s="2"/>
      <c r="L8222" s="9"/>
      <c r="M8222" s="2"/>
      <c r="N8222" s="9"/>
      <c r="P8222" s="3">
        <v>-2860.169492</v>
      </c>
      <c r="S8222" s="9"/>
      <c r="T8222" s="2"/>
      <c r="U8222" s="9"/>
    </row>
    <row r="8223" spans="2:21" x14ac:dyDescent="0.35">
      <c r="B8223" s="9"/>
      <c r="C8223" s="2"/>
      <c r="D8223" s="2"/>
      <c r="I8223" s="9"/>
      <c r="J8223" s="2"/>
      <c r="L8223" s="9"/>
      <c r="M8223" s="2"/>
      <c r="N8223" s="9"/>
      <c r="P8223" s="3">
        <v>-2860.169492</v>
      </c>
      <c r="S8223" s="9"/>
      <c r="T8223" s="2"/>
      <c r="U8223" s="9"/>
    </row>
    <row r="8224" spans="2:21" x14ac:dyDescent="0.35">
      <c r="B8224" s="9"/>
      <c r="C8224" s="2"/>
      <c r="D8224" s="2"/>
      <c r="I8224" s="9"/>
      <c r="J8224" s="2"/>
      <c r="L8224" s="9"/>
      <c r="M8224" s="2"/>
      <c r="N8224" s="9"/>
      <c r="P8224" s="3">
        <v>-2425.4094919999998</v>
      </c>
      <c r="S8224" s="9"/>
      <c r="T8224" s="2"/>
      <c r="U8224" s="9"/>
    </row>
    <row r="8225" spans="2:21" x14ac:dyDescent="0.35">
      <c r="B8225" s="9"/>
      <c r="C8225" s="2"/>
      <c r="D8225" s="2"/>
      <c r="I8225" s="9"/>
      <c r="J8225" s="2"/>
      <c r="L8225" s="9"/>
      <c r="M8225" s="2"/>
      <c r="N8225" s="9"/>
      <c r="P8225" s="3">
        <v>-1990.649492</v>
      </c>
      <c r="S8225" s="9"/>
      <c r="T8225" s="2"/>
      <c r="U8225" s="9"/>
    </row>
    <row r="8226" spans="2:21" x14ac:dyDescent="0.35">
      <c r="B8226" s="9"/>
      <c r="C8226" s="2"/>
      <c r="D8226" s="2"/>
      <c r="I8226" s="9"/>
      <c r="J8226" s="2"/>
      <c r="L8226" s="9"/>
      <c r="M8226" s="2"/>
      <c r="N8226" s="9"/>
      <c r="P8226" s="3">
        <v>-1555.889492</v>
      </c>
      <c r="S8226" s="9"/>
      <c r="T8226" s="2"/>
      <c r="U8226" s="9"/>
    </row>
    <row r="8227" spans="2:21" x14ac:dyDescent="0.35">
      <c r="B8227" s="9"/>
      <c r="C8227" s="2"/>
      <c r="D8227" s="2"/>
      <c r="I8227" s="9"/>
      <c r="J8227" s="2"/>
      <c r="L8227" s="9"/>
      <c r="M8227" s="2"/>
      <c r="N8227" s="9"/>
      <c r="P8227" s="3">
        <v>-1121.129492</v>
      </c>
      <c r="S8227" s="9"/>
      <c r="T8227" s="2"/>
      <c r="U8227" s="9"/>
    </row>
    <row r="8228" spans="2:21" x14ac:dyDescent="0.35">
      <c r="B8228" s="9"/>
      <c r="C8228" s="2"/>
      <c r="D8228" s="2"/>
      <c r="I8228" s="9"/>
      <c r="J8228" s="2"/>
      <c r="L8228" s="9"/>
      <c r="M8228" s="2"/>
      <c r="N8228" s="9"/>
      <c r="P8228" s="3">
        <v>-686.36949200000004</v>
      </c>
      <c r="S8228" s="9"/>
      <c r="T8228" s="2"/>
      <c r="U8228" s="9"/>
    </row>
    <row r="8229" spans="2:21" x14ac:dyDescent="0.35">
      <c r="B8229" s="9"/>
      <c r="C8229" s="2"/>
      <c r="D8229" s="2"/>
      <c r="I8229" s="9"/>
      <c r="J8229" s="2"/>
      <c r="L8229" s="9"/>
      <c r="M8229" s="2"/>
      <c r="N8229" s="9"/>
      <c r="P8229" s="3">
        <v>-251.60949199999999</v>
      </c>
      <c r="S8229" s="9"/>
      <c r="T8229" s="2"/>
      <c r="U8229" s="9"/>
    </row>
    <row r="8230" spans="2:21" x14ac:dyDescent="0.35">
      <c r="B8230" s="9"/>
      <c r="C8230" s="2"/>
      <c r="D8230" s="2"/>
      <c r="I8230" s="9"/>
      <c r="J8230" s="2"/>
      <c r="L8230" s="9"/>
      <c r="M8230" s="2"/>
      <c r="N8230" s="9"/>
      <c r="P8230" s="3">
        <v>0</v>
      </c>
      <c r="S8230" s="9"/>
      <c r="T8230" s="2"/>
      <c r="U8230" s="9"/>
    </row>
    <row r="8231" spans="2:21" x14ac:dyDescent="0.35">
      <c r="B8231" s="9"/>
      <c r="C8231" s="2"/>
      <c r="D8231" s="2"/>
      <c r="I8231" s="9"/>
      <c r="J8231" s="2"/>
      <c r="L8231" s="9"/>
      <c r="M8231" s="2"/>
      <c r="N8231" s="9"/>
      <c r="P8231" s="3">
        <v>0</v>
      </c>
      <c r="S8231" s="9"/>
      <c r="T8231" s="2"/>
      <c r="U8231" s="9"/>
    </row>
    <row r="8232" spans="2:21" x14ac:dyDescent="0.35">
      <c r="B8232" s="9"/>
      <c r="C8232" s="2"/>
      <c r="D8232" s="2"/>
      <c r="I8232" s="9"/>
      <c r="J8232" s="2"/>
      <c r="L8232" s="9"/>
      <c r="M8232" s="2"/>
      <c r="N8232" s="9"/>
      <c r="P8232" s="3">
        <v>0</v>
      </c>
      <c r="S8232" s="9"/>
      <c r="T8232" s="2"/>
      <c r="U8232" s="9"/>
    </row>
    <row r="8233" spans="2:21" x14ac:dyDescent="0.35">
      <c r="B8233" s="9"/>
      <c r="C8233" s="2"/>
      <c r="D8233" s="2"/>
      <c r="I8233" s="9"/>
      <c r="J8233" s="2"/>
      <c r="L8233" s="9"/>
      <c r="M8233" s="2"/>
      <c r="N8233" s="9"/>
      <c r="P8233" s="3">
        <v>0</v>
      </c>
      <c r="S8233" s="9"/>
      <c r="T8233" s="2"/>
      <c r="U8233" s="9"/>
    </row>
    <row r="8234" spans="2:21" x14ac:dyDescent="0.35">
      <c r="B8234" s="9"/>
      <c r="C8234" s="2"/>
      <c r="D8234" s="2"/>
      <c r="I8234" s="9"/>
      <c r="J8234" s="2"/>
      <c r="L8234" s="9"/>
      <c r="M8234" s="2"/>
      <c r="N8234" s="9"/>
      <c r="P8234" s="3">
        <v>0</v>
      </c>
      <c r="S8234" s="9"/>
      <c r="T8234" s="2"/>
      <c r="U8234" s="9"/>
    </row>
    <row r="8235" spans="2:21" x14ac:dyDescent="0.35">
      <c r="B8235" s="9"/>
      <c r="C8235" s="2"/>
      <c r="D8235" s="2"/>
      <c r="I8235" s="9"/>
      <c r="J8235" s="2"/>
      <c r="L8235" s="9"/>
      <c r="M8235" s="2"/>
      <c r="N8235" s="9"/>
      <c r="P8235" s="3">
        <v>0</v>
      </c>
      <c r="S8235" s="9"/>
      <c r="T8235" s="2"/>
      <c r="U8235" s="9"/>
    </row>
    <row r="8236" spans="2:21" x14ac:dyDescent="0.35">
      <c r="B8236" s="9"/>
      <c r="C8236" s="2"/>
      <c r="D8236" s="2"/>
      <c r="I8236" s="9"/>
      <c r="J8236" s="2"/>
      <c r="L8236" s="9"/>
      <c r="M8236" s="2"/>
      <c r="N8236" s="9"/>
      <c r="P8236" s="3">
        <v>0</v>
      </c>
      <c r="S8236" s="9"/>
      <c r="T8236" s="2"/>
      <c r="U8236" s="9"/>
    </row>
    <row r="8237" spans="2:21" x14ac:dyDescent="0.35">
      <c r="B8237" s="9"/>
      <c r="C8237" s="2"/>
      <c r="D8237" s="2"/>
      <c r="I8237" s="9"/>
      <c r="J8237" s="2"/>
      <c r="L8237" s="9"/>
      <c r="M8237" s="2"/>
      <c r="N8237" s="9"/>
      <c r="P8237" s="3">
        <v>0</v>
      </c>
      <c r="S8237" s="9"/>
      <c r="T8237" s="2"/>
      <c r="U8237" s="9"/>
    </row>
    <row r="8238" spans="2:21" x14ac:dyDescent="0.35">
      <c r="B8238" s="9"/>
      <c r="C8238" s="2"/>
      <c r="D8238" s="2"/>
      <c r="I8238" s="9"/>
      <c r="J8238" s="2"/>
      <c r="L8238" s="9"/>
      <c r="M8238" s="2"/>
      <c r="N8238" s="9"/>
      <c r="P8238" s="3">
        <v>0</v>
      </c>
      <c r="S8238" s="9"/>
      <c r="T8238" s="2"/>
      <c r="U8238" s="9"/>
    </row>
    <row r="8239" spans="2:21" x14ac:dyDescent="0.35">
      <c r="B8239" s="9"/>
      <c r="C8239" s="2"/>
      <c r="D8239" s="2"/>
      <c r="I8239" s="9"/>
      <c r="J8239" s="2"/>
      <c r="L8239" s="9"/>
      <c r="M8239" s="2"/>
      <c r="N8239" s="9"/>
      <c r="P8239" s="3">
        <v>0</v>
      </c>
      <c r="S8239" s="9"/>
      <c r="T8239" s="2"/>
      <c r="U8239" s="9"/>
    </row>
    <row r="8240" spans="2:21" x14ac:dyDescent="0.35">
      <c r="B8240" s="9"/>
      <c r="C8240" s="2"/>
      <c r="D8240" s="2"/>
      <c r="I8240" s="9"/>
      <c r="J8240" s="2"/>
      <c r="L8240" s="9"/>
      <c r="M8240" s="2"/>
      <c r="N8240" s="9"/>
      <c r="P8240" s="3">
        <v>0</v>
      </c>
      <c r="S8240" s="9"/>
      <c r="T8240" s="2"/>
      <c r="U8240" s="9"/>
    </row>
    <row r="8241" spans="2:21" x14ac:dyDescent="0.35">
      <c r="B8241" s="9"/>
      <c r="C8241" s="2"/>
      <c r="D8241" s="2"/>
      <c r="I8241" s="9"/>
      <c r="J8241" s="2"/>
      <c r="L8241" s="9"/>
      <c r="M8241" s="2"/>
      <c r="N8241" s="9"/>
      <c r="P8241" s="3">
        <v>0</v>
      </c>
      <c r="S8241" s="9"/>
      <c r="T8241" s="2"/>
      <c r="U8241" s="9"/>
    </row>
    <row r="8242" spans="2:21" x14ac:dyDescent="0.35">
      <c r="B8242" s="9"/>
      <c r="C8242" s="2"/>
      <c r="D8242" s="2"/>
      <c r="I8242" s="9"/>
      <c r="J8242" s="2"/>
      <c r="L8242" s="9"/>
      <c r="M8242" s="2"/>
      <c r="N8242" s="9"/>
      <c r="P8242" s="3">
        <v>0</v>
      </c>
      <c r="S8242" s="9"/>
      <c r="T8242" s="2"/>
      <c r="U8242" s="9"/>
    </row>
    <row r="8243" spans="2:21" x14ac:dyDescent="0.35">
      <c r="B8243" s="9"/>
      <c r="C8243" s="2"/>
      <c r="D8243" s="2"/>
      <c r="I8243" s="9"/>
      <c r="J8243" s="2"/>
      <c r="L8243" s="9"/>
      <c r="M8243" s="2"/>
      <c r="N8243" s="9"/>
      <c r="P8243" s="3">
        <v>0</v>
      </c>
      <c r="S8243" s="9"/>
      <c r="T8243" s="2"/>
      <c r="U8243" s="9"/>
    </row>
    <row r="8244" spans="2:21" x14ac:dyDescent="0.35">
      <c r="B8244" s="9"/>
      <c r="C8244" s="2"/>
      <c r="D8244" s="2"/>
      <c r="I8244" s="9"/>
      <c r="J8244" s="2"/>
      <c r="L8244" s="9"/>
      <c r="M8244" s="2"/>
      <c r="N8244" s="9"/>
      <c r="P8244" s="3">
        <v>0</v>
      </c>
      <c r="S8244" s="9"/>
      <c r="T8244" s="2"/>
      <c r="U8244" s="9"/>
    </row>
    <row r="8245" spans="2:21" x14ac:dyDescent="0.35">
      <c r="B8245" s="9"/>
      <c r="C8245" s="2"/>
      <c r="D8245" s="2"/>
      <c r="I8245" s="9"/>
      <c r="J8245" s="2"/>
      <c r="L8245" s="9"/>
      <c r="M8245" s="2"/>
      <c r="N8245" s="9"/>
      <c r="P8245" s="3">
        <v>0</v>
      </c>
      <c r="S8245" s="9"/>
      <c r="T8245" s="2"/>
      <c r="U8245" s="9"/>
    </row>
    <row r="8246" spans="2:21" x14ac:dyDescent="0.35">
      <c r="B8246" s="9"/>
      <c r="C8246" s="2"/>
      <c r="D8246" s="2"/>
      <c r="I8246" s="9"/>
      <c r="J8246" s="2"/>
      <c r="L8246" s="9"/>
      <c r="M8246" s="2"/>
      <c r="N8246" s="9"/>
      <c r="P8246" s="3">
        <v>0</v>
      </c>
      <c r="S8246" s="9"/>
      <c r="T8246" s="2"/>
      <c r="U8246" s="9"/>
    </row>
    <row r="8247" spans="2:21" x14ac:dyDescent="0.35">
      <c r="B8247" s="9"/>
      <c r="C8247" s="2"/>
      <c r="D8247" s="2"/>
      <c r="I8247" s="9"/>
      <c r="J8247" s="2"/>
      <c r="L8247" s="9"/>
      <c r="M8247" s="2"/>
      <c r="N8247" s="9"/>
      <c r="P8247" s="3">
        <v>0</v>
      </c>
      <c r="S8247" s="9"/>
      <c r="T8247" s="2"/>
      <c r="U8247" s="9"/>
    </row>
    <row r="8248" spans="2:21" x14ac:dyDescent="0.35">
      <c r="B8248" s="9"/>
      <c r="C8248" s="2"/>
      <c r="D8248" s="2"/>
      <c r="I8248" s="9"/>
      <c r="J8248" s="2"/>
      <c r="L8248" s="9"/>
      <c r="M8248" s="2"/>
      <c r="N8248" s="9"/>
      <c r="P8248" s="3">
        <v>0</v>
      </c>
      <c r="S8248" s="9"/>
      <c r="T8248" s="2"/>
      <c r="U8248" s="9"/>
    </row>
    <row r="8249" spans="2:21" x14ac:dyDescent="0.35">
      <c r="B8249" s="9"/>
      <c r="C8249" s="2"/>
      <c r="D8249" s="2"/>
      <c r="I8249" s="9"/>
      <c r="J8249" s="2"/>
      <c r="L8249" s="9"/>
      <c r="M8249" s="2"/>
      <c r="N8249" s="9"/>
      <c r="P8249" s="3">
        <v>0</v>
      </c>
      <c r="S8249" s="9"/>
      <c r="T8249" s="2"/>
      <c r="U8249" s="9"/>
    </row>
    <row r="8250" spans="2:21" x14ac:dyDescent="0.35">
      <c r="B8250" s="9"/>
      <c r="C8250" s="2"/>
      <c r="D8250" s="2"/>
      <c r="I8250" s="9"/>
      <c r="J8250" s="2"/>
      <c r="L8250" s="9"/>
      <c r="M8250" s="2"/>
      <c r="N8250" s="9"/>
      <c r="P8250" s="3">
        <v>0</v>
      </c>
      <c r="S8250" s="9"/>
      <c r="T8250" s="2"/>
      <c r="U8250" s="9"/>
    </row>
    <row r="8251" spans="2:21" x14ac:dyDescent="0.35">
      <c r="B8251" s="9"/>
      <c r="C8251" s="2"/>
      <c r="D8251" s="2"/>
      <c r="I8251" s="9"/>
      <c r="J8251" s="2"/>
      <c r="L8251" s="9"/>
      <c r="M8251" s="2"/>
      <c r="N8251" s="9"/>
      <c r="P8251" s="3">
        <v>0</v>
      </c>
      <c r="S8251" s="9"/>
      <c r="T8251" s="2"/>
      <c r="U8251" s="9"/>
    </row>
    <row r="8252" spans="2:21" x14ac:dyDescent="0.35">
      <c r="B8252" s="9"/>
      <c r="C8252" s="2"/>
      <c r="D8252" s="2"/>
      <c r="I8252" s="9"/>
      <c r="J8252" s="2"/>
      <c r="L8252" s="9"/>
      <c r="M8252" s="2"/>
      <c r="N8252" s="9"/>
      <c r="P8252" s="3">
        <v>0</v>
      </c>
      <c r="S8252" s="9"/>
      <c r="T8252" s="2"/>
      <c r="U8252" s="9"/>
    </row>
    <row r="8253" spans="2:21" x14ac:dyDescent="0.35">
      <c r="B8253" s="9"/>
      <c r="C8253" s="2"/>
      <c r="D8253" s="2"/>
      <c r="I8253" s="9"/>
      <c r="J8253" s="2"/>
      <c r="L8253" s="9"/>
      <c r="M8253" s="2"/>
      <c r="N8253" s="9"/>
      <c r="P8253" s="3">
        <v>0</v>
      </c>
      <c r="S8253" s="9"/>
      <c r="T8253" s="2"/>
      <c r="U8253" s="9"/>
    </row>
    <row r="8254" spans="2:21" x14ac:dyDescent="0.35">
      <c r="B8254" s="9"/>
      <c r="C8254" s="2"/>
      <c r="D8254" s="2"/>
      <c r="I8254" s="9"/>
      <c r="J8254" s="2"/>
      <c r="L8254" s="9"/>
      <c r="M8254" s="2"/>
      <c r="N8254" s="9"/>
      <c r="P8254" s="3">
        <v>0</v>
      </c>
      <c r="S8254" s="9"/>
      <c r="T8254" s="2"/>
      <c r="U8254" s="9"/>
    </row>
    <row r="8255" spans="2:21" x14ac:dyDescent="0.35">
      <c r="B8255" s="9"/>
      <c r="C8255" s="2"/>
      <c r="D8255" s="2"/>
      <c r="I8255" s="9"/>
      <c r="J8255" s="2"/>
      <c r="L8255" s="9"/>
      <c r="M8255" s="2"/>
      <c r="N8255" s="9"/>
      <c r="P8255" s="3">
        <v>0</v>
      </c>
      <c r="S8255" s="9"/>
      <c r="T8255" s="2"/>
      <c r="U8255" s="9"/>
    </row>
    <row r="8256" spans="2:21" x14ac:dyDescent="0.35">
      <c r="B8256" s="9"/>
      <c r="C8256" s="2"/>
      <c r="D8256" s="2"/>
      <c r="I8256" s="9"/>
      <c r="J8256" s="2"/>
      <c r="L8256" s="9"/>
      <c r="M8256" s="2"/>
      <c r="N8256" s="9"/>
      <c r="P8256" s="3">
        <v>0</v>
      </c>
      <c r="S8256" s="9"/>
      <c r="T8256" s="2"/>
      <c r="U8256" s="9"/>
    </row>
    <row r="8257" spans="2:21" x14ac:dyDescent="0.35">
      <c r="B8257" s="9"/>
      <c r="C8257" s="2"/>
      <c r="D8257" s="2"/>
      <c r="I8257" s="9"/>
      <c r="J8257" s="2"/>
      <c r="L8257" s="9"/>
      <c r="M8257" s="2"/>
      <c r="N8257" s="9"/>
      <c r="P8257" s="3">
        <v>0</v>
      </c>
      <c r="S8257" s="9"/>
      <c r="T8257" s="2"/>
      <c r="U8257" s="9"/>
    </row>
    <row r="8258" spans="2:21" x14ac:dyDescent="0.35">
      <c r="B8258" s="9"/>
      <c r="C8258" s="2"/>
      <c r="D8258" s="2"/>
      <c r="I8258" s="9"/>
      <c r="J8258" s="2"/>
      <c r="L8258" s="9"/>
      <c r="M8258" s="2"/>
      <c r="N8258" s="9"/>
      <c r="P8258" s="3">
        <v>0</v>
      </c>
      <c r="S8258" s="9"/>
      <c r="T8258" s="2"/>
      <c r="U8258" s="9"/>
    </row>
    <row r="8259" spans="2:21" x14ac:dyDescent="0.35">
      <c r="B8259" s="9"/>
      <c r="C8259" s="2"/>
      <c r="D8259" s="2"/>
      <c r="I8259" s="9"/>
      <c r="J8259" s="2"/>
      <c r="L8259" s="9"/>
      <c r="M8259" s="2"/>
      <c r="N8259" s="9"/>
      <c r="P8259" s="3">
        <v>0</v>
      </c>
      <c r="S8259" s="9"/>
      <c r="T8259" s="2"/>
      <c r="U8259" s="9"/>
    </row>
    <row r="8260" spans="2:21" x14ac:dyDescent="0.35">
      <c r="B8260" s="9"/>
      <c r="C8260" s="2"/>
      <c r="D8260" s="2"/>
      <c r="I8260" s="9"/>
      <c r="J8260" s="2"/>
      <c r="L8260" s="9"/>
      <c r="M8260" s="2"/>
      <c r="N8260" s="9"/>
      <c r="P8260" s="3">
        <v>0</v>
      </c>
      <c r="S8260" s="9"/>
      <c r="T8260" s="2"/>
      <c r="U8260" s="9"/>
    </row>
    <row r="8261" spans="2:21" x14ac:dyDescent="0.35">
      <c r="B8261" s="9"/>
      <c r="C8261" s="2"/>
      <c r="D8261" s="2"/>
      <c r="I8261" s="9"/>
      <c r="J8261" s="2"/>
      <c r="L8261" s="9"/>
      <c r="M8261" s="2"/>
      <c r="N8261" s="9"/>
      <c r="P8261" s="3">
        <v>0</v>
      </c>
      <c r="S8261" s="9"/>
      <c r="T8261" s="2"/>
      <c r="U8261" s="9"/>
    </row>
    <row r="8262" spans="2:21" x14ac:dyDescent="0.35">
      <c r="B8262" s="9"/>
      <c r="C8262" s="2"/>
      <c r="D8262" s="2"/>
      <c r="I8262" s="9"/>
      <c r="J8262" s="2"/>
      <c r="L8262" s="9"/>
      <c r="M8262" s="2"/>
      <c r="N8262" s="9"/>
      <c r="P8262" s="3">
        <v>0</v>
      </c>
      <c r="S8262" s="9"/>
      <c r="T8262" s="2"/>
      <c r="U8262" s="9"/>
    </row>
    <row r="8263" spans="2:21" x14ac:dyDescent="0.35">
      <c r="B8263" s="9"/>
      <c r="C8263" s="2"/>
      <c r="D8263" s="2"/>
      <c r="I8263" s="9"/>
      <c r="J8263" s="2"/>
      <c r="L8263" s="9"/>
      <c r="M8263" s="2"/>
      <c r="N8263" s="9"/>
      <c r="P8263" s="3">
        <v>0</v>
      </c>
      <c r="S8263" s="9"/>
      <c r="T8263" s="2"/>
      <c r="U8263" s="9"/>
    </row>
    <row r="8264" spans="2:21" x14ac:dyDescent="0.35">
      <c r="B8264" s="9"/>
      <c r="C8264" s="2"/>
      <c r="D8264" s="2"/>
      <c r="I8264" s="9"/>
      <c r="J8264" s="2"/>
      <c r="L8264" s="9"/>
      <c r="M8264" s="2"/>
      <c r="N8264" s="9"/>
      <c r="P8264" s="3">
        <v>0</v>
      </c>
      <c r="S8264" s="9"/>
      <c r="T8264" s="2"/>
      <c r="U8264" s="9"/>
    </row>
    <row r="8265" spans="2:21" x14ac:dyDescent="0.35">
      <c r="B8265" s="9"/>
      <c r="C8265" s="2"/>
      <c r="D8265" s="2"/>
      <c r="I8265" s="9"/>
      <c r="J8265" s="2"/>
      <c r="L8265" s="9"/>
      <c r="M8265" s="2"/>
      <c r="N8265" s="9"/>
      <c r="P8265" s="3">
        <v>0</v>
      </c>
      <c r="S8265" s="9"/>
      <c r="T8265" s="2"/>
      <c r="U8265" s="9"/>
    </row>
    <row r="8266" spans="2:21" x14ac:dyDescent="0.35">
      <c r="B8266" s="9"/>
      <c r="C8266" s="2"/>
      <c r="D8266" s="2"/>
      <c r="I8266" s="9"/>
      <c r="J8266" s="2"/>
      <c r="L8266" s="9"/>
      <c r="M8266" s="2"/>
      <c r="N8266" s="9"/>
      <c r="P8266" s="3">
        <v>0</v>
      </c>
      <c r="S8266" s="9"/>
      <c r="T8266" s="2"/>
      <c r="U8266" s="9"/>
    </row>
    <row r="8267" spans="2:21" x14ac:dyDescent="0.35">
      <c r="B8267" s="9"/>
      <c r="C8267" s="2"/>
      <c r="D8267" s="2"/>
      <c r="I8267" s="9"/>
      <c r="J8267" s="2"/>
      <c r="L8267" s="9"/>
      <c r="M8267" s="2"/>
      <c r="N8267" s="9"/>
      <c r="P8267" s="3">
        <v>0</v>
      </c>
      <c r="S8267" s="9"/>
      <c r="T8267" s="2"/>
      <c r="U8267" s="9"/>
    </row>
    <row r="8268" spans="2:21" x14ac:dyDescent="0.35">
      <c r="B8268" s="9"/>
      <c r="C8268" s="2"/>
      <c r="D8268" s="2"/>
      <c r="I8268" s="9"/>
      <c r="J8268" s="2"/>
      <c r="L8268" s="9"/>
      <c r="M8268" s="2"/>
      <c r="N8268" s="9"/>
      <c r="P8268" s="3">
        <v>0</v>
      </c>
      <c r="S8268" s="9"/>
      <c r="T8268" s="2"/>
      <c r="U8268" s="9"/>
    </row>
    <row r="8269" spans="2:21" x14ac:dyDescent="0.35">
      <c r="B8269" s="9"/>
      <c r="C8269" s="2"/>
      <c r="D8269" s="2"/>
      <c r="I8269" s="9"/>
      <c r="J8269" s="2"/>
      <c r="L8269" s="9"/>
      <c r="M8269" s="2"/>
      <c r="N8269" s="9"/>
      <c r="P8269" s="3">
        <v>0</v>
      </c>
      <c r="S8269" s="9"/>
      <c r="T8269" s="2"/>
      <c r="U8269" s="9"/>
    </row>
    <row r="8270" spans="2:21" x14ac:dyDescent="0.35">
      <c r="B8270" s="9"/>
      <c r="C8270" s="2"/>
      <c r="D8270" s="2"/>
      <c r="I8270" s="9"/>
      <c r="J8270" s="2"/>
      <c r="L8270" s="9"/>
      <c r="M8270" s="2"/>
      <c r="N8270" s="9"/>
      <c r="P8270" s="3">
        <v>0</v>
      </c>
      <c r="S8270" s="9"/>
      <c r="T8270" s="2"/>
      <c r="U8270" s="9"/>
    </row>
    <row r="8271" spans="2:21" x14ac:dyDescent="0.35">
      <c r="B8271" s="9"/>
      <c r="C8271" s="2"/>
      <c r="D8271" s="2"/>
      <c r="I8271" s="9"/>
      <c r="J8271" s="2"/>
      <c r="L8271" s="9"/>
      <c r="M8271" s="2"/>
      <c r="N8271" s="9"/>
      <c r="P8271" s="3">
        <v>0</v>
      </c>
      <c r="S8271" s="9"/>
      <c r="T8271" s="2"/>
      <c r="U8271" s="9"/>
    </row>
    <row r="8272" spans="2:21" x14ac:dyDescent="0.35">
      <c r="B8272" s="9"/>
      <c r="C8272" s="2"/>
      <c r="D8272" s="2"/>
      <c r="I8272" s="9"/>
      <c r="J8272" s="2"/>
      <c r="L8272" s="9"/>
      <c r="M8272" s="2"/>
      <c r="N8272" s="9"/>
      <c r="P8272" s="3">
        <v>0</v>
      </c>
      <c r="S8272" s="9"/>
      <c r="T8272" s="2"/>
      <c r="U8272" s="9"/>
    </row>
    <row r="8273" spans="2:21" x14ac:dyDescent="0.35">
      <c r="B8273" s="9"/>
      <c r="C8273" s="2"/>
      <c r="D8273" s="2"/>
      <c r="I8273" s="9"/>
      <c r="J8273" s="2"/>
      <c r="L8273" s="9"/>
      <c r="M8273" s="2"/>
      <c r="N8273" s="9"/>
      <c r="P8273" s="3">
        <v>0</v>
      </c>
      <c r="S8273" s="9"/>
      <c r="T8273" s="2"/>
      <c r="U8273" s="9"/>
    </row>
    <row r="8274" spans="2:21" x14ac:dyDescent="0.35">
      <c r="B8274" s="9"/>
      <c r="C8274" s="2"/>
      <c r="D8274" s="2"/>
      <c r="I8274" s="9"/>
      <c r="J8274" s="2"/>
      <c r="L8274" s="9"/>
      <c r="M8274" s="2"/>
      <c r="N8274" s="9"/>
      <c r="P8274" s="3">
        <v>0</v>
      </c>
      <c r="S8274" s="9"/>
      <c r="T8274" s="2"/>
      <c r="U8274" s="9"/>
    </row>
    <row r="8275" spans="2:21" x14ac:dyDescent="0.35">
      <c r="B8275" s="9"/>
      <c r="C8275" s="2"/>
      <c r="D8275" s="2"/>
      <c r="I8275" s="9"/>
      <c r="J8275" s="2"/>
      <c r="L8275" s="9"/>
      <c r="M8275" s="2"/>
      <c r="N8275" s="9"/>
      <c r="P8275" s="3">
        <v>0</v>
      </c>
      <c r="S8275" s="9"/>
      <c r="T8275" s="2"/>
      <c r="U8275" s="9"/>
    </row>
    <row r="8276" spans="2:21" x14ac:dyDescent="0.35">
      <c r="B8276" s="9"/>
      <c r="C8276" s="2"/>
      <c r="D8276" s="2"/>
      <c r="I8276" s="9"/>
      <c r="J8276" s="2"/>
      <c r="L8276" s="9"/>
      <c r="M8276" s="2"/>
      <c r="N8276" s="9"/>
      <c r="P8276" s="3">
        <v>0</v>
      </c>
      <c r="S8276" s="9"/>
      <c r="T8276" s="2"/>
      <c r="U8276" s="9"/>
    </row>
    <row r="8277" spans="2:21" x14ac:dyDescent="0.35">
      <c r="B8277" s="9"/>
      <c r="C8277" s="2"/>
      <c r="D8277" s="2"/>
      <c r="I8277" s="9"/>
      <c r="J8277" s="2"/>
      <c r="L8277" s="9"/>
      <c r="M8277" s="2"/>
      <c r="N8277" s="9"/>
      <c r="P8277" s="3">
        <v>0</v>
      </c>
      <c r="S8277" s="9"/>
      <c r="T8277" s="2"/>
      <c r="U8277" s="9"/>
    </row>
    <row r="8278" spans="2:21" x14ac:dyDescent="0.35">
      <c r="B8278" s="9"/>
      <c r="C8278" s="2"/>
      <c r="D8278" s="2"/>
      <c r="I8278" s="9"/>
      <c r="J8278" s="2"/>
      <c r="L8278" s="9"/>
      <c r="M8278" s="2"/>
      <c r="N8278" s="9"/>
      <c r="P8278" s="3">
        <v>-378.27026591999999</v>
      </c>
      <c r="S8278" s="9"/>
      <c r="T8278" s="2"/>
      <c r="U8278" s="9"/>
    </row>
    <row r="8279" spans="2:21" x14ac:dyDescent="0.35">
      <c r="B8279" s="9"/>
      <c r="C8279" s="2"/>
      <c r="D8279" s="2"/>
      <c r="I8279" s="9"/>
      <c r="J8279" s="2"/>
      <c r="L8279" s="9"/>
      <c r="M8279" s="2"/>
      <c r="N8279" s="9"/>
      <c r="P8279" s="3">
        <v>-813.03026592000003</v>
      </c>
      <c r="S8279" s="9"/>
      <c r="T8279" s="2"/>
      <c r="U8279" s="9"/>
    </row>
    <row r="8280" spans="2:21" x14ac:dyDescent="0.35">
      <c r="B8280" s="9"/>
      <c r="C8280" s="2"/>
      <c r="D8280" s="2"/>
      <c r="I8280" s="9"/>
      <c r="J8280" s="2"/>
      <c r="L8280" s="9"/>
      <c r="M8280" s="2"/>
      <c r="N8280" s="9"/>
      <c r="P8280" s="3">
        <v>-378.27026591999999</v>
      </c>
      <c r="S8280" s="9"/>
      <c r="T8280" s="2"/>
      <c r="U8280" s="9"/>
    </row>
    <row r="8281" spans="2:21" x14ac:dyDescent="0.35">
      <c r="B8281" s="9"/>
      <c r="C8281" s="2"/>
      <c r="D8281" s="2"/>
      <c r="I8281" s="9"/>
      <c r="J8281" s="2"/>
      <c r="L8281" s="9"/>
      <c r="M8281" s="2"/>
      <c r="N8281" s="9"/>
      <c r="P8281" s="3">
        <v>-544.99915667000005</v>
      </c>
      <c r="S8281" s="9"/>
      <c r="T8281" s="2"/>
      <c r="U8281" s="9"/>
    </row>
    <row r="8282" spans="2:21" x14ac:dyDescent="0.35">
      <c r="B8282" s="9"/>
      <c r="C8282" s="2"/>
      <c r="D8282" s="2"/>
      <c r="I8282" s="9"/>
      <c r="J8282" s="2"/>
      <c r="L8282" s="9"/>
      <c r="M8282" s="2"/>
      <c r="N8282" s="9"/>
      <c r="P8282" s="3">
        <v>-533.33902718000002</v>
      </c>
      <c r="S8282" s="9"/>
      <c r="T8282" s="2"/>
      <c r="U8282" s="9"/>
    </row>
    <row r="8283" spans="2:21" x14ac:dyDescent="0.35">
      <c r="B8283" s="9"/>
      <c r="C8283" s="2"/>
      <c r="D8283" s="2"/>
      <c r="I8283" s="9"/>
      <c r="J8283" s="2"/>
      <c r="L8283" s="9"/>
      <c r="M8283" s="2"/>
      <c r="N8283" s="9"/>
      <c r="P8283" s="3">
        <v>-430.89540755000002</v>
      </c>
      <c r="S8283" s="9"/>
      <c r="T8283" s="2"/>
      <c r="U8283" s="9"/>
    </row>
    <row r="8284" spans="2:21" x14ac:dyDescent="0.35">
      <c r="B8284" s="9"/>
      <c r="C8284" s="2"/>
      <c r="D8284" s="2"/>
      <c r="I8284" s="9"/>
      <c r="J8284" s="2"/>
      <c r="L8284" s="9"/>
      <c r="M8284" s="2"/>
      <c r="N8284" s="9"/>
      <c r="P8284" s="3">
        <v>-299.34954779999998</v>
      </c>
      <c r="S8284" s="9"/>
      <c r="T8284" s="2"/>
      <c r="U8284" s="9"/>
    </row>
    <row r="8285" spans="2:21" x14ac:dyDescent="0.35">
      <c r="B8285" s="9"/>
      <c r="C8285" s="2"/>
      <c r="D8285" s="2"/>
      <c r="I8285" s="9"/>
      <c r="J8285" s="2"/>
      <c r="L8285" s="9"/>
      <c r="M8285" s="2"/>
      <c r="N8285" s="9"/>
      <c r="P8285" s="3">
        <v>-202.84847780000001</v>
      </c>
      <c r="S8285" s="9"/>
      <c r="T8285" s="2"/>
      <c r="U8285" s="9"/>
    </row>
    <row r="8286" spans="2:21" x14ac:dyDescent="0.35">
      <c r="B8286" s="9"/>
      <c r="C8286" s="2"/>
      <c r="D8286" s="2"/>
      <c r="I8286" s="9"/>
      <c r="J8286" s="2"/>
      <c r="L8286" s="9"/>
      <c r="M8286" s="2"/>
      <c r="N8286" s="9"/>
      <c r="P8286" s="3">
        <v>27.581512419999999</v>
      </c>
      <c r="S8286" s="9"/>
      <c r="T8286" s="2"/>
      <c r="U8286" s="9"/>
    </row>
    <row r="8287" spans="2:21" x14ac:dyDescent="0.35">
      <c r="B8287" s="9"/>
      <c r="C8287" s="2"/>
      <c r="D8287" s="2"/>
      <c r="I8287" s="9"/>
      <c r="J8287" s="2"/>
      <c r="L8287" s="9"/>
      <c r="M8287" s="2"/>
      <c r="N8287" s="9"/>
      <c r="P8287" s="3">
        <v>99.377422420000002</v>
      </c>
      <c r="S8287" s="9"/>
      <c r="T8287" s="2"/>
      <c r="U8287" s="9"/>
    </row>
    <row r="8288" spans="2:21" x14ac:dyDescent="0.35">
      <c r="B8288" s="9"/>
      <c r="C8288" s="2"/>
      <c r="D8288" s="2"/>
      <c r="I8288" s="9"/>
      <c r="J8288" s="2"/>
      <c r="L8288" s="9"/>
      <c r="M8288" s="2"/>
      <c r="N8288" s="9"/>
      <c r="P8288" s="3">
        <v>157.00812242000001</v>
      </c>
      <c r="S8288" s="9"/>
      <c r="T8288" s="2"/>
      <c r="U8288" s="9"/>
    </row>
    <row r="8289" spans="2:21" x14ac:dyDescent="0.35">
      <c r="B8289" s="9"/>
      <c r="C8289" s="2"/>
      <c r="D8289" s="2"/>
      <c r="I8289" s="9"/>
      <c r="J8289" s="2"/>
      <c r="L8289" s="9"/>
      <c r="M8289" s="2"/>
      <c r="N8289" s="9"/>
      <c r="P8289" s="3">
        <v>215.99847242000001</v>
      </c>
      <c r="S8289" s="9"/>
      <c r="T8289" s="2"/>
      <c r="U8289" s="9"/>
    </row>
    <row r="8290" spans="2:21" x14ac:dyDescent="0.35">
      <c r="B8290" s="9"/>
      <c r="C8290" s="2"/>
      <c r="D8290" s="2"/>
      <c r="I8290" s="9"/>
      <c r="J8290" s="2"/>
      <c r="L8290" s="9"/>
      <c r="M8290" s="2"/>
      <c r="N8290" s="9"/>
      <c r="P8290" s="3">
        <v>224.14714241999999</v>
      </c>
      <c r="S8290" s="9"/>
      <c r="T8290" s="2"/>
      <c r="U8290" s="9"/>
    </row>
    <row r="8291" spans="2:21" x14ac:dyDescent="0.35">
      <c r="B8291" s="9"/>
      <c r="C8291" s="2"/>
      <c r="D8291" s="2"/>
      <c r="I8291" s="9"/>
      <c r="J8291" s="2"/>
      <c r="L8291" s="9"/>
      <c r="M8291" s="2"/>
      <c r="N8291" s="9"/>
      <c r="P8291" s="3">
        <v>323.58964889999999</v>
      </c>
      <c r="S8291" s="9"/>
      <c r="T8291" s="2"/>
      <c r="U8291" s="9"/>
    </row>
    <row r="8292" spans="2:21" x14ac:dyDescent="0.35">
      <c r="B8292" s="9"/>
      <c r="C8292" s="2"/>
      <c r="D8292" s="2"/>
      <c r="I8292" s="9"/>
      <c r="J8292" s="2"/>
      <c r="L8292" s="9"/>
      <c r="M8292" s="2"/>
      <c r="N8292" s="9"/>
      <c r="P8292" s="3">
        <v>399.32312538000002</v>
      </c>
      <c r="S8292" s="9"/>
      <c r="T8292" s="2"/>
      <c r="U8292" s="9"/>
    </row>
    <row r="8293" spans="2:21" x14ac:dyDescent="0.35">
      <c r="B8293" s="9"/>
      <c r="C8293" s="2"/>
      <c r="D8293" s="2"/>
      <c r="I8293" s="9"/>
      <c r="J8293" s="2"/>
      <c r="L8293" s="9"/>
      <c r="M8293" s="2"/>
      <c r="N8293" s="9"/>
      <c r="P8293" s="3">
        <v>474.17377783000001</v>
      </c>
      <c r="S8293" s="9"/>
      <c r="T8293" s="2"/>
      <c r="U8293" s="9"/>
    </row>
    <row r="8294" spans="2:21" x14ac:dyDescent="0.35">
      <c r="B8294" s="9"/>
      <c r="C8294" s="2"/>
      <c r="D8294" s="2"/>
      <c r="I8294" s="9"/>
      <c r="J8294" s="2"/>
      <c r="L8294" s="9"/>
      <c r="M8294" s="2"/>
      <c r="N8294" s="9"/>
      <c r="P8294" s="3">
        <v>562.34432431000005</v>
      </c>
      <c r="S8294" s="9"/>
      <c r="T8294" s="2"/>
      <c r="U8294" s="9"/>
    </row>
    <row r="8295" spans="2:21" x14ac:dyDescent="0.35">
      <c r="B8295" s="9"/>
      <c r="C8295" s="2"/>
      <c r="D8295" s="2"/>
      <c r="I8295" s="9"/>
      <c r="J8295" s="2"/>
      <c r="L8295" s="9"/>
      <c r="M8295" s="2"/>
      <c r="N8295" s="9"/>
      <c r="P8295" s="3">
        <v>127.58432431</v>
      </c>
      <c r="S8295" s="9"/>
      <c r="T8295" s="2"/>
      <c r="U8295" s="9"/>
    </row>
    <row r="8296" spans="2:21" x14ac:dyDescent="0.35">
      <c r="B8296" s="9"/>
      <c r="C8296" s="2"/>
      <c r="D8296" s="2"/>
      <c r="I8296" s="9"/>
      <c r="J8296" s="2"/>
      <c r="L8296" s="9"/>
      <c r="M8296" s="2"/>
      <c r="N8296" s="9"/>
      <c r="P8296" s="3">
        <v>-307.17567568999999</v>
      </c>
      <c r="S8296" s="9"/>
      <c r="T8296" s="2"/>
      <c r="U8296" s="9"/>
    </row>
    <row r="8297" spans="2:21" x14ac:dyDescent="0.35">
      <c r="B8297" s="9"/>
      <c r="C8297" s="2"/>
      <c r="D8297" s="2"/>
      <c r="I8297" s="9"/>
      <c r="J8297" s="2"/>
      <c r="L8297" s="9"/>
      <c r="M8297" s="2"/>
      <c r="N8297" s="9"/>
      <c r="P8297" s="3">
        <v>0</v>
      </c>
      <c r="S8297" s="9"/>
      <c r="T8297" s="2"/>
      <c r="U8297" s="9"/>
    </row>
    <row r="8298" spans="2:21" x14ac:dyDescent="0.35">
      <c r="B8298" s="9"/>
      <c r="C8298" s="2"/>
      <c r="D8298" s="2"/>
      <c r="I8298" s="9"/>
      <c r="J8298" s="2"/>
      <c r="L8298" s="9"/>
      <c r="M8298" s="2"/>
      <c r="N8298" s="9"/>
      <c r="P8298" s="3">
        <v>0</v>
      </c>
      <c r="S8298" s="9"/>
      <c r="T8298" s="2"/>
      <c r="U8298" s="9"/>
    </row>
    <row r="8299" spans="2:21" x14ac:dyDescent="0.35">
      <c r="B8299" s="9"/>
      <c r="C8299" s="2"/>
      <c r="D8299" s="2"/>
      <c r="I8299" s="9"/>
      <c r="J8299" s="2"/>
      <c r="L8299" s="9"/>
      <c r="M8299" s="2"/>
      <c r="N8299" s="9"/>
      <c r="P8299" s="3">
        <v>0</v>
      </c>
      <c r="S8299" s="9"/>
      <c r="T8299" s="2"/>
      <c r="U8299" s="9"/>
    </row>
    <row r="8300" spans="2:21" x14ac:dyDescent="0.35">
      <c r="B8300" s="9"/>
      <c r="C8300" s="2"/>
      <c r="D8300" s="2"/>
      <c r="I8300" s="9"/>
      <c r="J8300" s="2"/>
      <c r="L8300" s="9"/>
      <c r="M8300" s="2"/>
      <c r="N8300" s="9"/>
      <c r="P8300" s="3">
        <v>-70.636234990000005</v>
      </c>
      <c r="S8300" s="9"/>
      <c r="T8300" s="2"/>
      <c r="U8300" s="9"/>
    </row>
    <row r="8301" spans="2:21" x14ac:dyDescent="0.35">
      <c r="B8301" s="9"/>
      <c r="C8301" s="2"/>
      <c r="D8301" s="2"/>
      <c r="I8301" s="9"/>
      <c r="J8301" s="2"/>
      <c r="L8301" s="9"/>
      <c r="M8301" s="2"/>
      <c r="N8301" s="9"/>
      <c r="P8301" s="3">
        <v>-505.39623498999998</v>
      </c>
      <c r="S8301" s="9"/>
      <c r="T8301" s="2"/>
      <c r="U8301" s="9"/>
    </row>
    <row r="8302" spans="2:21" x14ac:dyDescent="0.35">
      <c r="B8302" s="9"/>
      <c r="C8302" s="2"/>
      <c r="D8302" s="2"/>
      <c r="I8302" s="9"/>
      <c r="J8302" s="2"/>
      <c r="L8302" s="9"/>
      <c r="M8302" s="2"/>
      <c r="N8302" s="9"/>
      <c r="P8302" s="3">
        <v>-286.25126569000003</v>
      </c>
      <c r="S8302" s="9"/>
      <c r="T8302" s="2"/>
      <c r="U8302" s="9"/>
    </row>
    <row r="8303" spans="2:21" x14ac:dyDescent="0.35">
      <c r="B8303" s="9"/>
      <c r="C8303" s="2"/>
      <c r="D8303" s="2"/>
      <c r="I8303" s="9"/>
      <c r="J8303" s="2"/>
      <c r="L8303" s="9"/>
      <c r="M8303" s="2"/>
      <c r="N8303" s="9"/>
      <c r="P8303" s="3">
        <v>148.50873430999999</v>
      </c>
      <c r="S8303" s="9"/>
      <c r="T8303" s="2"/>
      <c r="U8303" s="9"/>
    </row>
    <row r="8304" spans="2:21" x14ac:dyDescent="0.35">
      <c r="B8304" s="9"/>
      <c r="C8304" s="2"/>
      <c r="D8304" s="2"/>
      <c r="I8304" s="9"/>
      <c r="J8304" s="2"/>
      <c r="L8304" s="9"/>
      <c r="M8304" s="2"/>
      <c r="N8304" s="9"/>
      <c r="P8304" s="3">
        <v>583.26873431000001</v>
      </c>
      <c r="S8304" s="9"/>
      <c r="T8304" s="2"/>
      <c r="U8304" s="9"/>
    </row>
    <row r="8305" spans="2:21" x14ac:dyDescent="0.35">
      <c r="B8305" s="9"/>
      <c r="C8305" s="2"/>
      <c r="D8305" s="2"/>
      <c r="I8305" s="9"/>
      <c r="J8305" s="2"/>
      <c r="L8305" s="9"/>
      <c r="M8305" s="2"/>
      <c r="N8305" s="9"/>
      <c r="P8305" s="3">
        <v>346.33078354999998</v>
      </c>
      <c r="S8305" s="9"/>
      <c r="T8305" s="2"/>
      <c r="U8305" s="9"/>
    </row>
    <row r="8306" spans="2:21" x14ac:dyDescent="0.35">
      <c r="B8306" s="9"/>
      <c r="C8306" s="2"/>
      <c r="D8306" s="2"/>
      <c r="I8306" s="9"/>
      <c r="J8306" s="2"/>
      <c r="L8306" s="9"/>
      <c r="M8306" s="2"/>
      <c r="N8306" s="9"/>
      <c r="P8306" s="3">
        <v>186.02252304999999</v>
      </c>
      <c r="S8306" s="9"/>
      <c r="T8306" s="2"/>
      <c r="U8306" s="9"/>
    </row>
    <row r="8307" spans="2:21" x14ac:dyDescent="0.35">
      <c r="B8307" s="9"/>
      <c r="C8307" s="2"/>
      <c r="D8307" s="2"/>
      <c r="I8307" s="9"/>
      <c r="J8307" s="2"/>
      <c r="L8307" s="9"/>
      <c r="M8307" s="2"/>
      <c r="N8307" s="9"/>
      <c r="P8307" s="3">
        <v>124.40289267999999</v>
      </c>
      <c r="S8307" s="9"/>
      <c r="T8307" s="2"/>
      <c r="U8307" s="9"/>
    </row>
    <row r="8308" spans="2:21" x14ac:dyDescent="0.35">
      <c r="B8308" s="9"/>
      <c r="C8308" s="2"/>
      <c r="D8308" s="2"/>
      <c r="I8308" s="9"/>
      <c r="J8308" s="2"/>
      <c r="L8308" s="9"/>
      <c r="M8308" s="2"/>
      <c r="N8308" s="9"/>
      <c r="P8308" s="3">
        <v>101.63948241999999</v>
      </c>
      <c r="S8308" s="9"/>
      <c r="T8308" s="2"/>
      <c r="U8308" s="9"/>
    </row>
    <row r="8309" spans="2:21" x14ac:dyDescent="0.35">
      <c r="B8309" s="9"/>
      <c r="C8309" s="2"/>
      <c r="D8309" s="2"/>
      <c r="I8309" s="9"/>
      <c r="J8309" s="2"/>
      <c r="L8309" s="9"/>
      <c r="M8309" s="2"/>
      <c r="N8309" s="9"/>
      <c r="P8309" s="3">
        <v>78.964922419999994</v>
      </c>
      <c r="S8309" s="9"/>
      <c r="T8309" s="2"/>
      <c r="U8309" s="9"/>
    </row>
    <row r="8310" spans="2:21" x14ac:dyDescent="0.35">
      <c r="B8310" s="9"/>
      <c r="C8310" s="2"/>
      <c r="D8310" s="2"/>
      <c r="I8310" s="9"/>
      <c r="J8310" s="2"/>
      <c r="L8310" s="9"/>
      <c r="M8310" s="2"/>
      <c r="N8310" s="9"/>
      <c r="P8310" s="3">
        <v>163.24773880999999</v>
      </c>
      <c r="S8310" s="9"/>
      <c r="T8310" s="2"/>
      <c r="U8310" s="9"/>
    </row>
    <row r="8311" spans="2:21" x14ac:dyDescent="0.35">
      <c r="B8311" s="9"/>
      <c r="C8311" s="2"/>
      <c r="D8311" s="2"/>
      <c r="I8311" s="9"/>
      <c r="J8311" s="2"/>
      <c r="L8311" s="9"/>
      <c r="M8311" s="2"/>
      <c r="N8311" s="9"/>
      <c r="P8311" s="3">
        <v>215.64147881</v>
      </c>
      <c r="S8311" s="9"/>
      <c r="T8311" s="2"/>
      <c r="U8311" s="9"/>
    </row>
    <row r="8312" spans="2:21" x14ac:dyDescent="0.35">
      <c r="B8312" s="9"/>
      <c r="C8312" s="2"/>
      <c r="D8312" s="2"/>
      <c r="I8312" s="9"/>
      <c r="J8312" s="2"/>
      <c r="L8312" s="9"/>
      <c r="M8312" s="2"/>
      <c r="N8312" s="9"/>
      <c r="P8312" s="3">
        <v>294.17244880999999</v>
      </c>
      <c r="S8312" s="9"/>
      <c r="T8312" s="2"/>
      <c r="U8312" s="9"/>
    </row>
    <row r="8313" spans="2:21" x14ac:dyDescent="0.35">
      <c r="B8313" s="9"/>
      <c r="C8313" s="2"/>
      <c r="D8313" s="2"/>
      <c r="I8313" s="9"/>
      <c r="J8313" s="2"/>
      <c r="L8313" s="9"/>
      <c r="M8313" s="2"/>
      <c r="N8313" s="9"/>
      <c r="P8313" s="3">
        <v>397.21332881000001</v>
      </c>
      <c r="S8313" s="9"/>
      <c r="T8313" s="2"/>
      <c r="U8313" s="9"/>
    </row>
    <row r="8314" spans="2:21" x14ac:dyDescent="0.35">
      <c r="B8314" s="9"/>
      <c r="C8314" s="2"/>
      <c r="D8314" s="2"/>
      <c r="I8314" s="9"/>
      <c r="J8314" s="2"/>
      <c r="L8314" s="9"/>
      <c r="M8314" s="2"/>
      <c r="N8314" s="9"/>
      <c r="P8314" s="3">
        <v>505.24124881</v>
      </c>
      <c r="S8314" s="9"/>
      <c r="T8314" s="2"/>
      <c r="U8314" s="9"/>
    </row>
    <row r="8315" spans="2:21" x14ac:dyDescent="0.35">
      <c r="B8315" s="9"/>
      <c r="C8315" s="2"/>
      <c r="D8315" s="2"/>
      <c r="I8315" s="9"/>
      <c r="J8315" s="2"/>
      <c r="L8315" s="9"/>
      <c r="M8315" s="2"/>
      <c r="N8315" s="9"/>
      <c r="P8315" s="3">
        <v>684.94570528999998</v>
      </c>
      <c r="S8315" s="9"/>
      <c r="T8315" s="2"/>
      <c r="U8315" s="9"/>
    </row>
    <row r="8316" spans="2:21" x14ac:dyDescent="0.35">
      <c r="B8316" s="9"/>
      <c r="C8316" s="2"/>
      <c r="D8316" s="2"/>
      <c r="I8316" s="9"/>
      <c r="J8316" s="2"/>
      <c r="L8316" s="9"/>
      <c r="M8316" s="2"/>
      <c r="N8316" s="9"/>
      <c r="P8316" s="3">
        <v>852.48147175999998</v>
      </c>
      <c r="S8316" s="9"/>
      <c r="T8316" s="2"/>
      <c r="U8316" s="9"/>
    </row>
    <row r="8317" spans="2:21" x14ac:dyDescent="0.35">
      <c r="B8317" s="9"/>
      <c r="C8317" s="2"/>
      <c r="D8317" s="2"/>
      <c r="I8317" s="9"/>
      <c r="J8317" s="2"/>
      <c r="L8317" s="9"/>
      <c r="M8317" s="2"/>
      <c r="N8317" s="9"/>
      <c r="P8317" s="3">
        <v>948.10246422</v>
      </c>
      <c r="S8317" s="9"/>
      <c r="T8317" s="2"/>
      <c r="U8317" s="9"/>
    </row>
    <row r="8318" spans="2:21" x14ac:dyDescent="0.35">
      <c r="B8318" s="9"/>
      <c r="C8318" s="2"/>
      <c r="D8318" s="2"/>
      <c r="I8318" s="9"/>
      <c r="J8318" s="2"/>
      <c r="L8318" s="9"/>
      <c r="M8318" s="2"/>
      <c r="N8318" s="9"/>
      <c r="P8318" s="3">
        <v>1056.66066069</v>
      </c>
      <c r="S8318" s="9"/>
      <c r="T8318" s="2"/>
      <c r="U8318" s="9"/>
    </row>
    <row r="8319" spans="2:21" x14ac:dyDescent="0.35">
      <c r="B8319" s="9"/>
      <c r="C8319" s="2"/>
      <c r="D8319" s="2"/>
      <c r="I8319" s="9"/>
      <c r="J8319" s="2"/>
      <c r="L8319" s="9"/>
      <c r="M8319" s="2"/>
      <c r="N8319" s="9"/>
      <c r="P8319" s="3">
        <v>621.90066069</v>
      </c>
      <c r="S8319" s="9"/>
      <c r="T8319" s="2"/>
      <c r="U8319" s="9"/>
    </row>
    <row r="8320" spans="2:21" x14ac:dyDescent="0.35">
      <c r="B8320" s="9"/>
      <c r="C8320" s="2"/>
      <c r="D8320" s="2"/>
      <c r="I8320" s="9"/>
      <c r="J8320" s="2"/>
      <c r="L8320" s="9"/>
      <c r="M8320" s="2"/>
      <c r="N8320" s="9"/>
      <c r="P8320" s="3">
        <v>187.14066069</v>
      </c>
      <c r="S8320" s="9"/>
      <c r="T8320" s="2"/>
      <c r="U8320" s="9"/>
    </row>
    <row r="8321" spans="2:21" x14ac:dyDescent="0.35">
      <c r="B8321" s="9"/>
      <c r="C8321" s="2"/>
      <c r="D8321" s="2"/>
      <c r="I8321" s="9"/>
      <c r="J8321" s="2"/>
      <c r="L8321" s="9"/>
      <c r="M8321" s="2"/>
      <c r="N8321" s="9"/>
      <c r="P8321" s="3">
        <v>-247.61933930999999</v>
      </c>
      <c r="S8321" s="9"/>
      <c r="T8321" s="2"/>
      <c r="U8321" s="9"/>
    </row>
    <row r="8322" spans="2:21" x14ac:dyDescent="0.35">
      <c r="B8322" s="9"/>
      <c r="C8322" s="2"/>
      <c r="D8322" s="2"/>
      <c r="I8322" s="9"/>
      <c r="J8322" s="2"/>
      <c r="L8322" s="9"/>
      <c r="M8322" s="2"/>
      <c r="N8322" s="9"/>
      <c r="P8322" s="3">
        <v>-663.79707265000002</v>
      </c>
      <c r="S8322" s="9"/>
      <c r="T8322" s="2"/>
      <c r="U8322" s="9"/>
    </row>
    <row r="8323" spans="2:21" x14ac:dyDescent="0.35">
      <c r="B8323" s="9"/>
      <c r="C8323" s="2"/>
      <c r="D8323" s="2"/>
      <c r="I8323" s="9"/>
      <c r="J8323" s="2"/>
      <c r="L8323" s="9"/>
      <c r="M8323" s="2"/>
      <c r="N8323" s="9"/>
      <c r="P8323" s="3">
        <v>-229.03707265</v>
      </c>
      <c r="S8323" s="9"/>
      <c r="T8323" s="2"/>
      <c r="U8323" s="9"/>
    </row>
    <row r="8324" spans="2:21" x14ac:dyDescent="0.35">
      <c r="B8324" s="9"/>
      <c r="C8324" s="2"/>
      <c r="D8324" s="2"/>
      <c r="I8324" s="9"/>
      <c r="J8324" s="2"/>
      <c r="L8324" s="9"/>
      <c r="M8324" s="2"/>
      <c r="N8324" s="9"/>
      <c r="P8324" s="3">
        <v>0</v>
      </c>
      <c r="S8324" s="9"/>
      <c r="T8324" s="2"/>
      <c r="U8324" s="9"/>
    </row>
    <row r="8325" spans="2:21" x14ac:dyDescent="0.35">
      <c r="B8325" s="9"/>
      <c r="C8325" s="2"/>
      <c r="D8325" s="2"/>
      <c r="I8325" s="9"/>
      <c r="J8325" s="2"/>
      <c r="L8325" s="9"/>
      <c r="M8325" s="2"/>
      <c r="N8325" s="9"/>
      <c r="P8325" s="3">
        <v>89.460280690000005</v>
      </c>
      <c r="S8325" s="9"/>
      <c r="T8325" s="2"/>
      <c r="U8325" s="9"/>
    </row>
    <row r="8326" spans="2:21" x14ac:dyDescent="0.35">
      <c r="B8326" s="9"/>
      <c r="C8326" s="2"/>
      <c r="D8326" s="2"/>
      <c r="I8326" s="9"/>
      <c r="J8326" s="2"/>
      <c r="L8326" s="9"/>
      <c r="M8326" s="2"/>
      <c r="N8326" s="9"/>
      <c r="P8326" s="3">
        <v>524.22028068999998</v>
      </c>
      <c r="S8326" s="9"/>
      <c r="T8326" s="2"/>
      <c r="U8326" s="9"/>
    </row>
    <row r="8327" spans="2:21" x14ac:dyDescent="0.35">
      <c r="B8327" s="9"/>
      <c r="C8327" s="2"/>
      <c r="D8327" s="2"/>
      <c r="I8327" s="9"/>
      <c r="J8327" s="2"/>
      <c r="L8327" s="9"/>
      <c r="M8327" s="2"/>
      <c r="N8327" s="9"/>
      <c r="P8327" s="3">
        <v>958.98028068999997</v>
      </c>
      <c r="S8327" s="9"/>
      <c r="T8327" s="2"/>
      <c r="U8327" s="9"/>
    </row>
    <row r="8328" spans="2:21" x14ac:dyDescent="0.35">
      <c r="B8328" s="9"/>
      <c r="C8328" s="2"/>
      <c r="D8328" s="2"/>
      <c r="I8328" s="9"/>
      <c r="J8328" s="2"/>
      <c r="L8328" s="9"/>
      <c r="M8328" s="2"/>
      <c r="N8328" s="9"/>
      <c r="P8328" s="3">
        <v>1383.7860606900001</v>
      </c>
      <c r="S8328" s="9"/>
      <c r="T8328" s="2"/>
      <c r="U8328" s="9"/>
    </row>
    <row r="8329" spans="2:21" x14ac:dyDescent="0.35">
      <c r="B8329" s="9"/>
      <c r="C8329" s="2"/>
      <c r="D8329" s="2"/>
      <c r="I8329" s="9"/>
      <c r="J8329" s="2"/>
      <c r="L8329" s="9"/>
      <c r="M8329" s="2"/>
      <c r="N8329" s="9"/>
      <c r="P8329" s="3">
        <v>1088.2063699400001</v>
      </c>
      <c r="S8329" s="9"/>
      <c r="T8329" s="2"/>
      <c r="U8329" s="9"/>
    </row>
    <row r="8330" spans="2:21" x14ac:dyDescent="0.35">
      <c r="B8330" s="9"/>
      <c r="C8330" s="2"/>
      <c r="D8330" s="2"/>
      <c r="I8330" s="9"/>
      <c r="J8330" s="2"/>
      <c r="L8330" s="9"/>
      <c r="M8330" s="2"/>
      <c r="N8330" s="9"/>
      <c r="P8330" s="3">
        <v>859.55208944000003</v>
      </c>
      <c r="S8330" s="9"/>
      <c r="T8330" s="2"/>
      <c r="U8330" s="9"/>
    </row>
    <row r="8331" spans="2:21" x14ac:dyDescent="0.35">
      <c r="B8331" s="9"/>
      <c r="C8331" s="2"/>
      <c r="D8331" s="2"/>
      <c r="I8331" s="9"/>
      <c r="J8331" s="2"/>
      <c r="L8331" s="9"/>
      <c r="M8331" s="2"/>
      <c r="N8331" s="9"/>
      <c r="P8331" s="3">
        <v>678.99609906000001</v>
      </c>
      <c r="S8331" s="9"/>
      <c r="T8331" s="2"/>
      <c r="U8331" s="9"/>
    </row>
    <row r="8332" spans="2:21" x14ac:dyDescent="0.35">
      <c r="B8332" s="9"/>
      <c r="C8332" s="2"/>
      <c r="D8332" s="2"/>
      <c r="I8332" s="9"/>
      <c r="J8332" s="2"/>
      <c r="L8332" s="9"/>
      <c r="M8332" s="2"/>
      <c r="N8332" s="9"/>
      <c r="P8332" s="3">
        <v>602.96351880999998</v>
      </c>
      <c r="S8332" s="9"/>
      <c r="T8332" s="2"/>
      <c r="U8332" s="9"/>
    </row>
    <row r="8333" spans="2:21" x14ac:dyDescent="0.35">
      <c r="B8333" s="9"/>
      <c r="C8333" s="2"/>
      <c r="D8333" s="2"/>
      <c r="I8333" s="9"/>
      <c r="J8333" s="2"/>
      <c r="L8333" s="9"/>
      <c r="M8333" s="2"/>
      <c r="N8333" s="9"/>
      <c r="P8333" s="3">
        <v>595.66400881000004</v>
      </c>
      <c r="S8333" s="9"/>
      <c r="T8333" s="2"/>
      <c r="U8333" s="9"/>
    </row>
    <row r="8334" spans="2:21" x14ac:dyDescent="0.35">
      <c r="B8334" s="9"/>
      <c r="C8334" s="2"/>
      <c r="D8334" s="2"/>
      <c r="I8334" s="9"/>
      <c r="J8334" s="2"/>
      <c r="L8334" s="9"/>
      <c r="M8334" s="2"/>
      <c r="N8334" s="9"/>
      <c r="P8334" s="3">
        <v>514.66672584000003</v>
      </c>
      <c r="S8334" s="9"/>
      <c r="T8334" s="2"/>
      <c r="U8334" s="9"/>
    </row>
    <row r="8335" spans="2:21" x14ac:dyDescent="0.35">
      <c r="B8335" s="9"/>
      <c r="C8335" s="2"/>
      <c r="D8335" s="2"/>
      <c r="I8335" s="9"/>
      <c r="J8335" s="2"/>
      <c r="L8335" s="9"/>
      <c r="M8335" s="2"/>
      <c r="N8335" s="9"/>
      <c r="P8335" s="3">
        <v>592.11636583999996</v>
      </c>
      <c r="S8335" s="9"/>
      <c r="T8335" s="2"/>
      <c r="U8335" s="9"/>
    </row>
    <row r="8336" spans="2:21" x14ac:dyDescent="0.35">
      <c r="B8336" s="9"/>
      <c r="C8336" s="2"/>
      <c r="D8336" s="2"/>
      <c r="I8336" s="9"/>
      <c r="J8336" s="2"/>
      <c r="L8336" s="9"/>
      <c r="M8336" s="2"/>
      <c r="N8336" s="9"/>
      <c r="P8336" s="3">
        <v>610.15533584000002</v>
      </c>
      <c r="S8336" s="9"/>
      <c r="T8336" s="2"/>
      <c r="U8336" s="9"/>
    </row>
    <row r="8337" spans="2:21" x14ac:dyDescent="0.35">
      <c r="B8337" s="9"/>
      <c r="C8337" s="2"/>
      <c r="D8337" s="2"/>
      <c r="I8337" s="9"/>
      <c r="J8337" s="2"/>
      <c r="L8337" s="9"/>
      <c r="M8337" s="2"/>
      <c r="N8337" s="9"/>
      <c r="P8337" s="3">
        <v>563.70500584000001</v>
      </c>
      <c r="S8337" s="9"/>
      <c r="T8337" s="2"/>
      <c r="U8337" s="9"/>
    </row>
    <row r="8338" spans="2:21" x14ac:dyDescent="0.35">
      <c r="B8338" s="9"/>
      <c r="C8338" s="2"/>
      <c r="D8338" s="2"/>
      <c r="I8338" s="9"/>
      <c r="J8338" s="2"/>
      <c r="L8338" s="9"/>
      <c r="M8338" s="2"/>
      <c r="N8338" s="9"/>
      <c r="P8338" s="3">
        <v>521.26617583999996</v>
      </c>
      <c r="S8338" s="9"/>
      <c r="T8338" s="2"/>
      <c r="U8338" s="9"/>
    </row>
    <row r="8339" spans="2:21" x14ac:dyDescent="0.35">
      <c r="B8339" s="9"/>
      <c r="C8339" s="2"/>
      <c r="D8339" s="2"/>
      <c r="I8339" s="9"/>
      <c r="J8339" s="2"/>
      <c r="L8339" s="9"/>
      <c r="M8339" s="2"/>
      <c r="N8339" s="9"/>
      <c r="P8339" s="3">
        <v>567.67239230999996</v>
      </c>
      <c r="S8339" s="9"/>
      <c r="T8339" s="2"/>
      <c r="U8339" s="9"/>
    </row>
    <row r="8340" spans="2:21" x14ac:dyDescent="0.35">
      <c r="B8340" s="9"/>
      <c r="C8340" s="2"/>
      <c r="D8340" s="2"/>
      <c r="I8340" s="9"/>
      <c r="J8340" s="2"/>
      <c r="L8340" s="9"/>
      <c r="M8340" s="2"/>
      <c r="N8340" s="9"/>
      <c r="P8340" s="3">
        <v>511.94865879000002</v>
      </c>
      <c r="S8340" s="9"/>
      <c r="T8340" s="2"/>
      <c r="U8340" s="9"/>
    </row>
    <row r="8341" spans="2:21" x14ac:dyDescent="0.35">
      <c r="B8341" s="9"/>
      <c r="C8341" s="2"/>
      <c r="D8341" s="2"/>
      <c r="I8341" s="9"/>
      <c r="J8341" s="2"/>
      <c r="L8341" s="9"/>
      <c r="M8341" s="2"/>
      <c r="N8341" s="9"/>
      <c r="P8341" s="3">
        <v>482.62172124</v>
      </c>
      <c r="S8341" s="9"/>
      <c r="T8341" s="2"/>
      <c r="U8341" s="9"/>
    </row>
    <row r="8342" spans="2:21" x14ac:dyDescent="0.35">
      <c r="B8342" s="9"/>
      <c r="C8342" s="2"/>
      <c r="D8342" s="2"/>
      <c r="I8342" s="9"/>
      <c r="J8342" s="2"/>
      <c r="L8342" s="9"/>
      <c r="M8342" s="2"/>
      <c r="N8342" s="9"/>
      <c r="P8342" s="3">
        <v>564.93618772000002</v>
      </c>
      <c r="S8342" s="9"/>
      <c r="T8342" s="2"/>
      <c r="U8342" s="9"/>
    </row>
    <row r="8343" spans="2:21" x14ac:dyDescent="0.35">
      <c r="B8343" s="9"/>
      <c r="C8343" s="2"/>
      <c r="D8343" s="2"/>
      <c r="I8343" s="9"/>
      <c r="J8343" s="2"/>
      <c r="L8343" s="9"/>
      <c r="M8343" s="2"/>
      <c r="N8343" s="9"/>
      <c r="P8343" s="3">
        <v>265.05845771999998</v>
      </c>
      <c r="S8343" s="9"/>
      <c r="T8343" s="2"/>
      <c r="U8343" s="9"/>
    </row>
    <row r="8344" spans="2:21" x14ac:dyDescent="0.35">
      <c r="B8344" s="9"/>
      <c r="C8344" s="2"/>
      <c r="D8344" s="2"/>
      <c r="I8344" s="9"/>
      <c r="J8344" s="2"/>
      <c r="L8344" s="9"/>
      <c r="M8344" s="2"/>
      <c r="N8344" s="9"/>
      <c r="P8344" s="3">
        <v>-169.70154228000001</v>
      </c>
      <c r="S8344" s="9"/>
      <c r="T8344" s="2"/>
      <c r="U8344" s="9"/>
    </row>
    <row r="8345" spans="2:21" x14ac:dyDescent="0.35">
      <c r="B8345" s="9"/>
      <c r="C8345" s="2"/>
      <c r="D8345" s="2"/>
      <c r="I8345" s="9"/>
      <c r="J8345" s="2"/>
      <c r="L8345" s="9"/>
      <c r="M8345" s="2"/>
      <c r="N8345" s="9"/>
      <c r="P8345" s="3">
        <v>-604.46154228</v>
      </c>
      <c r="S8345" s="9"/>
      <c r="T8345" s="2"/>
      <c r="U8345" s="9"/>
    </row>
    <row r="8346" spans="2:21" x14ac:dyDescent="0.35">
      <c r="B8346" s="9"/>
      <c r="C8346" s="2"/>
      <c r="D8346" s="2"/>
      <c r="I8346" s="9"/>
      <c r="J8346" s="2"/>
      <c r="L8346" s="9"/>
      <c r="M8346" s="2"/>
      <c r="N8346" s="9"/>
      <c r="P8346" s="3">
        <v>-1039.22154228</v>
      </c>
      <c r="S8346" s="9"/>
      <c r="T8346" s="2"/>
      <c r="U8346" s="9"/>
    </row>
    <row r="8347" spans="2:21" x14ac:dyDescent="0.35">
      <c r="B8347" s="9"/>
      <c r="C8347" s="2"/>
      <c r="D8347" s="2"/>
      <c r="I8347" s="9"/>
      <c r="J8347" s="2"/>
      <c r="L8347" s="9"/>
      <c r="M8347" s="2"/>
      <c r="N8347" s="9"/>
      <c r="P8347" s="3">
        <v>-1166.5643222799999</v>
      </c>
      <c r="S8347" s="9"/>
      <c r="T8347" s="2"/>
      <c r="U8347" s="9"/>
    </row>
    <row r="8348" spans="2:21" x14ac:dyDescent="0.35">
      <c r="B8348" s="9"/>
      <c r="C8348" s="2"/>
      <c r="D8348" s="2"/>
      <c r="I8348" s="9"/>
      <c r="J8348" s="2"/>
      <c r="L8348" s="9"/>
      <c r="M8348" s="2"/>
      <c r="N8348" s="9"/>
      <c r="P8348" s="3">
        <v>-731.80432227999995</v>
      </c>
      <c r="S8348" s="9"/>
      <c r="T8348" s="2"/>
      <c r="U8348" s="9"/>
    </row>
    <row r="8349" spans="2:21" x14ac:dyDescent="0.35">
      <c r="B8349" s="9"/>
      <c r="C8349" s="2"/>
      <c r="D8349" s="2"/>
      <c r="I8349" s="9"/>
      <c r="J8349" s="2"/>
      <c r="L8349" s="9"/>
      <c r="M8349" s="2"/>
      <c r="N8349" s="9"/>
      <c r="P8349" s="3">
        <v>-297.04432228000002</v>
      </c>
      <c r="S8349" s="9"/>
      <c r="T8349" s="2"/>
      <c r="U8349" s="9"/>
    </row>
    <row r="8350" spans="2:21" x14ac:dyDescent="0.35">
      <c r="B8350" s="9"/>
      <c r="C8350" s="2"/>
      <c r="D8350" s="2"/>
      <c r="I8350" s="9"/>
      <c r="J8350" s="2"/>
      <c r="L8350" s="9"/>
      <c r="M8350" s="2"/>
      <c r="N8350" s="9"/>
      <c r="P8350" s="3">
        <v>137.71567772</v>
      </c>
      <c r="S8350" s="9"/>
      <c r="T8350" s="2"/>
      <c r="U8350" s="9"/>
    </row>
    <row r="8351" spans="2:21" x14ac:dyDescent="0.35">
      <c r="B8351" s="9"/>
      <c r="C8351" s="2"/>
      <c r="D8351" s="2"/>
      <c r="I8351" s="9"/>
      <c r="J8351" s="2"/>
      <c r="L8351" s="9"/>
      <c r="M8351" s="2"/>
      <c r="N8351" s="9"/>
      <c r="P8351" s="3">
        <v>572.47567772000002</v>
      </c>
      <c r="S8351" s="9"/>
      <c r="T8351" s="2"/>
      <c r="U8351" s="9"/>
    </row>
    <row r="8352" spans="2:21" x14ac:dyDescent="0.35">
      <c r="B8352" s="9"/>
      <c r="C8352" s="2"/>
      <c r="D8352" s="2"/>
      <c r="I8352" s="9"/>
      <c r="J8352" s="2"/>
      <c r="L8352" s="9"/>
      <c r="M8352" s="2"/>
      <c r="N8352" s="9"/>
      <c r="P8352" s="3">
        <v>862.13721771999997</v>
      </c>
      <c r="S8352" s="9"/>
      <c r="T8352" s="2"/>
      <c r="U8352" s="9"/>
    </row>
    <row r="8353" spans="2:21" x14ac:dyDescent="0.35">
      <c r="B8353" s="9"/>
      <c r="C8353" s="2"/>
      <c r="D8353" s="2"/>
      <c r="I8353" s="9"/>
      <c r="J8353" s="2"/>
      <c r="L8353" s="9"/>
      <c r="M8353" s="2"/>
      <c r="N8353" s="9"/>
      <c r="P8353" s="3">
        <v>621.80688697000005</v>
      </c>
      <c r="S8353" s="9"/>
      <c r="T8353" s="2"/>
      <c r="U8353" s="9"/>
    </row>
    <row r="8354" spans="2:21" x14ac:dyDescent="0.35">
      <c r="B8354" s="9"/>
      <c r="C8354" s="2"/>
      <c r="D8354" s="2"/>
      <c r="I8354" s="9"/>
      <c r="J8354" s="2"/>
      <c r="L8354" s="9"/>
      <c r="M8354" s="2"/>
      <c r="N8354" s="9"/>
      <c r="P8354" s="3">
        <v>529.72820646000002</v>
      </c>
      <c r="S8354" s="9"/>
      <c r="T8354" s="2"/>
      <c r="U8354" s="9"/>
    </row>
    <row r="8355" spans="2:21" x14ac:dyDescent="0.35">
      <c r="B8355" s="9"/>
      <c r="C8355" s="2"/>
      <c r="D8355" s="2"/>
      <c r="I8355" s="9"/>
      <c r="J8355" s="2"/>
      <c r="L8355" s="9"/>
      <c r="M8355" s="2"/>
      <c r="N8355" s="9"/>
      <c r="P8355" s="3">
        <v>516.94592608999994</v>
      </c>
      <c r="S8355" s="9"/>
      <c r="T8355" s="2"/>
      <c r="U8355" s="9"/>
    </row>
    <row r="8356" spans="2:21" x14ac:dyDescent="0.35">
      <c r="B8356" s="9"/>
      <c r="C8356" s="2"/>
      <c r="D8356" s="2"/>
      <c r="I8356" s="9"/>
      <c r="J8356" s="2"/>
      <c r="L8356" s="9"/>
      <c r="M8356" s="2"/>
      <c r="N8356" s="9"/>
      <c r="P8356" s="3">
        <v>501.27896584000001</v>
      </c>
      <c r="S8356" s="9"/>
      <c r="T8356" s="2"/>
      <c r="U8356" s="9"/>
    </row>
    <row r="8357" spans="2:21" x14ac:dyDescent="0.35">
      <c r="B8357" s="9"/>
      <c r="C8357" s="2"/>
      <c r="D8357" s="2"/>
      <c r="I8357" s="9"/>
      <c r="J8357" s="2"/>
      <c r="L8357" s="9"/>
      <c r="M8357" s="2"/>
      <c r="N8357" s="9"/>
      <c r="P8357" s="3">
        <v>479.25050584000002</v>
      </c>
      <c r="S8357" s="9"/>
      <c r="T8357" s="2"/>
      <c r="U8357" s="9"/>
    </row>
    <row r="8358" spans="2:21" x14ac:dyDescent="0.35">
      <c r="B8358" s="9"/>
      <c r="C8358" s="2"/>
      <c r="D8358" s="2"/>
      <c r="I8358" s="9"/>
      <c r="J8358" s="2"/>
      <c r="L8358" s="9"/>
      <c r="M8358" s="2"/>
      <c r="N8358" s="9"/>
      <c r="P8358" s="3">
        <v>703.39889748999997</v>
      </c>
      <c r="S8358" s="9"/>
      <c r="T8358" s="2"/>
      <c r="U8358" s="9"/>
    </row>
    <row r="8359" spans="2:21" x14ac:dyDescent="0.35">
      <c r="B8359" s="9"/>
      <c r="C8359" s="2"/>
      <c r="D8359" s="2"/>
      <c r="I8359" s="9"/>
      <c r="J8359" s="2"/>
      <c r="L8359" s="9"/>
      <c r="M8359" s="2"/>
      <c r="N8359" s="9"/>
      <c r="P8359" s="3">
        <v>646.97874749000005</v>
      </c>
      <c r="S8359" s="9"/>
      <c r="T8359" s="2"/>
      <c r="U8359" s="9"/>
    </row>
    <row r="8360" spans="2:21" x14ac:dyDescent="0.35">
      <c r="B8360" s="9"/>
      <c r="C8360" s="2"/>
      <c r="D8360" s="2"/>
      <c r="I8360" s="9"/>
      <c r="J8360" s="2"/>
      <c r="L8360" s="9"/>
      <c r="M8360" s="2"/>
      <c r="N8360" s="9"/>
      <c r="P8360" s="3">
        <v>598.11299749</v>
      </c>
      <c r="S8360" s="9"/>
      <c r="T8360" s="2"/>
      <c r="U8360" s="9"/>
    </row>
    <row r="8361" spans="2:21" x14ac:dyDescent="0.35">
      <c r="B8361" s="9"/>
      <c r="C8361" s="2"/>
      <c r="D8361" s="2"/>
      <c r="I8361" s="9"/>
      <c r="J8361" s="2"/>
      <c r="L8361" s="9"/>
      <c r="M8361" s="2"/>
      <c r="N8361" s="9"/>
      <c r="P8361" s="3">
        <v>594.16255749000004</v>
      </c>
      <c r="S8361" s="9"/>
      <c r="T8361" s="2"/>
      <c r="U8361" s="9"/>
    </row>
    <row r="8362" spans="2:21" x14ac:dyDescent="0.35">
      <c r="B8362" s="9"/>
      <c r="C8362" s="2"/>
      <c r="D8362" s="2"/>
      <c r="I8362" s="9"/>
      <c r="J8362" s="2"/>
      <c r="L8362" s="9"/>
      <c r="M8362" s="2"/>
      <c r="N8362" s="9"/>
      <c r="P8362" s="3">
        <v>610.41658748999998</v>
      </c>
      <c r="S8362" s="9"/>
      <c r="T8362" s="2"/>
      <c r="U8362" s="9"/>
    </row>
    <row r="8363" spans="2:21" x14ac:dyDescent="0.35">
      <c r="B8363" s="9"/>
      <c r="C8363" s="2"/>
      <c r="D8363" s="2"/>
      <c r="I8363" s="9"/>
      <c r="J8363" s="2"/>
      <c r="L8363" s="9"/>
      <c r="M8363" s="2"/>
      <c r="N8363" s="9"/>
      <c r="P8363" s="3">
        <v>639.61036749000004</v>
      </c>
      <c r="S8363" s="9"/>
      <c r="T8363" s="2"/>
      <c r="U8363" s="9"/>
    </row>
    <row r="8364" spans="2:21" x14ac:dyDescent="0.35">
      <c r="B8364" s="9"/>
      <c r="C8364" s="2"/>
      <c r="D8364" s="2"/>
      <c r="I8364" s="9"/>
      <c r="J8364" s="2"/>
      <c r="L8364" s="9"/>
      <c r="M8364" s="2"/>
      <c r="N8364" s="9"/>
      <c r="P8364" s="3">
        <v>645.30953749000003</v>
      </c>
      <c r="S8364" s="9"/>
      <c r="T8364" s="2"/>
      <c r="U8364" s="9"/>
    </row>
    <row r="8365" spans="2:21" x14ac:dyDescent="0.35">
      <c r="B8365" s="9"/>
      <c r="C8365" s="2"/>
      <c r="D8365" s="2"/>
      <c r="I8365" s="9"/>
      <c r="J8365" s="2"/>
      <c r="L8365" s="9"/>
      <c r="M8365" s="2"/>
      <c r="N8365" s="9"/>
      <c r="P8365" s="3">
        <v>610.46699749000004</v>
      </c>
      <c r="S8365" s="9"/>
      <c r="T8365" s="2"/>
      <c r="U8365" s="9"/>
    </row>
    <row r="8366" spans="2:21" x14ac:dyDescent="0.35">
      <c r="B8366" s="9"/>
      <c r="C8366" s="2"/>
      <c r="D8366" s="2"/>
      <c r="I8366" s="9"/>
      <c r="J8366" s="2"/>
      <c r="L8366" s="9"/>
      <c r="M8366" s="2"/>
      <c r="N8366" s="9"/>
      <c r="P8366" s="3">
        <v>567.37070748999997</v>
      </c>
      <c r="S8366" s="9"/>
      <c r="T8366" s="2"/>
      <c r="U8366" s="9"/>
    </row>
    <row r="8367" spans="2:21" x14ac:dyDescent="0.35">
      <c r="B8367" s="9"/>
      <c r="C8367" s="2"/>
      <c r="D8367" s="2"/>
      <c r="I8367" s="9"/>
      <c r="J8367" s="2"/>
      <c r="L8367" s="9"/>
      <c r="M8367" s="2"/>
      <c r="N8367" s="9"/>
      <c r="P8367" s="3">
        <v>132.61070749000001</v>
      </c>
      <c r="S8367" s="9"/>
      <c r="T8367" s="2"/>
      <c r="U8367" s="9"/>
    </row>
    <row r="8368" spans="2:21" x14ac:dyDescent="0.35">
      <c r="B8368" s="9"/>
      <c r="C8368" s="2"/>
      <c r="D8368" s="2"/>
      <c r="I8368" s="9"/>
      <c r="J8368" s="2"/>
      <c r="L8368" s="9"/>
      <c r="M8368" s="2"/>
      <c r="N8368" s="9"/>
      <c r="P8368" s="3">
        <v>0</v>
      </c>
      <c r="S8368" s="9"/>
      <c r="T8368" s="2"/>
      <c r="U8368" s="9"/>
    </row>
    <row r="8369" spans="2:21" x14ac:dyDescent="0.35">
      <c r="B8369" s="9"/>
      <c r="C8369" s="2"/>
      <c r="D8369" s="2"/>
      <c r="I8369" s="9"/>
      <c r="J8369" s="2"/>
      <c r="L8369" s="9"/>
      <c r="M8369" s="2"/>
      <c r="N8369" s="9"/>
      <c r="P8369" s="3">
        <v>0</v>
      </c>
      <c r="S8369" s="9"/>
      <c r="T8369" s="2"/>
      <c r="U8369" s="9"/>
    </row>
    <row r="8370" spans="2:21" x14ac:dyDescent="0.35">
      <c r="B8370" s="9"/>
      <c r="C8370" s="2"/>
      <c r="D8370" s="2"/>
      <c r="I8370" s="9"/>
      <c r="J8370" s="2"/>
      <c r="L8370" s="9"/>
      <c r="M8370" s="2"/>
      <c r="N8370" s="9"/>
      <c r="P8370" s="3">
        <v>0</v>
      </c>
      <c r="S8370" s="9"/>
      <c r="T8370" s="2"/>
      <c r="U8370" s="9"/>
    </row>
    <row r="8371" spans="2:21" x14ac:dyDescent="0.35">
      <c r="B8371" s="9"/>
      <c r="C8371" s="2"/>
      <c r="D8371" s="2"/>
      <c r="I8371" s="9"/>
      <c r="J8371" s="2"/>
      <c r="L8371" s="9"/>
      <c r="M8371" s="2"/>
      <c r="N8371" s="9"/>
      <c r="P8371" s="3">
        <v>0</v>
      </c>
      <c r="S8371" s="9"/>
      <c r="T8371" s="2"/>
      <c r="U8371" s="9"/>
    </row>
    <row r="8372" spans="2:21" x14ac:dyDescent="0.35">
      <c r="B8372" s="9"/>
      <c r="C8372" s="2"/>
      <c r="D8372" s="2"/>
      <c r="I8372" s="9"/>
      <c r="J8372" s="2"/>
      <c r="L8372" s="9"/>
      <c r="M8372" s="2"/>
      <c r="N8372" s="9"/>
      <c r="P8372" s="3">
        <v>0</v>
      </c>
      <c r="S8372" s="9"/>
      <c r="T8372" s="2"/>
      <c r="U8372" s="9"/>
    </row>
    <row r="8373" spans="2:21" x14ac:dyDescent="0.35">
      <c r="B8373" s="9"/>
      <c r="C8373" s="2"/>
      <c r="D8373" s="2"/>
      <c r="I8373" s="9"/>
      <c r="J8373" s="2"/>
      <c r="L8373" s="9"/>
      <c r="M8373" s="2"/>
      <c r="N8373" s="9"/>
      <c r="P8373" s="3">
        <v>0</v>
      </c>
      <c r="S8373" s="9"/>
      <c r="T8373" s="2"/>
      <c r="U8373" s="9"/>
    </row>
    <row r="8374" spans="2:21" x14ac:dyDescent="0.35">
      <c r="B8374" s="9"/>
      <c r="C8374" s="2"/>
      <c r="D8374" s="2"/>
      <c r="I8374" s="9"/>
      <c r="J8374" s="2"/>
      <c r="L8374" s="9"/>
      <c r="M8374" s="2"/>
      <c r="N8374" s="9"/>
      <c r="P8374" s="3">
        <v>-188.19074251000001</v>
      </c>
      <c r="S8374" s="9"/>
      <c r="T8374" s="2"/>
      <c r="U8374" s="9"/>
    </row>
    <row r="8375" spans="2:21" x14ac:dyDescent="0.35">
      <c r="B8375" s="9"/>
      <c r="C8375" s="2"/>
      <c r="D8375" s="2"/>
      <c r="I8375" s="9"/>
      <c r="J8375" s="2"/>
      <c r="L8375" s="9"/>
      <c r="M8375" s="2"/>
      <c r="N8375" s="9"/>
      <c r="P8375" s="3">
        <v>246.56925749000001</v>
      </c>
      <c r="S8375" s="9"/>
      <c r="T8375" s="2"/>
      <c r="U8375" s="9"/>
    </row>
    <row r="8376" spans="2:21" x14ac:dyDescent="0.35">
      <c r="B8376" s="9"/>
      <c r="C8376" s="2"/>
      <c r="D8376" s="2"/>
      <c r="I8376" s="9"/>
      <c r="J8376" s="2"/>
      <c r="L8376" s="9"/>
      <c r="M8376" s="2"/>
      <c r="N8376" s="9"/>
      <c r="P8376" s="3">
        <v>681.32925749000003</v>
      </c>
      <c r="S8376" s="9"/>
      <c r="T8376" s="2"/>
      <c r="U8376" s="9"/>
    </row>
    <row r="8377" spans="2:21" x14ac:dyDescent="0.35">
      <c r="B8377" s="9"/>
      <c r="C8377" s="2"/>
      <c r="D8377" s="2"/>
      <c r="I8377" s="9"/>
      <c r="J8377" s="2"/>
      <c r="L8377" s="9"/>
      <c r="M8377" s="2"/>
      <c r="N8377" s="9"/>
      <c r="P8377" s="3">
        <v>574.80582748999996</v>
      </c>
      <c r="S8377" s="9"/>
      <c r="T8377" s="2"/>
      <c r="U8377" s="9"/>
    </row>
    <row r="8378" spans="2:21" x14ac:dyDescent="0.35">
      <c r="B8378" s="9"/>
      <c r="C8378" s="2"/>
      <c r="D8378" s="2"/>
      <c r="I8378" s="9"/>
      <c r="J8378" s="2"/>
      <c r="L8378" s="9"/>
      <c r="M8378" s="2"/>
      <c r="N8378" s="9"/>
      <c r="P8378" s="3">
        <v>478.56177749</v>
      </c>
      <c r="S8378" s="9"/>
      <c r="T8378" s="2"/>
      <c r="U8378" s="9"/>
    </row>
    <row r="8379" spans="2:21" x14ac:dyDescent="0.35">
      <c r="B8379" s="9"/>
      <c r="C8379" s="2"/>
      <c r="D8379" s="2"/>
      <c r="I8379" s="9"/>
      <c r="J8379" s="2"/>
      <c r="L8379" s="9"/>
      <c r="M8379" s="2"/>
      <c r="N8379" s="9"/>
      <c r="P8379" s="3">
        <v>443.97270749</v>
      </c>
      <c r="S8379" s="9"/>
      <c r="T8379" s="2"/>
      <c r="U8379" s="9"/>
    </row>
    <row r="8380" spans="2:21" x14ac:dyDescent="0.35">
      <c r="B8380" s="9"/>
      <c r="C8380" s="2"/>
      <c r="D8380" s="2"/>
      <c r="I8380" s="9"/>
      <c r="J8380" s="2"/>
      <c r="L8380" s="9"/>
      <c r="M8380" s="2"/>
      <c r="N8380" s="9"/>
      <c r="P8380" s="3">
        <v>424.05649749000003</v>
      </c>
      <c r="S8380" s="9"/>
      <c r="T8380" s="2"/>
      <c r="U8380" s="9"/>
    </row>
    <row r="8381" spans="2:21" x14ac:dyDescent="0.35">
      <c r="B8381" s="9"/>
      <c r="C8381" s="2"/>
      <c r="D8381" s="2"/>
      <c r="I8381" s="9"/>
      <c r="J8381" s="2"/>
      <c r="L8381" s="9"/>
      <c r="M8381" s="2"/>
      <c r="N8381" s="9"/>
      <c r="P8381" s="3">
        <v>389.94667749000001</v>
      </c>
      <c r="S8381" s="9"/>
      <c r="T8381" s="2"/>
      <c r="U8381" s="9"/>
    </row>
    <row r="8382" spans="2:21" x14ac:dyDescent="0.35">
      <c r="B8382" s="9"/>
      <c r="C8382" s="2"/>
      <c r="D8382" s="2"/>
      <c r="I8382" s="9"/>
      <c r="J8382" s="2"/>
      <c r="L8382" s="9"/>
      <c r="M8382" s="2"/>
      <c r="N8382" s="9"/>
      <c r="P8382" s="3">
        <v>485.66834648000003</v>
      </c>
      <c r="S8382" s="9"/>
      <c r="T8382" s="2"/>
      <c r="U8382" s="9"/>
    </row>
    <row r="8383" spans="2:21" x14ac:dyDescent="0.35">
      <c r="B8383" s="9"/>
      <c r="C8383" s="2"/>
      <c r="D8383" s="2"/>
      <c r="I8383" s="9"/>
      <c r="J8383" s="2"/>
      <c r="L8383" s="9"/>
      <c r="M8383" s="2"/>
      <c r="N8383" s="9"/>
      <c r="P8383" s="3">
        <v>497.03473647999999</v>
      </c>
      <c r="S8383" s="9"/>
      <c r="T8383" s="2"/>
      <c r="U8383" s="9"/>
    </row>
    <row r="8384" spans="2:21" x14ac:dyDescent="0.35">
      <c r="B8384" s="9"/>
      <c r="C8384" s="2"/>
      <c r="D8384" s="2"/>
      <c r="I8384" s="9"/>
      <c r="J8384" s="2"/>
      <c r="L8384" s="9"/>
      <c r="M8384" s="2"/>
      <c r="N8384" s="9"/>
      <c r="P8384" s="3">
        <v>508.68938648</v>
      </c>
      <c r="S8384" s="9"/>
      <c r="T8384" s="2"/>
      <c r="U8384" s="9"/>
    </row>
    <row r="8385" spans="2:21" x14ac:dyDescent="0.35">
      <c r="B8385" s="9"/>
      <c r="C8385" s="2"/>
      <c r="D8385" s="2"/>
      <c r="I8385" s="9"/>
      <c r="J8385" s="2"/>
      <c r="L8385" s="9"/>
      <c r="M8385" s="2"/>
      <c r="N8385" s="9"/>
      <c r="P8385" s="3">
        <v>567.01020647999997</v>
      </c>
      <c r="S8385" s="9"/>
      <c r="T8385" s="2"/>
      <c r="U8385" s="9"/>
    </row>
    <row r="8386" spans="2:21" x14ac:dyDescent="0.35">
      <c r="B8386" s="9"/>
      <c r="C8386" s="2"/>
      <c r="D8386" s="2"/>
      <c r="I8386" s="9"/>
      <c r="J8386" s="2"/>
      <c r="L8386" s="9"/>
      <c r="M8386" s="2"/>
      <c r="N8386" s="9"/>
      <c r="P8386" s="3">
        <v>658.30555647999995</v>
      </c>
      <c r="S8386" s="9"/>
      <c r="T8386" s="2"/>
      <c r="U8386" s="9"/>
    </row>
    <row r="8387" spans="2:21" x14ac:dyDescent="0.35">
      <c r="B8387" s="9"/>
      <c r="C8387" s="2"/>
      <c r="D8387" s="2"/>
      <c r="I8387" s="9"/>
      <c r="J8387" s="2"/>
      <c r="L8387" s="9"/>
      <c r="M8387" s="2"/>
      <c r="N8387" s="9"/>
      <c r="P8387" s="3">
        <v>730.54237648000003</v>
      </c>
      <c r="S8387" s="9"/>
      <c r="T8387" s="2"/>
      <c r="U8387" s="9"/>
    </row>
    <row r="8388" spans="2:21" x14ac:dyDescent="0.35">
      <c r="B8388" s="9"/>
      <c r="C8388" s="2"/>
      <c r="D8388" s="2"/>
      <c r="I8388" s="9"/>
      <c r="J8388" s="2"/>
      <c r="L8388" s="9"/>
      <c r="M8388" s="2"/>
      <c r="N8388" s="9"/>
      <c r="P8388" s="3">
        <v>745.26351648000002</v>
      </c>
      <c r="S8388" s="9"/>
      <c r="T8388" s="2"/>
      <c r="U8388" s="9"/>
    </row>
    <row r="8389" spans="2:21" x14ac:dyDescent="0.35">
      <c r="B8389" s="9"/>
      <c r="C8389" s="2"/>
      <c r="D8389" s="2"/>
      <c r="I8389" s="9"/>
      <c r="J8389" s="2"/>
      <c r="L8389" s="9"/>
      <c r="M8389" s="2"/>
      <c r="N8389" s="9"/>
      <c r="P8389" s="3">
        <v>731.88356648000001</v>
      </c>
      <c r="S8389" s="9"/>
      <c r="T8389" s="2"/>
      <c r="U8389" s="9"/>
    </row>
    <row r="8390" spans="2:21" x14ac:dyDescent="0.35">
      <c r="B8390" s="9"/>
      <c r="C8390" s="2"/>
      <c r="D8390" s="2"/>
      <c r="I8390" s="9"/>
      <c r="J8390" s="2"/>
      <c r="L8390" s="9"/>
      <c r="M8390" s="2"/>
      <c r="N8390" s="9"/>
      <c r="P8390" s="3">
        <v>735.03596647999996</v>
      </c>
      <c r="S8390" s="9"/>
      <c r="T8390" s="2"/>
      <c r="U8390" s="9"/>
    </row>
    <row r="8391" spans="2:21" x14ac:dyDescent="0.35">
      <c r="B8391" s="9"/>
      <c r="C8391" s="2"/>
      <c r="D8391" s="2"/>
      <c r="I8391" s="9"/>
      <c r="J8391" s="2"/>
      <c r="L8391" s="9"/>
      <c r="M8391" s="2"/>
      <c r="N8391" s="9"/>
      <c r="P8391" s="3">
        <v>300.27596648000002</v>
      </c>
      <c r="S8391" s="9"/>
      <c r="T8391" s="2"/>
      <c r="U8391" s="9"/>
    </row>
    <row r="8392" spans="2:21" x14ac:dyDescent="0.35">
      <c r="B8392" s="9"/>
      <c r="C8392" s="2"/>
      <c r="D8392" s="2"/>
      <c r="I8392" s="9"/>
      <c r="J8392" s="2"/>
      <c r="L8392" s="9"/>
      <c r="M8392" s="2"/>
      <c r="N8392" s="9"/>
      <c r="P8392" s="3">
        <v>-134.48403352</v>
      </c>
      <c r="S8392" s="9"/>
      <c r="T8392" s="2"/>
      <c r="U8392" s="9"/>
    </row>
    <row r="8393" spans="2:21" x14ac:dyDescent="0.35">
      <c r="B8393" s="9"/>
      <c r="C8393" s="2"/>
      <c r="D8393" s="2"/>
      <c r="I8393" s="9"/>
      <c r="J8393" s="2"/>
      <c r="L8393" s="9"/>
      <c r="M8393" s="2"/>
      <c r="N8393" s="9"/>
      <c r="P8393" s="3">
        <v>-569.24403352000002</v>
      </c>
      <c r="S8393" s="9"/>
      <c r="T8393" s="2"/>
      <c r="U8393" s="9"/>
    </row>
    <row r="8394" spans="2:21" x14ac:dyDescent="0.35">
      <c r="B8394" s="9"/>
      <c r="C8394" s="2"/>
      <c r="D8394" s="2"/>
      <c r="I8394" s="9"/>
      <c r="J8394" s="2"/>
      <c r="L8394" s="9"/>
      <c r="M8394" s="2"/>
      <c r="N8394" s="9"/>
      <c r="P8394" s="3">
        <v>-591.68260409000004</v>
      </c>
      <c r="S8394" s="9"/>
      <c r="T8394" s="2"/>
      <c r="U8394" s="9"/>
    </row>
    <row r="8395" spans="2:21" x14ac:dyDescent="0.35">
      <c r="B8395" s="9"/>
      <c r="C8395" s="2"/>
      <c r="D8395" s="2"/>
      <c r="I8395" s="9"/>
      <c r="J8395" s="2"/>
      <c r="L8395" s="9"/>
      <c r="M8395" s="2"/>
      <c r="N8395" s="9"/>
      <c r="P8395" s="3">
        <v>-156.92260408999999</v>
      </c>
      <c r="S8395" s="9"/>
      <c r="T8395" s="2"/>
      <c r="U8395" s="9"/>
    </row>
    <row r="8396" spans="2:21" x14ac:dyDescent="0.35">
      <c r="B8396" s="9"/>
      <c r="C8396" s="2"/>
      <c r="D8396" s="2"/>
      <c r="I8396" s="9"/>
      <c r="J8396" s="2"/>
      <c r="L8396" s="9"/>
      <c r="M8396" s="2"/>
      <c r="N8396" s="9"/>
      <c r="P8396" s="3">
        <v>0</v>
      </c>
      <c r="S8396" s="9"/>
      <c r="T8396" s="2"/>
      <c r="U8396" s="9"/>
    </row>
    <row r="8397" spans="2:21" x14ac:dyDescent="0.35">
      <c r="B8397" s="9"/>
      <c r="C8397" s="2"/>
      <c r="D8397" s="2"/>
      <c r="I8397" s="9"/>
      <c r="J8397" s="2"/>
      <c r="L8397" s="9"/>
      <c r="M8397" s="2"/>
      <c r="N8397" s="9"/>
      <c r="P8397" s="3">
        <v>-77.510813519999999</v>
      </c>
      <c r="S8397" s="9"/>
      <c r="T8397" s="2"/>
      <c r="U8397" s="9"/>
    </row>
    <row r="8398" spans="2:21" x14ac:dyDescent="0.35">
      <c r="B8398" s="9"/>
      <c r="C8398" s="2"/>
      <c r="D8398" s="2"/>
      <c r="I8398" s="9"/>
      <c r="J8398" s="2"/>
      <c r="L8398" s="9"/>
      <c r="M8398" s="2"/>
      <c r="N8398" s="9"/>
      <c r="P8398" s="3">
        <v>357.24918647999999</v>
      </c>
      <c r="S8398" s="9"/>
      <c r="T8398" s="2"/>
      <c r="U8398" s="9"/>
    </row>
    <row r="8399" spans="2:21" x14ac:dyDescent="0.35">
      <c r="B8399" s="9"/>
      <c r="C8399" s="2"/>
      <c r="D8399" s="2"/>
      <c r="I8399" s="9"/>
      <c r="J8399" s="2"/>
      <c r="L8399" s="9"/>
      <c r="M8399" s="2"/>
      <c r="N8399" s="9"/>
      <c r="P8399" s="3">
        <v>792.00918648000004</v>
      </c>
      <c r="S8399" s="9"/>
      <c r="T8399" s="2"/>
      <c r="U8399" s="9"/>
    </row>
    <row r="8400" spans="2:21" x14ac:dyDescent="0.35">
      <c r="B8400" s="9"/>
      <c r="C8400" s="2"/>
      <c r="D8400" s="2"/>
      <c r="I8400" s="9"/>
      <c r="J8400" s="2"/>
      <c r="L8400" s="9"/>
      <c r="M8400" s="2"/>
      <c r="N8400" s="9"/>
      <c r="P8400" s="3">
        <v>1226.7691864799999</v>
      </c>
      <c r="S8400" s="9"/>
      <c r="T8400" s="2"/>
      <c r="U8400" s="9"/>
    </row>
    <row r="8401" spans="2:21" x14ac:dyDescent="0.35">
      <c r="B8401" s="9"/>
      <c r="C8401" s="2"/>
      <c r="D8401" s="2"/>
      <c r="I8401" s="9"/>
      <c r="J8401" s="2"/>
      <c r="L8401" s="9"/>
      <c r="M8401" s="2"/>
      <c r="N8401" s="9"/>
      <c r="P8401" s="3">
        <v>1146.0805264799999</v>
      </c>
      <c r="S8401" s="9"/>
      <c r="T8401" s="2"/>
      <c r="U8401" s="9"/>
    </row>
    <row r="8402" spans="2:21" x14ac:dyDescent="0.35">
      <c r="B8402" s="9"/>
      <c r="C8402" s="2"/>
      <c r="D8402" s="2"/>
      <c r="I8402" s="9"/>
      <c r="J8402" s="2"/>
      <c r="L8402" s="9"/>
      <c r="M8402" s="2"/>
      <c r="N8402" s="9"/>
      <c r="P8402" s="3">
        <v>1064.86504648</v>
      </c>
      <c r="S8402" s="9"/>
      <c r="T8402" s="2"/>
      <c r="U8402" s="9"/>
    </row>
    <row r="8403" spans="2:21" x14ac:dyDescent="0.35">
      <c r="B8403" s="9"/>
      <c r="C8403" s="2"/>
      <c r="D8403" s="2"/>
      <c r="I8403" s="9"/>
      <c r="J8403" s="2"/>
      <c r="L8403" s="9"/>
      <c r="M8403" s="2"/>
      <c r="N8403" s="9"/>
      <c r="P8403" s="3">
        <v>1026.1160864799999</v>
      </c>
      <c r="S8403" s="9"/>
      <c r="T8403" s="2"/>
      <c r="U8403" s="9"/>
    </row>
    <row r="8404" spans="2:21" x14ac:dyDescent="0.35">
      <c r="B8404" s="9"/>
      <c r="C8404" s="2"/>
      <c r="D8404" s="2"/>
      <c r="I8404" s="9"/>
      <c r="J8404" s="2"/>
      <c r="L8404" s="9"/>
      <c r="M8404" s="2"/>
      <c r="N8404" s="9"/>
      <c r="P8404" s="3">
        <v>1035.78770648</v>
      </c>
      <c r="S8404" s="9"/>
      <c r="T8404" s="2"/>
      <c r="U8404" s="9"/>
    </row>
    <row r="8405" spans="2:21" x14ac:dyDescent="0.35">
      <c r="B8405" s="9"/>
      <c r="C8405" s="2"/>
      <c r="D8405" s="2"/>
      <c r="I8405" s="9"/>
      <c r="J8405" s="2"/>
      <c r="L8405" s="9"/>
      <c r="M8405" s="2"/>
      <c r="N8405" s="9"/>
      <c r="P8405" s="3">
        <v>1050.7353364799999</v>
      </c>
      <c r="S8405" s="9"/>
      <c r="T8405" s="2"/>
      <c r="U8405" s="9"/>
    </row>
    <row r="8406" spans="2:21" x14ac:dyDescent="0.35">
      <c r="B8406" s="9"/>
      <c r="C8406" s="2"/>
      <c r="D8406" s="2"/>
      <c r="I8406" s="9"/>
      <c r="J8406" s="2"/>
      <c r="L8406" s="9"/>
      <c r="M8406" s="2"/>
      <c r="N8406" s="9"/>
      <c r="P8406" s="3">
        <v>785.24097160999997</v>
      </c>
      <c r="S8406" s="9"/>
      <c r="T8406" s="2"/>
      <c r="U8406" s="9"/>
    </row>
    <row r="8407" spans="2:21" x14ac:dyDescent="0.35">
      <c r="B8407" s="9"/>
      <c r="C8407" s="2"/>
      <c r="D8407" s="2"/>
      <c r="I8407" s="9"/>
      <c r="J8407" s="2"/>
      <c r="L8407" s="9"/>
      <c r="M8407" s="2"/>
      <c r="N8407" s="9"/>
      <c r="P8407" s="3">
        <v>787.79697161000001</v>
      </c>
      <c r="S8407" s="9"/>
      <c r="T8407" s="2"/>
      <c r="U8407" s="9"/>
    </row>
    <row r="8408" spans="2:21" x14ac:dyDescent="0.35">
      <c r="B8408" s="9"/>
      <c r="C8408" s="2"/>
      <c r="D8408" s="2"/>
      <c r="I8408" s="9"/>
      <c r="J8408" s="2"/>
      <c r="L8408" s="9"/>
      <c r="M8408" s="2"/>
      <c r="N8408" s="9"/>
      <c r="P8408" s="3">
        <v>801.87627161</v>
      </c>
      <c r="S8408" s="9"/>
      <c r="T8408" s="2"/>
      <c r="U8408" s="9"/>
    </row>
    <row r="8409" spans="2:21" x14ac:dyDescent="0.35">
      <c r="B8409" s="9"/>
      <c r="C8409" s="2"/>
      <c r="D8409" s="2"/>
      <c r="I8409" s="9"/>
      <c r="J8409" s="2"/>
      <c r="L8409" s="9"/>
      <c r="M8409" s="2"/>
      <c r="N8409" s="9"/>
      <c r="P8409" s="3">
        <v>813.11415161000002</v>
      </c>
      <c r="S8409" s="9"/>
      <c r="T8409" s="2"/>
      <c r="U8409" s="9"/>
    </row>
    <row r="8410" spans="2:21" x14ac:dyDescent="0.35">
      <c r="B8410" s="9"/>
      <c r="C8410" s="2"/>
      <c r="D8410" s="2"/>
      <c r="I8410" s="9"/>
      <c r="J8410" s="2"/>
      <c r="L8410" s="9"/>
      <c r="M8410" s="2"/>
      <c r="N8410" s="9"/>
      <c r="P8410" s="3">
        <v>863.25506160999998</v>
      </c>
      <c r="S8410" s="9"/>
      <c r="T8410" s="2"/>
      <c r="U8410" s="9"/>
    </row>
    <row r="8411" spans="2:21" x14ac:dyDescent="0.35">
      <c r="B8411" s="9"/>
      <c r="C8411" s="2"/>
      <c r="D8411" s="2"/>
      <c r="I8411" s="9"/>
      <c r="J8411" s="2"/>
      <c r="L8411" s="9"/>
      <c r="M8411" s="2"/>
      <c r="N8411" s="9"/>
      <c r="P8411" s="3">
        <v>996.01644809000004</v>
      </c>
      <c r="S8411" s="9"/>
      <c r="T8411" s="2"/>
      <c r="U8411" s="9"/>
    </row>
    <row r="8412" spans="2:21" x14ac:dyDescent="0.35">
      <c r="B8412" s="9"/>
      <c r="C8412" s="2"/>
      <c r="D8412" s="2"/>
      <c r="I8412" s="9"/>
      <c r="J8412" s="2"/>
      <c r="L8412" s="9"/>
      <c r="M8412" s="2"/>
      <c r="N8412" s="9"/>
      <c r="P8412" s="3">
        <v>1112.23980456</v>
      </c>
      <c r="S8412" s="9"/>
      <c r="T8412" s="2"/>
      <c r="U8412" s="9"/>
    </row>
    <row r="8413" spans="2:21" x14ac:dyDescent="0.35">
      <c r="B8413" s="9"/>
      <c r="C8413" s="2"/>
      <c r="D8413" s="2"/>
      <c r="I8413" s="9"/>
      <c r="J8413" s="2"/>
      <c r="L8413" s="9"/>
      <c r="M8413" s="2"/>
      <c r="N8413" s="9"/>
      <c r="P8413" s="3">
        <v>1203.46163701</v>
      </c>
      <c r="S8413" s="9"/>
      <c r="T8413" s="2"/>
      <c r="U8413" s="9"/>
    </row>
    <row r="8414" spans="2:21" x14ac:dyDescent="0.35">
      <c r="B8414" s="9"/>
      <c r="C8414" s="2"/>
      <c r="D8414" s="2"/>
      <c r="I8414" s="9"/>
      <c r="J8414" s="2"/>
      <c r="L8414" s="9"/>
      <c r="M8414" s="2"/>
      <c r="N8414" s="9"/>
      <c r="P8414" s="3">
        <v>1289.2643334899999</v>
      </c>
      <c r="S8414" s="9"/>
      <c r="T8414" s="2"/>
      <c r="U8414" s="9"/>
    </row>
    <row r="8415" spans="2:21" x14ac:dyDescent="0.35">
      <c r="B8415" s="9"/>
      <c r="C8415" s="2"/>
      <c r="D8415" s="2"/>
      <c r="I8415" s="9"/>
      <c r="J8415" s="2"/>
      <c r="L8415" s="9"/>
      <c r="M8415" s="2"/>
      <c r="N8415" s="9"/>
      <c r="P8415" s="3">
        <v>854.50433349000002</v>
      </c>
      <c r="S8415" s="9"/>
      <c r="T8415" s="2"/>
      <c r="U8415" s="9"/>
    </row>
    <row r="8416" spans="2:21" x14ac:dyDescent="0.35">
      <c r="B8416" s="9"/>
      <c r="C8416" s="2"/>
      <c r="D8416" s="2"/>
      <c r="I8416" s="9"/>
      <c r="J8416" s="2"/>
      <c r="L8416" s="9"/>
      <c r="M8416" s="2"/>
      <c r="N8416" s="9"/>
      <c r="P8416" s="3">
        <v>419.74433348999997</v>
      </c>
      <c r="S8416" s="9"/>
      <c r="T8416" s="2"/>
      <c r="U8416" s="9"/>
    </row>
    <row r="8417" spans="2:21" x14ac:dyDescent="0.35">
      <c r="B8417" s="9"/>
      <c r="C8417" s="2"/>
      <c r="D8417" s="2"/>
      <c r="I8417" s="9"/>
      <c r="J8417" s="2"/>
      <c r="L8417" s="9"/>
      <c r="M8417" s="2"/>
      <c r="N8417" s="9"/>
      <c r="P8417" s="3">
        <v>-15.015666510000001</v>
      </c>
      <c r="S8417" s="9"/>
      <c r="T8417" s="2"/>
      <c r="U8417" s="9"/>
    </row>
    <row r="8418" spans="2:21" x14ac:dyDescent="0.35">
      <c r="B8418" s="9"/>
      <c r="C8418" s="2"/>
      <c r="D8418" s="2"/>
      <c r="I8418" s="9"/>
      <c r="J8418" s="2"/>
      <c r="L8418" s="9"/>
      <c r="M8418" s="2"/>
      <c r="N8418" s="9"/>
      <c r="P8418" s="3">
        <v>-449.77566651000001</v>
      </c>
      <c r="S8418" s="9"/>
      <c r="T8418" s="2"/>
      <c r="U8418" s="9"/>
    </row>
    <row r="8419" spans="2:21" x14ac:dyDescent="0.35">
      <c r="B8419" s="9"/>
      <c r="C8419" s="2"/>
      <c r="D8419" s="2"/>
      <c r="I8419" s="9"/>
      <c r="J8419" s="2"/>
      <c r="L8419" s="9"/>
      <c r="M8419" s="2"/>
      <c r="N8419" s="9"/>
      <c r="P8419" s="3">
        <v>-770.00769650999996</v>
      </c>
      <c r="S8419" s="9"/>
      <c r="T8419" s="2"/>
      <c r="U8419" s="9"/>
    </row>
    <row r="8420" spans="2:21" x14ac:dyDescent="0.35">
      <c r="B8420" s="9"/>
      <c r="C8420" s="2"/>
      <c r="D8420" s="2"/>
      <c r="I8420" s="9"/>
      <c r="J8420" s="2"/>
      <c r="L8420" s="9"/>
      <c r="M8420" s="2"/>
      <c r="N8420" s="9"/>
      <c r="P8420" s="3">
        <v>-335.24769651000003</v>
      </c>
      <c r="S8420" s="9"/>
      <c r="T8420" s="2"/>
      <c r="U8420" s="9"/>
    </row>
    <row r="8421" spans="2:21" x14ac:dyDescent="0.35">
      <c r="B8421" s="9"/>
      <c r="C8421" s="2"/>
      <c r="D8421" s="2"/>
      <c r="I8421" s="9"/>
      <c r="J8421" s="2"/>
      <c r="L8421" s="9"/>
      <c r="M8421" s="2"/>
      <c r="N8421" s="9"/>
      <c r="P8421" s="3">
        <v>99.512303489999994</v>
      </c>
      <c r="S8421" s="9"/>
      <c r="T8421" s="2"/>
      <c r="U8421" s="9"/>
    </row>
    <row r="8422" spans="2:21" x14ac:dyDescent="0.35">
      <c r="B8422" s="9"/>
      <c r="C8422" s="2"/>
      <c r="D8422" s="2"/>
      <c r="I8422" s="9"/>
      <c r="J8422" s="2"/>
      <c r="L8422" s="9"/>
      <c r="M8422" s="2"/>
      <c r="N8422" s="9"/>
      <c r="P8422" s="3">
        <v>534.27230349000001</v>
      </c>
      <c r="S8422" s="9"/>
      <c r="T8422" s="2"/>
      <c r="U8422" s="9"/>
    </row>
    <row r="8423" spans="2:21" x14ac:dyDescent="0.35">
      <c r="B8423" s="9"/>
      <c r="C8423" s="2"/>
      <c r="D8423" s="2"/>
      <c r="I8423" s="9"/>
      <c r="J8423" s="2"/>
      <c r="L8423" s="9"/>
      <c r="M8423" s="2"/>
      <c r="N8423" s="9"/>
      <c r="P8423" s="3">
        <v>969.03230349</v>
      </c>
      <c r="S8423" s="9"/>
      <c r="T8423" s="2"/>
      <c r="U8423" s="9"/>
    </row>
    <row r="8424" spans="2:21" x14ac:dyDescent="0.35">
      <c r="B8424" s="9"/>
      <c r="C8424" s="2"/>
      <c r="D8424" s="2"/>
      <c r="I8424" s="9"/>
      <c r="J8424" s="2"/>
      <c r="L8424" s="9"/>
      <c r="M8424" s="2"/>
      <c r="N8424" s="9"/>
      <c r="P8424" s="3">
        <v>1403.79230349</v>
      </c>
      <c r="S8424" s="9"/>
      <c r="T8424" s="2"/>
      <c r="U8424" s="9"/>
    </row>
    <row r="8425" spans="2:21" x14ac:dyDescent="0.35">
      <c r="B8425" s="9"/>
      <c r="C8425" s="2"/>
      <c r="D8425" s="2"/>
      <c r="I8425" s="9"/>
      <c r="J8425" s="2"/>
      <c r="L8425" s="9"/>
      <c r="M8425" s="2"/>
      <c r="N8425" s="9"/>
      <c r="P8425" s="3">
        <v>1177.68682274</v>
      </c>
      <c r="S8425" s="9"/>
      <c r="T8425" s="2"/>
      <c r="U8425" s="9"/>
    </row>
    <row r="8426" spans="2:21" x14ac:dyDescent="0.35">
      <c r="B8426" s="9"/>
      <c r="C8426" s="2"/>
      <c r="D8426" s="2"/>
      <c r="I8426" s="9"/>
      <c r="J8426" s="2"/>
      <c r="L8426" s="9"/>
      <c r="M8426" s="2"/>
      <c r="N8426" s="9"/>
      <c r="P8426" s="3">
        <v>1035.27482224</v>
      </c>
      <c r="S8426" s="9"/>
      <c r="T8426" s="2"/>
      <c r="U8426" s="9"/>
    </row>
    <row r="8427" spans="2:21" x14ac:dyDescent="0.35">
      <c r="B8427" s="9"/>
      <c r="C8427" s="2"/>
      <c r="D8427" s="2"/>
      <c r="I8427" s="9"/>
      <c r="J8427" s="2"/>
      <c r="L8427" s="9"/>
      <c r="M8427" s="2"/>
      <c r="N8427" s="9"/>
      <c r="P8427" s="3">
        <v>930.68386185999998</v>
      </c>
      <c r="S8427" s="9"/>
      <c r="T8427" s="2"/>
      <c r="U8427" s="9"/>
    </row>
    <row r="8428" spans="2:21" x14ac:dyDescent="0.35">
      <c r="B8428" s="9"/>
      <c r="C8428" s="2"/>
      <c r="D8428" s="2"/>
      <c r="I8428" s="9"/>
      <c r="J8428" s="2"/>
      <c r="L8428" s="9"/>
      <c r="M8428" s="2"/>
      <c r="N8428" s="9"/>
      <c r="P8428" s="3">
        <v>902.81129161000001</v>
      </c>
      <c r="S8428" s="9"/>
      <c r="T8428" s="2"/>
      <c r="U8428" s="9"/>
    </row>
    <row r="8429" spans="2:21" x14ac:dyDescent="0.35">
      <c r="B8429" s="9"/>
      <c r="C8429" s="2"/>
      <c r="D8429" s="2"/>
      <c r="I8429" s="9"/>
      <c r="J8429" s="2"/>
      <c r="L8429" s="9"/>
      <c r="M8429" s="2"/>
      <c r="N8429" s="9"/>
      <c r="P8429" s="3">
        <v>912.91743160999999</v>
      </c>
      <c r="S8429" s="9"/>
      <c r="T8429" s="2"/>
      <c r="U8429" s="9"/>
    </row>
    <row r="8430" spans="2:21" x14ac:dyDescent="0.35">
      <c r="B8430" s="9"/>
      <c r="C8430" s="2"/>
      <c r="D8430" s="2"/>
      <c r="I8430" s="9"/>
      <c r="J8430" s="2"/>
      <c r="L8430" s="9"/>
      <c r="M8430" s="2"/>
      <c r="N8430" s="9"/>
      <c r="P8430" s="3">
        <v>875.06213692999995</v>
      </c>
      <c r="S8430" s="9"/>
      <c r="T8430" s="2"/>
      <c r="U8430" s="9"/>
    </row>
    <row r="8431" spans="2:21" x14ac:dyDescent="0.35">
      <c r="B8431" s="9"/>
      <c r="C8431" s="2"/>
      <c r="D8431" s="2"/>
      <c r="I8431" s="9"/>
      <c r="J8431" s="2"/>
      <c r="L8431" s="9"/>
      <c r="M8431" s="2"/>
      <c r="N8431" s="9"/>
      <c r="P8431" s="3">
        <v>848.44423692999999</v>
      </c>
      <c r="S8431" s="9"/>
      <c r="T8431" s="2"/>
      <c r="U8431" s="9"/>
    </row>
    <row r="8432" spans="2:21" x14ac:dyDescent="0.35">
      <c r="B8432" s="9"/>
      <c r="C8432" s="2"/>
      <c r="D8432" s="2"/>
      <c r="I8432" s="9"/>
      <c r="J8432" s="2"/>
      <c r="L8432" s="9"/>
      <c r="M8432" s="2"/>
      <c r="N8432" s="9"/>
      <c r="P8432" s="3">
        <v>786.34408693</v>
      </c>
      <c r="S8432" s="9"/>
      <c r="T8432" s="2"/>
      <c r="U8432" s="9"/>
    </row>
    <row r="8433" spans="2:21" x14ac:dyDescent="0.35">
      <c r="B8433" s="9"/>
      <c r="C8433" s="2"/>
      <c r="D8433" s="2"/>
      <c r="I8433" s="9"/>
      <c r="J8433" s="2"/>
      <c r="L8433" s="9"/>
      <c r="M8433" s="2"/>
      <c r="N8433" s="9"/>
      <c r="P8433" s="3">
        <v>696.04770693</v>
      </c>
      <c r="S8433" s="9"/>
      <c r="T8433" s="2"/>
      <c r="U8433" s="9"/>
    </row>
    <row r="8434" spans="2:21" x14ac:dyDescent="0.35">
      <c r="B8434" s="9"/>
      <c r="C8434" s="2"/>
      <c r="D8434" s="2"/>
      <c r="I8434" s="9"/>
      <c r="J8434" s="2"/>
      <c r="L8434" s="9"/>
      <c r="M8434" s="2"/>
      <c r="N8434" s="9"/>
      <c r="P8434" s="3">
        <v>568.58140692999996</v>
      </c>
      <c r="S8434" s="9"/>
      <c r="T8434" s="2"/>
      <c r="U8434" s="9"/>
    </row>
    <row r="8435" spans="2:21" x14ac:dyDescent="0.35">
      <c r="B8435" s="9"/>
      <c r="C8435" s="2"/>
      <c r="D8435" s="2"/>
      <c r="I8435" s="9"/>
      <c r="J8435" s="2"/>
      <c r="L8435" s="9"/>
      <c r="M8435" s="2"/>
      <c r="N8435" s="9"/>
      <c r="P8435" s="3">
        <v>535.77150340000003</v>
      </c>
      <c r="S8435" s="9"/>
      <c r="T8435" s="2"/>
      <c r="U8435" s="9"/>
    </row>
    <row r="8436" spans="2:21" x14ac:dyDescent="0.35">
      <c r="B8436" s="9"/>
      <c r="C8436" s="2"/>
      <c r="D8436" s="2"/>
      <c r="I8436" s="9"/>
      <c r="J8436" s="2"/>
      <c r="L8436" s="9"/>
      <c r="M8436" s="2"/>
      <c r="N8436" s="9"/>
      <c r="P8436" s="3">
        <v>461.50540988</v>
      </c>
      <c r="S8436" s="9"/>
      <c r="T8436" s="2"/>
      <c r="U8436" s="9"/>
    </row>
    <row r="8437" spans="2:21" x14ac:dyDescent="0.35">
      <c r="B8437" s="9"/>
      <c r="C8437" s="2"/>
      <c r="D8437" s="2"/>
      <c r="I8437" s="9"/>
      <c r="J8437" s="2"/>
      <c r="L8437" s="9"/>
      <c r="M8437" s="2"/>
      <c r="N8437" s="9"/>
      <c r="P8437" s="3">
        <v>313.50623232999999</v>
      </c>
      <c r="S8437" s="9"/>
      <c r="T8437" s="2"/>
      <c r="U8437" s="9"/>
    </row>
    <row r="8438" spans="2:21" x14ac:dyDescent="0.35">
      <c r="B8438" s="9"/>
      <c r="C8438" s="2"/>
      <c r="D8438" s="2"/>
      <c r="I8438" s="9"/>
      <c r="J8438" s="2"/>
      <c r="L8438" s="9"/>
      <c r="M8438" s="2"/>
      <c r="N8438" s="9"/>
      <c r="P8438" s="3">
        <v>224.91375880999999</v>
      </c>
      <c r="S8438" s="9"/>
      <c r="T8438" s="2"/>
      <c r="U8438" s="9"/>
    </row>
    <row r="8439" spans="2:21" x14ac:dyDescent="0.35">
      <c r="B8439" s="9"/>
      <c r="C8439" s="2"/>
      <c r="D8439" s="2"/>
      <c r="I8439" s="9"/>
      <c r="J8439" s="2"/>
      <c r="L8439" s="9"/>
      <c r="M8439" s="2"/>
      <c r="N8439" s="9"/>
      <c r="P8439" s="3">
        <v>-209.84624119</v>
      </c>
      <c r="S8439" s="9"/>
      <c r="T8439" s="2"/>
      <c r="U8439" s="9"/>
    </row>
    <row r="8440" spans="2:21" x14ac:dyDescent="0.35">
      <c r="B8440" s="9"/>
      <c r="C8440" s="2"/>
      <c r="D8440" s="2"/>
      <c r="I8440" s="9"/>
      <c r="J8440" s="2"/>
      <c r="L8440" s="9"/>
      <c r="M8440" s="2"/>
      <c r="N8440" s="9"/>
      <c r="P8440" s="3">
        <v>-644.60624118999999</v>
      </c>
      <c r="S8440" s="9"/>
      <c r="T8440" s="2"/>
      <c r="U8440" s="9"/>
    </row>
    <row r="8441" spans="2:21" x14ac:dyDescent="0.35">
      <c r="B8441" s="9"/>
      <c r="C8441" s="2"/>
      <c r="D8441" s="2"/>
      <c r="I8441" s="9"/>
      <c r="J8441" s="2"/>
      <c r="L8441" s="9"/>
      <c r="M8441" s="2"/>
      <c r="N8441" s="9"/>
      <c r="P8441" s="3">
        <v>-1079.36624119</v>
      </c>
      <c r="S8441" s="9"/>
      <c r="T8441" s="2"/>
      <c r="U8441" s="9"/>
    </row>
    <row r="8442" spans="2:21" x14ac:dyDescent="0.35">
      <c r="B8442" s="9"/>
      <c r="C8442" s="2"/>
      <c r="D8442" s="2"/>
      <c r="I8442" s="9"/>
      <c r="J8442" s="2"/>
      <c r="L8442" s="9"/>
      <c r="M8442" s="2"/>
      <c r="N8442" s="9"/>
      <c r="P8442" s="3">
        <v>-1514.12624119</v>
      </c>
      <c r="S8442" s="9"/>
      <c r="T8442" s="2"/>
      <c r="U8442" s="9"/>
    </row>
    <row r="8443" spans="2:21" x14ac:dyDescent="0.35">
      <c r="B8443" s="9"/>
      <c r="C8443" s="2"/>
      <c r="D8443" s="2"/>
      <c r="I8443" s="9"/>
      <c r="J8443" s="2"/>
      <c r="L8443" s="9"/>
      <c r="M8443" s="2"/>
      <c r="N8443" s="9"/>
      <c r="P8443" s="3">
        <v>-1948.88624119</v>
      </c>
      <c r="S8443" s="9"/>
      <c r="T8443" s="2"/>
      <c r="U8443" s="9"/>
    </row>
    <row r="8444" spans="2:21" x14ac:dyDescent="0.35">
      <c r="B8444" s="9"/>
      <c r="C8444" s="2"/>
      <c r="D8444" s="2"/>
      <c r="I8444" s="9"/>
      <c r="J8444" s="2"/>
      <c r="L8444" s="9"/>
      <c r="M8444" s="2"/>
      <c r="N8444" s="9"/>
      <c r="P8444" s="3">
        <v>-2383.6462411900002</v>
      </c>
      <c r="S8444" s="9"/>
      <c r="T8444" s="2"/>
      <c r="U8444" s="9"/>
    </row>
    <row r="8445" spans="2:21" x14ac:dyDescent="0.35">
      <c r="B8445" s="9"/>
      <c r="C8445" s="2"/>
      <c r="D8445" s="2"/>
      <c r="I8445" s="9"/>
      <c r="J8445" s="2"/>
      <c r="L8445" s="9"/>
      <c r="M8445" s="2"/>
      <c r="N8445" s="9"/>
      <c r="P8445" s="3">
        <v>-2767.9890011900002</v>
      </c>
      <c r="S8445" s="9"/>
      <c r="T8445" s="2"/>
      <c r="U8445" s="9"/>
    </row>
    <row r="8446" spans="2:21" x14ac:dyDescent="0.35">
      <c r="B8446" s="9"/>
      <c r="C8446" s="2"/>
      <c r="D8446" s="2"/>
      <c r="I8446" s="9"/>
      <c r="J8446" s="2"/>
      <c r="L8446" s="9"/>
      <c r="M8446" s="2"/>
      <c r="N8446" s="9"/>
      <c r="P8446" s="3">
        <v>-2729.7434311900001</v>
      </c>
      <c r="S8446" s="9"/>
      <c r="T8446" s="2"/>
      <c r="U8446" s="9"/>
    </row>
    <row r="8447" spans="2:21" x14ac:dyDescent="0.35">
      <c r="B8447" s="9"/>
      <c r="C8447" s="2"/>
      <c r="D8447" s="2"/>
      <c r="I8447" s="9"/>
      <c r="J8447" s="2"/>
      <c r="L8447" s="9"/>
      <c r="M8447" s="2"/>
      <c r="N8447" s="9"/>
      <c r="P8447" s="3">
        <v>-2728.0720911899998</v>
      </c>
      <c r="S8447" s="9"/>
      <c r="T8447" s="2"/>
      <c r="U8447" s="9"/>
    </row>
    <row r="8448" spans="2:21" x14ac:dyDescent="0.35">
      <c r="B8448" s="9"/>
      <c r="C8448" s="2"/>
      <c r="D8448" s="2"/>
      <c r="I8448" s="9"/>
      <c r="J8448" s="2"/>
      <c r="L8448" s="9"/>
      <c r="M8448" s="2"/>
      <c r="N8448" s="9"/>
      <c r="P8448" s="3">
        <v>-2860.169492</v>
      </c>
      <c r="S8448" s="9"/>
      <c r="T8448" s="2"/>
      <c r="U8448" s="9"/>
    </row>
    <row r="8449" spans="2:21" x14ac:dyDescent="0.35">
      <c r="B8449" s="9"/>
      <c r="C8449" s="2"/>
      <c r="D8449" s="2"/>
      <c r="I8449" s="9"/>
      <c r="J8449" s="2"/>
      <c r="L8449" s="9"/>
      <c r="M8449" s="2"/>
      <c r="N8449" s="9"/>
      <c r="P8449" s="3">
        <v>-2860.169492</v>
      </c>
      <c r="S8449" s="9"/>
      <c r="T8449" s="2"/>
      <c r="U8449" s="9"/>
    </row>
    <row r="8450" spans="2:21" x14ac:dyDescent="0.35">
      <c r="B8450" s="9"/>
      <c r="C8450" s="2"/>
      <c r="D8450" s="2"/>
      <c r="I8450" s="9"/>
      <c r="J8450" s="2"/>
      <c r="L8450" s="9"/>
      <c r="M8450" s="2"/>
      <c r="N8450" s="9"/>
      <c r="P8450" s="3">
        <v>-2860.169492</v>
      </c>
      <c r="S8450" s="9"/>
      <c r="T8450" s="2"/>
      <c r="U8450" s="9"/>
    </row>
    <row r="8451" spans="2:21" x14ac:dyDescent="0.35">
      <c r="B8451" s="9"/>
      <c r="C8451" s="2"/>
      <c r="D8451" s="2"/>
      <c r="I8451" s="9"/>
      <c r="J8451" s="2"/>
      <c r="L8451" s="9"/>
      <c r="M8451" s="2"/>
      <c r="N8451" s="9"/>
      <c r="P8451" s="3">
        <v>-2860.169492</v>
      </c>
      <c r="S8451" s="9"/>
      <c r="T8451" s="2"/>
      <c r="U8451" s="9"/>
    </row>
    <row r="8452" spans="2:21" x14ac:dyDescent="0.35">
      <c r="B8452" s="9"/>
      <c r="C8452" s="2"/>
      <c r="D8452" s="2"/>
      <c r="I8452" s="9"/>
      <c r="J8452" s="2"/>
      <c r="L8452" s="9"/>
      <c r="M8452" s="2"/>
      <c r="N8452" s="9"/>
      <c r="P8452" s="3">
        <v>-2860.169492</v>
      </c>
      <c r="S8452" s="9"/>
      <c r="T8452" s="2"/>
      <c r="U8452" s="9"/>
    </row>
    <row r="8453" spans="2:21" x14ac:dyDescent="0.35">
      <c r="B8453" s="9"/>
      <c r="C8453" s="2"/>
      <c r="D8453" s="2"/>
      <c r="I8453" s="9"/>
      <c r="J8453" s="2"/>
      <c r="L8453" s="9"/>
      <c r="M8453" s="2"/>
      <c r="N8453" s="9"/>
      <c r="P8453" s="3">
        <v>-2860.169492</v>
      </c>
      <c r="S8453" s="9"/>
      <c r="T8453" s="2"/>
      <c r="U8453" s="9"/>
    </row>
    <row r="8454" spans="2:21" x14ac:dyDescent="0.35">
      <c r="B8454" s="9"/>
      <c r="C8454" s="2"/>
      <c r="D8454" s="2"/>
      <c r="I8454" s="9"/>
      <c r="J8454" s="2"/>
      <c r="L8454" s="9"/>
      <c r="M8454" s="2"/>
      <c r="N8454" s="9"/>
      <c r="P8454" s="3">
        <v>-2860.169492</v>
      </c>
      <c r="S8454" s="9"/>
      <c r="T8454" s="2"/>
      <c r="U8454" s="9"/>
    </row>
    <row r="8455" spans="2:21" x14ac:dyDescent="0.35">
      <c r="B8455" s="9"/>
      <c r="C8455" s="2"/>
      <c r="D8455" s="2"/>
      <c r="I8455" s="9"/>
      <c r="J8455" s="2"/>
      <c r="L8455" s="9"/>
      <c r="M8455" s="2"/>
      <c r="N8455" s="9"/>
      <c r="P8455" s="3">
        <v>-2860.169492</v>
      </c>
      <c r="S8455" s="9"/>
      <c r="T8455" s="2"/>
      <c r="U8455" s="9"/>
    </row>
    <row r="8456" spans="2:21" x14ac:dyDescent="0.35">
      <c r="B8456" s="9"/>
      <c r="C8456" s="2"/>
      <c r="D8456" s="2"/>
      <c r="I8456" s="9"/>
      <c r="J8456" s="2"/>
      <c r="L8456" s="9"/>
      <c r="M8456" s="2"/>
      <c r="N8456" s="9"/>
      <c r="P8456" s="3">
        <v>-2860.169492</v>
      </c>
      <c r="S8456" s="9"/>
      <c r="T8456" s="2"/>
      <c r="U8456" s="9"/>
    </row>
    <row r="8457" spans="2:21" x14ac:dyDescent="0.35">
      <c r="B8457" s="9"/>
      <c r="C8457" s="2"/>
      <c r="D8457" s="2"/>
      <c r="I8457" s="9"/>
      <c r="J8457" s="2"/>
      <c r="L8457" s="9"/>
      <c r="M8457" s="2"/>
      <c r="N8457" s="9"/>
      <c r="P8457" s="3">
        <v>-2860.169492</v>
      </c>
      <c r="S8457" s="9"/>
      <c r="T8457" s="2"/>
      <c r="U8457" s="9"/>
    </row>
    <row r="8458" spans="2:21" x14ac:dyDescent="0.35">
      <c r="B8458" s="9"/>
      <c r="C8458" s="2"/>
      <c r="D8458" s="2"/>
      <c r="I8458" s="9"/>
      <c r="J8458" s="2"/>
      <c r="L8458" s="9"/>
      <c r="M8458" s="2"/>
      <c r="N8458" s="9"/>
      <c r="P8458" s="3">
        <v>-2860.169492</v>
      </c>
      <c r="S8458" s="9"/>
      <c r="T8458" s="2"/>
      <c r="U8458" s="9"/>
    </row>
    <row r="8459" spans="2:21" x14ac:dyDescent="0.35">
      <c r="B8459" s="9"/>
      <c r="C8459" s="2"/>
      <c r="D8459" s="2"/>
      <c r="I8459" s="9"/>
      <c r="J8459" s="2"/>
      <c r="L8459" s="9"/>
      <c r="M8459" s="2"/>
      <c r="N8459" s="9"/>
      <c r="P8459" s="3">
        <v>-2860.169492</v>
      </c>
      <c r="S8459" s="9"/>
      <c r="T8459" s="2"/>
      <c r="U8459" s="9"/>
    </row>
    <row r="8460" spans="2:21" x14ac:dyDescent="0.35">
      <c r="B8460" s="9"/>
      <c r="C8460" s="2"/>
      <c r="D8460" s="2"/>
      <c r="I8460" s="9"/>
      <c r="J8460" s="2"/>
      <c r="L8460" s="9"/>
      <c r="M8460" s="2"/>
      <c r="N8460" s="9"/>
      <c r="P8460" s="3">
        <v>-2860.169492</v>
      </c>
      <c r="S8460" s="9"/>
      <c r="T8460" s="2"/>
      <c r="U8460" s="9"/>
    </row>
    <row r="8461" spans="2:21" x14ac:dyDescent="0.35">
      <c r="B8461" s="9"/>
      <c r="C8461" s="2"/>
      <c r="D8461" s="2"/>
      <c r="I8461" s="9"/>
      <c r="J8461" s="2"/>
      <c r="L8461" s="9"/>
      <c r="M8461" s="2"/>
      <c r="N8461" s="9"/>
      <c r="P8461" s="3">
        <v>-2860.169492</v>
      </c>
      <c r="S8461" s="9"/>
      <c r="T8461" s="2"/>
      <c r="U8461" s="9"/>
    </row>
    <row r="8462" spans="2:21" x14ac:dyDescent="0.35">
      <c r="B8462" s="9"/>
      <c r="C8462" s="2"/>
      <c r="D8462" s="2"/>
      <c r="I8462" s="9"/>
      <c r="J8462" s="2"/>
      <c r="L8462" s="9"/>
      <c r="M8462" s="2"/>
      <c r="N8462" s="9"/>
      <c r="P8462" s="3">
        <v>-2860.169492</v>
      </c>
      <c r="S8462" s="9"/>
      <c r="T8462" s="2"/>
      <c r="U8462" s="9"/>
    </row>
    <row r="8463" spans="2:21" x14ac:dyDescent="0.35">
      <c r="B8463" s="9"/>
      <c r="C8463" s="2"/>
      <c r="D8463" s="2"/>
      <c r="I8463" s="9"/>
      <c r="J8463" s="2"/>
      <c r="L8463" s="9"/>
      <c r="M8463" s="2"/>
      <c r="N8463" s="9"/>
      <c r="P8463" s="3">
        <v>-2860.169492</v>
      </c>
      <c r="S8463" s="9"/>
      <c r="T8463" s="2"/>
      <c r="U8463" s="9"/>
    </row>
    <row r="8464" spans="2:21" x14ac:dyDescent="0.35">
      <c r="B8464" s="9"/>
      <c r="C8464" s="2"/>
      <c r="D8464" s="2"/>
      <c r="I8464" s="9"/>
      <c r="J8464" s="2"/>
      <c r="L8464" s="9"/>
      <c r="M8464" s="2"/>
      <c r="N8464" s="9"/>
      <c r="P8464" s="3">
        <v>-2860.169492</v>
      </c>
      <c r="S8464" s="9"/>
      <c r="T8464" s="2"/>
      <c r="U8464" s="9"/>
    </row>
    <row r="8465" spans="2:21" x14ac:dyDescent="0.35">
      <c r="B8465" s="9"/>
      <c r="C8465" s="2"/>
      <c r="D8465" s="2"/>
      <c r="I8465" s="9"/>
      <c r="J8465" s="2"/>
      <c r="L8465" s="9"/>
      <c r="M8465" s="2"/>
      <c r="N8465" s="9"/>
      <c r="P8465" s="3">
        <v>-2860.169492</v>
      </c>
      <c r="S8465" s="9"/>
      <c r="T8465" s="2"/>
      <c r="U8465" s="9"/>
    </row>
    <row r="8466" spans="2:21" x14ac:dyDescent="0.35">
      <c r="B8466" s="9"/>
      <c r="C8466" s="2"/>
      <c r="D8466" s="2"/>
      <c r="I8466" s="9"/>
      <c r="J8466" s="2"/>
      <c r="L8466" s="9"/>
      <c r="M8466" s="2"/>
      <c r="N8466" s="9"/>
      <c r="P8466" s="3">
        <v>-2860.169492</v>
      </c>
      <c r="S8466" s="9"/>
      <c r="T8466" s="2"/>
      <c r="U8466" s="9"/>
    </row>
    <row r="8467" spans="2:21" x14ac:dyDescent="0.35">
      <c r="B8467" s="9"/>
      <c r="C8467" s="2"/>
      <c r="D8467" s="2"/>
      <c r="I8467" s="9"/>
      <c r="J8467" s="2"/>
      <c r="L8467" s="9"/>
      <c r="M8467" s="2"/>
      <c r="N8467" s="9"/>
      <c r="P8467" s="3">
        <v>-2860.169492</v>
      </c>
      <c r="S8467" s="9"/>
      <c r="T8467" s="2"/>
      <c r="U8467" s="9"/>
    </row>
    <row r="8468" spans="2:21" x14ac:dyDescent="0.35">
      <c r="B8468" s="9"/>
      <c r="C8468" s="2"/>
      <c r="D8468" s="2"/>
      <c r="I8468" s="9"/>
      <c r="J8468" s="2"/>
      <c r="L8468" s="9"/>
      <c r="M8468" s="2"/>
      <c r="N8468" s="9"/>
      <c r="P8468" s="3">
        <v>-2860.169492</v>
      </c>
      <c r="S8468" s="9"/>
      <c r="T8468" s="2"/>
      <c r="U8468" s="9"/>
    </row>
    <row r="8469" spans="2:21" x14ac:dyDescent="0.35">
      <c r="B8469" s="9"/>
      <c r="C8469" s="2"/>
      <c r="D8469" s="2"/>
      <c r="I8469" s="9"/>
      <c r="J8469" s="2"/>
      <c r="L8469" s="9"/>
      <c r="M8469" s="2"/>
      <c r="N8469" s="9"/>
      <c r="P8469" s="3">
        <v>-2860.169492</v>
      </c>
      <c r="S8469" s="9"/>
      <c r="T8469" s="2"/>
      <c r="U8469" s="9"/>
    </row>
    <row r="8470" spans="2:21" x14ac:dyDescent="0.35">
      <c r="B8470" s="9"/>
      <c r="C8470" s="2"/>
      <c r="D8470" s="2"/>
      <c r="I8470" s="9"/>
      <c r="J8470" s="2"/>
      <c r="L8470" s="9"/>
      <c r="M8470" s="2"/>
      <c r="N8470" s="9"/>
      <c r="P8470" s="3">
        <v>-2762.18836814</v>
      </c>
      <c r="S8470" s="9"/>
      <c r="T8470" s="2"/>
      <c r="U8470" s="9"/>
    </row>
    <row r="8471" spans="2:21" x14ac:dyDescent="0.35">
      <c r="B8471" s="9"/>
      <c r="C8471" s="2"/>
      <c r="D8471" s="2"/>
      <c r="I8471" s="9"/>
      <c r="J8471" s="2"/>
      <c r="L8471" s="9"/>
      <c r="M8471" s="2"/>
      <c r="N8471" s="9"/>
      <c r="P8471" s="3">
        <v>-2327.4283681400002</v>
      </c>
      <c r="S8471" s="9"/>
      <c r="T8471" s="2"/>
      <c r="U8471" s="9"/>
    </row>
    <row r="8472" spans="2:21" x14ac:dyDescent="0.35">
      <c r="B8472" s="9"/>
      <c r="C8472" s="2"/>
      <c r="D8472" s="2"/>
      <c r="I8472" s="9"/>
      <c r="J8472" s="2"/>
      <c r="L8472" s="9"/>
      <c r="M8472" s="2"/>
      <c r="N8472" s="9"/>
      <c r="P8472" s="3">
        <v>-1892.66836814</v>
      </c>
      <c r="S8472" s="9"/>
      <c r="T8472" s="2"/>
      <c r="U8472" s="9"/>
    </row>
    <row r="8473" spans="2:21" x14ac:dyDescent="0.35">
      <c r="B8473" s="9"/>
      <c r="C8473" s="2"/>
      <c r="D8473" s="2"/>
      <c r="I8473" s="9"/>
      <c r="J8473" s="2"/>
      <c r="L8473" s="9"/>
      <c r="M8473" s="2"/>
      <c r="N8473" s="9"/>
      <c r="P8473" s="3">
        <v>-1882.34100889</v>
      </c>
      <c r="S8473" s="9"/>
      <c r="T8473" s="2"/>
      <c r="U8473" s="9"/>
    </row>
    <row r="8474" spans="2:21" x14ac:dyDescent="0.35">
      <c r="B8474" s="9"/>
      <c r="C8474" s="2"/>
      <c r="D8474" s="2"/>
      <c r="I8474" s="9"/>
      <c r="J8474" s="2"/>
      <c r="L8474" s="9"/>
      <c r="M8474" s="2"/>
      <c r="N8474" s="9"/>
      <c r="P8474" s="3">
        <v>-1689.01246939</v>
      </c>
      <c r="S8474" s="9"/>
      <c r="T8474" s="2"/>
      <c r="U8474" s="9"/>
    </row>
    <row r="8475" spans="2:21" x14ac:dyDescent="0.35">
      <c r="B8475" s="9"/>
      <c r="C8475" s="2"/>
      <c r="D8475" s="2"/>
      <c r="I8475" s="9"/>
      <c r="J8475" s="2"/>
      <c r="L8475" s="9"/>
      <c r="M8475" s="2"/>
      <c r="N8475" s="9"/>
      <c r="P8475" s="3">
        <v>-1386.40435002</v>
      </c>
      <c r="S8475" s="9"/>
      <c r="T8475" s="2"/>
      <c r="U8475" s="9"/>
    </row>
    <row r="8476" spans="2:21" x14ac:dyDescent="0.35">
      <c r="B8476" s="9"/>
      <c r="C8476" s="2"/>
      <c r="D8476" s="2"/>
      <c r="I8476" s="9"/>
      <c r="J8476" s="2"/>
      <c r="L8476" s="9"/>
      <c r="M8476" s="2"/>
      <c r="N8476" s="9"/>
      <c r="P8476" s="3">
        <v>-951.64435002000005</v>
      </c>
      <c r="S8476" s="9"/>
      <c r="T8476" s="2"/>
      <c r="U8476" s="9"/>
    </row>
    <row r="8477" spans="2:21" x14ac:dyDescent="0.35">
      <c r="B8477" s="9"/>
      <c r="C8477" s="2"/>
      <c r="D8477" s="2"/>
      <c r="I8477" s="9"/>
      <c r="J8477" s="2"/>
      <c r="L8477" s="9"/>
      <c r="M8477" s="2"/>
      <c r="N8477" s="9"/>
      <c r="P8477" s="3">
        <v>-659.96925002</v>
      </c>
      <c r="S8477" s="9"/>
      <c r="T8477" s="2"/>
      <c r="U8477" s="9"/>
    </row>
    <row r="8478" spans="2:21" x14ac:dyDescent="0.35">
      <c r="B8478" s="9"/>
      <c r="C8478" s="2"/>
      <c r="D8478" s="2"/>
      <c r="I8478" s="9"/>
      <c r="J8478" s="2"/>
      <c r="L8478" s="9"/>
      <c r="M8478" s="2"/>
      <c r="N8478" s="9"/>
      <c r="P8478" s="3">
        <v>-550.77075720000005</v>
      </c>
      <c r="S8478" s="9"/>
      <c r="T8478" s="2"/>
      <c r="U8478" s="9"/>
    </row>
    <row r="8479" spans="2:21" x14ac:dyDescent="0.35">
      <c r="B8479" s="9"/>
      <c r="C8479" s="2"/>
      <c r="D8479" s="2"/>
      <c r="I8479" s="9"/>
      <c r="J8479" s="2"/>
      <c r="L8479" s="9"/>
      <c r="M8479" s="2"/>
      <c r="N8479" s="9"/>
      <c r="P8479" s="3">
        <v>-480.07605719999998</v>
      </c>
      <c r="S8479" s="9"/>
      <c r="T8479" s="2"/>
      <c r="U8479" s="9"/>
    </row>
    <row r="8480" spans="2:21" x14ac:dyDescent="0.35">
      <c r="B8480" s="9"/>
      <c r="C8480" s="2"/>
      <c r="D8480" s="2"/>
      <c r="I8480" s="9"/>
      <c r="J8480" s="2"/>
      <c r="L8480" s="9"/>
      <c r="M8480" s="2"/>
      <c r="N8480" s="9"/>
      <c r="P8480" s="3">
        <v>-392.42868720000001</v>
      </c>
      <c r="S8480" s="9"/>
      <c r="T8480" s="2"/>
      <c r="U8480" s="9"/>
    </row>
    <row r="8481" spans="2:21" x14ac:dyDescent="0.35">
      <c r="B8481" s="9"/>
      <c r="C8481" s="2"/>
      <c r="D8481" s="2"/>
      <c r="I8481" s="9"/>
      <c r="J8481" s="2"/>
      <c r="L8481" s="9"/>
      <c r="M8481" s="2"/>
      <c r="N8481" s="9"/>
      <c r="P8481" s="3">
        <v>-341.69776719999999</v>
      </c>
      <c r="S8481" s="9"/>
      <c r="T8481" s="2"/>
      <c r="U8481" s="9"/>
    </row>
    <row r="8482" spans="2:21" x14ac:dyDescent="0.35">
      <c r="B8482" s="9"/>
      <c r="C8482" s="2"/>
      <c r="D8482" s="2"/>
      <c r="I8482" s="9"/>
      <c r="J8482" s="2"/>
      <c r="L8482" s="9"/>
      <c r="M8482" s="2"/>
      <c r="N8482" s="9"/>
      <c r="P8482" s="3">
        <v>-318.4317772</v>
      </c>
      <c r="S8482" s="9"/>
      <c r="T8482" s="2"/>
      <c r="U8482" s="9"/>
    </row>
    <row r="8483" spans="2:21" x14ac:dyDescent="0.35">
      <c r="B8483" s="9"/>
      <c r="C8483" s="2"/>
      <c r="D8483" s="2"/>
      <c r="I8483" s="9"/>
      <c r="J8483" s="2"/>
      <c r="L8483" s="9"/>
      <c r="M8483" s="2"/>
      <c r="N8483" s="9"/>
      <c r="P8483" s="3">
        <v>-201.43807072999999</v>
      </c>
      <c r="S8483" s="9"/>
      <c r="T8483" s="2"/>
      <c r="U8483" s="9"/>
    </row>
    <row r="8484" spans="2:21" x14ac:dyDescent="0.35">
      <c r="B8484" s="9"/>
      <c r="C8484" s="2"/>
      <c r="D8484" s="2"/>
      <c r="I8484" s="9"/>
      <c r="J8484" s="2"/>
      <c r="L8484" s="9"/>
      <c r="M8484" s="2"/>
      <c r="N8484" s="9"/>
      <c r="P8484" s="3">
        <v>-135.54803425</v>
      </c>
      <c r="S8484" s="9"/>
      <c r="T8484" s="2"/>
      <c r="U8484" s="9"/>
    </row>
    <row r="8485" spans="2:21" x14ac:dyDescent="0.35">
      <c r="B8485" s="9"/>
      <c r="C8485" s="2"/>
      <c r="D8485" s="2"/>
      <c r="I8485" s="9"/>
      <c r="J8485" s="2"/>
      <c r="L8485" s="9"/>
      <c r="M8485" s="2"/>
      <c r="N8485" s="9"/>
      <c r="P8485" s="3">
        <v>-135.62297179999999</v>
      </c>
      <c r="S8485" s="9"/>
      <c r="T8485" s="2"/>
      <c r="U8485" s="9"/>
    </row>
    <row r="8486" spans="2:21" x14ac:dyDescent="0.35">
      <c r="B8486" s="9"/>
      <c r="C8486" s="2"/>
      <c r="D8486" s="2"/>
      <c r="I8486" s="9"/>
      <c r="J8486" s="2"/>
      <c r="L8486" s="9"/>
      <c r="M8486" s="2"/>
      <c r="N8486" s="9"/>
      <c r="P8486" s="3">
        <v>-21.228575320000001</v>
      </c>
      <c r="S8486" s="9"/>
      <c r="T8486" s="2"/>
      <c r="U8486" s="9"/>
    </row>
    <row r="8487" spans="2:21" x14ac:dyDescent="0.35">
      <c r="B8487" s="9"/>
      <c r="C8487" s="2"/>
      <c r="D8487" s="2"/>
      <c r="I8487" s="9"/>
      <c r="J8487" s="2"/>
      <c r="L8487" s="9"/>
      <c r="M8487" s="2"/>
      <c r="N8487" s="9"/>
      <c r="P8487" s="3">
        <v>-362.24938531999999</v>
      </c>
      <c r="S8487" s="9"/>
      <c r="T8487" s="2"/>
      <c r="U8487" s="9"/>
    </row>
    <row r="8488" spans="2:21" x14ac:dyDescent="0.35">
      <c r="B8488" s="9"/>
      <c r="C8488" s="2"/>
      <c r="D8488" s="2"/>
      <c r="I8488" s="9"/>
      <c r="J8488" s="2"/>
      <c r="L8488" s="9"/>
      <c r="M8488" s="2"/>
      <c r="N8488" s="9"/>
      <c r="P8488" s="3">
        <v>-797.00938531999998</v>
      </c>
      <c r="S8488" s="9"/>
      <c r="T8488" s="2"/>
      <c r="U8488" s="9"/>
    </row>
    <row r="8489" spans="2:21" x14ac:dyDescent="0.35">
      <c r="B8489" s="9"/>
      <c r="C8489" s="2"/>
      <c r="D8489" s="2"/>
      <c r="I8489" s="9"/>
      <c r="J8489" s="2"/>
      <c r="L8489" s="9"/>
      <c r="M8489" s="2"/>
      <c r="N8489" s="9"/>
      <c r="P8489" s="3">
        <v>-1231.7693853200001</v>
      </c>
      <c r="S8489" s="9"/>
      <c r="T8489" s="2"/>
      <c r="U8489" s="9"/>
    </row>
    <row r="8490" spans="2:21" x14ac:dyDescent="0.35">
      <c r="B8490" s="9"/>
      <c r="C8490" s="2"/>
      <c r="D8490" s="2"/>
      <c r="I8490" s="9"/>
      <c r="J8490" s="2"/>
      <c r="L8490" s="9"/>
      <c r="M8490" s="2"/>
      <c r="N8490" s="9"/>
      <c r="P8490" s="3">
        <v>-1666.5293853200001</v>
      </c>
      <c r="S8490" s="9"/>
      <c r="T8490" s="2"/>
      <c r="U8490" s="9"/>
    </row>
    <row r="8491" spans="2:21" x14ac:dyDescent="0.35">
      <c r="B8491" s="9"/>
      <c r="C8491" s="2"/>
      <c r="D8491" s="2"/>
      <c r="I8491" s="9"/>
      <c r="J8491" s="2"/>
      <c r="L8491" s="9"/>
      <c r="M8491" s="2"/>
      <c r="N8491" s="9"/>
      <c r="P8491" s="3">
        <v>-1868.5788805100001</v>
      </c>
      <c r="S8491" s="9"/>
      <c r="T8491" s="2"/>
      <c r="U8491" s="9"/>
    </row>
    <row r="8492" spans="2:21" x14ac:dyDescent="0.35">
      <c r="B8492" s="9"/>
      <c r="C8492" s="2"/>
      <c r="D8492" s="2"/>
      <c r="I8492" s="9"/>
      <c r="J8492" s="2"/>
      <c r="L8492" s="9"/>
      <c r="M8492" s="2"/>
      <c r="N8492" s="9"/>
      <c r="P8492" s="3">
        <v>-1433.8188805100001</v>
      </c>
      <c r="S8492" s="9"/>
      <c r="T8492" s="2"/>
      <c r="U8492" s="9"/>
    </row>
    <row r="8493" spans="2:21" x14ac:dyDescent="0.35">
      <c r="B8493" s="9"/>
      <c r="C8493" s="2"/>
      <c r="D8493" s="2"/>
      <c r="I8493" s="9"/>
      <c r="J8493" s="2"/>
      <c r="L8493" s="9"/>
      <c r="M8493" s="2"/>
      <c r="N8493" s="9"/>
      <c r="P8493" s="3">
        <v>-1440.56760532</v>
      </c>
      <c r="S8493" s="9"/>
      <c r="T8493" s="2"/>
      <c r="U8493" s="9"/>
    </row>
    <row r="8494" spans="2:21" x14ac:dyDescent="0.35">
      <c r="B8494" s="9"/>
      <c r="C8494" s="2"/>
      <c r="D8494" s="2"/>
      <c r="I8494" s="9"/>
      <c r="J8494" s="2"/>
      <c r="L8494" s="9"/>
      <c r="M8494" s="2"/>
      <c r="N8494" s="9"/>
      <c r="P8494" s="3">
        <v>-1005.80760532</v>
      </c>
      <c r="S8494" s="9"/>
      <c r="T8494" s="2"/>
      <c r="U8494" s="9"/>
    </row>
    <row r="8495" spans="2:21" x14ac:dyDescent="0.35">
      <c r="B8495" s="9"/>
      <c r="C8495" s="2"/>
      <c r="D8495" s="2"/>
      <c r="I8495" s="9"/>
      <c r="J8495" s="2"/>
      <c r="L8495" s="9"/>
      <c r="M8495" s="2"/>
      <c r="N8495" s="9"/>
      <c r="P8495" s="3">
        <v>-571.04760532</v>
      </c>
      <c r="S8495" s="9"/>
      <c r="T8495" s="2"/>
      <c r="U8495" s="9"/>
    </row>
    <row r="8496" spans="2:21" x14ac:dyDescent="0.35">
      <c r="B8496" s="9"/>
      <c r="C8496" s="2"/>
      <c r="D8496" s="2"/>
      <c r="I8496" s="9"/>
      <c r="J8496" s="2"/>
      <c r="L8496" s="9"/>
      <c r="M8496" s="2"/>
      <c r="N8496" s="9"/>
      <c r="P8496" s="3">
        <v>-402.25149532</v>
      </c>
      <c r="S8496" s="9"/>
      <c r="T8496" s="2"/>
      <c r="U8496" s="9"/>
    </row>
    <row r="8497" spans="2:21" x14ac:dyDescent="0.35">
      <c r="B8497" s="9"/>
      <c r="C8497" s="2"/>
      <c r="D8497" s="2"/>
      <c r="I8497" s="9"/>
      <c r="J8497" s="2"/>
      <c r="L8497" s="9"/>
      <c r="M8497" s="2"/>
      <c r="N8497" s="9"/>
      <c r="P8497" s="3">
        <v>-788.65296607000005</v>
      </c>
      <c r="S8497" s="9"/>
      <c r="T8497" s="2"/>
      <c r="U8497" s="9"/>
    </row>
    <row r="8498" spans="2:21" x14ac:dyDescent="0.35">
      <c r="B8498" s="9"/>
      <c r="C8498" s="2"/>
      <c r="D8498" s="2"/>
      <c r="I8498" s="9"/>
      <c r="J8498" s="2"/>
      <c r="L8498" s="9"/>
      <c r="M8498" s="2"/>
      <c r="N8498" s="9"/>
      <c r="P8498" s="3">
        <v>-1026.0501865799999</v>
      </c>
      <c r="S8498" s="9"/>
      <c r="T8498" s="2"/>
      <c r="U8498" s="9"/>
    </row>
    <row r="8499" spans="2:21" x14ac:dyDescent="0.35">
      <c r="B8499" s="9"/>
      <c r="C8499" s="2"/>
      <c r="D8499" s="2"/>
      <c r="I8499" s="9"/>
      <c r="J8499" s="2"/>
      <c r="L8499" s="9"/>
      <c r="M8499" s="2"/>
      <c r="N8499" s="9"/>
      <c r="P8499" s="3">
        <v>-1177.1851969500001</v>
      </c>
      <c r="S8499" s="9"/>
      <c r="T8499" s="2"/>
      <c r="U8499" s="9"/>
    </row>
    <row r="8500" spans="2:21" x14ac:dyDescent="0.35">
      <c r="B8500" s="9"/>
      <c r="C8500" s="2"/>
      <c r="D8500" s="2"/>
      <c r="I8500" s="9"/>
      <c r="J8500" s="2"/>
      <c r="L8500" s="9"/>
      <c r="M8500" s="2"/>
      <c r="N8500" s="9"/>
      <c r="P8500" s="3">
        <v>-1159.1086972000001</v>
      </c>
      <c r="S8500" s="9"/>
      <c r="T8500" s="2"/>
      <c r="U8500" s="9"/>
    </row>
    <row r="8501" spans="2:21" x14ac:dyDescent="0.35">
      <c r="B8501" s="9"/>
      <c r="C8501" s="2"/>
      <c r="D8501" s="2"/>
      <c r="I8501" s="9"/>
      <c r="J8501" s="2"/>
      <c r="L8501" s="9"/>
      <c r="M8501" s="2"/>
      <c r="N8501" s="9"/>
      <c r="P8501" s="3">
        <v>-1222.2042672</v>
      </c>
      <c r="S8501" s="9"/>
      <c r="T8501" s="2"/>
      <c r="U8501" s="9"/>
    </row>
    <row r="8502" spans="2:21" x14ac:dyDescent="0.35">
      <c r="B8502" s="9"/>
      <c r="C8502" s="2"/>
      <c r="D8502" s="2"/>
      <c r="I8502" s="9"/>
      <c r="J8502" s="2"/>
      <c r="L8502" s="9"/>
      <c r="M8502" s="2"/>
      <c r="N8502" s="9"/>
      <c r="P8502" s="3">
        <v>-1310.0256630199999</v>
      </c>
      <c r="S8502" s="9"/>
      <c r="T8502" s="2"/>
      <c r="U8502" s="9"/>
    </row>
    <row r="8503" spans="2:21" x14ac:dyDescent="0.35">
      <c r="B8503" s="9"/>
      <c r="C8503" s="2"/>
      <c r="D8503" s="2"/>
      <c r="I8503" s="9"/>
      <c r="J8503" s="2"/>
      <c r="L8503" s="9"/>
      <c r="M8503" s="2"/>
      <c r="N8503" s="9"/>
      <c r="P8503" s="3">
        <v>-1424.6416730200001</v>
      </c>
      <c r="S8503" s="9"/>
      <c r="T8503" s="2"/>
      <c r="U8503" s="9"/>
    </row>
    <row r="8504" spans="2:21" x14ac:dyDescent="0.35">
      <c r="B8504" s="9"/>
      <c r="C8504" s="2"/>
      <c r="D8504" s="2"/>
      <c r="I8504" s="9"/>
      <c r="J8504" s="2"/>
      <c r="L8504" s="9"/>
      <c r="M8504" s="2"/>
      <c r="N8504" s="9"/>
      <c r="P8504" s="3">
        <v>-1644.25248302</v>
      </c>
      <c r="S8504" s="9"/>
      <c r="T8504" s="2"/>
      <c r="U8504" s="9"/>
    </row>
    <row r="8505" spans="2:21" x14ac:dyDescent="0.35">
      <c r="B8505" s="9"/>
      <c r="C8505" s="2"/>
      <c r="D8505" s="2"/>
      <c r="I8505" s="9"/>
      <c r="J8505" s="2"/>
      <c r="L8505" s="9"/>
      <c r="M8505" s="2"/>
      <c r="N8505" s="9"/>
      <c r="P8505" s="3">
        <v>-1898.08245302</v>
      </c>
      <c r="S8505" s="9"/>
      <c r="T8505" s="2"/>
      <c r="U8505" s="9"/>
    </row>
    <row r="8506" spans="2:21" x14ac:dyDescent="0.35">
      <c r="B8506" s="9"/>
      <c r="C8506" s="2"/>
      <c r="D8506" s="2"/>
      <c r="I8506" s="9"/>
      <c r="J8506" s="2"/>
      <c r="L8506" s="9"/>
      <c r="M8506" s="2"/>
      <c r="N8506" s="9"/>
      <c r="P8506" s="3">
        <v>-2147.2647630199999</v>
      </c>
      <c r="S8506" s="9"/>
      <c r="T8506" s="2"/>
      <c r="U8506" s="9"/>
    </row>
    <row r="8507" spans="2:21" x14ac:dyDescent="0.35">
      <c r="B8507" s="9"/>
      <c r="C8507" s="2"/>
      <c r="D8507" s="2"/>
      <c r="I8507" s="9"/>
      <c r="J8507" s="2"/>
      <c r="L8507" s="9"/>
      <c r="M8507" s="2"/>
      <c r="N8507" s="9"/>
      <c r="P8507" s="3">
        <v>-2307.5047565499999</v>
      </c>
      <c r="S8507" s="9"/>
      <c r="T8507" s="2"/>
      <c r="U8507" s="9"/>
    </row>
    <row r="8508" spans="2:21" x14ac:dyDescent="0.35">
      <c r="B8508" s="9"/>
      <c r="C8508" s="2"/>
      <c r="D8508" s="2"/>
      <c r="I8508" s="9"/>
      <c r="J8508" s="2"/>
      <c r="L8508" s="9"/>
      <c r="M8508" s="2"/>
      <c r="N8508" s="9"/>
      <c r="P8508" s="3">
        <v>-2543.47477007</v>
      </c>
      <c r="S8508" s="9"/>
      <c r="T8508" s="2"/>
      <c r="U8508" s="9"/>
    </row>
    <row r="8509" spans="2:21" x14ac:dyDescent="0.35">
      <c r="B8509" s="9"/>
      <c r="C8509" s="2"/>
      <c r="D8509" s="2"/>
      <c r="I8509" s="9"/>
      <c r="J8509" s="2"/>
      <c r="L8509" s="9"/>
      <c r="M8509" s="2"/>
      <c r="N8509" s="9"/>
      <c r="P8509" s="3">
        <v>-2838.8067576200001</v>
      </c>
      <c r="S8509" s="9"/>
      <c r="T8509" s="2"/>
      <c r="U8509" s="9"/>
    </row>
    <row r="8510" spans="2:21" x14ac:dyDescent="0.35">
      <c r="B8510" s="9"/>
      <c r="C8510" s="2"/>
      <c r="D8510" s="2"/>
      <c r="I8510" s="9"/>
      <c r="J8510" s="2"/>
      <c r="L8510" s="9"/>
      <c r="M8510" s="2"/>
      <c r="N8510" s="9"/>
      <c r="P8510" s="3">
        <v>-2860.169492</v>
      </c>
      <c r="S8510" s="9"/>
      <c r="T8510" s="2"/>
      <c r="U8510" s="9"/>
    </row>
    <row r="8511" spans="2:21" x14ac:dyDescent="0.35">
      <c r="B8511" s="9"/>
      <c r="C8511" s="2"/>
      <c r="D8511" s="2"/>
      <c r="I8511" s="9"/>
      <c r="J8511" s="2"/>
      <c r="L8511" s="9"/>
      <c r="M8511" s="2"/>
      <c r="N8511" s="9"/>
      <c r="P8511" s="3">
        <v>-2860.169492</v>
      </c>
      <c r="S8511" s="9"/>
      <c r="T8511" s="2"/>
      <c r="U8511" s="9"/>
    </row>
    <row r="8512" spans="2:21" x14ac:dyDescent="0.35">
      <c r="B8512" s="9"/>
      <c r="C8512" s="2"/>
      <c r="D8512" s="2"/>
      <c r="I8512" s="9"/>
      <c r="J8512" s="2"/>
      <c r="L8512" s="9"/>
      <c r="M8512" s="2"/>
      <c r="N8512" s="9"/>
      <c r="P8512" s="3">
        <v>-2425.4094919999998</v>
      </c>
      <c r="S8512" s="9"/>
      <c r="T8512" s="2"/>
      <c r="U8512" s="9"/>
    </row>
    <row r="8513" spans="2:21" x14ac:dyDescent="0.35">
      <c r="B8513" s="9"/>
      <c r="C8513" s="2"/>
      <c r="D8513" s="2"/>
      <c r="I8513" s="9"/>
      <c r="J8513" s="2"/>
      <c r="L8513" s="9"/>
      <c r="M8513" s="2"/>
      <c r="N8513" s="9"/>
      <c r="P8513" s="3">
        <v>-1990.649492</v>
      </c>
      <c r="S8513" s="9"/>
      <c r="T8513" s="2"/>
      <c r="U8513" s="9"/>
    </row>
    <row r="8514" spans="2:21" x14ac:dyDescent="0.35">
      <c r="B8514" s="9"/>
      <c r="C8514" s="2"/>
      <c r="D8514" s="2"/>
      <c r="I8514" s="9"/>
      <c r="J8514" s="2"/>
      <c r="L8514" s="9"/>
      <c r="M8514" s="2"/>
      <c r="N8514" s="9"/>
      <c r="P8514" s="3">
        <v>-1555.889492</v>
      </c>
      <c r="S8514" s="9"/>
      <c r="T8514" s="2"/>
      <c r="U8514" s="9"/>
    </row>
    <row r="8515" spans="2:21" x14ac:dyDescent="0.35">
      <c r="B8515" s="9"/>
      <c r="C8515" s="2"/>
      <c r="D8515" s="2"/>
      <c r="I8515" s="9"/>
      <c r="J8515" s="2"/>
      <c r="L8515" s="9"/>
      <c r="M8515" s="2"/>
      <c r="N8515" s="9"/>
      <c r="P8515" s="3">
        <v>-1121.129492</v>
      </c>
      <c r="S8515" s="9"/>
      <c r="T8515" s="2"/>
      <c r="U8515" s="9"/>
    </row>
    <row r="8516" spans="2:21" x14ac:dyDescent="0.35">
      <c r="B8516" s="9"/>
      <c r="C8516" s="2"/>
      <c r="D8516" s="2"/>
      <c r="I8516" s="9"/>
      <c r="J8516" s="2"/>
      <c r="L8516" s="9"/>
      <c r="M8516" s="2"/>
      <c r="N8516" s="9"/>
      <c r="P8516" s="3">
        <v>-734.13811528999997</v>
      </c>
      <c r="S8516" s="9"/>
      <c r="T8516" s="2"/>
      <c r="U8516" s="9"/>
    </row>
    <row r="8517" spans="2:21" x14ac:dyDescent="0.35">
      <c r="B8517" s="9"/>
      <c r="C8517" s="2"/>
      <c r="D8517" s="2"/>
      <c r="I8517" s="9"/>
      <c r="J8517" s="2"/>
      <c r="L8517" s="9"/>
      <c r="M8517" s="2"/>
      <c r="N8517" s="9"/>
      <c r="P8517" s="3">
        <v>-1168.8981152900001</v>
      </c>
      <c r="S8517" s="9"/>
      <c r="T8517" s="2"/>
      <c r="U8517" s="9"/>
    </row>
    <row r="8518" spans="2:21" x14ac:dyDescent="0.35">
      <c r="B8518" s="9"/>
      <c r="C8518" s="2"/>
      <c r="D8518" s="2"/>
      <c r="I8518" s="9"/>
      <c r="J8518" s="2"/>
      <c r="L8518" s="9"/>
      <c r="M8518" s="2"/>
      <c r="N8518" s="9"/>
      <c r="P8518" s="3">
        <v>-1603.6581152900001</v>
      </c>
      <c r="S8518" s="9"/>
      <c r="T8518" s="2"/>
      <c r="U8518" s="9"/>
    </row>
    <row r="8519" spans="2:21" x14ac:dyDescent="0.35">
      <c r="B8519" s="9"/>
      <c r="C8519" s="2"/>
      <c r="D8519" s="2"/>
      <c r="I8519" s="9"/>
      <c r="J8519" s="2"/>
      <c r="L8519" s="9"/>
      <c r="M8519" s="2"/>
      <c r="N8519" s="9"/>
      <c r="P8519" s="3">
        <v>-2038.4181152900001</v>
      </c>
      <c r="S8519" s="9"/>
      <c r="T8519" s="2"/>
      <c r="U8519" s="9"/>
    </row>
    <row r="8520" spans="2:21" x14ac:dyDescent="0.35">
      <c r="B8520" s="9"/>
      <c r="C8520" s="2"/>
      <c r="D8520" s="2"/>
      <c r="I8520" s="9"/>
      <c r="J8520" s="2"/>
      <c r="L8520" s="9"/>
      <c r="M8520" s="2"/>
      <c r="N8520" s="9"/>
      <c r="P8520" s="3">
        <v>-2473.1781152899998</v>
      </c>
      <c r="S8520" s="9"/>
      <c r="T8520" s="2"/>
      <c r="U8520" s="9"/>
    </row>
    <row r="8521" spans="2:21" x14ac:dyDescent="0.35">
      <c r="B8521" s="9"/>
      <c r="C8521" s="2"/>
      <c r="D8521" s="2"/>
      <c r="I8521" s="9"/>
      <c r="J8521" s="2"/>
      <c r="L8521" s="9"/>
      <c r="M8521" s="2"/>
      <c r="N8521" s="9"/>
      <c r="P8521" s="3">
        <v>-2860.169492</v>
      </c>
      <c r="S8521" s="9"/>
      <c r="T8521" s="2"/>
      <c r="U8521" s="9"/>
    </row>
    <row r="8522" spans="2:21" x14ac:dyDescent="0.35">
      <c r="B8522" s="9"/>
      <c r="C8522" s="2"/>
      <c r="D8522" s="2"/>
      <c r="I8522" s="9"/>
      <c r="J8522" s="2"/>
      <c r="L8522" s="9"/>
      <c r="M8522" s="2"/>
      <c r="N8522" s="9"/>
      <c r="P8522" s="3">
        <v>-2860.169492</v>
      </c>
      <c r="S8522" s="9"/>
      <c r="T8522" s="2"/>
      <c r="U8522" s="9"/>
    </row>
    <row r="8523" spans="2:21" x14ac:dyDescent="0.35">
      <c r="B8523" s="9"/>
      <c r="C8523" s="2"/>
      <c r="D8523" s="2"/>
      <c r="I8523" s="9"/>
      <c r="J8523" s="2"/>
      <c r="L8523" s="9"/>
      <c r="M8523" s="2"/>
      <c r="N8523" s="9"/>
      <c r="P8523" s="3">
        <v>-2860.169492</v>
      </c>
      <c r="S8523" s="9"/>
      <c r="T8523" s="2"/>
      <c r="U8523" s="9"/>
    </row>
    <row r="8524" spans="2:21" x14ac:dyDescent="0.35">
      <c r="B8524" s="9"/>
      <c r="C8524" s="2"/>
      <c r="D8524" s="2"/>
      <c r="I8524" s="9"/>
      <c r="J8524" s="2"/>
      <c r="L8524" s="9"/>
      <c r="M8524" s="2"/>
      <c r="N8524" s="9"/>
      <c r="P8524" s="3">
        <v>-2860.169492</v>
      </c>
      <c r="S8524" s="9"/>
      <c r="T8524" s="2"/>
      <c r="U8524" s="9"/>
    </row>
    <row r="8525" spans="2:21" x14ac:dyDescent="0.35">
      <c r="B8525" s="9"/>
      <c r="C8525" s="2"/>
      <c r="D8525" s="2"/>
      <c r="I8525" s="9"/>
      <c r="J8525" s="2"/>
      <c r="L8525" s="9"/>
      <c r="M8525" s="2"/>
      <c r="N8525" s="9"/>
      <c r="P8525" s="3">
        <v>-2860.169492</v>
      </c>
      <c r="S8525" s="9"/>
      <c r="T8525" s="2"/>
      <c r="U8525" s="9"/>
    </row>
    <row r="8526" spans="2:21" x14ac:dyDescent="0.35">
      <c r="B8526" s="9"/>
      <c r="C8526" s="2"/>
      <c r="D8526" s="2"/>
      <c r="I8526" s="9"/>
      <c r="J8526" s="2"/>
      <c r="L8526" s="9"/>
      <c r="M8526" s="2"/>
      <c r="N8526" s="9"/>
      <c r="P8526" s="3">
        <v>-2425.4094919999998</v>
      </c>
      <c r="S8526" s="9"/>
      <c r="T8526" s="2"/>
      <c r="U8526" s="9"/>
    </row>
    <row r="8527" spans="2:21" x14ac:dyDescent="0.35">
      <c r="B8527" s="9"/>
      <c r="C8527" s="2"/>
      <c r="D8527" s="2"/>
      <c r="I8527" s="9"/>
      <c r="J8527" s="2"/>
      <c r="L8527" s="9"/>
      <c r="M8527" s="2"/>
      <c r="N8527" s="9"/>
      <c r="P8527" s="3">
        <v>-1990.649492</v>
      </c>
      <c r="S8527" s="9"/>
      <c r="T8527" s="2"/>
      <c r="U8527" s="9"/>
    </row>
    <row r="8528" spans="2:21" x14ac:dyDescent="0.35">
      <c r="B8528" s="9"/>
      <c r="C8528" s="2"/>
      <c r="D8528" s="2"/>
      <c r="I8528" s="9"/>
      <c r="J8528" s="2"/>
      <c r="L8528" s="9"/>
      <c r="M8528" s="2"/>
      <c r="N8528" s="9"/>
      <c r="P8528" s="3">
        <v>-1555.889492</v>
      </c>
      <c r="S8528" s="9"/>
      <c r="T8528" s="2"/>
      <c r="U8528" s="9"/>
    </row>
    <row r="8529" spans="2:21" x14ac:dyDescent="0.35">
      <c r="B8529" s="9"/>
      <c r="C8529" s="2"/>
      <c r="D8529" s="2"/>
      <c r="I8529" s="9"/>
      <c r="J8529" s="2"/>
      <c r="L8529" s="9"/>
      <c r="M8529" s="2"/>
      <c r="N8529" s="9"/>
      <c r="P8529" s="3">
        <v>-1121.129492</v>
      </c>
      <c r="S8529" s="9"/>
      <c r="T8529" s="2"/>
      <c r="U8529" s="9"/>
    </row>
    <row r="8530" spans="2:21" x14ac:dyDescent="0.35">
      <c r="B8530" s="9"/>
      <c r="C8530" s="2"/>
      <c r="D8530" s="2"/>
      <c r="I8530" s="9"/>
      <c r="J8530" s="2"/>
      <c r="L8530" s="9"/>
      <c r="M8530" s="2"/>
      <c r="N8530" s="9"/>
      <c r="P8530" s="3">
        <v>-686.36949200000004</v>
      </c>
      <c r="S8530" s="9"/>
      <c r="T8530" s="2"/>
      <c r="U8530" s="9"/>
    </row>
    <row r="8531" spans="2:21" x14ac:dyDescent="0.35">
      <c r="B8531" s="9"/>
      <c r="C8531" s="2"/>
      <c r="D8531" s="2"/>
      <c r="I8531" s="9"/>
      <c r="J8531" s="2"/>
      <c r="L8531" s="9"/>
      <c r="M8531" s="2"/>
      <c r="N8531" s="9"/>
      <c r="P8531" s="3">
        <v>-251.60949199999999</v>
      </c>
      <c r="S8531" s="9"/>
      <c r="T8531" s="2"/>
      <c r="U8531" s="9"/>
    </row>
    <row r="8532" spans="2:21" x14ac:dyDescent="0.35">
      <c r="B8532" s="9"/>
      <c r="C8532" s="2"/>
      <c r="D8532" s="2"/>
      <c r="I8532" s="9"/>
      <c r="J8532" s="2"/>
      <c r="L8532" s="9"/>
      <c r="M8532" s="2"/>
      <c r="N8532" s="9"/>
      <c r="P8532" s="3">
        <v>0</v>
      </c>
      <c r="S8532" s="9"/>
      <c r="T8532" s="2"/>
      <c r="U8532" s="9"/>
    </row>
    <row r="8533" spans="2:21" x14ac:dyDescent="0.35">
      <c r="B8533" s="9"/>
      <c r="C8533" s="2"/>
      <c r="D8533" s="2"/>
      <c r="I8533" s="9"/>
      <c r="J8533" s="2"/>
      <c r="L8533" s="9"/>
      <c r="M8533" s="2"/>
      <c r="N8533" s="9"/>
      <c r="P8533" s="3">
        <v>0</v>
      </c>
      <c r="S8533" s="9"/>
      <c r="T8533" s="2"/>
      <c r="U8533" s="9"/>
    </row>
    <row r="8534" spans="2:21" x14ac:dyDescent="0.35">
      <c r="B8534" s="9"/>
      <c r="C8534" s="2"/>
      <c r="D8534" s="2"/>
      <c r="I8534" s="9"/>
      <c r="J8534" s="2"/>
      <c r="L8534" s="9"/>
      <c r="M8534" s="2"/>
      <c r="N8534" s="9"/>
      <c r="P8534" s="3">
        <v>0</v>
      </c>
      <c r="S8534" s="9"/>
      <c r="T8534" s="2"/>
      <c r="U8534" s="9"/>
    </row>
    <row r="8535" spans="2:21" x14ac:dyDescent="0.35">
      <c r="B8535" s="9"/>
      <c r="C8535" s="2"/>
      <c r="D8535" s="2"/>
      <c r="I8535" s="9"/>
      <c r="J8535" s="2"/>
      <c r="L8535" s="9"/>
      <c r="M8535" s="2"/>
      <c r="N8535" s="9"/>
      <c r="P8535" s="3">
        <v>0</v>
      </c>
      <c r="S8535" s="9"/>
      <c r="T8535" s="2"/>
      <c r="U8535" s="9"/>
    </row>
    <row r="8536" spans="2:21" x14ac:dyDescent="0.35">
      <c r="B8536" s="9"/>
      <c r="C8536" s="2"/>
      <c r="D8536" s="2"/>
      <c r="I8536" s="9"/>
      <c r="J8536" s="2"/>
      <c r="L8536" s="9"/>
      <c r="M8536" s="2"/>
      <c r="N8536" s="9"/>
      <c r="P8536" s="3">
        <v>0</v>
      </c>
      <c r="S8536" s="9"/>
      <c r="T8536" s="2"/>
      <c r="U8536" s="9"/>
    </row>
    <row r="8537" spans="2:21" x14ac:dyDescent="0.35">
      <c r="B8537" s="9"/>
      <c r="C8537" s="2"/>
      <c r="D8537" s="2"/>
      <c r="I8537" s="9"/>
      <c r="J8537" s="2"/>
      <c r="L8537" s="9"/>
      <c r="M8537" s="2"/>
      <c r="N8537" s="9"/>
      <c r="P8537" s="3">
        <v>0</v>
      </c>
      <c r="S8537" s="9"/>
      <c r="T8537" s="2"/>
      <c r="U8537" s="9"/>
    </row>
    <row r="8538" spans="2:21" x14ac:dyDescent="0.35">
      <c r="B8538" s="9"/>
      <c r="C8538" s="2"/>
      <c r="D8538" s="2"/>
      <c r="I8538" s="9"/>
      <c r="J8538" s="2"/>
      <c r="L8538" s="9"/>
      <c r="M8538" s="2"/>
      <c r="N8538" s="9"/>
      <c r="P8538" s="3">
        <v>0</v>
      </c>
      <c r="S8538" s="9"/>
      <c r="T8538" s="2"/>
      <c r="U8538" s="9"/>
    </row>
    <row r="8539" spans="2:21" x14ac:dyDescent="0.35">
      <c r="B8539" s="9"/>
      <c r="C8539" s="2"/>
      <c r="D8539" s="2"/>
      <c r="I8539" s="9"/>
      <c r="J8539" s="2"/>
      <c r="L8539" s="9"/>
      <c r="M8539" s="2"/>
      <c r="N8539" s="9"/>
      <c r="P8539" s="3">
        <v>0</v>
      </c>
      <c r="S8539" s="9"/>
      <c r="T8539" s="2"/>
      <c r="U8539" s="9"/>
    </row>
    <row r="8540" spans="2:21" x14ac:dyDescent="0.35">
      <c r="B8540" s="9"/>
      <c r="C8540" s="2"/>
      <c r="D8540" s="2"/>
      <c r="I8540" s="9"/>
      <c r="J8540" s="2"/>
      <c r="L8540" s="9"/>
      <c r="M8540" s="2"/>
      <c r="N8540" s="9"/>
      <c r="P8540" s="3">
        <v>0</v>
      </c>
      <c r="S8540" s="9"/>
      <c r="T8540" s="2"/>
      <c r="U8540" s="9"/>
    </row>
    <row r="8541" spans="2:21" x14ac:dyDescent="0.35">
      <c r="B8541" s="9"/>
      <c r="C8541" s="2"/>
      <c r="D8541" s="2"/>
      <c r="I8541" s="9"/>
      <c r="J8541" s="2"/>
      <c r="L8541" s="9"/>
      <c r="M8541" s="2"/>
      <c r="N8541" s="9"/>
      <c r="P8541" s="3">
        <v>0</v>
      </c>
      <c r="S8541" s="9"/>
      <c r="T8541" s="2"/>
      <c r="U8541" s="9"/>
    </row>
    <row r="8542" spans="2:21" x14ac:dyDescent="0.35">
      <c r="B8542" s="9"/>
      <c r="C8542" s="2"/>
      <c r="D8542" s="2"/>
      <c r="I8542" s="9"/>
      <c r="J8542" s="2"/>
      <c r="L8542" s="9"/>
      <c r="M8542" s="2"/>
      <c r="N8542" s="9"/>
      <c r="P8542" s="3">
        <v>0</v>
      </c>
      <c r="S8542" s="9"/>
      <c r="T8542" s="2"/>
      <c r="U8542" s="9"/>
    </row>
    <row r="8543" spans="2:21" x14ac:dyDescent="0.35">
      <c r="B8543" s="9"/>
      <c r="C8543" s="2"/>
      <c r="D8543" s="2"/>
      <c r="I8543" s="9"/>
      <c r="J8543" s="2"/>
      <c r="L8543" s="9"/>
      <c r="M8543" s="2"/>
      <c r="N8543" s="9"/>
      <c r="P8543" s="3">
        <v>0</v>
      </c>
      <c r="S8543" s="9"/>
      <c r="T8543" s="2"/>
      <c r="U8543" s="9"/>
    </row>
    <row r="8544" spans="2:21" x14ac:dyDescent="0.35">
      <c r="B8544" s="9"/>
      <c r="C8544" s="2"/>
      <c r="D8544" s="2"/>
      <c r="I8544" s="9"/>
      <c r="J8544" s="2"/>
      <c r="L8544" s="9"/>
      <c r="M8544" s="2"/>
      <c r="N8544" s="9"/>
      <c r="P8544" s="3">
        <v>0</v>
      </c>
      <c r="S8544" s="9"/>
      <c r="T8544" s="2"/>
      <c r="U8544" s="9"/>
    </row>
    <row r="8545" spans="2:21" x14ac:dyDescent="0.35">
      <c r="B8545" s="9"/>
      <c r="C8545" s="2"/>
      <c r="D8545" s="2"/>
      <c r="I8545" s="9"/>
      <c r="J8545" s="2"/>
      <c r="L8545" s="9"/>
      <c r="M8545" s="2"/>
      <c r="N8545" s="9"/>
      <c r="P8545" s="3">
        <v>0</v>
      </c>
      <c r="S8545" s="9"/>
      <c r="T8545" s="2"/>
      <c r="U8545" s="9"/>
    </row>
    <row r="8546" spans="2:21" x14ac:dyDescent="0.35">
      <c r="B8546" s="9"/>
      <c r="C8546" s="2"/>
      <c r="D8546" s="2"/>
      <c r="I8546" s="9"/>
      <c r="J8546" s="2"/>
      <c r="L8546" s="9"/>
      <c r="M8546" s="2"/>
      <c r="N8546" s="9"/>
      <c r="P8546" s="3">
        <v>0</v>
      </c>
      <c r="S8546" s="9"/>
      <c r="T8546" s="2"/>
      <c r="U8546" s="9"/>
    </row>
    <row r="8547" spans="2:21" x14ac:dyDescent="0.35">
      <c r="B8547" s="9"/>
      <c r="C8547" s="2"/>
      <c r="D8547" s="2"/>
      <c r="I8547" s="9"/>
      <c r="J8547" s="2"/>
      <c r="L8547" s="9"/>
      <c r="M8547" s="2"/>
      <c r="N8547" s="9"/>
      <c r="P8547" s="3">
        <v>0</v>
      </c>
      <c r="S8547" s="9"/>
      <c r="T8547" s="2"/>
      <c r="U8547" s="9"/>
    </row>
    <row r="8548" spans="2:21" x14ac:dyDescent="0.35">
      <c r="B8548" s="9"/>
      <c r="C8548" s="2"/>
      <c r="D8548" s="2"/>
      <c r="I8548" s="9"/>
      <c r="J8548" s="2"/>
      <c r="L8548" s="9"/>
      <c r="M8548" s="2"/>
      <c r="N8548" s="9"/>
      <c r="P8548" s="3">
        <v>0</v>
      </c>
      <c r="S8548" s="9"/>
      <c r="T8548" s="2"/>
      <c r="U8548" s="9"/>
    </row>
    <row r="8549" spans="2:21" x14ac:dyDescent="0.35">
      <c r="B8549" s="9"/>
      <c r="C8549" s="2"/>
      <c r="D8549" s="2"/>
      <c r="I8549" s="9"/>
      <c r="J8549" s="2"/>
      <c r="L8549" s="9"/>
      <c r="M8549" s="2"/>
      <c r="N8549" s="9"/>
      <c r="P8549" s="3">
        <v>0</v>
      </c>
      <c r="S8549" s="9"/>
      <c r="T8549" s="2"/>
      <c r="U8549" s="9"/>
    </row>
    <row r="8550" spans="2:21" x14ac:dyDescent="0.35">
      <c r="B8550" s="9"/>
      <c r="C8550" s="2"/>
      <c r="D8550" s="2"/>
      <c r="I8550" s="9"/>
      <c r="J8550" s="2"/>
      <c r="L8550" s="9"/>
      <c r="M8550" s="2"/>
      <c r="N8550" s="9"/>
      <c r="P8550" s="3">
        <v>0</v>
      </c>
      <c r="S8550" s="9"/>
      <c r="T8550" s="2"/>
      <c r="U8550" s="9"/>
    </row>
    <row r="8551" spans="2:21" x14ac:dyDescent="0.35">
      <c r="B8551" s="9"/>
      <c r="C8551" s="2"/>
      <c r="D8551" s="2"/>
      <c r="I8551" s="9"/>
      <c r="J8551" s="2"/>
      <c r="L8551" s="9"/>
      <c r="M8551" s="2"/>
      <c r="N8551" s="9"/>
      <c r="P8551" s="3">
        <v>0</v>
      </c>
      <c r="S8551" s="9"/>
      <c r="T8551" s="2"/>
      <c r="U8551" s="9"/>
    </row>
    <row r="8552" spans="2:21" x14ac:dyDescent="0.35">
      <c r="B8552" s="9"/>
      <c r="C8552" s="2"/>
      <c r="D8552" s="2"/>
      <c r="I8552" s="9"/>
      <c r="J8552" s="2"/>
      <c r="L8552" s="9"/>
      <c r="M8552" s="2"/>
      <c r="N8552" s="9"/>
      <c r="P8552" s="3">
        <v>0</v>
      </c>
      <c r="S8552" s="9"/>
      <c r="T8552" s="2"/>
      <c r="U8552" s="9"/>
    </row>
    <row r="8553" spans="2:21" x14ac:dyDescent="0.35">
      <c r="B8553" s="9"/>
      <c r="C8553" s="2"/>
      <c r="D8553" s="2"/>
      <c r="I8553" s="9"/>
      <c r="J8553" s="2"/>
      <c r="L8553" s="9"/>
      <c r="M8553" s="2"/>
      <c r="N8553" s="9"/>
      <c r="P8553" s="3">
        <v>0</v>
      </c>
      <c r="S8553" s="9"/>
      <c r="T8553" s="2"/>
      <c r="U8553" s="9"/>
    </row>
    <row r="8554" spans="2:21" x14ac:dyDescent="0.35">
      <c r="B8554" s="9"/>
      <c r="C8554" s="2"/>
      <c r="D8554" s="2"/>
      <c r="I8554" s="9"/>
      <c r="J8554" s="2"/>
      <c r="L8554" s="9"/>
      <c r="M8554" s="2"/>
      <c r="N8554" s="9"/>
      <c r="P8554" s="3">
        <v>0</v>
      </c>
      <c r="S8554" s="9"/>
      <c r="T8554" s="2"/>
      <c r="U8554" s="9"/>
    </row>
    <row r="8555" spans="2:21" x14ac:dyDescent="0.35">
      <c r="B8555" s="9"/>
      <c r="C8555" s="2"/>
      <c r="D8555" s="2"/>
      <c r="I8555" s="9"/>
      <c r="J8555" s="2"/>
      <c r="L8555" s="9"/>
      <c r="M8555" s="2"/>
      <c r="N8555" s="9"/>
      <c r="P8555" s="3">
        <v>0</v>
      </c>
      <c r="S8555" s="9"/>
      <c r="T8555" s="2"/>
      <c r="U8555" s="9"/>
    </row>
    <row r="8556" spans="2:21" x14ac:dyDescent="0.35">
      <c r="B8556" s="9"/>
      <c r="C8556" s="2"/>
      <c r="D8556" s="2"/>
      <c r="I8556" s="9"/>
      <c r="J8556" s="2"/>
      <c r="L8556" s="9"/>
      <c r="M8556" s="2"/>
      <c r="N8556" s="9"/>
      <c r="P8556" s="3">
        <v>0</v>
      </c>
      <c r="S8556" s="9"/>
      <c r="T8556" s="2"/>
      <c r="U8556" s="9"/>
    </row>
    <row r="8557" spans="2:21" x14ac:dyDescent="0.35">
      <c r="B8557" s="9"/>
      <c r="C8557" s="2"/>
      <c r="D8557" s="2"/>
      <c r="I8557" s="9"/>
      <c r="J8557" s="2"/>
      <c r="L8557" s="9"/>
      <c r="M8557" s="2"/>
      <c r="N8557" s="9"/>
      <c r="P8557" s="3">
        <v>0</v>
      </c>
      <c r="S8557" s="9"/>
      <c r="T8557" s="2"/>
      <c r="U8557" s="9"/>
    </row>
    <row r="8558" spans="2:21" x14ac:dyDescent="0.35">
      <c r="B8558" s="9"/>
      <c r="C8558" s="2"/>
      <c r="D8558" s="2"/>
      <c r="I8558" s="9"/>
      <c r="J8558" s="2"/>
      <c r="L8558" s="9"/>
      <c r="M8558" s="2"/>
      <c r="N8558" s="9"/>
      <c r="P8558" s="3">
        <v>0</v>
      </c>
      <c r="S8558" s="9"/>
      <c r="T8558" s="2"/>
      <c r="U8558" s="9"/>
    </row>
    <row r="8559" spans="2:21" x14ac:dyDescent="0.35">
      <c r="B8559" s="9"/>
      <c r="C8559" s="2"/>
      <c r="D8559" s="2"/>
      <c r="I8559" s="9"/>
      <c r="J8559" s="2"/>
      <c r="L8559" s="9"/>
      <c r="M8559" s="2"/>
      <c r="N8559" s="9"/>
      <c r="P8559" s="3">
        <v>0</v>
      </c>
      <c r="S8559" s="9"/>
      <c r="T8559" s="2"/>
      <c r="U8559" s="9"/>
    </row>
    <row r="8560" spans="2:21" x14ac:dyDescent="0.35">
      <c r="B8560" s="9"/>
      <c r="C8560" s="2"/>
      <c r="D8560" s="2"/>
      <c r="I8560" s="9"/>
      <c r="J8560" s="2"/>
      <c r="L8560" s="9"/>
      <c r="M8560" s="2"/>
      <c r="N8560" s="9"/>
      <c r="P8560" s="3">
        <v>0</v>
      </c>
      <c r="S8560" s="9"/>
      <c r="T8560" s="2"/>
      <c r="U8560" s="9"/>
    </row>
    <row r="8561" spans="2:21" x14ac:dyDescent="0.35">
      <c r="B8561" s="9"/>
      <c r="C8561" s="2"/>
      <c r="D8561" s="2"/>
      <c r="I8561" s="9"/>
      <c r="J8561" s="2"/>
      <c r="L8561" s="9"/>
      <c r="M8561" s="2"/>
      <c r="N8561" s="9"/>
      <c r="P8561" s="3">
        <v>-251.60949199999999</v>
      </c>
      <c r="S8561" s="9"/>
      <c r="T8561" s="2"/>
      <c r="U8561" s="9"/>
    </row>
    <row r="8562" spans="2:21" x14ac:dyDescent="0.35">
      <c r="B8562" s="9"/>
      <c r="C8562" s="2"/>
      <c r="D8562" s="2"/>
      <c r="I8562" s="9"/>
      <c r="J8562" s="2"/>
      <c r="L8562" s="9"/>
      <c r="M8562" s="2"/>
      <c r="N8562" s="9"/>
      <c r="P8562" s="3">
        <v>-686.36949200000004</v>
      </c>
      <c r="S8562" s="9"/>
      <c r="T8562" s="2"/>
      <c r="U8562" s="9"/>
    </row>
    <row r="8563" spans="2:21" x14ac:dyDescent="0.35">
      <c r="B8563" s="9"/>
      <c r="C8563" s="2"/>
      <c r="D8563" s="2"/>
      <c r="I8563" s="9"/>
      <c r="J8563" s="2"/>
      <c r="L8563" s="9"/>
      <c r="M8563" s="2"/>
      <c r="N8563" s="9"/>
      <c r="P8563" s="3">
        <v>-1121.129492</v>
      </c>
      <c r="S8563" s="9"/>
      <c r="T8563" s="2"/>
      <c r="U8563" s="9"/>
    </row>
    <row r="8564" spans="2:21" x14ac:dyDescent="0.35">
      <c r="B8564" s="9"/>
      <c r="C8564" s="2"/>
      <c r="D8564" s="2"/>
      <c r="I8564" s="9"/>
      <c r="J8564" s="2"/>
      <c r="L8564" s="9"/>
      <c r="M8564" s="2"/>
      <c r="N8564" s="9"/>
      <c r="P8564" s="3">
        <v>-1555.889492</v>
      </c>
      <c r="S8564" s="9"/>
      <c r="T8564" s="2"/>
      <c r="U8564" s="9"/>
    </row>
    <row r="8565" spans="2:21" x14ac:dyDescent="0.35">
      <c r="B8565" s="9"/>
      <c r="C8565" s="2"/>
      <c r="D8565" s="2"/>
      <c r="I8565" s="9"/>
      <c r="J8565" s="2"/>
      <c r="L8565" s="9"/>
      <c r="M8565" s="2"/>
      <c r="N8565" s="9"/>
      <c r="P8565" s="3">
        <v>-1990.649492</v>
      </c>
      <c r="S8565" s="9"/>
      <c r="T8565" s="2"/>
      <c r="U8565" s="9"/>
    </row>
    <row r="8566" spans="2:21" x14ac:dyDescent="0.35">
      <c r="B8566" s="9"/>
      <c r="C8566" s="2"/>
      <c r="D8566" s="2"/>
      <c r="I8566" s="9"/>
      <c r="J8566" s="2"/>
      <c r="L8566" s="9"/>
      <c r="M8566" s="2"/>
      <c r="N8566" s="9"/>
      <c r="P8566" s="3">
        <v>-2425.4094919999998</v>
      </c>
      <c r="S8566" s="9"/>
      <c r="T8566" s="2"/>
      <c r="U8566" s="9"/>
    </row>
    <row r="8567" spans="2:21" x14ac:dyDescent="0.35">
      <c r="B8567" s="9"/>
      <c r="C8567" s="2"/>
      <c r="D8567" s="2"/>
      <c r="I8567" s="9"/>
      <c r="J8567" s="2"/>
      <c r="L8567" s="9"/>
      <c r="M8567" s="2"/>
      <c r="N8567" s="9"/>
      <c r="P8567" s="3">
        <v>-2860.169492</v>
      </c>
      <c r="S8567" s="9"/>
      <c r="T8567" s="2"/>
      <c r="U8567" s="9"/>
    </row>
    <row r="8568" spans="2:21" x14ac:dyDescent="0.35">
      <c r="B8568" s="9"/>
      <c r="C8568" s="2"/>
      <c r="D8568" s="2"/>
      <c r="I8568" s="9"/>
      <c r="J8568" s="2"/>
      <c r="L8568" s="9"/>
      <c r="M8568" s="2"/>
      <c r="N8568" s="9"/>
      <c r="P8568" s="3">
        <v>-2585.1377250800001</v>
      </c>
      <c r="S8568" s="9"/>
      <c r="T8568" s="2"/>
      <c r="U8568" s="9"/>
    </row>
    <row r="8569" spans="2:21" x14ac:dyDescent="0.35">
      <c r="B8569" s="9"/>
      <c r="C8569" s="2"/>
      <c r="D8569" s="2"/>
      <c r="I8569" s="9"/>
      <c r="J8569" s="2"/>
      <c r="L8569" s="9"/>
      <c r="M8569" s="2"/>
      <c r="N8569" s="9"/>
      <c r="P8569" s="3">
        <v>-2809.5978350800001</v>
      </c>
      <c r="S8569" s="9"/>
      <c r="T8569" s="2"/>
      <c r="U8569" s="9"/>
    </row>
    <row r="8570" spans="2:21" x14ac:dyDescent="0.35">
      <c r="B8570" s="9"/>
      <c r="C8570" s="2"/>
      <c r="D8570" s="2"/>
      <c r="I8570" s="9"/>
      <c r="J8570" s="2"/>
      <c r="L8570" s="9"/>
      <c r="M8570" s="2"/>
      <c r="N8570" s="9"/>
      <c r="P8570" s="3">
        <v>-2754.2348750800002</v>
      </c>
      <c r="S8570" s="9"/>
      <c r="T8570" s="2"/>
      <c r="U8570" s="9"/>
    </row>
    <row r="8571" spans="2:21" x14ac:dyDescent="0.35">
      <c r="B8571" s="9"/>
      <c r="C8571" s="2"/>
      <c r="D8571" s="2"/>
      <c r="I8571" s="9"/>
      <c r="J8571" s="2"/>
      <c r="L8571" s="9"/>
      <c r="M8571" s="2"/>
      <c r="N8571" s="9"/>
      <c r="P8571" s="3">
        <v>-2389.6335850800001</v>
      </c>
      <c r="S8571" s="9"/>
      <c r="T8571" s="2"/>
      <c r="U8571" s="9"/>
    </row>
    <row r="8572" spans="2:21" x14ac:dyDescent="0.35">
      <c r="B8572" s="9"/>
      <c r="C8572" s="2"/>
      <c r="D8572" s="2"/>
      <c r="I8572" s="9"/>
      <c r="J8572" s="2"/>
      <c r="L8572" s="9"/>
      <c r="M8572" s="2"/>
      <c r="N8572" s="9"/>
      <c r="P8572" s="3">
        <v>-1954.8735850800001</v>
      </c>
      <c r="S8572" s="9"/>
      <c r="T8572" s="2"/>
      <c r="U8572" s="9"/>
    </row>
    <row r="8573" spans="2:21" x14ac:dyDescent="0.35">
      <c r="B8573" s="9"/>
      <c r="C8573" s="2"/>
      <c r="D8573" s="2"/>
      <c r="I8573" s="9"/>
      <c r="J8573" s="2"/>
      <c r="L8573" s="9"/>
      <c r="M8573" s="2"/>
      <c r="N8573" s="9"/>
      <c r="P8573" s="3">
        <v>-1520.1135850799999</v>
      </c>
      <c r="S8573" s="9"/>
      <c r="T8573" s="2"/>
      <c r="U8573" s="9"/>
    </row>
    <row r="8574" spans="2:21" x14ac:dyDescent="0.35">
      <c r="B8574" s="9"/>
      <c r="C8574" s="2"/>
      <c r="D8574" s="2"/>
      <c r="I8574" s="9"/>
      <c r="J8574" s="2"/>
      <c r="L8574" s="9"/>
      <c r="M8574" s="2"/>
      <c r="N8574" s="9"/>
      <c r="P8574" s="3">
        <v>-1244.18989459</v>
      </c>
      <c r="S8574" s="9"/>
      <c r="T8574" s="2"/>
      <c r="U8574" s="9"/>
    </row>
    <row r="8575" spans="2:21" x14ac:dyDescent="0.35">
      <c r="B8575" s="9"/>
      <c r="C8575" s="2"/>
      <c r="D8575" s="2"/>
      <c r="I8575" s="9"/>
      <c r="J8575" s="2"/>
      <c r="L8575" s="9"/>
      <c r="M8575" s="2"/>
      <c r="N8575" s="9"/>
      <c r="P8575" s="3">
        <v>-853.84325459000002</v>
      </c>
      <c r="S8575" s="9"/>
      <c r="T8575" s="2"/>
      <c r="U8575" s="9"/>
    </row>
    <row r="8576" spans="2:21" x14ac:dyDescent="0.35">
      <c r="B8576" s="9"/>
      <c r="C8576" s="2"/>
      <c r="D8576" s="2"/>
      <c r="I8576" s="9"/>
      <c r="J8576" s="2"/>
      <c r="L8576" s="9"/>
      <c r="M8576" s="2"/>
      <c r="N8576" s="9"/>
      <c r="P8576" s="3">
        <v>-616.80904458999998</v>
      </c>
      <c r="S8576" s="9"/>
      <c r="T8576" s="2"/>
      <c r="U8576" s="9"/>
    </row>
    <row r="8577" spans="2:21" x14ac:dyDescent="0.35">
      <c r="B8577" s="9"/>
      <c r="C8577" s="2"/>
      <c r="D8577" s="2"/>
      <c r="I8577" s="9"/>
      <c r="J8577" s="2"/>
      <c r="L8577" s="9"/>
      <c r="M8577" s="2"/>
      <c r="N8577" s="9"/>
      <c r="P8577" s="3">
        <v>-446.77753459000002</v>
      </c>
      <c r="S8577" s="9"/>
      <c r="T8577" s="2"/>
      <c r="U8577" s="9"/>
    </row>
    <row r="8578" spans="2:21" x14ac:dyDescent="0.35">
      <c r="B8578" s="9"/>
      <c r="C8578" s="2"/>
      <c r="D8578" s="2"/>
      <c r="I8578" s="9"/>
      <c r="J8578" s="2"/>
      <c r="L8578" s="9"/>
      <c r="M8578" s="2"/>
      <c r="N8578" s="9"/>
      <c r="P8578" s="3">
        <v>-372.61945458999998</v>
      </c>
      <c r="S8578" s="9"/>
      <c r="T8578" s="2"/>
      <c r="U8578" s="9"/>
    </row>
    <row r="8579" spans="2:21" x14ac:dyDescent="0.35">
      <c r="B8579" s="9"/>
      <c r="C8579" s="2"/>
      <c r="D8579" s="2"/>
      <c r="I8579" s="9"/>
      <c r="J8579" s="2"/>
      <c r="L8579" s="9"/>
      <c r="M8579" s="2"/>
      <c r="N8579" s="9"/>
      <c r="P8579" s="3">
        <v>-273.15138811000003</v>
      </c>
      <c r="S8579" s="9"/>
      <c r="T8579" s="2"/>
      <c r="U8579" s="9"/>
    </row>
    <row r="8580" spans="2:21" x14ac:dyDescent="0.35">
      <c r="B8580" s="9"/>
      <c r="C8580" s="2"/>
      <c r="D8580" s="2"/>
      <c r="I8580" s="9"/>
      <c r="J8580" s="2"/>
      <c r="L8580" s="9"/>
      <c r="M8580" s="2"/>
      <c r="N8580" s="9"/>
      <c r="P8580" s="3">
        <v>-228.45201162999999</v>
      </c>
      <c r="S8580" s="9"/>
      <c r="T8580" s="2"/>
      <c r="U8580" s="9"/>
    </row>
    <row r="8581" spans="2:21" x14ac:dyDescent="0.35">
      <c r="B8581" s="9"/>
      <c r="C8581" s="2"/>
      <c r="D8581" s="2"/>
      <c r="I8581" s="9"/>
      <c r="J8581" s="2"/>
      <c r="L8581" s="9"/>
      <c r="M8581" s="2"/>
      <c r="N8581" s="9"/>
      <c r="P8581" s="3">
        <v>-211.64030918</v>
      </c>
      <c r="S8581" s="9"/>
      <c r="T8581" s="2"/>
      <c r="U8581" s="9"/>
    </row>
    <row r="8582" spans="2:21" x14ac:dyDescent="0.35">
      <c r="B8582" s="9"/>
      <c r="C8582" s="2"/>
      <c r="D8582" s="2"/>
      <c r="I8582" s="9"/>
      <c r="J8582" s="2"/>
      <c r="L8582" s="9"/>
      <c r="M8582" s="2"/>
      <c r="N8582" s="9"/>
      <c r="P8582" s="3">
        <v>-156.48689271000001</v>
      </c>
      <c r="S8582" s="9"/>
      <c r="T8582" s="2"/>
      <c r="U8582" s="9"/>
    </row>
    <row r="8583" spans="2:21" x14ac:dyDescent="0.35">
      <c r="B8583" s="9"/>
      <c r="C8583" s="2"/>
      <c r="D8583" s="2"/>
      <c r="I8583" s="9"/>
      <c r="J8583" s="2"/>
      <c r="L8583" s="9"/>
      <c r="M8583" s="2"/>
      <c r="N8583" s="9"/>
      <c r="P8583" s="3">
        <v>-591.24689271</v>
      </c>
      <c r="S8583" s="9"/>
      <c r="T8583" s="2"/>
      <c r="U8583" s="9"/>
    </row>
    <row r="8584" spans="2:21" x14ac:dyDescent="0.35">
      <c r="B8584" s="9"/>
      <c r="C8584" s="2"/>
      <c r="D8584" s="2"/>
      <c r="I8584" s="9"/>
      <c r="J8584" s="2"/>
      <c r="L8584" s="9"/>
      <c r="M8584" s="2"/>
      <c r="N8584" s="9"/>
      <c r="P8584" s="3">
        <v>-1026.0068927100001</v>
      </c>
      <c r="S8584" s="9"/>
      <c r="T8584" s="2"/>
      <c r="U8584" s="9"/>
    </row>
    <row r="8585" spans="2:21" x14ac:dyDescent="0.35">
      <c r="B8585" s="9"/>
      <c r="C8585" s="2"/>
      <c r="D8585" s="2"/>
      <c r="I8585" s="9"/>
      <c r="J8585" s="2"/>
      <c r="L8585" s="9"/>
      <c r="M8585" s="2"/>
      <c r="N8585" s="9"/>
      <c r="P8585" s="3">
        <v>-1460.7668927100001</v>
      </c>
      <c r="S8585" s="9"/>
      <c r="T8585" s="2"/>
      <c r="U8585" s="9"/>
    </row>
    <row r="8586" spans="2:21" x14ac:dyDescent="0.35">
      <c r="B8586" s="9"/>
      <c r="C8586" s="2"/>
      <c r="D8586" s="2"/>
      <c r="I8586" s="9"/>
      <c r="J8586" s="2"/>
      <c r="L8586" s="9"/>
      <c r="M8586" s="2"/>
      <c r="N8586" s="9"/>
      <c r="P8586" s="3">
        <v>-1026.0068927100001</v>
      </c>
      <c r="S8586" s="9"/>
      <c r="T8586" s="2"/>
      <c r="U8586" s="9"/>
    </row>
    <row r="8587" spans="2:21" x14ac:dyDescent="0.35">
      <c r="B8587" s="9"/>
      <c r="C8587" s="2"/>
      <c r="D8587" s="2"/>
      <c r="I8587" s="9"/>
      <c r="J8587" s="2"/>
      <c r="L8587" s="9"/>
      <c r="M8587" s="2"/>
      <c r="N8587" s="9"/>
      <c r="P8587" s="3">
        <v>-1314.96012916</v>
      </c>
      <c r="S8587" s="9"/>
      <c r="T8587" s="2"/>
      <c r="U8587" s="9"/>
    </row>
    <row r="8588" spans="2:21" x14ac:dyDescent="0.35">
      <c r="B8588" s="9"/>
      <c r="C8588" s="2"/>
      <c r="D8588" s="2"/>
      <c r="I8588" s="9"/>
      <c r="J8588" s="2"/>
      <c r="L8588" s="9"/>
      <c r="M8588" s="2"/>
      <c r="N8588" s="9"/>
      <c r="P8588" s="3">
        <v>-1749.7201291599999</v>
      </c>
      <c r="S8588" s="9"/>
      <c r="T8588" s="2"/>
      <c r="U8588" s="9"/>
    </row>
    <row r="8589" spans="2:21" x14ac:dyDescent="0.35">
      <c r="B8589" s="9"/>
      <c r="C8589" s="2"/>
      <c r="D8589" s="2"/>
      <c r="I8589" s="9"/>
      <c r="J8589" s="2"/>
      <c r="L8589" s="9"/>
      <c r="M8589" s="2"/>
      <c r="N8589" s="9"/>
      <c r="P8589" s="3">
        <v>-1603.53937271</v>
      </c>
      <c r="S8589" s="9"/>
      <c r="T8589" s="2"/>
      <c r="U8589" s="9"/>
    </row>
    <row r="8590" spans="2:21" x14ac:dyDescent="0.35">
      <c r="B8590" s="9"/>
      <c r="C8590" s="2"/>
      <c r="D8590" s="2"/>
      <c r="I8590" s="9"/>
      <c r="J8590" s="2"/>
      <c r="L8590" s="9"/>
      <c r="M8590" s="2"/>
      <c r="N8590" s="9"/>
      <c r="P8590" s="3">
        <v>-1168.77937271</v>
      </c>
      <c r="S8590" s="9"/>
      <c r="T8590" s="2"/>
      <c r="U8590" s="9"/>
    </row>
    <row r="8591" spans="2:21" x14ac:dyDescent="0.35">
      <c r="B8591" s="9"/>
      <c r="C8591" s="2"/>
      <c r="D8591" s="2"/>
      <c r="I8591" s="9"/>
      <c r="J8591" s="2"/>
      <c r="L8591" s="9"/>
      <c r="M8591" s="2"/>
      <c r="N8591" s="9"/>
      <c r="P8591" s="3">
        <v>-734.01937270999997</v>
      </c>
      <c r="S8591" s="9"/>
      <c r="T8591" s="2"/>
      <c r="U8591" s="9"/>
    </row>
    <row r="8592" spans="2:21" x14ac:dyDescent="0.35">
      <c r="B8592" s="9"/>
      <c r="C8592" s="2"/>
      <c r="D8592" s="2"/>
      <c r="I8592" s="9"/>
      <c r="J8592" s="2"/>
      <c r="L8592" s="9"/>
      <c r="M8592" s="2"/>
      <c r="N8592" s="9"/>
      <c r="P8592" s="3">
        <v>-299.25937270999998</v>
      </c>
      <c r="S8592" s="9"/>
      <c r="T8592" s="2"/>
      <c r="U8592" s="9"/>
    </row>
    <row r="8593" spans="2:21" x14ac:dyDescent="0.35">
      <c r="B8593" s="9"/>
      <c r="C8593" s="2"/>
      <c r="D8593" s="2"/>
      <c r="I8593" s="9"/>
      <c r="J8593" s="2"/>
      <c r="L8593" s="9"/>
      <c r="M8593" s="2"/>
      <c r="N8593" s="9"/>
      <c r="P8593" s="3">
        <v>-719.67978345999995</v>
      </c>
      <c r="S8593" s="9"/>
      <c r="T8593" s="2"/>
      <c r="U8593" s="9"/>
    </row>
    <row r="8594" spans="2:21" x14ac:dyDescent="0.35">
      <c r="B8594" s="9"/>
      <c r="C8594" s="2"/>
      <c r="D8594" s="2"/>
      <c r="I8594" s="9"/>
      <c r="J8594" s="2"/>
      <c r="L8594" s="9"/>
      <c r="M8594" s="2"/>
      <c r="N8594" s="9"/>
      <c r="P8594" s="3">
        <v>-835.97585395999999</v>
      </c>
      <c r="S8594" s="9"/>
      <c r="T8594" s="2"/>
      <c r="U8594" s="9"/>
    </row>
    <row r="8595" spans="2:21" x14ac:dyDescent="0.35">
      <c r="B8595" s="9"/>
      <c r="C8595" s="2"/>
      <c r="D8595" s="2"/>
      <c r="I8595" s="9"/>
      <c r="J8595" s="2"/>
      <c r="L8595" s="9"/>
      <c r="M8595" s="2"/>
      <c r="N8595" s="9"/>
      <c r="P8595" s="3">
        <v>-811.45260433999999</v>
      </c>
      <c r="S8595" s="9"/>
      <c r="T8595" s="2"/>
      <c r="U8595" s="9"/>
    </row>
    <row r="8596" spans="2:21" x14ac:dyDescent="0.35">
      <c r="B8596" s="9"/>
      <c r="C8596" s="2"/>
      <c r="D8596" s="2"/>
      <c r="I8596" s="9"/>
      <c r="J8596" s="2"/>
      <c r="L8596" s="9"/>
      <c r="M8596" s="2"/>
      <c r="N8596" s="9"/>
      <c r="P8596" s="3">
        <v>-623.39358459000005</v>
      </c>
      <c r="S8596" s="9"/>
      <c r="T8596" s="2"/>
      <c r="U8596" s="9"/>
    </row>
    <row r="8597" spans="2:21" x14ac:dyDescent="0.35">
      <c r="B8597" s="9"/>
      <c r="C8597" s="2"/>
      <c r="D8597" s="2"/>
      <c r="I8597" s="9"/>
      <c r="J8597" s="2"/>
      <c r="L8597" s="9"/>
      <c r="M8597" s="2"/>
      <c r="N8597" s="9"/>
      <c r="P8597" s="3">
        <v>-385.07569459000001</v>
      </c>
      <c r="S8597" s="9"/>
      <c r="T8597" s="2"/>
      <c r="U8597" s="9"/>
    </row>
    <row r="8598" spans="2:21" x14ac:dyDescent="0.35">
      <c r="B8598" s="9"/>
      <c r="C8598" s="2"/>
      <c r="D8598" s="2"/>
      <c r="I8598" s="9"/>
      <c r="J8598" s="2"/>
      <c r="L8598" s="9"/>
      <c r="M8598" s="2"/>
      <c r="N8598" s="9"/>
      <c r="P8598" s="3">
        <v>-152.06551006000001</v>
      </c>
      <c r="S8598" s="9"/>
      <c r="T8598" s="2"/>
      <c r="U8598" s="9"/>
    </row>
    <row r="8599" spans="2:21" x14ac:dyDescent="0.35">
      <c r="B8599" s="9"/>
      <c r="C8599" s="2"/>
      <c r="D8599" s="2"/>
      <c r="I8599" s="9"/>
      <c r="J8599" s="2"/>
      <c r="L8599" s="9"/>
      <c r="M8599" s="2"/>
      <c r="N8599" s="9"/>
      <c r="P8599" s="3">
        <v>8.3966199400000008</v>
      </c>
      <c r="S8599" s="9"/>
      <c r="T8599" s="2"/>
      <c r="U8599" s="9"/>
    </row>
    <row r="8600" spans="2:21" x14ac:dyDescent="0.35">
      <c r="B8600" s="9"/>
      <c r="C8600" s="2"/>
      <c r="D8600" s="2"/>
      <c r="I8600" s="9"/>
      <c r="J8600" s="2"/>
      <c r="L8600" s="9"/>
      <c r="M8600" s="2"/>
      <c r="N8600" s="9"/>
      <c r="P8600" s="3">
        <v>133.02149994000001</v>
      </c>
      <c r="S8600" s="9"/>
      <c r="T8600" s="2"/>
      <c r="U8600" s="9"/>
    </row>
    <row r="8601" spans="2:21" x14ac:dyDescent="0.35">
      <c r="B8601" s="9"/>
      <c r="C8601" s="2"/>
      <c r="D8601" s="2"/>
      <c r="I8601" s="9"/>
      <c r="J8601" s="2"/>
      <c r="L8601" s="9"/>
      <c r="M8601" s="2"/>
      <c r="N8601" s="9"/>
      <c r="P8601" s="3">
        <v>252.78642994</v>
      </c>
      <c r="S8601" s="9"/>
      <c r="T8601" s="2"/>
      <c r="U8601" s="9"/>
    </row>
    <row r="8602" spans="2:21" x14ac:dyDescent="0.35">
      <c r="B8602" s="9"/>
      <c r="C8602" s="2"/>
      <c r="D8602" s="2"/>
      <c r="I8602" s="9"/>
      <c r="J8602" s="2"/>
      <c r="L8602" s="9"/>
      <c r="M8602" s="2"/>
      <c r="N8602" s="9"/>
      <c r="P8602" s="3">
        <v>332.97666994000002</v>
      </c>
      <c r="S8602" s="9"/>
      <c r="T8602" s="2"/>
      <c r="U8602" s="9"/>
    </row>
    <row r="8603" spans="2:21" x14ac:dyDescent="0.35">
      <c r="B8603" s="9"/>
      <c r="C8603" s="2"/>
      <c r="D8603" s="2"/>
      <c r="I8603" s="9"/>
      <c r="J8603" s="2"/>
      <c r="L8603" s="9"/>
      <c r="M8603" s="2"/>
      <c r="N8603" s="9"/>
      <c r="P8603" s="3">
        <v>485.05573641000001</v>
      </c>
      <c r="S8603" s="9"/>
      <c r="T8603" s="2"/>
      <c r="U8603" s="9"/>
    </row>
    <row r="8604" spans="2:21" x14ac:dyDescent="0.35">
      <c r="B8604" s="9"/>
      <c r="C8604" s="2"/>
      <c r="D8604" s="2"/>
      <c r="I8604" s="9"/>
      <c r="J8604" s="2"/>
      <c r="L8604" s="9"/>
      <c r="M8604" s="2"/>
      <c r="N8604" s="9"/>
      <c r="P8604" s="3">
        <v>602.60040289000005</v>
      </c>
      <c r="S8604" s="9"/>
      <c r="T8604" s="2"/>
      <c r="U8604" s="9"/>
    </row>
    <row r="8605" spans="2:21" x14ac:dyDescent="0.35">
      <c r="B8605" s="9"/>
      <c r="C8605" s="2"/>
      <c r="D8605" s="2"/>
      <c r="I8605" s="9"/>
      <c r="J8605" s="2"/>
      <c r="L8605" s="9"/>
      <c r="M8605" s="2"/>
      <c r="N8605" s="9"/>
      <c r="P8605" s="3">
        <v>697.96934534000002</v>
      </c>
      <c r="S8605" s="9"/>
      <c r="T8605" s="2"/>
      <c r="U8605" s="9"/>
    </row>
    <row r="8606" spans="2:21" x14ac:dyDescent="0.35">
      <c r="B8606" s="9"/>
      <c r="C8606" s="2"/>
      <c r="D8606" s="2"/>
      <c r="I8606" s="9"/>
      <c r="J8606" s="2"/>
      <c r="L8606" s="9"/>
      <c r="M8606" s="2"/>
      <c r="N8606" s="9"/>
      <c r="P8606" s="3">
        <v>781.25509181999996</v>
      </c>
      <c r="S8606" s="9"/>
      <c r="T8606" s="2"/>
      <c r="U8606" s="9"/>
    </row>
    <row r="8607" spans="2:21" x14ac:dyDescent="0.35">
      <c r="B8607" s="9"/>
      <c r="C8607" s="2"/>
      <c r="D8607" s="2"/>
      <c r="I8607" s="9"/>
      <c r="J8607" s="2"/>
      <c r="L8607" s="9"/>
      <c r="M8607" s="2"/>
      <c r="N8607" s="9"/>
      <c r="P8607" s="3">
        <v>346.49509182000003</v>
      </c>
      <c r="S8607" s="9"/>
      <c r="T8607" s="2"/>
      <c r="U8607" s="9"/>
    </row>
    <row r="8608" spans="2:21" x14ac:dyDescent="0.35">
      <c r="B8608" s="9"/>
      <c r="C8608" s="2"/>
      <c r="D8608" s="2"/>
      <c r="I8608" s="9"/>
      <c r="J8608" s="2"/>
      <c r="L8608" s="9"/>
      <c r="M8608" s="2"/>
      <c r="N8608" s="9"/>
      <c r="P8608" s="3">
        <v>-88.264908180000006</v>
      </c>
      <c r="S8608" s="9"/>
      <c r="T8608" s="2"/>
      <c r="U8608" s="9"/>
    </row>
    <row r="8609" spans="2:21" x14ac:dyDescent="0.35">
      <c r="B8609" s="9"/>
      <c r="C8609" s="2"/>
      <c r="D8609" s="2"/>
      <c r="I8609" s="9"/>
      <c r="J8609" s="2"/>
      <c r="L8609" s="9"/>
      <c r="M8609" s="2"/>
      <c r="N8609" s="9"/>
      <c r="P8609" s="3">
        <v>-523.02490818000001</v>
      </c>
      <c r="S8609" s="9"/>
      <c r="T8609" s="2"/>
      <c r="U8609" s="9"/>
    </row>
    <row r="8610" spans="2:21" x14ac:dyDescent="0.35">
      <c r="B8610" s="9"/>
      <c r="C8610" s="2"/>
      <c r="D8610" s="2"/>
      <c r="I8610" s="9"/>
      <c r="J8610" s="2"/>
      <c r="L8610" s="9"/>
      <c r="M8610" s="2"/>
      <c r="N8610" s="9"/>
      <c r="P8610" s="3">
        <v>-957.78490818</v>
      </c>
      <c r="S8610" s="9"/>
      <c r="T8610" s="2"/>
      <c r="U8610" s="9"/>
    </row>
    <row r="8611" spans="2:21" x14ac:dyDescent="0.35">
      <c r="B8611" s="9"/>
      <c r="C8611" s="2"/>
      <c r="D8611" s="2"/>
      <c r="I8611" s="9"/>
      <c r="J8611" s="2"/>
      <c r="L8611" s="9"/>
      <c r="M8611" s="2"/>
      <c r="N8611" s="9"/>
      <c r="P8611" s="3">
        <v>-977.50659817999997</v>
      </c>
      <c r="S8611" s="9"/>
      <c r="T8611" s="2"/>
      <c r="U8611" s="9"/>
    </row>
    <row r="8612" spans="2:21" x14ac:dyDescent="0.35">
      <c r="B8612" s="9"/>
      <c r="C8612" s="2"/>
      <c r="D8612" s="2"/>
      <c r="I8612" s="9"/>
      <c r="J8612" s="2"/>
      <c r="L8612" s="9"/>
      <c r="M8612" s="2"/>
      <c r="N8612" s="9"/>
      <c r="P8612" s="3">
        <v>-542.74659817999998</v>
      </c>
      <c r="S8612" s="9"/>
      <c r="T8612" s="2"/>
      <c r="U8612" s="9"/>
    </row>
    <row r="8613" spans="2:21" x14ac:dyDescent="0.35">
      <c r="B8613" s="9"/>
      <c r="C8613" s="2"/>
      <c r="D8613" s="2"/>
      <c r="I8613" s="9"/>
      <c r="J8613" s="2"/>
      <c r="L8613" s="9"/>
      <c r="M8613" s="2"/>
      <c r="N8613" s="9"/>
      <c r="P8613" s="3">
        <v>-107.98659818</v>
      </c>
      <c r="S8613" s="9"/>
      <c r="T8613" s="2"/>
      <c r="U8613" s="9"/>
    </row>
    <row r="8614" spans="2:21" x14ac:dyDescent="0.35">
      <c r="B8614" s="9"/>
      <c r="C8614" s="2"/>
      <c r="D8614" s="2"/>
      <c r="I8614" s="9"/>
      <c r="J8614" s="2"/>
      <c r="L8614" s="9"/>
      <c r="M8614" s="2"/>
      <c r="N8614" s="9"/>
      <c r="P8614" s="3">
        <v>326.77340182</v>
      </c>
      <c r="S8614" s="9"/>
      <c r="T8614" s="2"/>
      <c r="U8614" s="9"/>
    </row>
    <row r="8615" spans="2:21" x14ac:dyDescent="0.35">
      <c r="B8615" s="9"/>
      <c r="C8615" s="2"/>
      <c r="D8615" s="2"/>
      <c r="I8615" s="9"/>
      <c r="J8615" s="2"/>
      <c r="L8615" s="9"/>
      <c r="M8615" s="2"/>
      <c r="N8615" s="9"/>
      <c r="P8615" s="3">
        <v>761.53340181999999</v>
      </c>
      <c r="S8615" s="9"/>
      <c r="T8615" s="2"/>
      <c r="U8615" s="9"/>
    </row>
    <row r="8616" spans="2:21" x14ac:dyDescent="0.35">
      <c r="B8616" s="9"/>
      <c r="C8616" s="2"/>
      <c r="D8616" s="2"/>
      <c r="I8616" s="9"/>
      <c r="J8616" s="2"/>
      <c r="L8616" s="9"/>
      <c r="M8616" s="2"/>
      <c r="N8616" s="9"/>
      <c r="P8616" s="3">
        <v>1196.2934018200001</v>
      </c>
      <c r="S8616" s="9"/>
      <c r="T8616" s="2"/>
      <c r="U8616" s="9"/>
    </row>
    <row r="8617" spans="2:21" x14ac:dyDescent="0.35">
      <c r="B8617" s="9"/>
      <c r="C8617" s="2"/>
      <c r="D8617" s="2"/>
      <c r="I8617" s="9"/>
      <c r="J8617" s="2"/>
      <c r="L8617" s="9"/>
      <c r="M8617" s="2"/>
      <c r="N8617" s="9"/>
      <c r="P8617" s="3">
        <v>1061.95471107</v>
      </c>
      <c r="S8617" s="9"/>
      <c r="T8617" s="2"/>
      <c r="U8617" s="9"/>
    </row>
    <row r="8618" spans="2:21" x14ac:dyDescent="0.35">
      <c r="B8618" s="9"/>
      <c r="C8618" s="2"/>
      <c r="D8618" s="2"/>
      <c r="I8618" s="9"/>
      <c r="J8618" s="2"/>
      <c r="L8618" s="9"/>
      <c r="M8618" s="2"/>
      <c r="N8618" s="9"/>
      <c r="P8618" s="3">
        <v>965.19571055999995</v>
      </c>
      <c r="S8618" s="9"/>
      <c r="T8618" s="2"/>
      <c r="U8618" s="9"/>
    </row>
    <row r="8619" spans="2:21" x14ac:dyDescent="0.35">
      <c r="B8619" s="9"/>
      <c r="C8619" s="2"/>
      <c r="D8619" s="2"/>
      <c r="I8619" s="9"/>
      <c r="J8619" s="2"/>
      <c r="L8619" s="9"/>
      <c r="M8619" s="2"/>
      <c r="N8619" s="9"/>
      <c r="P8619" s="3">
        <v>896.58897019000005</v>
      </c>
      <c r="S8619" s="9"/>
      <c r="T8619" s="2"/>
      <c r="U8619" s="9"/>
    </row>
    <row r="8620" spans="2:21" x14ac:dyDescent="0.35">
      <c r="B8620" s="9"/>
      <c r="C8620" s="2"/>
      <c r="D8620" s="2"/>
      <c r="I8620" s="9"/>
      <c r="J8620" s="2"/>
      <c r="L8620" s="9"/>
      <c r="M8620" s="2"/>
      <c r="N8620" s="9"/>
      <c r="P8620" s="3">
        <v>910.14276993999999</v>
      </c>
      <c r="S8620" s="9"/>
      <c r="T8620" s="2"/>
      <c r="U8620" s="9"/>
    </row>
    <row r="8621" spans="2:21" x14ac:dyDescent="0.35">
      <c r="B8621" s="9"/>
      <c r="C8621" s="2"/>
      <c r="D8621" s="2"/>
      <c r="I8621" s="9"/>
      <c r="J8621" s="2"/>
      <c r="L8621" s="9"/>
      <c r="M8621" s="2"/>
      <c r="N8621" s="9"/>
      <c r="P8621" s="3">
        <v>966.56930994000004</v>
      </c>
      <c r="S8621" s="9"/>
      <c r="T8621" s="2"/>
      <c r="U8621" s="9"/>
    </row>
    <row r="8622" spans="2:21" x14ac:dyDescent="0.35">
      <c r="B8622" s="9"/>
      <c r="C8622" s="2"/>
      <c r="D8622" s="2"/>
      <c r="I8622" s="9"/>
      <c r="J8622" s="2"/>
      <c r="L8622" s="9"/>
      <c r="M8622" s="2"/>
      <c r="N8622" s="9"/>
      <c r="P8622" s="3">
        <v>905.54043864000005</v>
      </c>
      <c r="S8622" s="9"/>
      <c r="T8622" s="2"/>
      <c r="U8622" s="9"/>
    </row>
    <row r="8623" spans="2:21" x14ac:dyDescent="0.35">
      <c r="B8623" s="9"/>
      <c r="C8623" s="2"/>
      <c r="D8623" s="2"/>
      <c r="I8623" s="9"/>
      <c r="J8623" s="2"/>
      <c r="L8623" s="9"/>
      <c r="M8623" s="2"/>
      <c r="N8623" s="9"/>
      <c r="P8623" s="3">
        <v>901.13417863999996</v>
      </c>
      <c r="S8623" s="9"/>
      <c r="T8623" s="2"/>
      <c r="U8623" s="9"/>
    </row>
    <row r="8624" spans="2:21" x14ac:dyDescent="0.35">
      <c r="B8624" s="9"/>
      <c r="C8624" s="2"/>
      <c r="D8624" s="2"/>
      <c r="I8624" s="9"/>
      <c r="J8624" s="2"/>
      <c r="L8624" s="9"/>
      <c r="M8624" s="2"/>
      <c r="N8624" s="9"/>
      <c r="P8624" s="3">
        <v>888.33287863999999</v>
      </c>
      <c r="S8624" s="9"/>
      <c r="T8624" s="2"/>
      <c r="U8624" s="9"/>
    </row>
    <row r="8625" spans="2:21" x14ac:dyDescent="0.35">
      <c r="B8625" s="9"/>
      <c r="C8625" s="2"/>
      <c r="D8625" s="2"/>
      <c r="I8625" s="9"/>
      <c r="J8625" s="2"/>
      <c r="L8625" s="9"/>
      <c r="M8625" s="2"/>
      <c r="N8625" s="9"/>
      <c r="P8625" s="3">
        <v>897.38111863999995</v>
      </c>
      <c r="S8625" s="9"/>
      <c r="T8625" s="2"/>
      <c r="U8625" s="9"/>
    </row>
    <row r="8626" spans="2:21" x14ac:dyDescent="0.35">
      <c r="B8626" s="9"/>
      <c r="C8626" s="2"/>
      <c r="D8626" s="2"/>
      <c r="I8626" s="9"/>
      <c r="J8626" s="2"/>
      <c r="L8626" s="9"/>
      <c r="M8626" s="2"/>
      <c r="N8626" s="9"/>
      <c r="P8626" s="3">
        <v>889.86008863999996</v>
      </c>
      <c r="S8626" s="9"/>
      <c r="T8626" s="2"/>
      <c r="U8626" s="9"/>
    </row>
    <row r="8627" spans="2:21" x14ac:dyDescent="0.35">
      <c r="B8627" s="9"/>
      <c r="C8627" s="2"/>
      <c r="D8627" s="2"/>
      <c r="I8627" s="9"/>
      <c r="J8627" s="2"/>
      <c r="L8627" s="9"/>
      <c r="M8627" s="2"/>
      <c r="N8627" s="9"/>
      <c r="P8627" s="3">
        <v>989.75983512000005</v>
      </c>
      <c r="S8627" s="9"/>
      <c r="T8627" s="2"/>
      <c r="U8627" s="9"/>
    </row>
    <row r="8628" spans="2:21" x14ac:dyDescent="0.35">
      <c r="B8628" s="9"/>
      <c r="C8628" s="2"/>
      <c r="D8628" s="2"/>
      <c r="I8628" s="9"/>
      <c r="J8628" s="2"/>
      <c r="L8628" s="9"/>
      <c r="M8628" s="2"/>
      <c r="N8628" s="9"/>
      <c r="P8628" s="3">
        <v>1074.3881916</v>
      </c>
      <c r="S8628" s="9"/>
      <c r="T8628" s="2"/>
      <c r="U8628" s="9"/>
    </row>
    <row r="8629" spans="2:21" x14ac:dyDescent="0.35">
      <c r="B8629" s="9"/>
      <c r="C8629" s="2"/>
      <c r="D8629" s="2"/>
      <c r="I8629" s="9"/>
      <c r="J8629" s="2"/>
      <c r="L8629" s="9"/>
      <c r="M8629" s="2"/>
      <c r="N8629" s="9"/>
      <c r="P8629" s="3">
        <v>1122.73809405</v>
      </c>
      <c r="S8629" s="9"/>
      <c r="T8629" s="2"/>
      <c r="U8629" s="9"/>
    </row>
    <row r="8630" spans="2:21" x14ac:dyDescent="0.35">
      <c r="B8630" s="9"/>
      <c r="C8630" s="2"/>
      <c r="D8630" s="2"/>
      <c r="I8630" s="9"/>
      <c r="J8630" s="2"/>
      <c r="L8630" s="9"/>
      <c r="M8630" s="2"/>
      <c r="N8630" s="9"/>
      <c r="P8630" s="3">
        <v>1179.17519053</v>
      </c>
      <c r="S8630" s="9"/>
      <c r="T8630" s="2"/>
      <c r="U8630" s="9"/>
    </row>
    <row r="8631" spans="2:21" x14ac:dyDescent="0.35">
      <c r="B8631" s="9"/>
      <c r="C8631" s="2"/>
      <c r="D8631" s="2"/>
      <c r="I8631" s="9"/>
      <c r="J8631" s="2"/>
      <c r="L8631" s="9"/>
      <c r="M8631" s="2"/>
      <c r="N8631" s="9"/>
      <c r="P8631" s="3">
        <v>855.27958052999998</v>
      </c>
      <c r="S8631" s="9"/>
      <c r="T8631" s="2"/>
      <c r="U8631" s="9"/>
    </row>
    <row r="8632" spans="2:21" x14ac:dyDescent="0.35">
      <c r="B8632" s="9"/>
      <c r="C8632" s="2"/>
      <c r="D8632" s="2"/>
      <c r="I8632" s="9"/>
      <c r="J8632" s="2"/>
      <c r="L8632" s="9"/>
      <c r="M8632" s="2"/>
      <c r="N8632" s="9"/>
      <c r="P8632" s="3">
        <v>420.51958052999998</v>
      </c>
      <c r="S8632" s="9"/>
      <c r="T8632" s="2"/>
      <c r="U8632" s="9"/>
    </row>
    <row r="8633" spans="2:21" x14ac:dyDescent="0.35">
      <c r="B8633" s="9"/>
      <c r="C8633" s="2"/>
      <c r="D8633" s="2"/>
      <c r="I8633" s="9"/>
      <c r="J8633" s="2"/>
      <c r="L8633" s="9"/>
      <c r="M8633" s="2"/>
      <c r="N8633" s="9"/>
      <c r="P8633" s="3">
        <v>-14.240419470000001</v>
      </c>
      <c r="S8633" s="9"/>
      <c r="T8633" s="2"/>
      <c r="U8633" s="9"/>
    </row>
    <row r="8634" spans="2:21" x14ac:dyDescent="0.35">
      <c r="B8634" s="9"/>
      <c r="C8634" s="2"/>
      <c r="D8634" s="2"/>
      <c r="I8634" s="9"/>
      <c r="J8634" s="2"/>
      <c r="L8634" s="9"/>
      <c r="M8634" s="2"/>
      <c r="N8634" s="9"/>
      <c r="P8634" s="3">
        <v>-449.00041947</v>
      </c>
      <c r="S8634" s="9"/>
      <c r="T8634" s="2"/>
      <c r="U8634" s="9"/>
    </row>
    <row r="8635" spans="2:21" x14ac:dyDescent="0.35">
      <c r="B8635" s="9"/>
      <c r="C8635" s="2"/>
      <c r="D8635" s="2"/>
      <c r="I8635" s="9"/>
      <c r="J8635" s="2"/>
      <c r="L8635" s="9"/>
      <c r="M8635" s="2"/>
      <c r="N8635" s="9"/>
      <c r="P8635" s="3">
        <v>-883.76041946999999</v>
      </c>
      <c r="S8635" s="9"/>
      <c r="T8635" s="2"/>
      <c r="U8635" s="9"/>
    </row>
    <row r="8636" spans="2:21" x14ac:dyDescent="0.35">
      <c r="B8636" s="9"/>
      <c r="C8636" s="2"/>
      <c r="D8636" s="2"/>
      <c r="I8636" s="9"/>
      <c r="J8636" s="2"/>
      <c r="L8636" s="9"/>
      <c r="M8636" s="2"/>
      <c r="N8636" s="9"/>
      <c r="P8636" s="3">
        <v>-807.08465947000002</v>
      </c>
      <c r="S8636" s="9"/>
      <c r="T8636" s="2"/>
      <c r="U8636" s="9"/>
    </row>
    <row r="8637" spans="2:21" x14ac:dyDescent="0.35">
      <c r="B8637" s="9"/>
      <c r="C8637" s="2"/>
      <c r="D8637" s="2"/>
      <c r="I8637" s="9"/>
      <c r="J8637" s="2"/>
      <c r="L8637" s="9"/>
      <c r="M8637" s="2"/>
      <c r="N8637" s="9"/>
      <c r="P8637" s="3">
        <v>-372.32465946999997</v>
      </c>
      <c r="S8637" s="9"/>
      <c r="T8637" s="2"/>
      <c r="U8637" s="9"/>
    </row>
    <row r="8638" spans="2:21" x14ac:dyDescent="0.35">
      <c r="B8638" s="9"/>
      <c r="C8638" s="2"/>
      <c r="D8638" s="2"/>
      <c r="I8638" s="9"/>
      <c r="J8638" s="2"/>
      <c r="L8638" s="9"/>
      <c r="M8638" s="2"/>
      <c r="N8638" s="9"/>
      <c r="P8638" s="3">
        <v>62.435340529999998</v>
      </c>
      <c r="S8638" s="9"/>
      <c r="T8638" s="2"/>
      <c r="U8638" s="9"/>
    </row>
    <row r="8639" spans="2:21" x14ac:dyDescent="0.35">
      <c r="B8639" s="9"/>
      <c r="C8639" s="2"/>
      <c r="D8639" s="2"/>
      <c r="I8639" s="9"/>
      <c r="J8639" s="2"/>
      <c r="L8639" s="9"/>
      <c r="M8639" s="2"/>
      <c r="N8639" s="9"/>
      <c r="P8639" s="3">
        <v>497.19534053000001</v>
      </c>
      <c r="S8639" s="9"/>
      <c r="T8639" s="2"/>
      <c r="U8639" s="9"/>
    </row>
    <row r="8640" spans="2:21" x14ac:dyDescent="0.35">
      <c r="B8640" s="9"/>
      <c r="C8640" s="2"/>
      <c r="D8640" s="2"/>
      <c r="I8640" s="9"/>
      <c r="J8640" s="2"/>
      <c r="L8640" s="9"/>
      <c r="M8640" s="2"/>
      <c r="N8640" s="9"/>
      <c r="P8640" s="3">
        <v>773.72969052999997</v>
      </c>
      <c r="S8640" s="9"/>
      <c r="T8640" s="2"/>
      <c r="U8640" s="9"/>
    </row>
    <row r="8641" spans="2:21" x14ac:dyDescent="0.35">
      <c r="B8641" s="9"/>
      <c r="C8641" s="2"/>
      <c r="D8641" s="2"/>
      <c r="I8641" s="9"/>
      <c r="J8641" s="2"/>
      <c r="L8641" s="9"/>
      <c r="M8641" s="2"/>
      <c r="N8641" s="9"/>
      <c r="P8641" s="3">
        <v>338.96969052999998</v>
      </c>
      <c r="S8641" s="9"/>
      <c r="T8641" s="2"/>
      <c r="U8641" s="9"/>
    </row>
    <row r="8642" spans="2:21" x14ac:dyDescent="0.35">
      <c r="B8642" s="9"/>
      <c r="C8642" s="2"/>
      <c r="D8642" s="2"/>
      <c r="I8642" s="9"/>
      <c r="J8642" s="2"/>
      <c r="L8642" s="9"/>
      <c r="M8642" s="2"/>
      <c r="N8642" s="9"/>
      <c r="P8642" s="3">
        <v>-95.790309469999997</v>
      </c>
      <c r="S8642" s="9"/>
      <c r="T8642" s="2"/>
      <c r="U8642" s="9"/>
    </row>
    <row r="8643" spans="2:21" x14ac:dyDescent="0.35">
      <c r="B8643" s="9"/>
      <c r="C8643" s="2"/>
      <c r="D8643" s="2"/>
      <c r="I8643" s="9"/>
      <c r="J8643" s="2"/>
      <c r="L8643" s="9"/>
      <c r="M8643" s="2"/>
      <c r="N8643" s="9"/>
      <c r="P8643" s="3">
        <v>-530.55030947</v>
      </c>
      <c r="S8643" s="9"/>
      <c r="T8643" s="2"/>
      <c r="U8643" s="9"/>
    </row>
    <row r="8644" spans="2:21" x14ac:dyDescent="0.35">
      <c r="B8644" s="9"/>
      <c r="C8644" s="2"/>
      <c r="D8644" s="2"/>
      <c r="I8644" s="9"/>
      <c r="J8644" s="2"/>
      <c r="L8644" s="9"/>
      <c r="M8644" s="2"/>
      <c r="N8644" s="9"/>
      <c r="P8644" s="3">
        <v>-965.31030946999999</v>
      </c>
      <c r="S8644" s="9"/>
      <c r="T8644" s="2"/>
      <c r="U8644" s="9"/>
    </row>
    <row r="8645" spans="2:21" x14ac:dyDescent="0.35">
      <c r="B8645" s="9"/>
      <c r="C8645" s="2"/>
      <c r="D8645" s="2"/>
      <c r="I8645" s="9"/>
      <c r="J8645" s="2"/>
      <c r="L8645" s="9"/>
      <c r="M8645" s="2"/>
      <c r="N8645" s="9"/>
      <c r="P8645" s="3">
        <v>-1359.6378813599999</v>
      </c>
      <c r="S8645" s="9"/>
      <c r="T8645" s="2"/>
      <c r="U8645" s="9"/>
    </row>
    <row r="8646" spans="2:21" x14ac:dyDescent="0.35">
      <c r="B8646" s="9"/>
      <c r="C8646" s="2"/>
      <c r="D8646" s="2"/>
      <c r="I8646" s="9"/>
      <c r="J8646" s="2"/>
      <c r="L8646" s="9"/>
      <c r="M8646" s="2"/>
      <c r="N8646" s="9"/>
      <c r="P8646" s="3">
        <v>-1653.78905586</v>
      </c>
      <c r="S8646" s="9"/>
      <c r="T8646" s="2"/>
      <c r="U8646" s="9"/>
    </row>
    <row r="8647" spans="2:21" x14ac:dyDescent="0.35">
      <c r="B8647" s="9"/>
      <c r="C8647" s="2"/>
      <c r="D8647" s="2"/>
      <c r="I8647" s="9"/>
      <c r="J8647" s="2"/>
      <c r="L8647" s="9"/>
      <c r="M8647" s="2"/>
      <c r="N8647" s="9"/>
      <c r="P8647" s="3">
        <v>-1856.4216358599999</v>
      </c>
      <c r="S8647" s="9"/>
      <c r="T8647" s="2"/>
      <c r="U8647" s="9"/>
    </row>
    <row r="8648" spans="2:21" x14ac:dyDescent="0.35">
      <c r="B8648" s="9"/>
      <c r="C8648" s="2"/>
      <c r="D8648" s="2"/>
      <c r="I8648" s="9"/>
      <c r="J8648" s="2"/>
      <c r="L8648" s="9"/>
      <c r="M8648" s="2"/>
      <c r="N8648" s="9"/>
      <c r="P8648" s="3">
        <v>-1928.27434586</v>
      </c>
      <c r="S8648" s="9"/>
      <c r="T8648" s="2"/>
      <c r="U8648" s="9"/>
    </row>
    <row r="8649" spans="2:21" x14ac:dyDescent="0.35">
      <c r="B8649" s="9"/>
      <c r="C8649" s="2"/>
      <c r="D8649" s="2"/>
      <c r="I8649" s="9"/>
      <c r="J8649" s="2"/>
      <c r="L8649" s="9"/>
      <c r="M8649" s="2"/>
      <c r="N8649" s="9"/>
      <c r="P8649" s="3">
        <v>-2029.88457586</v>
      </c>
      <c r="S8649" s="9"/>
      <c r="T8649" s="2"/>
      <c r="U8649" s="9"/>
    </row>
    <row r="8650" spans="2:21" x14ac:dyDescent="0.35">
      <c r="B8650" s="9"/>
      <c r="C8650" s="2"/>
      <c r="D8650" s="2"/>
      <c r="I8650" s="9"/>
      <c r="J8650" s="2"/>
      <c r="L8650" s="9"/>
      <c r="M8650" s="2"/>
      <c r="N8650" s="9"/>
      <c r="P8650" s="3">
        <v>-2198.3100658600001</v>
      </c>
      <c r="S8650" s="9"/>
      <c r="T8650" s="2"/>
      <c r="U8650" s="9"/>
    </row>
    <row r="8651" spans="2:21" x14ac:dyDescent="0.35">
      <c r="B8651" s="9"/>
      <c r="C8651" s="2"/>
      <c r="D8651" s="2"/>
      <c r="I8651" s="9"/>
      <c r="J8651" s="2"/>
      <c r="L8651" s="9"/>
      <c r="M8651" s="2"/>
      <c r="N8651" s="9"/>
      <c r="P8651" s="3">
        <v>-2161.17218938</v>
      </c>
      <c r="S8651" s="9"/>
      <c r="T8651" s="2"/>
      <c r="U8651" s="9"/>
    </row>
    <row r="8652" spans="2:21" x14ac:dyDescent="0.35">
      <c r="B8652" s="9"/>
      <c r="C8652" s="2"/>
      <c r="D8652" s="2"/>
      <c r="I8652" s="9"/>
      <c r="J8652" s="2"/>
      <c r="L8652" s="9"/>
      <c r="M8652" s="2"/>
      <c r="N8652" s="9"/>
      <c r="P8652" s="3">
        <v>-2183.3413229100001</v>
      </c>
      <c r="S8652" s="9"/>
      <c r="T8652" s="2"/>
      <c r="U8652" s="9"/>
    </row>
    <row r="8653" spans="2:21" x14ac:dyDescent="0.35">
      <c r="B8653" s="9"/>
      <c r="C8653" s="2"/>
      <c r="D8653" s="2"/>
      <c r="I8653" s="9"/>
      <c r="J8653" s="2"/>
      <c r="L8653" s="9"/>
      <c r="M8653" s="2"/>
      <c r="N8653" s="9"/>
      <c r="P8653" s="3">
        <v>-2198.71179046</v>
      </c>
      <c r="S8653" s="9"/>
      <c r="T8653" s="2"/>
      <c r="U8653" s="9"/>
    </row>
    <row r="8654" spans="2:21" x14ac:dyDescent="0.35">
      <c r="B8654" s="9"/>
      <c r="C8654" s="2"/>
      <c r="D8654" s="2"/>
      <c r="I8654" s="9"/>
      <c r="J8654" s="2"/>
      <c r="L8654" s="9"/>
      <c r="M8654" s="2"/>
      <c r="N8654" s="9"/>
      <c r="P8654" s="3">
        <v>-2242.3605539800001</v>
      </c>
      <c r="S8654" s="9"/>
      <c r="T8654" s="2"/>
      <c r="U8654" s="9"/>
    </row>
    <row r="8655" spans="2:21" x14ac:dyDescent="0.35">
      <c r="B8655" s="9"/>
      <c r="C8655" s="2"/>
      <c r="D8655" s="2"/>
      <c r="I8655" s="9"/>
      <c r="J8655" s="2"/>
      <c r="L8655" s="9"/>
      <c r="M8655" s="2"/>
      <c r="N8655" s="9"/>
      <c r="P8655" s="3">
        <v>-1807.6005539800001</v>
      </c>
      <c r="S8655" s="9"/>
      <c r="T8655" s="2"/>
      <c r="U8655" s="9"/>
    </row>
    <row r="8656" spans="2:21" x14ac:dyDescent="0.35">
      <c r="B8656" s="9"/>
      <c r="C8656" s="2"/>
      <c r="D8656" s="2"/>
      <c r="I8656" s="9"/>
      <c r="J8656" s="2"/>
      <c r="L8656" s="9"/>
      <c r="M8656" s="2"/>
      <c r="N8656" s="9"/>
      <c r="P8656" s="3">
        <v>-1372.8405539800001</v>
      </c>
      <c r="S8656" s="9"/>
      <c r="T8656" s="2"/>
      <c r="U8656" s="9"/>
    </row>
    <row r="8657" spans="2:21" x14ac:dyDescent="0.35">
      <c r="B8657" s="9"/>
      <c r="C8657" s="2"/>
      <c r="D8657" s="2"/>
      <c r="I8657" s="9"/>
      <c r="J8657" s="2"/>
      <c r="L8657" s="9"/>
      <c r="M8657" s="2"/>
      <c r="N8657" s="9"/>
      <c r="P8657" s="3">
        <v>-938.08055397999999</v>
      </c>
      <c r="S8657" s="9"/>
      <c r="T8657" s="2"/>
      <c r="U8657" s="9"/>
    </row>
    <row r="8658" spans="2:21" x14ac:dyDescent="0.35">
      <c r="B8658" s="9"/>
      <c r="C8658" s="2"/>
      <c r="D8658" s="2"/>
      <c r="I8658" s="9"/>
      <c r="J8658" s="2"/>
      <c r="L8658" s="9"/>
      <c r="M8658" s="2"/>
      <c r="N8658" s="9"/>
      <c r="P8658" s="3">
        <v>-503.32055398</v>
      </c>
      <c r="S8658" s="9"/>
      <c r="T8658" s="2"/>
      <c r="U8658" s="9"/>
    </row>
    <row r="8659" spans="2:21" x14ac:dyDescent="0.35">
      <c r="B8659" s="9"/>
      <c r="C8659" s="2"/>
      <c r="D8659" s="2"/>
      <c r="I8659" s="9"/>
      <c r="J8659" s="2"/>
      <c r="L8659" s="9"/>
      <c r="M8659" s="2"/>
      <c r="N8659" s="9"/>
      <c r="P8659" s="3">
        <v>-68.560553979999995</v>
      </c>
      <c r="S8659" s="9"/>
      <c r="T8659" s="2"/>
      <c r="U8659" s="9"/>
    </row>
    <row r="8660" spans="2:21" x14ac:dyDescent="0.35">
      <c r="B8660" s="9"/>
      <c r="C8660" s="2"/>
      <c r="D8660" s="2"/>
      <c r="I8660" s="9"/>
      <c r="J8660" s="2"/>
      <c r="L8660" s="9"/>
      <c r="M8660" s="2"/>
      <c r="N8660" s="9"/>
      <c r="P8660" s="3">
        <v>0</v>
      </c>
      <c r="S8660" s="9"/>
      <c r="T8660" s="2"/>
      <c r="U8660" s="9"/>
    </row>
    <row r="8661" spans="2:21" x14ac:dyDescent="0.35">
      <c r="B8661" s="9"/>
      <c r="C8661" s="2"/>
      <c r="D8661" s="2"/>
      <c r="I8661" s="9"/>
      <c r="J8661" s="2"/>
      <c r="L8661" s="9"/>
      <c r="M8661" s="2"/>
      <c r="N8661" s="9"/>
      <c r="P8661" s="3">
        <v>0</v>
      </c>
      <c r="S8661" s="9"/>
      <c r="T8661" s="2"/>
      <c r="U8661" s="9"/>
    </row>
    <row r="8662" spans="2:21" x14ac:dyDescent="0.35">
      <c r="B8662" s="9"/>
      <c r="C8662" s="2"/>
      <c r="D8662" s="2"/>
      <c r="I8662" s="9"/>
      <c r="J8662" s="2"/>
      <c r="L8662" s="9"/>
      <c r="M8662" s="2"/>
      <c r="N8662" s="9"/>
      <c r="P8662" s="3">
        <v>0</v>
      </c>
      <c r="S8662" s="9"/>
      <c r="T8662" s="2"/>
      <c r="U8662" s="9"/>
    </row>
    <row r="8663" spans="2:21" x14ac:dyDescent="0.35">
      <c r="B8663" s="9"/>
      <c r="C8663" s="2"/>
      <c r="D8663" s="2"/>
      <c r="I8663" s="9"/>
      <c r="J8663" s="2"/>
      <c r="L8663" s="9"/>
      <c r="M8663" s="2"/>
      <c r="N8663" s="9"/>
      <c r="P8663" s="3">
        <v>0</v>
      </c>
      <c r="S8663" s="9"/>
      <c r="T8663" s="2"/>
      <c r="U8663" s="9"/>
    </row>
    <row r="8664" spans="2:21" x14ac:dyDescent="0.35">
      <c r="B8664" s="9"/>
      <c r="C8664" s="2"/>
      <c r="D8664" s="2"/>
      <c r="I8664" s="9"/>
      <c r="J8664" s="2"/>
      <c r="L8664" s="9"/>
      <c r="M8664" s="2"/>
      <c r="N8664" s="9"/>
      <c r="P8664" s="3">
        <v>-434.76</v>
      </c>
      <c r="S8664" s="9"/>
      <c r="T8664" s="2"/>
      <c r="U8664" s="9"/>
    </row>
    <row r="8665" spans="2:21" x14ac:dyDescent="0.35">
      <c r="B8665" s="9"/>
      <c r="C8665" s="2"/>
      <c r="D8665" s="2"/>
      <c r="I8665" s="9"/>
      <c r="J8665" s="2"/>
      <c r="L8665" s="9"/>
      <c r="M8665" s="2"/>
      <c r="N8665" s="9"/>
      <c r="P8665" s="3">
        <v>-869.52</v>
      </c>
      <c r="S8665" s="9"/>
      <c r="T8665" s="2"/>
      <c r="U8665" s="9"/>
    </row>
    <row r="8666" spans="2:21" x14ac:dyDescent="0.35">
      <c r="B8666" s="9"/>
      <c r="C8666" s="2"/>
      <c r="D8666" s="2"/>
      <c r="I8666" s="9"/>
      <c r="J8666" s="2"/>
      <c r="L8666" s="9"/>
      <c r="M8666" s="2"/>
      <c r="N8666" s="9"/>
      <c r="P8666" s="3">
        <v>-1124.5558596000001</v>
      </c>
      <c r="S8666" s="9"/>
      <c r="T8666" s="2"/>
      <c r="U8666" s="9"/>
    </row>
    <row r="8667" spans="2:21" x14ac:dyDescent="0.35">
      <c r="B8667" s="9"/>
      <c r="C8667" s="2"/>
      <c r="D8667" s="2"/>
      <c r="I8667" s="9"/>
      <c r="J8667" s="2"/>
      <c r="L8667" s="9"/>
      <c r="M8667" s="2"/>
      <c r="N8667" s="9"/>
      <c r="P8667" s="3">
        <v>-1115.71885468</v>
      </c>
      <c r="S8667" s="9"/>
      <c r="T8667" s="2"/>
      <c r="U8667" s="9"/>
    </row>
    <row r="8668" spans="2:21" x14ac:dyDescent="0.35">
      <c r="B8668" s="9"/>
      <c r="C8668" s="2"/>
      <c r="D8668" s="2"/>
      <c r="I8668" s="9"/>
      <c r="J8668" s="2"/>
      <c r="L8668" s="9"/>
      <c r="M8668" s="2"/>
      <c r="N8668" s="9"/>
      <c r="P8668" s="3">
        <v>-1550.47885468</v>
      </c>
      <c r="S8668" s="9"/>
      <c r="T8668" s="2"/>
      <c r="U8668" s="9"/>
    </row>
    <row r="8669" spans="2:21" x14ac:dyDescent="0.35">
      <c r="B8669" s="9"/>
      <c r="C8669" s="2"/>
      <c r="D8669" s="2"/>
      <c r="I8669" s="9"/>
      <c r="J8669" s="2"/>
      <c r="L8669" s="9"/>
      <c r="M8669" s="2"/>
      <c r="N8669" s="9"/>
      <c r="P8669" s="3">
        <v>-1985.23885468</v>
      </c>
      <c r="S8669" s="9"/>
      <c r="T8669" s="2"/>
      <c r="U8669" s="9"/>
    </row>
    <row r="8670" spans="2:21" x14ac:dyDescent="0.35">
      <c r="B8670" s="9"/>
      <c r="C8670" s="2"/>
      <c r="D8670" s="2"/>
      <c r="I8670" s="9"/>
      <c r="J8670" s="2"/>
      <c r="L8670" s="9"/>
      <c r="M8670" s="2"/>
      <c r="N8670" s="9"/>
      <c r="P8670" s="3">
        <v>-2419.99885468</v>
      </c>
      <c r="S8670" s="9"/>
      <c r="T8670" s="2"/>
      <c r="U8670" s="9"/>
    </row>
    <row r="8671" spans="2:21" x14ac:dyDescent="0.35">
      <c r="B8671" s="9"/>
      <c r="C8671" s="2"/>
      <c r="D8671" s="2"/>
      <c r="I8671" s="9"/>
      <c r="J8671" s="2"/>
      <c r="L8671" s="9"/>
      <c r="M8671" s="2"/>
      <c r="N8671" s="9"/>
      <c r="P8671" s="3">
        <v>-2820.2125826800002</v>
      </c>
      <c r="S8671" s="9"/>
      <c r="T8671" s="2"/>
      <c r="U8671" s="9"/>
    </row>
    <row r="8672" spans="2:21" x14ac:dyDescent="0.35">
      <c r="B8672" s="9"/>
      <c r="C8672" s="2"/>
      <c r="D8672" s="2"/>
      <c r="I8672" s="9"/>
      <c r="J8672" s="2"/>
      <c r="L8672" s="9"/>
      <c r="M8672" s="2"/>
      <c r="N8672" s="9"/>
      <c r="P8672" s="3">
        <v>-2860.169492</v>
      </c>
      <c r="S8672" s="9"/>
      <c r="T8672" s="2"/>
      <c r="U8672" s="9"/>
    </row>
    <row r="8673" spans="2:21" x14ac:dyDescent="0.35">
      <c r="B8673" s="9"/>
      <c r="C8673" s="2"/>
      <c r="D8673" s="2"/>
      <c r="I8673" s="9"/>
      <c r="J8673" s="2"/>
      <c r="L8673" s="9"/>
      <c r="M8673" s="2"/>
      <c r="N8673" s="9"/>
      <c r="P8673" s="3">
        <v>-2860.169492</v>
      </c>
      <c r="S8673" s="9"/>
      <c r="T8673" s="2"/>
      <c r="U8673" s="9"/>
    </row>
    <row r="8674" spans="2:21" x14ac:dyDescent="0.35">
      <c r="B8674" s="9"/>
      <c r="C8674" s="2"/>
      <c r="D8674" s="2"/>
      <c r="I8674" s="9"/>
      <c r="J8674" s="2"/>
      <c r="L8674" s="9"/>
      <c r="M8674" s="2"/>
      <c r="N8674" s="9"/>
      <c r="P8674" s="3">
        <v>-2817.0418743800001</v>
      </c>
      <c r="S8674" s="9"/>
      <c r="T8674" s="2"/>
      <c r="U8674" s="9"/>
    </row>
    <row r="8675" spans="2:21" x14ac:dyDescent="0.35">
      <c r="B8675" s="9"/>
      <c r="C8675" s="2"/>
      <c r="D8675" s="2"/>
      <c r="I8675" s="9"/>
      <c r="J8675" s="2"/>
      <c r="L8675" s="9"/>
      <c r="M8675" s="2"/>
      <c r="N8675" s="9"/>
      <c r="P8675" s="3">
        <v>-2382.2818743799999</v>
      </c>
      <c r="S8675" s="9"/>
      <c r="T8675" s="2"/>
      <c r="U8675" s="9"/>
    </row>
    <row r="8676" spans="2:21" x14ac:dyDescent="0.35">
      <c r="B8676" s="9"/>
      <c r="C8676" s="2"/>
      <c r="D8676" s="2"/>
      <c r="I8676" s="9"/>
      <c r="J8676" s="2"/>
      <c r="L8676" s="9"/>
      <c r="M8676" s="2"/>
      <c r="N8676" s="9"/>
      <c r="P8676" s="3">
        <v>-1947.5218743800001</v>
      </c>
      <c r="S8676" s="9"/>
      <c r="T8676" s="2"/>
      <c r="U8676" s="9"/>
    </row>
    <row r="8677" spans="2:21" x14ac:dyDescent="0.35">
      <c r="B8677" s="9"/>
      <c r="C8677" s="2"/>
      <c r="D8677" s="2"/>
      <c r="I8677" s="9"/>
      <c r="J8677" s="2"/>
      <c r="L8677" s="9"/>
      <c r="M8677" s="2"/>
      <c r="N8677" s="9"/>
      <c r="P8677" s="3">
        <v>-1512.7618743800001</v>
      </c>
      <c r="S8677" s="9"/>
      <c r="T8677" s="2"/>
      <c r="U8677" s="9"/>
    </row>
    <row r="8678" spans="2:21" x14ac:dyDescent="0.35">
      <c r="B8678" s="9"/>
      <c r="C8678" s="2"/>
      <c r="D8678" s="2"/>
      <c r="I8678" s="9"/>
      <c r="J8678" s="2"/>
      <c r="L8678" s="9"/>
      <c r="M8678" s="2"/>
      <c r="N8678" s="9"/>
      <c r="P8678" s="3">
        <v>-1078.0018743799999</v>
      </c>
      <c r="S8678" s="9"/>
      <c r="T8678" s="2"/>
      <c r="U8678" s="9"/>
    </row>
    <row r="8679" spans="2:21" x14ac:dyDescent="0.35">
      <c r="B8679" s="9"/>
      <c r="C8679" s="2"/>
      <c r="D8679" s="2"/>
      <c r="I8679" s="9"/>
      <c r="J8679" s="2"/>
      <c r="L8679" s="9"/>
      <c r="M8679" s="2"/>
      <c r="N8679" s="9"/>
      <c r="P8679" s="3">
        <v>-643.24187438000001</v>
      </c>
      <c r="S8679" s="9"/>
      <c r="T8679" s="2"/>
      <c r="U8679" s="9"/>
    </row>
    <row r="8680" spans="2:21" x14ac:dyDescent="0.35">
      <c r="B8680" s="9"/>
      <c r="C8680" s="2"/>
      <c r="D8680" s="2"/>
      <c r="I8680" s="9"/>
      <c r="J8680" s="2"/>
      <c r="L8680" s="9"/>
      <c r="M8680" s="2"/>
      <c r="N8680" s="9"/>
      <c r="P8680" s="3">
        <v>-208.48187437999999</v>
      </c>
      <c r="S8680" s="9"/>
      <c r="T8680" s="2"/>
      <c r="U8680" s="9"/>
    </row>
    <row r="8681" spans="2:21" x14ac:dyDescent="0.35">
      <c r="B8681" s="9"/>
      <c r="C8681" s="2"/>
      <c r="D8681" s="2"/>
      <c r="I8681" s="9"/>
      <c r="J8681" s="2"/>
      <c r="L8681" s="9"/>
      <c r="M8681" s="2"/>
      <c r="N8681" s="9"/>
      <c r="P8681" s="3">
        <v>0</v>
      </c>
      <c r="S8681" s="9"/>
      <c r="T8681" s="2"/>
      <c r="U8681" s="9"/>
    </row>
    <row r="8682" spans="2:21" x14ac:dyDescent="0.35">
      <c r="B8682" s="9"/>
      <c r="C8682" s="2"/>
      <c r="D8682" s="2"/>
      <c r="I8682" s="9"/>
      <c r="J8682" s="2"/>
      <c r="L8682" s="9"/>
      <c r="M8682" s="2"/>
      <c r="N8682" s="9"/>
      <c r="P8682" s="3">
        <v>0</v>
      </c>
      <c r="S8682" s="9"/>
      <c r="T8682" s="2"/>
      <c r="U8682" s="9"/>
    </row>
    <row r="8683" spans="2:21" x14ac:dyDescent="0.35">
      <c r="B8683" s="9"/>
      <c r="C8683" s="2"/>
      <c r="D8683" s="2"/>
      <c r="I8683" s="9"/>
      <c r="J8683" s="2"/>
      <c r="L8683" s="9"/>
      <c r="M8683" s="2"/>
      <c r="N8683" s="9"/>
      <c r="P8683" s="3">
        <v>0</v>
      </c>
      <c r="S8683" s="9"/>
      <c r="T8683" s="2"/>
      <c r="U8683" s="9"/>
    </row>
    <row r="8684" spans="2:21" x14ac:dyDescent="0.35">
      <c r="B8684" s="9"/>
      <c r="C8684" s="2"/>
      <c r="D8684" s="2"/>
      <c r="I8684" s="9"/>
      <c r="J8684" s="2"/>
      <c r="L8684" s="9"/>
      <c r="M8684" s="2"/>
      <c r="N8684" s="9"/>
      <c r="P8684" s="3">
        <v>-251.60949199999999</v>
      </c>
      <c r="S8684" s="9"/>
      <c r="T8684" s="2"/>
      <c r="U8684" s="9"/>
    </row>
    <row r="8685" spans="2:21" x14ac:dyDescent="0.35">
      <c r="B8685" s="9"/>
      <c r="C8685" s="2"/>
      <c r="D8685" s="2"/>
      <c r="I8685" s="9"/>
      <c r="J8685" s="2"/>
      <c r="L8685" s="9"/>
      <c r="M8685" s="2"/>
      <c r="N8685" s="9"/>
      <c r="P8685" s="3">
        <v>-686.36949200000004</v>
      </c>
      <c r="S8685" s="9"/>
      <c r="T8685" s="2"/>
      <c r="U8685" s="9"/>
    </row>
    <row r="8686" spans="2:21" x14ac:dyDescent="0.35">
      <c r="B8686" s="9"/>
      <c r="C8686" s="2"/>
      <c r="D8686" s="2"/>
      <c r="I8686" s="9"/>
      <c r="J8686" s="2"/>
      <c r="L8686" s="9"/>
      <c r="M8686" s="2"/>
      <c r="N8686" s="9"/>
      <c r="P8686" s="3">
        <v>-1121.129492</v>
      </c>
      <c r="S8686" s="9"/>
      <c r="T8686" s="2"/>
      <c r="U8686" s="9"/>
    </row>
    <row r="8687" spans="2:21" x14ac:dyDescent="0.35">
      <c r="B8687" s="9"/>
      <c r="C8687" s="2"/>
      <c r="D8687" s="2"/>
      <c r="I8687" s="9"/>
      <c r="J8687" s="2"/>
      <c r="L8687" s="9"/>
      <c r="M8687" s="2"/>
      <c r="N8687" s="9"/>
      <c r="P8687" s="3">
        <v>-1555.889492</v>
      </c>
      <c r="S8687" s="9"/>
      <c r="T8687" s="2"/>
      <c r="U8687" s="9"/>
    </row>
    <row r="8688" spans="2:21" x14ac:dyDescent="0.35">
      <c r="B8688" s="9"/>
      <c r="C8688" s="2"/>
      <c r="D8688" s="2"/>
      <c r="I8688" s="9"/>
      <c r="J8688" s="2"/>
      <c r="L8688" s="9"/>
      <c r="M8688" s="2"/>
      <c r="N8688" s="9"/>
      <c r="P8688" s="3">
        <v>-1990.649492</v>
      </c>
      <c r="S8688" s="9"/>
      <c r="T8688" s="2"/>
      <c r="U8688" s="9"/>
    </row>
    <row r="8689" spans="2:21" x14ac:dyDescent="0.35">
      <c r="B8689" s="9"/>
      <c r="C8689" s="2"/>
      <c r="D8689" s="2"/>
      <c r="I8689" s="9"/>
      <c r="J8689" s="2"/>
      <c r="L8689" s="9"/>
      <c r="M8689" s="2"/>
      <c r="N8689" s="9"/>
      <c r="P8689" s="3">
        <v>-2425.4094919999998</v>
      </c>
      <c r="S8689" s="9"/>
      <c r="T8689" s="2"/>
      <c r="U8689" s="9"/>
    </row>
    <row r="8690" spans="2:21" x14ac:dyDescent="0.35">
      <c r="B8690" s="9"/>
      <c r="C8690" s="2"/>
      <c r="D8690" s="2"/>
      <c r="I8690" s="9"/>
      <c r="J8690" s="2"/>
      <c r="L8690" s="9"/>
      <c r="M8690" s="2"/>
      <c r="N8690" s="9"/>
      <c r="P8690" s="3">
        <v>-2860.169492</v>
      </c>
      <c r="S8690" s="9"/>
      <c r="T8690" s="2"/>
      <c r="U8690" s="9"/>
    </row>
    <row r="8691" spans="2:21" x14ac:dyDescent="0.35">
      <c r="B8691" s="9"/>
      <c r="C8691" s="2"/>
      <c r="D8691" s="2"/>
      <c r="I8691" s="9"/>
      <c r="J8691" s="2"/>
      <c r="L8691" s="9"/>
      <c r="M8691" s="2"/>
      <c r="N8691" s="9"/>
      <c r="P8691" s="3">
        <v>-2860.169492</v>
      </c>
      <c r="S8691" s="9"/>
      <c r="T8691" s="2"/>
      <c r="U8691" s="9"/>
    </row>
    <row r="8692" spans="2:21" x14ac:dyDescent="0.35">
      <c r="B8692" s="9"/>
      <c r="C8692" s="2"/>
      <c r="D8692" s="2"/>
      <c r="I8692" s="9"/>
      <c r="J8692" s="2"/>
      <c r="L8692" s="9"/>
      <c r="M8692" s="2"/>
      <c r="N8692" s="9"/>
      <c r="P8692" s="3">
        <v>-2860.169492</v>
      </c>
      <c r="S8692" s="9"/>
      <c r="T8692" s="2"/>
      <c r="U8692" s="9"/>
    </row>
    <row r="8693" spans="2:21" x14ac:dyDescent="0.35">
      <c r="B8693" s="9"/>
      <c r="C8693" s="2"/>
      <c r="D8693" s="2"/>
      <c r="I8693" s="9"/>
      <c r="J8693" s="2"/>
      <c r="L8693" s="9"/>
      <c r="M8693" s="2"/>
      <c r="N8693" s="9"/>
      <c r="P8693" s="3">
        <v>-2860.169492</v>
      </c>
      <c r="S8693" s="9"/>
      <c r="T8693" s="2"/>
      <c r="U8693" s="9"/>
    </row>
    <row r="8694" spans="2:21" x14ac:dyDescent="0.35">
      <c r="B8694" s="9"/>
      <c r="C8694" s="2"/>
      <c r="D8694" s="2"/>
      <c r="I8694" s="9"/>
      <c r="J8694" s="2"/>
      <c r="L8694" s="9"/>
      <c r="M8694" s="2"/>
      <c r="N8694" s="9"/>
      <c r="P8694" s="3">
        <v>-2860.169492</v>
      </c>
      <c r="S8694" s="9"/>
      <c r="T8694" s="2"/>
      <c r="U8694" s="9"/>
    </row>
    <row r="8695" spans="2:21" x14ac:dyDescent="0.35">
      <c r="B8695" s="9"/>
      <c r="C8695" s="2"/>
      <c r="D8695" s="2"/>
      <c r="I8695" s="9"/>
      <c r="J8695" s="2"/>
      <c r="L8695" s="9"/>
      <c r="M8695" s="2"/>
      <c r="N8695" s="9"/>
      <c r="P8695" s="3">
        <v>-2860.169492</v>
      </c>
      <c r="S8695" s="9"/>
      <c r="T8695" s="2"/>
      <c r="U8695" s="9"/>
    </row>
    <row r="8696" spans="2:21" x14ac:dyDescent="0.35">
      <c r="B8696" s="9"/>
      <c r="C8696" s="2"/>
      <c r="D8696" s="2"/>
      <c r="I8696" s="9"/>
      <c r="J8696" s="2"/>
      <c r="L8696" s="9"/>
      <c r="M8696" s="2"/>
      <c r="N8696" s="9"/>
      <c r="P8696" s="3">
        <v>-2860.169492</v>
      </c>
      <c r="S8696" s="9"/>
      <c r="T8696" s="2"/>
      <c r="U8696" s="9"/>
    </row>
    <row r="8697" spans="2:21" x14ac:dyDescent="0.35">
      <c r="B8697" s="9"/>
      <c r="C8697" s="2"/>
      <c r="D8697" s="2"/>
      <c r="I8697" s="9"/>
      <c r="J8697" s="2"/>
      <c r="L8697" s="9"/>
      <c r="M8697" s="2"/>
      <c r="N8697" s="9"/>
      <c r="P8697" s="3">
        <v>-2860.169492</v>
      </c>
      <c r="S8697" s="9"/>
      <c r="T8697" s="2"/>
      <c r="U8697" s="9"/>
    </row>
    <row r="8698" spans="2:21" x14ac:dyDescent="0.35">
      <c r="B8698" s="9"/>
      <c r="C8698" s="2"/>
      <c r="D8698" s="2"/>
      <c r="I8698" s="9"/>
      <c r="J8698" s="2"/>
      <c r="L8698" s="9"/>
      <c r="M8698" s="2"/>
      <c r="N8698" s="9"/>
      <c r="P8698" s="3">
        <v>-2860.169492</v>
      </c>
      <c r="S8698" s="9"/>
      <c r="T8698" s="2"/>
      <c r="U8698" s="9"/>
    </row>
    <row r="8699" spans="2:21" x14ac:dyDescent="0.35">
      <c r="B8699" s="9"/>
      <c r="C8699" s="2"/>
      <c r="D8699" s="2"/>
      <c r="I8699" s="9"/>
      <c r="J8699" s="2"/>
      <c r="L8699" s="9"/>
      <c r="M8699" s="2"/>
      <c r="N8699" s="9"/>
      <c r="P8699" s="3">
        <v>-2608.56</v>
      </c>
      <c r="S8699" s="9"/>
      <c r="T8699" s="2"/>
      <c r="U8699" s="9"/>
    </row>
    <row r="8700" spans="2:21" x14ac:dyDescent="0.35">
      <c r="B8700" s="9"/>
      <c r="C8700" s="2"/>
      <c r="D8700" s="2"/>
      <c r="I8700" s="9"/>
      <c r="J8700" s="2"/>
      <c r="L8700" s="9"/>
      <c r="M8700" s="2"/>
      <c r="N8700" s="9"/>
      <c r="P8700" s="3">
        <v>-2173.8000000000002</v>
      </c>
      <c r="S8700" s="9"/>
      <c r="T8700" s="2"/>
      <c r="U8700" s="9"/>
    </row>
    <row r="8701" spans="2:21" x14ac:dyDescent="0.35">
      <c r="B8701" s="9"/>
      <c r="C8701" s="2"/>
      <c r="D8701" s="2"/>
      <c r="I8701" s="9"/>
      <c r="J8701" s="2"/>
      <c r="L8701" s="9"/>
      <c r="M8701" s="2"/>
      <c r="N8701" s="9"/>
      <c r="P8701" s="3">
        <v>-1739.04</v>
      </c>
      <c r="S8701" s="9"/>
      <c r="T8701" s="2"/>
      <c r="U8701" s="9"/>
    </row>
    <row r="8702" spans="2:21" x14ac:dyDescent="0.35">
      <c r="B8702" s="9"/>
      <c r="C8702" s="2"/>
      <c r="D8702" s="2"/>
      <c r="I8702" s="9"/>
      <c r="J8702" s="2"/>
      <c r="L8702" s="9"/>
      <c r="M8702" s="2"/>
      <c r="N8702" s="9"/>
      <c r="P8702" s="3">
        <v>-1304.28</v>
      </c>
      <c r="S8702" s="9"/>
      <c r="T8702" s="2"/>
      <c r="U8702" s="9"/>
    </row>
    <row r="8703" spans="2:21" x14ac:dyDescent="0.35">
      <c r="B8703" s="9"/>
      <c r="C8703" s="2"/>
      <c r="D8703" s="2"/>
      <c r="I8703" s="9"/>
      <c r="J8703" s="2"/>
      <c r="L8703" s="9"/>
      <c r="M8703" s="2"/>
      <c r="N8703" s="9"/>
      <c r="P8703" s="3">
        <v>-869.52</v>
      </c>
      <c r="S8703" s="9"/>
      <c r="T8703" s="2"/>
      <c r="U8703" s="9"/>
    </row>
    <row r="8704" spans="2:21" x14ac:dyDescent="0.35">
      <c r="B8704" s="9"/>
      <c r="C8704" s="2"/>
      <c r="D8704" s="2"/>
      <c r="I8704" s="9"/>
      <c r="J8704" s="2"/>
      <c r="L8704" s="9"/>
      <c r="M8704" s="2"/>
      <c r="N8704" s="9"/>
      <c r="P8704" s="3">
        <v>-434.76</v>
      </c>
      <c r="S8704" s="9"/>
      <c r="T8704" s="2"/>
      <c r="U8704" s="9"/>
    </row>
    <row r="8705" spans="2:21" x14ac:dyDescent="0.35">
      <c r="B8705" s="9"/>
      <c r="C8705" s="2"/>
      <c r="D8705" s="2"/>
      <c r="I8705" s="9"/>
      <c r="J8705" s="2"/>
      <c r="L8705" s="9"/>
      <c r="M8705" s="2"/>
      <c r="N8705" s="9"/>
      <c r="P8705" s="3">
        <v>0</v>
      </c>
      <c r="S8705" s="9"/>
      <c r="T8705" s="2"/>
      <c r="U8705" s="9"/>
    </row>
    <row r="8706" spans="2:21" x14ac:dyDescent="0.35">
      <c r="B8706" s="9"/>
      <c r="C8706" s="2"/>
      <c r="D8706" s="2"/>
      <c r="I8706" s="9"/>
      <c r="J8706" s="2"/>
      <c r="L8706" s="9"/>
      <c r="M8706" s="2"/>
      <c r="N8706" s="9"/>
      <c r="P8706" s="3">
        <v>0</v>
      </c>
      <c r="S8706" s="9"/>
      <c r="T8706" s="2"/>
      <c r="U8706" s="9"/>
    </row>
    <row r="8707" spans="2:21" x14ac:dyDescent="0.35">
      <c r="B8707" s="9"/>
      <c r="C8707" s="2"/>
      <c r="D8707" s="2"/>
      <c r="I8707" s="9"/>
      <c r="J8707" s="2"/>
      <c r="L8707" s="9"/>
      <c r="M8707" s="2"/>
      <c r="N8707" s="9"/>
      <c r="P8707" s="3">
        <v>0</v>
      </c>
      <c r="S8707" s="9"/>
      <c r="T8707" s="2"/>
      <c r="U8707" s="9"/>
    </row>
    <row r="8708" spans="2:21" x14ac:dyDescent="0.35">
      <c r="B8708" s="9"/>
      <c r="C8708" s="2"/>
      <c r="D8708" s="2"/>
      <c r="I8708" s="9"/>
      <c r="J8708" s="2"/>
      <c r="L8708" s="9"/>
      <c r="M8708" s="2"/>
      <c r="N8708" s="9"/>
      <c r="P8708" s="3">
        <v>-434.76</v>
      </c>
      <c r="S8708" s="9"/>
      <c r="T8708" s="2"/>
      <c r="U8708" s="9"/>
    </row>
    <row r="8709" spans="2:21" x14ac:dyDescent="0.35">
      <c r="B8709" s="9"/>
      <c r="C8709" s="2"/>
      <c r="D8709" s="2"/>
      <c r="I8709" s="9"/>
      <c r="J8709" s="2"/>
      <c r="L8709" s="9"/>
      <c r="M8709" s="2"/>
      <c r="N8709" s="9"/>
      <c r="P8709" s="3">
        <v>-869.52</v>
      </c>
      <c r="S8709" s="9"/>
      <c r="T8709" s="2"/>
      <c r="U8709" s="9"/>
    </row>
    <row r="8710" spans="2:21" x14ac:dyDescent="0.35">
      <c r="B8710" s="9"/>
      <c r="C8710" s="2"/>
      <c r="D8710" s="2"/>
      <c r="I8710" s="9"/>
      <c r="J8710" s="2"/>
      <c r="L8710" s="9"/>
      <c r="M8710" s="2"/>
      <c r="N8710" s="9"/>
      <c r="P8710" s="3">
        <v>-1304.28</v>
      </c>
      <c r="S8710" s="9"/>
      <c r="T8710" s="2"/>
      <c r="U8710" s="9"/>
    </row>
    <row r="8711" spans="2:21" x14ac:dyDescent="0.35">
      <c r="B8711" s="9"/>
      <c r="C8711" s="2"/>
      <c r="D8711" s="2"/>
      <c r="I8711" s="9"/>
      <c r="J8711" s="2"/>
      <c r="L8711" s="9"/>
      <c r="M8711" s="2"/>
      <c r="N8711" s="9"/>
      <c r="P8711" s="3">
        <v>-1739.04</v>
      </c>
      <c r="S8711" s="9"/>
      <c r="T8711" s="2"/>
      <c r="U8711" s="9"/>
    </row>
    <row r="8712" spans="2:21" x14ac:dyDescent="0.35">
      <c r="B8712" s="9"/>
      <c r="C8712" s="2"/>
      <c r="D8712" s="2"/>
      <c r="I8712" s="9"/>
      <c r="J8712" s="2"/>
      <c r="L8712" s="9"/>
      <c r="M8712" s="2"/>
      <c r="N8712" s="9"/>
      <c r="P8712" s="3">
        <v>-2173.8000000000002</v>
      </c>
      <c r="S8712" s="9"/>
      <c r="T8712" s="2"/>
      <c r="U8712" s="9"/>
    </row>
    <row r="8713" spans="2:21" x14ac:dyDescent="0.35">
      <c r="B8713" s="9"/>
      <c r="C8713" s="2"/>
      <c r="D8713" s="2"/>
      <c r="I8713" s="9"/>
      <c r="J8713" s="2"/>
      <c r="L8713" s="9"/>
      <c r="M8713" s="2"/>
      <c r="N8713" s="9"/>
      <c r="P8713" s="3">
        <v>-2608.56</v>
      </c>
      <c r="S8713" s="9"/>
      <c r="T8713" s="2"/>
      <c r="U8713" s="9"/>
    </row>
    <row r="8714" spans="2:21" x14ac:dyDescent="0.35">
      <c r="B8714" s="9"/>
      <c r="C8714" s="2"/>
      <c r="D8714" s="2"/>
      <c r="I8714" s="9"/>
      <c r="J8714" s="2"/>
      <c r="L8714" s="9"/>
      <c r="M8714" s="2"/>
      <c r="N8714" s="9"/>
      <c r="P8714" s="3">
        <v>-2860.169492</v>
      </c>
      <c r="S8714" s="9"/>
      <c r="T8714" s="2"/>
      <c r="U8714" s="9"/>
    </row>
    <row r="8715" spans="2:21" x14ac:dyDescent="0.35">
      <c r="B8715" s="9"/>
      <c r="C8715" s="2"/>
      <c r="D8715" s="2"/>
      <c r="I8715" s="9"/>
      <c r="J8715" s="2"/>
      <c r="L8715" s="9"/>
      <c r="M8715" s="2"/>
      <c r="N8715" s="9"/>
      <c r="P8715" s="3">
        <v>-2860.169492</v>
      </c>
      <c r="S8715" s="9"/>
      <c r="T8715" s="2"/>
      <c r="U8715" s="9"/>
    </row>
    <row r="8716" spans="2:21" x14ac:dyDescent="0.35">
      <c r="B8716" s="9"/>
      <c r="C8716" s="2"/>
      <c r="D8716" s="2"/>
      <c r="I8716" s="9"/>
      <c r="J8716" s="2"/>
      <c r="L8716" s="9"/>
      <c r="M8716" s="2"/>
      <c r="N8716" s="9"/>
      <c r="P8716" s="3">
        <v>-2860.169492</v>
      </c>
      <c r="S8716" s="9"/>
      <c r="T8716" s="2"/>
      <c r="U8716" s="9"/>
    </row>
    <row r="8717" spans="2:21" x14ac:dyDescent="0.35">
      <c r="B8717" s="9"/>
      <c r="C8717" s="2"/>
      <c r="D8717" s="2"/>
      <c r="I8717" s="9"/>
      <c r="J8717" s="2"/>
      <c r="L8717" s="9"/>
      <c r="M8717" s="2"/>
      <c r="N8717" s="9"/>
      <c r="P8717" s="3">
        <v>-2860.169492</v>
      </c>
      <c r="S8717" s="9"/>
      <c r="T8717" s="2"/>
      <c r="U8717" s="9"/>
    </row>
    <row r="8718" spans="2:21" x14ac:dyDescent="0.35">
      <c r="B8718" s="9"/>
      <c r="C8718" s="2"/>
      <c r="D8718" s="2"/>
      <c r="I8718" s="9"/>
      <c r="J8718" s="2"/>
      <c r="L8718" s="9"/>
      <c r="M8718" s="2"/>
      <c r="N8718" s="9"/>
      <c r="P8718" s="3">
        <v>-2860.169492</v>
      </c>
      <c r="S8718" s="9"/>
      <c r="T8718" s="2"/>
      <c r="U8718" s="9"/>
    </row>
    <row r="8719" spans="2:21" x14ac:dyDescent="0.35">
      <c r="B8719" s="9"/>
      <c r="C8719" s="2"/>
      <c r="D8719" s="2"/>
      <c r="I8719" s="9"/>
      <c r="J8719" s="2"/>
      <c r="L8719" s="9"/>
      <c r="M8719" s="2"/>
      <c r="N8719" s="9"/>
      <c r="P8719" s="3">
        <v>-2638.2125763200002</v>
      </c>
      <c r="S8719" s="9"/>
      <c r="T8719" s="2"/>
      <c r="U8719" s="9"/>
    </row>
    <row r="8720" spans="2:21" x14ac:dyDescent="0.35">
      <c r="B8720" s="9"/>
      <c r="C8720" s="2"/>
      <c r="D8720" s="2"/>
      <c r="I8720" s="9"/>
      <c r="J8720" s="2"/>
      <c r="L8720" s="9"/>
      <c r="M8720" s="2"/>
      <c r="N8720" s="9"/>
      <c r="P8720" s="3">
        <v>-2203.4525763199999</v>
      </c>
      <c r="S8720" s="9"/>
      <c r="T8720" s="2"/>
      <c r="U8720" s="9"/>
    </row>
    <row r="8721" spans="2:21" x14ac:dyDescent="0.35">
      <c r="B8721" s="9"/>
      <c r="C8721" s="2"/>
      <c r="D8721" s="2"/>
      <c r="I8721" s="9"/>
      <c r="J8721" s="2"/>
      <c r="L8721" s="9"/>
      <c r="M8721" s="2"/>
      <c r="N8721" s="9"/>
      <c r="P8721" s="3">
        <v>-1768.6925763199999</v>
      </c>
      <c r="S8721" s="9"/>
      <c r="T8721" s="2"/>
      <c r="U8721" s="9"/>
    </row>
    <row r="8722" spans="2:21" x14ac:dyDescent="0.35">
      <c r="B8722" s="9"/>
      <c r="C8722" s="2"/>
      <c r="D8722" s="2"/>
      <c r="I8722" s="9"/>
      <c r="J8722" s="2"/>
      <c r="L8722" s="9"/>
      <c r="M8722" s="2"/>
      <c r="N8722" s="9"/>
      <c r="P8722" s="3">
        <v>-1475.4235263200001</v>
      </c>
      <c r="S8722" s="9"/>
      <c r="T8722" s="2"/>
      <c r="U8722" s="9"/>
    </row>
    <row r="8723" spans="2:21" x14ac:dyDescent="0.35">
      <c r="B8723" s="9"/>
      <c r="C8723" s="2"/>
      <c r="D8723" s="2"/>
      <c r="I8723" s="9"/>
      <c r="J8723" s="2"/>
      <c r="L8723" s="9"/>
      <c r="M8723" s="2"/>
      <c r="N8723" s="9"/>
      <c r="P8723" s="3">
        <v>-1163.67814632</v>
      </c>
      <c r="S8723" s="9"/>
      <c r="T8723" s="2"/>
      <c r="U8723" s="9"/>
    </row>
    <row r="8724" spans="2:21" x14ac:dyDescent="0.35">
      <c r="B8724" s="9"/>
      <c r="C8724" s="2"/>
      <c r="D8724" s="2"/>
      <c r="I8724" s="9"/>
      <c r="J8724" s="2"/>
      <c r="L8724" s="9"/>
      <c r="M8724" s="2"/>
      <c r="N8724" s="9"/>
      <c r="P8724" s="3">
        <v>-870.11231631999999</v>
      </c>
      <c r="S8724" s="9"/>
      <c r="T8724" s="2"/>
      <c r="U8724" s="9"/>
    </row>
    <row r="8725" spans="2:21" x14ac:dyDescent="0.35">
      <c r="B8725" s="9"/>
      <c r="C8725" s="2"/>
      <c r="D8725" s="2"/>
      <c r="I8725" s="9"/>
      <c r="J8725" s="2"/>
      <c r="L8725" s="9"/>
      <c r="M8725" s="2"/>
      <c r="N8725" s="9"/>
      <c r="P8725" s="3">
        <v>-505.47051632</v>
      </c>
      <c r="S8725" s="9"/>
      <c r="T8725" s="2"/>
      <c r="U8725" s="9"/>
    </row>
    <row r="8726" spans="2:21" x14ac:dyDescent="0.35">
      <c r="B8726" s="9"/>
      <c r="C8726" s="2"/>
      <c r="D8726" s="2"/>
      <c r="I8726" s="9"/>
      <c r="J8726" s="2"/>
      <c r="L8726" s="9"/>
      <c r="M8726" s="2"/>
      <c r="N8726" s="9"/>
      <c r="P8726" s="3">
        <v>-242.87701632</v>
      </c>
      <c r="S8726" s="9"/>
      <c r="T8726" s="2"/>
      <c r="U8726" s="9"/>
    </row>
    <row r="8727" spans="2:21" x14ac:dyDescent="0.35">
      <c r="B8727" s="9"/>
      <c r="C8727" s="2"/>
      <c r="D8727" s="2"/>
      <c r="I8727" s="9"/>
      <c r="J8727" s="2"/>
      <c r="L8727" s="9"/>
      <c r="M8727" s="2"/>
      <c r="N8727" s="9"/>
      <c r="P8727" s="3">
        <v>-469.61693631999998</v>
      </c>
      <c r="S8727" s="9"/>
      <c r="T8727" s="2"/>
      <c r="U8727" s="9"/>
    </row>
    <row r="8728" spans="2:21" x14ac:dyDescent="0.35">
      <c r="B8728" s="9"/>
      <c r="C8728" s="2"/>
      <c r="D8728" s="2"/>
      <c r="I8728" s="9"/>
      <c r="J8728" s="2"/>
      <c r="L8728" s="9"/>
      <c r="M8728" s="2"/>
      <c r="N8728" s="9"/>
      <c r="P8728" s="3">
        <v>-904.37693632000003</v>
      </c>
      <c r="S8728" s="9"/>
      <c r="T8728" s="2"/>
      <c r="U8728" s="9"/>
    </row>
    <row r="8729" spans="2:21" x14ac:dyDescent="0.35">
      <c r="B8729" s="9"/>
      <c r="C8729" s="2"/>
      <c r="D8729" s="2"/>
      <c r="I8729" s="9"/>
      <c r="J8729" s="2"/>
      <c r="L8729" s="9"/>
      <c r="M8729" s="2"/>
      <c r="N8729" s="9"/>
      <c r="P8729" s="3">
        <v>-1339.1369363199999</v>
      </c>
      <c r="S8729" s="9"/>
      <c r="T8729" s="2"/>
      <c r="U8729" s="9"/>
    </row>
    <row r="8730" spans="2:21" x14ac:dyDescent="0.35">
      <c r="B8730" s="9"/>
      <c r="C8730" s="2"/>
      <c r="D8730" s="2"/>
      <c r="I8730" s="9"/>
      <c r="J8730" s="2"/>
      <c r="L8730" s="9"/>
      <c r="M8730" s="2"/>
      <c r="N8730" s="9"/>
      <c r="P8730" s="3">
        <v>-1380.26682544</v>
      </c>
      <c r="S8730" s="9"/>
      <c r="T8730" s="2"/>
      <c r="U8730" s="9"/>
    </row>
    <row r="8731" spans="2:21" x14ac:dyDescent="0.35">
      <c r="B8731" s="9"/>
      <c r="C8731" s="2"/>
      <c r="D8731" s="2"/>
      <c r="I8731" s="9"/>
      <c r="J8731" s="2"/>
      <c r="L8731" s="9"/>
      <c r="M8731" s="2"/>
      <c r="N8731" s="9"/>
      <c r="P8731" s="3">
        <v>-945.50682543999994</v>
      </c>
      <c r="S8731" s="9"/>
      <c r="T8731" s="2"/>
      <c r="U8731" s="9"/>
    </row>
    <row r="8732" spans="2:21" x14ac:dyDescent="0.35">
      <c r="B8732" s="9"/>
      <c r="C8732" s="2"/>
      <c r="D8732" s="2"/>
      <c r="I8732" s="9"/>
      <c r="J8732" s="2"/>
      <c r="L8732" s="9"/>
      <c r="M8732" s="2"/>
      <c r="N8732" s="9"/>
      <c r="P8732" s="3">
        <v>-1240.9811533</v>
      </c>
      <c r="S8732" s="9"/>
      <c r="T8732" s="2"/>
      <c r="U8732" s="9"/>
    </row>
    <row r="8733" spans="2:21" x14ac:dyDescent="0.35">
      <c r="B8733" s="9"/>
      <c r="C8733" s="2"/>
      <c r="D8733" s="2"/>
      <c r="I8733" s="9"/>
      <c r="J8733" s="2"/>
      <c r="L8733" s="9"/>
      <c r="M8733" s="2"/>
      <c r="N8733" s="9"/>
      <c r="P8733" s="3">
        <v>-926.23290631999998</v>
      </c>
      <c r="S8733" s="9"/>
      <c r="T8733" s="2"/>
      <c r="U8733" s="9"/>
    </row>
    <row r="8734" spans="2:21" x14ac:dyDescent="0.35">
      <c r="B8734" s="9"/>
      <c r="C8734" s="2"/>
      <c r="D8734" s="2"/>
      <c r="I8734" s="9"/>
      <c r="J8734" s="2"/>
      <c r="L8734" s="9"/>
      <c r="M8734" s="2"/>
      <c r="N8734" s="9"/>
      <c r="P8734" s="3">
        <v>-491.47290631999999</v>
      </c>
      <c r="S8734" s="9"/>
      <c r="T8734" s="2"/>
      <c r="U8734" s="9"/>
    </row>
    <row r="8735" spans="2:21" x14ac:dyDescent="0.35">
      <c r="B8735" s="9"/>
      <c r="C8735" s="2"/>
      <c r="D8735" s="2"/>
      <c r="I8735" s="9"/>
      <c r="J8735" s="2"/>
      <c r="L8735" s="9"/>
      <c r="M8735" s="2"/>
      <c r="N8735" s="9"/>
      <c r="P8735" s="3">
        <v>-56.712906320000002</v>
      </c>
      <c r="S8735" s="9"/>
      <c r="T8735" s="2"/>
      <c r="U8735" s="9"/>
    </row>
    <row r="8736" spans="2:21" x14ac:dyDescent="0.35">
      <c r="B8736" s="9"/>
      <c r="C8736" s="2"/>
      <c r="D8736" s="2"/>
      <c r="I8736" s="9"/>
      <c r="J8736" s="2"/>
      <c r="L8736" s="9"/>
      <c r="M8736" s="2"/>
      <c r="N8736" s="9"/>
      <c r="P8736" s="3">
        <v>378.04709367999999</v>
      </c>
      <c r="S8736" s="9"/>
      <c r="T8736" s="2"/>
      <c r="U8736" s="9"/>
    </row>
    <row r="8737" spans="2:21" x14ac:dyDescent="0.35">
      <c r="B8737" s="9"/>
      <c r="C8737" s="2"/>
      <c r="D8737" s="2"/>
      <c r="I8737" s="9"/>
      <c r="J8737" s="2"/>
      <c r="L8737" s="9"/>
      <c r="M8737" s="2"/>
      <c r="N8737" s="9"/>
      <c r="P8737" s="3">
        <v>223.49571367999999</v>
      </c>
      <c r="S8737" s="9"/>
      <c r="T8737" s="2"/>
      <c r="U8737" s="9"/>
    </row>
    <row r="8738" spans="2:21" x14ac:dyDescent="0.35">
      <c r="B8738" s="9"/>
      <c r="C8738" s="2"/>
      <c r="D8738" s="2"/>
      <c r="I8738" s="9"/>
      <c r="J8738" s="2"/>
      <c r="L8738" s="9"/>
      <c r="M8738" s="2"/>
      <c r="N8738" s="9"/>
      <c r="P8738" s="3">
        <v>136.76211368</v>
      </c>
      <c r="S8738" s="9"/>
      <c r="T8738" s="2"/>
      <c r="U8738" s="9"/>
    </row>
    <row r="8739" spans="2:21" x14ac:dyDescent="0.35">
      <c r="B8739" s="9"/>
      <c r="C8739" s="2"/>
      <c r="D8739" s="2"/>
      <c r="I8739" s="9"/>
      <c r="J8739" s="2"/>
      <c r="L8739" s="9"/>
      <c r="M8739" s="2"/>
      <c r="N8739" s="9"/>
      <c r="P8739" s="3">
        <v>168.57011367999999</v>
      </c>
      <c r="S8739" s="9"/>
      <c r="T8739" s="2"/>
      <c r="U8739" s="9"/>
    </row>
    <row r="8740" spans="2:21" x14ac:dyDescent="0.35">
      <c r="B8740" s="9"/>
      <c r="C8740" s="2"/>
      <c r="D8740" s="2"/>
      <c r="I8740" s="9"/>
      <c r="J8740" s="2"/>
      <c r="L8740" s="9"/>
      <c r="M8740" s="2"/>
      <c r="N8740" s="9"/>
      <c r="P8740" s="3">
        <v>333.39448368000001</v>
      </c>
      <c r="S8740" s="9"/>
      <c r="T8740" s="2"/>
      <c r="U8740" s="9"/>
    </row>
    <row r="8741" spans="2:21" x14ac:dyDescent="0.35">
      <c r="B8741" s="9"/>
      <c r="C8741" s="2"/>
      <c r="D8741" s="2"/>
      <c r="I8741" s="9"/>
      <c r="J8741" s="2"/>
      <c r="L8741" s="9"/>
      <c r="M8741" s="2"/>
      <c r="N8741" s="9"/>
      <c r="P8741" s="3">
        <v>452.62975368000002</v>
      </c>
      <c r="S8741" s="9"/>
      <c r="T8741" s="2"/>
      <c r="U8741" s="9"/>
    </row>
    <row r="8742" spans="2:21" x14ac:dyDescent="0.35">
      <c r="B8742" s="9"/>
      <c r="C8742" s="2"/>
      <c r="D8742" s="2"/>
      <c r="I8742" s="9"/>
      <c r="J8742" s="2"/>
      <c r="L8742" s="9"/>
      <c r="M8742" s="2"/>
      <c r="N8742" s="9"/>
      <c r="P8742" s="3">
        <v>355.93331426999998</v>
      </c>
      <c r="S8742" s="9"/>
      <c r="T8742" s="2"/>
      <c r="U8742" s="9"/>
    </row>
    <row r="8743" spans="2:21" x14ac:dyDescent="0.35">
      <c r="B8743" s="9"/>
      <c r="C8743" s="2"/>
      <c r="D8743" s="2"/>
      <c r="I8743" s="9"/>
      <c r="J8743" s="2"/>
      <c r="L8743" s="9"/>
      <c r="M8743" s="2"/>
      <c r="N8743" s="9"/>
      <c r="P8743" s="3">
        <v>451.57670426999999</v>
      </c>
      <c r="S8743" s="9"/>
      <c r="T8743" s="2"/>
      <c r="U8743" s="9"/>
    </row>
    <row r="8744" spans="2:21" x14ac:dyDescent="0.35">
      <c r="B8744" s="9"/>
      <c r="C8744" s="2"/>
      <c r="D8744" s="2"/>
      <c r="I8744" s="9"/>
      <c r="J8744" s="2"/>
      <c r="L8744" s="9"/>
      <c r="M8744" s="2"/>
      <c r="N8744" s="9"/>
      <c r="P8744" s="3">
        <v>544.61936427000001</v>
      </c>
      <c r="S8744" s="9"/>
      <c r="T8744" s="2"/>
      <c r="U8744" s="9"/>
    </row>
    <row r="8745" spans="2:21" x14ac:dyDescent="0.35">
      <c r="B8745" s="9"/>
      <c r="C8745" s="2"/>
      <c r="D8745" s="2"/>
      <c r="I8745" s="9"/>
      <c r="J8745" s="2"/>
      <c r="L8745" s="9"/>
      <c r="M8745" s="2"/>
      <c r="N8745" s="9"/>
      <c r="P8745" s="3">
        <v>615.65841426999998</v>
      </c>
      <c r="S8745" s="9"/>
      <c r="T8745" s="2"/>
      <c r="U8745" s="9"/>
    </row>
    <row r="8746" spans="2:21" x14ac:dyDescent="0.35">
      <c r="B8746" s="9"/>
      <c r="C8746" s="2"/>
      <c r="D8746" s="2"/>
      <c r="I8746" s="9"/>
      <c r="J8746" s="2"/>
      <c r="L8746" s="9"/>
      <c r="M8746" s="2"/>
      <c r="N8746" s="9"/>
      <c r="P8746" s="3">
        <v>656.60908427000004</v>
      </c>
      <c r="S8746" s="9"/>
      <c r="T8746" s="2"/>
      <c r="U8746" s="9"/>
    </row>
    <row r="8747" spans="2:21" x14ac:dyDescent="0.35">
      <c r="B8747" s="9"/>
      <c r="C8747" s="2"/>
      <c r="D8747" s="2"/>
      <c r="I8747" s="9"/>
      <c r="J8747" s="2"/>
      <c r="L8747" s="9"/>
      <c r="M8747" s="2"/>
      <c r="N8747" s="9"/>
      <c r="P8747" s="3">
        <v>802.26904074000004</v>
      </c>
      <c r="S8747" s="9"/>
      <c r="T8747" s="2"/>
      <c r="U8747" s="9"/>
    </row>
    <row r="8748" spans="2:21" x14ac:dyDescent="0.35">
      <c r="B8748" s="9"/>
      <c r="C8748" s="2"/>
      <c r="D8748" s="2"/>
      <c r="I8748" s="9"/>
      <c r="J8748" s="2"/>
      <c r="L8748" s="9"/>
      <c r="M8748" s="2"/>
      <c r="N8748" s="9"/>
      <c r="P8748" s="3">
        <v>865.85583722000001</v>
      </c>
      <c r="S8748" s="9"/>
      <c r="T8748" s="2"/>
      <c r="U8748" s="9"/>
    </row>
    <row r="8749" spans="2:21" x14ac:dyDescent="0.35">
      <c r="B8749" s="9"/>
      <c r="C8749" s="2"/>
      <c r="D8749" s="2"/>
      <c r="I8749" s="9"/>
      <c r="J8749" s="2"/>
      <c r="L8749" s="9"/>
      <c r="M8749" s="2"/>
      <c r="N8749" s="9"/>
      <c r="P8749" s="3">
        <v>973.17123966999998</v>
      </c>
      <c r="S8749" s="9"/>
      <c r="T8749" s="2"/>
      <c r="U8749" s="9"/>
    </row>
    <row r="8750" spans="2:21" x14ac:dyDescent="0.35">
      <c r="B8750" s="9"/>
      <c r="C8750" s="2"/>
      <c r="D8750" s="2"/>
      <c r="I8750" s="9"/>
      <c r="J8750" s="2"/>
      <c r="L8750" s="9"/>
      <c r="M8750" s="2"/>
      <c r="N8750" s="9"/>
      <c r="P8750" s="3">
        <v>1091.5231761499999</v>
      </c>
      <c r="S8750" s="9"/>
      <c r="T8750" s="2"/>
      <c r="U8750" s="9"/>
    </row>
    <row r="8751" spans="2:21" x14ac:dyDescent="0.35">
      <c r="B8751" s="9"/>
      <c r="C8751" s="2"/>
      <c r="D8751" s="2"/>
      <c r="I8751" s="9"/>
      <c r="J8751" s="2"/>
      <c r="L8751" s="9"/>
      <c r="M8751" s="2"/>
      <c r="N8751" s="9"/>
      <c r="P8751" s="3">
        <v>656.76317615000005</v>
      </c>
      <c r="S8751" s="9"/>
      <c r="T8751" s="2"/>
      <c r="U8751" s="9"/>
    </row>
    <row r="8752" spans="2:21" x14ac:dyDescent="0.35">
      <c r="B8752" s="9"/>
      <c r="C8752" s="2"/>
      <c r="D8752" s="2"/>
      <c r="I8752" s="9"/>
      <c r="J8752" s="2"/>
      <c r="L8752" s="9"/>
      <c r="M8752" s="2"/>
      <c r="N8752" s="9"/>
      <c r="P8752" s="3">
        <v>222.00317615</v>
      </c>
      <c r="S8752" s="9"/>
      <c r="T8752" s="2"/>
      <c r="U8752" s="9"/>
    </row>
    <row r="8753" spans="2:21" x14ac:dyDescent="0.35">
      <c r="B8753" s="9"/>
      <c r="C8753" s="2"/>
      <c r="D8753" s="2"/>
      <c r="I8753" s="9"/>
      <c r="J8753" s="2"/>
      <c r="L8753" s="9"/>
      <c r="M8753" s="2"/>
      <c r="N8753" s="9"/>
      <c r="P8753" s="3">
        <v>-212.75682384999999</v>
      </c>
      <c r="S8753" s="9"/>
      <c r="T8753" s="2"/>
      <c r="U8753" s="9"/>
    </row>
    <row r="8754" spans="2:21" x14ac:dyDescent="0.35">
      <c r="B8754" s="9"/>
      <c r="C8754" s="2"/>
      <c r="D8754" s="2"/>
      <c r="I8754" s="9"/>
      <c r="J8754" s="2"/>
      <c r="L8754" s="9"/>
      <c r="M8754" s="2"/>
      <c r="N8754" s="9"/>
      <c r="P8754" s="3">
        <v>-647.51682385000004</v>
      </c>
      <c r="S8754" s="9"/>
      <c r="T8754" s="2"/>
      <c r="U8754" s="9"/>
    </row>
    <row r="8755" spans="2:21" x14ac:dyDescent="0.35">
      <c r="B8755" s="9"/>
      <c r="C8755" s="2"/>
      <c r="D8755" s="2"/>
      <c r="I8755" s="9"/>
      <c r="J8755" s="2"/>
      <c r="L8755" s="9"/>
      <c r="M8755" s="2"/>
      <c r="N8755" s="9"/>
      <c r="P8755" s="3">
        <v>-912.02095384999996</v>
      </c>
      <c r="S8755" s="9"/>
      <c r="T8755" s="2"/>
      <c r="U8755" s="9"/>
    </row>
    <row r="8756" spans="2:21" x14ac:dyDescent="0.35">
      <c r="B8756" s="9"/>
      <c r="C8756" s="2"/>
      <c r="D8756" s="2"/>
      <c r="I8756" s="9"/>
      <c r="J8756" s="2"/>
      <c r="L8756" s="9"/>
      <c r="M8756" s="2"/>
      <c r="N8756" s="9"/>
      <c r="P8756" s="3">
        <v>-477.26095385000002</v>
      </c>
      <c r="S8756" s="9"/>
      <c r="T8756" s="2"/>
      <c r="U8756" s="9"/>
    </row>
    <row r="8757" spans="2:21" x14ac:dyDescent="0.35">
      <c r="B8757" s="9"/>
      <c r="C8757" s="2"/>
      <c r="D8757" s="2"/>
      <c r="I8757" s="9"/>
      <c r="J8757" s="2"/>
      <c r="L8757" s="9"/>
      <c r="M8757" s="2"/>
      <c r="N8757" s="9"/>
      <c r="P8757" s="3">
        <v>-42.500953850000002</v>
      </c>
      <c r="S8757" s="9"/>
      <c r="T8757" s="2"/>
      <c r="U8757" s="9"/>
    </row>
    <row r="8758" spans="2:21" x14ac:dyDescent="0.35">
      <c r="B8758" s="9"/>
      <c r="C8758" s="2"/>
      <c r="D8758" s="2"/>
      <c r="I8758" s="9"/>
      <c r="J8758" s="2"/>
      <c r="L8758" s="9"/>
      <c r="M8758" s="2"/>
      <c r="N8758" s="9"/>
      <c r="P8758" s="3">
        <v>392.25904615000002</v>
      </c>
      <c r="S8758" s="9"/>
      <c r="T8758" s="2"/>
      <c r="U8758" s="9"/>
    </row>
    <row r="8759" spans="2:21" x14ac:dyDescent="0.35">
      <c r="B8759" s="9"/>
      <c r="C8759" s="2"/>
      <c r="D8759" s="2"/>
      <c r="I8759" s="9"/>
      <c r="J8759" s="2"/>
      <c r="L8759" s="9"/>
      <c r="M8759" s="2"/>
      <c r="N8759" s="9"/>
      <c r="P8759" s="3">
        <v>827.01904615000001</v>
      </c>
      <c r="S8759" s="9"/>
      <c r="T8759" s="2"/>
      <c r="U8759" s="9"/>
    </row>
    <row r="8760" spans="2:21" x14ac:dyDescent="0.35">
      <c r="B8760" s="9"/>
      <c r="C8760" s="2"/>
      <c r="D8760" s="2"/>
      <c r="I8760" s="9"/>
      <c r="J8760" s="2"/>
      <c r="L8760" s="9"/>
      <c r="M8760" s="2"/>
      <c r="N8760" s="9"/>
      <c r="P8760" s="3">
        <v>1261.7790461500001</v>
      </c>
      <c r="S8760" s="9"/>
      <c r="T8760" s="2"/>
      <c r="U8760" s="9"/>
    </row>
    <row r="8761" spans="2:21" x14ac:dyDescent="0.35">
      <c r="B8761" s="9"/>
      <c r="C8761" s="2"/>
      <c r="D8761" s="2"/>
      <c r="I8761" s="9"/>
      <c r="J8761" s="2"/>
      <c r="L8761" s="9"/>
      <c r="M8761" s="2"/>
      <c r="N8761" s="9"/>
      <c r="P8761" s="3">
        <v>1031.8360154</v>
      </c>
      <c r="S8761" s="9"/>
      <c r="T8761" s="2"/>
      <c r="U8761" s="9"/>
    </row>
    <row r="8762" spans="2:21" x14ac:dyDescent="0.35">
      <c r="B8762" s="9"/>
      <c r="C8762" s="2"/>
      <c r="D8762" s="2"/>
      <c r="I8762" s="9"/>
      <c r="J8762" s="2"/>
      <c r="L8762" s="9"/>
      <c r="M8762" s="2"/>
      <c r="N8762" s="9"/>
      <c r="P8762" s="3">
        <v>820.15144488999999</v>
      </c>
      <c r="S8762" s="9"/>
      <c r="T8762" s="2"/>
      <c r="U8762" s="9"/>
    </row>
    <row r="8763" spans="2:21" x14ac:dyDescent="0.35">
      <c r="P8763" s="3">
        <v>716.13842451999994</v>
      </c>
    </row>
    <row r="8764" spans="2:21" x14ac:dyDescent="0.35">
      <c r="P8764" s="3">
        <v>709.60987426999998</v>
      </c>
    </row>
    <row r="8765" spans="2:21" x14ac:dyDescent="0.35">
      <c r="P8765" s="3">
        <v>752.47470426999996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F7EF-CDD6-4456-9415-B6830AC2C7B3}">
  <sheetPr>
    <tabColor rgb="FFFFFFCC"/>
  </sheetPr>
  <dimension ref="B1:X173"/>
  <sheetViews>
    <sheetView zoomScaleNormal="100" workbookViewId="0">
      <selection activeCell="Z6" sqref="Z6"/>
    </sheetView>
  </sheetViews>
  <sheetFormatPr baseColWidth="10" defaultRowHeight="14.5" x14ac:dyDescent="0.35"/>
  <cols>
    <col min="1" max="2" width="10.90625" style="3"/>
    <col min="3" max="3" width="33.36328125" style="3" bestFit="1" customWidth="1"/>
    <col min="4" max="4" width="36.90625" style="3" bestFit="1" customWidth="1"/>
    <col min="5" max="5" width="10.6328125" style="3" customWidth="1"/>
    <col min="6" max="6" width="10.90625" style="3"/>
    <col min="7" max="7" width="33.36328125" style="3" bestFit="1" customWidth="1"/>
    <col min="8" max="8" width="36.90625" style="3" bestFit="1" customWidth="1"/>
    <col min="9" max="10" width="10.90625" style="3"/>
    <col min="11" max="11" width="33.36328125" style="3" bestFit="1" customWidth="1"/>
    <col min="12" max="12" width="36.90625" style="3" bestFit="1" customWidth="1"/>
    <col min="13" max="14" width="10.90625" style="3"/>
    <col min="15" max="15" width="33.36328125" style="3" bestFit="1" customWidth="1"/>
    <col min="16" max="16" width="36.90625" style="3" bestFit="1" customWidth="1"/>
    <col min="17" max="18" width="10.90625" style="3"/>
    <col min="19" max="19" width="33.36328125" style="3" bestFit="1" customWidth="1"/>
    <col min="20" max="20" width="36.90625" style="3" bestFit="1" customWidth="1"/>
    <col min="21" max="22" width="10.90625" style="3"/>
    <col min="23" max="23" width="33.36328125" style="3" bestFit="1" customWidth="1"/>
    <col min="24" max="24" width="36.90625" style="3" bestFit="1" customWidth="1"/>
    <col min="25" max="16384" width="10.90625" style="3"/>
  </cols>
  <sheetData>
    <row r="1" spans="2:24" ht="30.5" x14ac:dyDescent="0.55000000000000004">
      <c r="B1" s="20" t="s">
        <v>49</v>
      </c>
      <c r="F1" s="20"/>
      <c r="J1" s="20"/>
      <c r="N1" s="20" t="s">
        <v>51</v>
      </c>
      <c r="R1" s="20"/>
      <c r="V1" s="20"/>
    </row>
    <row r="2" spans="2:24" x14ac:dyDescent="0.35">
      <c r="K2" s="71" t="s">
        <v>53</v>
      </c>
      <c r="W2" s="71" t="s">
        <v>53</v>
      </c>
    </row>
    <row r="3" spans="2:24" x14ac:dyDescent="0.35">
      <c r="C3" s="76" t="s">
        <v>47</v>
      </c>
      <c r="D3" s="77"/>
      <c r="G3" s="76" t="s">
        <v>48</v>
      </c>
      <c r="H3" s="77"/>
      <c r="K3" s="76" t="s">
        <v>50</v>
      </c>
      <c r="L3" s="77"/>
      <c r="O3" s="78" t="s">
        <v>47</v>
      </c>
      <c r="P3" s="79"/>
      <c r="S3" s="78" t="s">
        <v>48</v>
      </c>
      <c r="T3" s="79"/>
      <c r="W3" s="78" t="s">
        <v>50</v>
      </c>
      <c r="X3" s="79"/>
    </row>
    <row r="4" spans="2:24" x14ac:dyDescent="0.35">
      <c r="B4" s="34" t="s">
        <v>0</v>
      </c>
      <c r="C4" s="70" t="s">
        <v>52</v>
      </c>
      <c r="D4" s="70" t="s">
        <v>31</v>
      </c>
      <c r="F4" s="69" t="s">
        <v>0</v>
      </c>
      <c r="G4" s="70" t="s">
        <v>52</v>
      </c>
      <c r="H4" s="70" t="s">
        <v>31</v>
      </c>
      <c r="J4" s="69" t="s">
        <v>0</v>
      </c>
      <c r="K4" s="70" t="s">
        <v>52</v>
      </c>
      <c r="L4" s="70" t="s">
        <v>31</v>
      </c>
      <c r="N4" s="69" t="s">
        <v>0</v>
      </c>
      <c r="O4" s="28" t="s">
        <v>52</v>
      </c>
      <c r="P4" s="28" t="s">
        <v>31</v>
      </c>
      <c r="R4" s="69" t="s">
        <v>0</v>
      </c>
      <c r="S4" s="28" t="s">
        <v>52</v>
      </c>
      <c r="T4" s="28" t="s">
        <v>31</v>
      </c>
      <c r="V4" s="69" t="s">
        <v>0</v>
      </c>
      <c r="W4" s="28" t="s">
        <v>52</v>
      </c>
      <c r="X4" s="28" t="s">
        <v>31</v>
      </c>
    </row>
    <row r="5" spans="2:24" x14ac:dyDescent="0.35">
      <c r="B5" s="40">
        <v>0</v>
      </c>
      <c r="C5" s="40">
        <v>52.578633869999997</v>
      </c>
      <c r="D5" s="40" t="e">
        <f>#REF!</f>
        <v>#REF!</v>
      </c>
      <c r="F5" s="40">
        <v>0</v>
      </c>
      <c r="G5" s="40">
        <v>52.568633869999999</v>
      </c>
      <c r="H5" s="40" t="e">
        <f>#REF!</f>
        <v>#REF!</v>
      </c>
      <c r="J5" s="40">
        <v>0</v>
      </c>
      <c r="K5" s="40">
        <v>15.632671999999999</v>
      </c>
      <c r="L5" s="40" t="e">
        <f>#REF!</f>
        <v>#REF!</v>
      </c>
      <c r="N5" s="40">
        <v>0</v>
      </c>
      <c r="O5" s="40">
        <v>74.519202640000003</v>
      </c>
      <c r="P5" s="40" t="e">
        <f>#REF!</f>
        <v>#REF!</v>
      </c>
      <c r="R5" s="40">
        <v>0</v>
      </c>
      <c r="S5" s="40">
        <v>74.529202639999994</v>
      </c>
      <c r="T5" s="40" t="e">
        <f>#REF!</f>
        <v>#REF!</v>
      </c>
      <c r="V5" s="40">
        <v>0</v>
      </c>
      <c r="W5" s="40">
        <v>22.482636620000001</v>
      </c>
      <c r="X5" s="40" t="e">
        <f>#REF!</f>
        <v>#REF!</v>
      </c>
    </row>
    <row r="6" spans="2:24" x14ac:dyDescent="0.35">
      <c r="B6" s="40">
        <v>1</v>
      </c>
      <c r="C6" s="40">
        <v>52.578633869999997</v>
      </c>
      <c r="D6" s="40" t="e">
        <f>#REF!</f>
        <v>#REF!</v>
      </c>
      <c r="F6" s="40">
        <v>1</v>
      </c>
      <c r="G6" s="40">
        <v>52.568633869999999</v>
      </c>
      <c r="H6" s="40" t="e">
        <f>#REF!</f>
        <v>#REF!</v>
      </c>
      <c r="J6" s="40">
        <v>1</v>
      </c>
      <c r="K6" s="40">
        <v>15.632671999999999</v>
      </c>
      <c r="L6" s="40" t="e">
        <f>#REF!</f>
        <v>#REF!</v>
      </c>
      <c r="N6" s="40">
        <v>1</v>
      </c>
      <c r="O6" s="40">
        <v>74.519202640000003</v>
      </c>
      <c r="P6" s="40" t="e">
        <f>#REF!</f>
        <v>#REF!</v>
      </c>
      <c r="R6" s="40">
        <v>1</v>
      </c>
      <c r="S6" s="40">
        <v>74.529202639999994</v>
      </c>
      <c r="T6" s="40" t="e">
        <f>#REF!</f>
        <v>#REF!</v>
      </c>
      <c r="V6" s="40">
        <v>1</v>
      </c>
      <c r="W6" s="40">
        <v>22.482636620000001</v>
      </c>
      <c r="X6" s="40" t="e">
        <f>#REF!</f>
        <v>#REF!</v>
      </c>
    </row>
    <row r="7" spans="2:24" x14ac:dyDescent="0.35">
      <c r="B7" s="40">
        <v>2</v>
      </c>
      <c r="C7" s="40">
        <v>52.578633869999997</v>
      </c>
      <c r="D7" s="40" t="e">
        <f>#REF!</f>
        <v>#REF!</v>
      </c>
      <c r="F7" s="40">
        <v>2</v>
      </c>
      <c r="G7" s="40">
        <v>52.568633869999999</v>
      </c>
      <c r="H7" s="40" t="e">
        <f>#REF!</f>
        <v>#REF!</v>
      </c>
      <c r="J7" s="40">
        <v>2</v>
      </c>
      <c r="K7" s="40">
        <v>15.632671999999999</v>
      </c>
      <c r="L7" s="40" t="e">
        <f>#REF!</f>
        <v>#REF!</v>
      </c>
      <c r="N7" s="40">
        <v>2</v>
      </c>
      <c r="O7" s="40">
        <v>74.519202640000003</v>
      </c>
      <c r="P7" s="40" t="e">
        <f>#REF!</f>
        <v>#REF!</v>
      </c>
      <c r="R7" s="40">
        <v>2</v>
      </c>
      <c r="S7" s="40">
        <v>74.529202639999994</v>
      </c>
      <c r="T7" s="40" t="e">
        <f>#REF!</f>
        <v>#REF!</v>
      </c>
      <c r="V7" s="40">
        <v>2</v>
      </c>
      <c r="W7" s="40">
        <v>22.482636620000001</v>
      </c>
      <c r="X7" s="40" t="e">
        <f>#REF!</f>
        <v>#REF!</v>
      </c>
    </row>
    <row r="8" spans="2:24" x14ac:dyDescent="0.35">
      <c r="B8" s="40">
        <v>3</v>
      </c>
      <c r="C8" s="40">
        <v>52.578633869999997</v>
      </c>
      <c r="D8" s="40" t="e">
        <f>#REF!</f>
        <v>#REF!</v>
      </c>
      <c r="F8" s="40">
        <v>3</v>
      </c>
      <c r="G8" s="40">
        <v>52.568633869999999</v>
      </c>
      <c r="H8" s="40" t="e">
        <f>#REF!</f>
        <v>#REF!</v>
      </c>
      <c r="J8" s="40">
        <v>3</v>
      </c>
      <c r="K8" s="40">
        <v>15.632671999999999</v>
      </c>
      <c r="L8" s="40" t="e">
        <f>#REF!</f>
        <v>#REF!</v>
      </c>
      <c r="N8" s="40">
        <v>3</v>
      </c>
      <c r="O8" s="40">
        <v>74.519202640000003</v>
      </c>
      <c r="P8" s="40" t="e">
        <f>#REF!</f>
        <v>#REF!</v>
      </c>
      <c r="R8" s="40">
        <v>3</v>
      </c>
      <c r="S8" s="40">
        <v>74.529202639999994</v>
      </c>
      <c r="T8" s="40" t="e">
        <f>#REF!</f>
        <v>#REF!</v>
      </c>
      <c r="V8" s="40">
        <v>3</v>
      </c>
      <c r="W8" s="40">
        <v>22.482636620000001</v>
      </c>
      <c r="X8" s="40" t="e">
        <f>#REF!</f>
        <v>#REF!</v>
      </c>
    </row>
    <row r="9" spans="2:24" x14ac:dyDescent="0.35">
      <c r="B9" s="40">
        <v>4</v>
      </c>
      <c r="C9" s="40">
        <v>52.578633869999997</v>
      </c>
      <c r="D9" s="40" t="e">
        <f>#REF!</f>
        <v>#REF!</v>
      </c>
      <c r="F9" s="40">
        <v>4</v>
      </c>
      <c r="G9" s="40">
        <v>52.568633869999999</v>
      </c>
      <c r="H9" s="40" t="e">
        <f>#REF!</f>
        <v>#REF!</v>
      </c>
      <c r="J9" s="40">
        <v>4</v>
      </c>
      <c r="K9" s="40">
        <v>15.632671999999999</v>
      </c>
      <c r="L9" s="40" t="e">
        <f>#REF!</f>
        <v>#REF!</v>
      </c>
      <c r="N9" s="40">
        <v>4</v>
      </c>
      <c r="O9" s="40">
        <v>74.519202640000003</v>
      </c>
      <c r="P9" s="40" t="e">
        <f>#REF!</f>
        <v>#REF!</v>
      </c>
      <c r="R9" s="40">
        <v>4</v>
      </c>
      <c r="S9" s="40">
        <v>74.529202639999994</v>
      </c>
      <c r="T9" s="40" t="e">
        <f>#REF!</f>
        <v>#REF!</v>
      </c>
      <c r="V9" s="40">
        <v>4</v>
      </c>
      <c r="W9" s="40">
        <v>22.482636620000001</v>
      </c>
      <c r="X9" s="40" t="e">
        <f>#REF!</f>
        <v>#REF!</v>
      </c>
    </row>
    <row r="10" spans="2:24" x14ac:dyDescent="0.35">
      <c r="B10" s="40">
        <v>5</v>
      </c>
      <c r="C10" s="40">
        <v>52.578633869999997</v>
      </c>
      <c r="D10" s="40" t="e">
        <f>#REF!</f>
        <v>#REF!</v>
      </c>
      <c r="F10" s="40">
        <v>5</v>
      </c>
      <c r="G10" s="40">
        <v>52.568633869999999</v>
      </c>
      <c r="H10" s="40" t="e">
        <f>#REF!</f>
        <v>#REF!</v>
      </c>
      <c r="J10" s="40">
        <v>5</v>
      </c>
      <c r="K10" s="40">
        <v>15.632671999999999</v>
      </c>
      <c r="L10" s="40" t="e">
        <f>#REF!</f>
        <v>#REF!</v>
      </c>
      <c r="N10" s="40">
        <v>5</v>
      </c>
      <c r="O10" s="40">
        <v>74.519202640000003</v>
      </c>
      <c r="P10" s="40" t="e">
        <f>#REF!</f>
        <v>#REF!</v>
      </c>
      <c r="R10" s="40">
        <v>5</v>
      </c>
      <c r="S10" s="40">
        <v>74.529202639999994</v>
      </c>
      <c r="T10" s="40" t="e">
        <f>#REF!</f>
        <v>#REF!</v>
      </c>
      <c r="V10" s="40">
        <v>5</v>
      </c>
      <c r="W10" s="40">
        <v>22.482636620000001</v>
      </c>
      <c r="X10" s="40" t="e">
        <f>#REF!</f>
        <v>#REF!</v>
      </c>
    </row>
    <row r="11" spans="2:24" x14ac:dyDescent="0.35">
      <c r="B11" s="40">
        <v>6</v>
      </c>
      <c r="C11" s="40">
        <v>52.578633869999997</v>
      </c>
      <c r="D11" s="40" t="e">
        <f>#REF!</f>
        <v>#REF!</v>
      </c>
      <c r="F11" s="40">
        <v>6</v>
      </c>
      <c r="G11" s="40">
        <v>52.568633869999999</v>
      </c>
      <c r="H11" s="40" t="e">
        <f>#REF!</f>
        <v>#REF!</v>
      </c>
      <c r="J11" s="40">
        <v>6</v>
      </c>
      <c r="K11" s="40">
        <v>15.632671999999999</v>
      </c>
      <c r="L11" s="40" t="e">
        <f>#REF!</f>
        <v>#REF!</v>
      </c>
      <c r="N11" s="40">
        <v>6</v>
      </c>
      <c r="O11" s="40">
        <v>74.519202640000003</v>
      </c>
      <c r="P11" s="40" t="e">
        <f>#REF!</f>
        <v>#REF!</v>
      </c>
      <c r="R11" s="40">
        <v>6</v>
      </c>
      <c r="S11" s="40">
        <v>74.529202639999994</v>
      </c>
      <c r="T11" s="40" t="e">
        <f>#REF!</f>
        <v>#REF!</v>
      </c>
      <c r="V11" s="40">
        <v>6</v>
      </c>
      <c r="W11" s="40">
        <v>22.482636620000001</v>
      </c>
      <c r="X11" s="40" t="e">
        <f>#REF!</f>
        <v>#REF!</v>
      </c>
    </row>
    <row r="12" spans="2:24" x14ac:dyDescent="0.35">
      <c r="B12" s="40">
        <v>7</v>
      </c>
      <c r="C12" s="40">
        <v>52.578633869999997</v>
      </c>
      <c r="D12" s="40" t="e">
        <f>#REF!</f>
        <v>#REF!</v>
      </c>
      <c r="F12" s="40">
        <v>7</v>
      </c>
      <c r="G12" s="40">
        <v>52.568633869999999</v>
      </c>
      <c r="H12" s="40" t="e">
        <f>#REF!</f>
        <v>#REF!</v>
      </c>
      <c r="J12" s="40">
        <v>7</v>
      </c>
      <c r="K12" s="40">
        <v>15.632671999999999</v>
      </c>
      <c r="L12" s="40" t="e">
        <f>#REF!</f>
        <v>#REF!</v>
      </c>
      <c r="N12" s="40">
        <v>7</v>
      </c>
      <c r="O12" s="40">
        <v>74.519202640000003</v>
      </c>
      <c r="P12" s="40" t="e">
        <f>#REF!</f>
        <v>#REF!</v>
      </c>
      <c r="R12" s="40">
        <v>7</v>
      </c>
      <c r="S12" s="40">
        <v>74.529202639999994</v>
      </c>
      <c r="T12" s="40" t="e">
        <f>#REF!</f>
        <v>#REF!</v>
      </c>
      <c r="V12" s="40">
        <v>7</v>
      </c>
      <c r="W12" s="40">
        <v>22.482636620000001</v>
      </c>
      <c r="X12" s="40" t="e">
        <f>#REF!</f>
        <v>#REF!</v>
      </c>
    </row>
    <row r="13" spans="2:24" x14ac:dyDescent="0.35">
      <c r="B13" s="40">
        <v>8</v>
      </c>
      <c r="C13" s="40">
        <v>52.578633869999997</v>
      </c>
      <c r="D13" s="40" t="e">
        <f>#REF!</f>
        <v>#REF!</v>
      </c>
      <c r="F13" s="40">
        <v>8</v>
      </c>
      <c r="G13" s="40">
        <v>52.568633869999999</v>
      </c>
      <c r="H13" s="40" t="e">
        <f>#REF!</f>
        <v>#REF!</v>
      </c>
      <c r="J13" s="40">
        <v>8</v>
      </c>
      <c r="K13" s="40">
        <v>15.632671999999999</v>
      </c>
      <c r="L13" s="40" t="e">
        <f>#REF!</f>
        <v>#REF!</v>
      </c>
      <c r="N13" s="40">
        <v>8</v>
      </c>
      <c r="O13" s="40">
        <v>74.519202640000003</v>
      </c>
      <c r="P13" s="40" t="e">
        <f>#REF!</f>
        <v>#REF!</v>
      </c>
      <c r="R13" s="40">
        <v>8</v>
      </c>
      <c r="S13" s="40">
        <v>235.89461349999999</v>
      </c>
      <c r="T13" s="40" t="e">
        <f>#REF!</f>
        <v>#REF!</v>
      </c>
      <c r="V13" s="40">
        <v>8</v>
      </c>
      <c r="W13" s="40">
        <v>22.482636620000001</v>
      </c>
      <c r="X13" s="40" t="e">
        <f>#REF!</f>
        <v>#REF!</v>
      </c>
    </row>
    <row r="14" spans="2:24" x14ac:dyDescent="0.35">
      <c r="B14" s="40">
        <v>9</v>
      </c>
      <c r="C14" s="40">
        <v>52.578633869999997</v>
      </c>
      <c r="D14" s="40" t="e">
        <f>#REF!</f>
        <v>#REF!</v>
      </c>
      <c r="F14" s="40">
        <v>9</v>
      </c>
      <c r="G14" s="40">
        <v>52.568633869999999</v>
      </c>
      <c r="H14" s="40" t="e">
        <f>#REF!</f>
        <v>#REF!</v>
      </c>
      <c r="J14" s="40">
        <v>9</v>
      </c>
      <c r="K14" s="40">
        <v>15.632671999999999</v>
      </c>
      <c r="L14" s="40" t="e">
        <f>#REF!</f>
        <v>#REF!</v>
      </c>
      <c r="N14" s="40">
        <v>9</v>
      </c>
      <c r="O14" s="40">
        <v>74.519202640000003</v>
      </c>
      <c r="P14" s="40" t="e">
        <f>#REF!</f>
        <v>#REF!</v>
      </c>
      <c r="R14" s="40">
        <v>9</v>
      </c>
      <c r="S14" s="40">
        <v>0.46478872999999998</v>
      </c>
      <c r="T14" s="40" t="e">
        <f>#REF!</f>
        <v>#REF!</v>
      </c>
      <c r="V14" s="40">
        <v>9</v>
      </c>
      <c r="W14" s="40">
        <v>22.482636620000001</v>
      </c>
      <c r="X14" s="40" t="e">
        <f>#REF!</f>
        <v>#REF!</v>
      </c>
    </row>
    <row r="15" spans="2:24" x14ac:dyDescent="0.35">
      <c r="B15" s="40">
        <v>10</v>
      </c>
      <c r="C15" s="40">
        <v>15.622672</v>
      </c>
      <c r="D15" s="40" t="e">
        <f>#REF!</f>
        <v>#REF!</v>
      </c>
      <c r="F15" s="40">
        <v>10</v>
      </c>
      <c r="G15" s="40">
        <v>15.612672</v>
      </c>
      <c r="H15" s="40" t="e">
        <f>#REF!</f>
        <v>#REF!</v>
      </c>
      <c r="J15" s="40">
        <v>10</v>
      </c>
      <c r="K15" s="40">
        <v>15.632671999999999</v>
      </c>
      <c r="L15" s="40" t="e">
        <f>#REF!</f>
        <v>#REF!</v>
      </c>
      <c r="N15" s="40">
        <v>10</v>
      </c>
      <c r="O15" s="40">
        <v>22.468552110000001</v>
      </c>
      <c r="P15" s="40" t="e">
        <f>#REF!</f>
        <v>#REF!</v>
      </c>
      <c r="R15" s="40">
        <v>10</v>
      </c>
      <c r="S15" s="40">
        <v>0.46478872999999998</v>
      </c>
      <c r="T15" s="40" t="e">
        <f>#REF!</f>
        <v>#REF!</v>
      </c>
      <c r="V15" s="40">
        <v>10</v>
      </c>
      <c r="W15" s="40">
        <v>22.478552109999999</v>
      </c>
      <c r="X15" s="40" t="e">
        <f>#REF!</f>
        <v>#REF!</v>
      </c>
    </row>
    <row r="16" spans="2:24" x14ac:dyDescent="0.35">
      <c r="B16" s="40">
        <v>11</v>
      </c>
      <c r="C16" s="40">
        <v>15.463145280000001</v>
      </c>
      <c r="D16" s="40" t="e">
        <f>#REF!</f>
        <v>#REF!</v>
      </c>
      <c r="F16" s="40">
        <v>11</v>
      </c>
      <c r="G16" s="40">
        <v>11.707004</v>
      </c>
      <c r="H16" s="40" t="e">
        <f>#REF!</f>
        <v>#REF!</v>
      </c>
      <c r="J16" s="40">
        <v>11</v>
      </c>
      <c r="K16" s="40">
        <v>15.632671999999999</v>
      </c>
      <c r="L16" s="40" t="e">
        <f>#REF!</f>
        <v>#REF!</v>
      </c>
      <c r="N16" s="40">
        <v>11</v>
      </c>
      <c r="O16" s="40">
        <v>22.24386659</v>
      </c>
      <c r="P16" s="40" t="e">
        <f>#REF!</f>
        <v>#REF!</v>
      </c>
      <c r="R16" s="40">
        <v>11</v>
      </c>
      <c r="S16" s="40">
        <v>0.46478872999999998</v>
      </c>
      <c r="T16" s="40" t="e">
        <f>#REF!</f>
        <v>#REF!</v>
      </c>
      <c r="V16" s="40">
        <v>11</v>
      </c>
      <c r="W16" s="40">
        <v>22.263866589999999</v>
      </c>
      <c r="X16" s="40" t="e">
        <f>#REF!</f>
        <v>#REF!</v>
      </c>
    </row>
    <row r="17" spans="2:24" x14ac:dyDescent="0.35">
      <c r="B17" s="40">
        <v>12</v>
      </c>
      <c r="C17" s="40">
        <v>15.463145280000001</v>
      </c>
      <c r="D17" s="40" t="e">
        <f>#REF!</f>
        <v>#REF!</v>
      </c>
      <c r="F17" s="40">
        <v>12</v>
      </c>
      <c r="G17" s="40">
        <v>11.707004</v>
      </c>
      <c r="H17" s="40" t="e">
        <f>#REF!</f>
        <v>#REF!</v>
      </c>
      <c r="J17" s="40">
        <v>12</v>
      </c>
      <c r="K17" s="40">
        <v>15.632671999999999</v>
      </c>
      <c r="L17" s="40" t="e">
        <f>#REF!</f>
        <v>#REF!</v>
      </c>
      <c r="N17" s="40">
        <v>12</v>
      </c>
      <c r="O17" s="40">
        <v>22.24386659</v>
      </c>
      <c r="P17" s="40" t="e">
        <f>#REF!</f>
        <v>#REF!</v>
      </c>
      <c r="R17" s="40">
        <v>12</v>
      </c>
      <c r="S17" s="40">
        <v>0.46478872999999998</v>
      </c>
      <c r="T17" s="40" t="e">
        <f>#REF!</f>
        <v>#REF!</v>
      </c>
      <c r="V17" s="40">
        <v>12</v>
      </c>
      <c r="W17" s="40">
        <v>22.24386659</v>
      </c>
      <c r="X17" s="40" t="e">
        <f>#REF!</f>
        <v>#REF!</v>
      </c>
    </row>
    <row r="18" spans="2:24" x14ac:dyDescent="0.35">
      <c r="B18" s="40">
        <v>13</v>
      </c>
      <c r="C18" s="40">
        <v>15.463145280000001</v>
      </c>
      <c r="D18" s="40" t="e">
        <f>#REF!</f>
        <v>#REF!</v>
      </c>
      <c r="F18" s="40">
        <v>13</v>
      </c>
      <c r="G18" s="40">
        <v>11.707004</v>
      </c>
      <c r="H18" s="40" t="e">
        <f>#REF!</f>
        <v>#REF!</v>
      </c>
      <c r="J18" s="40">
        <v>13</v>
      </c>
      <c r="K18" s="40">
        <v>15.632671999999999</v>
      </c>
      <c r="L18" s="40" t="e">
        <f>#REF!</f>
        <v>#REF!</v>
      </c>
      <c r="N18" s="40">
        <v>13</v>
      </c>
      <c r="O18" s="40">
        <v>22.24386659</v>
      </c>
      <c r="P18" s="40" t="e">
        <f>#REF!</f>
        <v>#REF!</v>
      </c>
      <c r="R18" s="40">
        <v>13</v>
      </c>
      <c r="S18" s="40">
        <v>0.46478872999999998</v>
      </c>
      <c r="T18" s="40" t="e">
        <f>#REF!</f>
        <v>#REF!</v>
      </c>
      <c r="V18" s="40">
        <v>13</v>
      </c>
      <c r="W18" s="40">
        <v>22.24386659</v>
      </c>
      <c r="X18" s="40" t="e">
        <f>#REF!</f>
        <v>#REF!</v>
      </c>
    </row>
    <row r="19" spans="2:24" x14ac:dyDescent="0.35">
      <c r="B19" s="40">
        <v>14</v>
      </c>
      <c r="C19" s="40">
        <v>15.463145280000001</v>
      </c>
      <c r="D19" s="40" t="e">
        <f>#REF!</f>
        <v>#REF!</v>
      </c>
      <c r="F19" s="40">
        <v>14</v>
      </c>
      <c r="G19" s="40">
        <v>11.707004</v>
      </c>
      <c r="H19" s="40" t="e">
        <f>#REF!</f>
        <v>#REF!</v>
      </c>
      <c r="J19" s="40">
        <v>14</v>
      </c>
      <c r="K19" s="40">
        <v>15.632671999999999</v>
      </c>
      <c r="L19" s="40" t="e">
        <f>#REF!</f>
        <v>#REF!</v>
      </c>
      <c r="N19" s="40">
        <v>14</v>
      </c>
      <c r="O19" s="40">
        <v>22.24386659</v>
      </c>
      <c r="P19" s="40" t="e">
        <f>#REF!</f>
        <v>#REF!</v>
      </c>
      <c r="R19" s="40">
        <v>14</v>
      </c>
      <c r="S19" s="40">
        <v>0.46478872999999998</v>
      </c>
      <c r="T19" s="40" t="e">
        <f>#REF!</f>
        <v>#REF!</v>
      </c>
      <c r="V19" s="40">
        <v>14</v>
      </c>
      <c r="W19" s="40">
        <v>22.263866589999999</v>
      </c>
      <c r="X19" s="40" t="e">
        <f>#REF!</f>
        <v>#REF!</v>
      </c>
    </row>
    <row r="20" spans="2:24" x14ac:dyDescent="0.35">
      <c r="B20" s="40">
        <v>15</v>
      </c>
      <c r="C20" s="40">
        <v>15.463145280000001</v>
      </c>
      <c r="D20" s="40" t="e">
        <f>#REF!</f>
        <v>#REF!</v>
      </c>
      <c r="F20" s="40">
        <v>15</v>
      </c>
      <c r="G20" s="40">
        <v>11.707004</v>
      </c>
      <c r="H20" s="40" t="e">
        <f>#REF!</f>
        <v>#REF!</v>
      </c>
      <c r="J20" s="40">
        <v>15</v>
      </c>
      <c r="K20" s="40">
        <v>15.632671999999999</v>
      </c>
      <c r="L20" s="40" t="e">
        <f>#REF!</f>
        <v>#REF!</v>
      </c>
      <c r="N20" s="40">
        <v>15</v>
      </c>
      <c r="O20" s="40">
        <v>22.24386659</v>
      </c>
      <c r="P20" s="40" t="e">
        <f>#REF!</f>
        <v>#REF!</v>
      </c>
      <c r="R20" s="40">
        <v>15</v>
      </c>
      <c r="S20" s="40">
        <v>0.46478872999999998</v>
      </c>
      <c r="T20" s="40" t="e">
        <f>#REF!</f>
        <v>#REF!</v>
      </c>
      <c r="V20" s="40">
        <v>15</v>
      </c>
      <c r="W20" s="40">
        <v>22.277951099999999</v>
      </c>
      <c r="X20" s="40" t="e">
        <f>#REF!</f>
        <v>#REF!</v>
      </c>
    </row>
    <row r="21" spans="2:24" x14ac:dyDescent="0.35">
      <c r="B21" s="40">
        <v>16</v>
      </c>
      <c r="C21" s="40">
        <v>15.642671999999999</v>
      </c>
      <c r="D21" s="40" t="e">
        <f>#REF!</f>
        <v>#REF!</v>
      </c>
      <c r="F21" s="40">
        <v>16</v>
      </c>
      <c r="G21" s="40">
        <v>15.632671999999999</v>
      </c>
      <c r="H21" s="40" t="e">
        <f>#REF!</f>
        <v>#REF!</v>
      </c>
      <c r="J21" s="40">
        <v>16</v>
      </c>
      <c r="K21" s="40">
        <v>15.632671999999999</v>
      </c>
      <c r="L21" s="40" t="e">
        <f>#REF!</f>
        <v>#REF!</v>
      </c>
      <c r="N21" s="40">
        <v>16</v>
      </c>
      <c r="O21" s="40">
        <v>22.496721130000001</v>
      </c>
      <c r="P21" s="40" t="e">
        <f>#REF!</f>
        <v>#REF!</v>
      </c>
      <c r="R21" s="40">
        <v>16</v>
      </c>
      <c r="S21" s="40">
        <v>0.46478872999999998</v>
      </c>
      <c r="T21" s="40" t="e">
        <f>#REF!</f>
        <v>#REF!</v>
      </c>
      <c r="V21" s="40">
        <v>16</v>
      </c>
      <c r="W21" s="40">
        <v>22.482636620000001</v>
      </c>
      <c r="X21" s="40" t="e">
        <f>#REF!</f>
        <v>#REF!</v>
      </c>
    </row>
    <row r="22" spans="2:24" x14ac:dyDescent="0.35">
      <c r="B22" s="40">
        <v>17</v>
      </c>
      <c r="C22" s="40">
        <v>128.9143794</v>
      </c>
      <c r="D22" s="40" t="e">
        <f>#REF!</f>
        <v>#REF!</v>
      </c>
      <c r="F22" s="40">
        <v>17</v>
      </c>
      <c r="G22" s="40">
        <v>128.90437940000001</v>
      </c>
      <c r="H22" s="40" t="e">
        <f>#REF!</f>
        <v>#REF!</v>
      </c>
      <c r="J22" s="40">
        <v>17</v>
      </c>
      <c r="K22" s="40">
        <v>15.632671999999999</v>
      </c>
      <c r="L22" s="40" t="e">
        <f>#REF!</f>
        <v>#REF!</v>
      </c>
      <c r="N22" s="40">
        <v>17</v>
      </c>
      <c r="O22" s="40">
        <v>182.03433719</v>
      </c>
      <c r="P22" s="40" t="e">
        <f>#REF!</f>
        <v>#REF!</v>
      </c>
      <c r="R22" s="40">
        <v>17</v>
      </c>
      <c r="S22" s="40">
        <v>0.46478872999999998</v>
      </c>
      <c r="T22" s="40" t="e">
        <f>#REF!</f>
        <v>#REF!</v>
      </c>
      <c r="V22" s="40">
        <v>17</v>
      </c>
      <c r="W22" s="40">
        <v>22.482636620000001</v>
      </c>
      <c r="X22" s="40" t="e">
        <f>#REF!</f>
        <v>#REF!</v>
      </c>
    </row>
    <row r="23" spans="2:24" x14ac:dyDescent="0.35">
      <c r="B23" s="40">
        <v>18</v>
      </c>
      <c r="C23" s="40">
        <v>128.9143794</v>
      </c>
      <c r="D23" s="40" t="e">
        <f>#REF!</f>
        <v>#REF!</v>
      </c>
      <c r="F23" s="40">
        <v>18</v>
      </c>
      <c r="G23" s="40">
        <v>128.90437940000001</v>
      </c>
      <c r="H23" s="40" t="e">
        <f>#REF!</f>
        <v>#REF!</v>
      </c>
      <c r="J23" s="40">
        <v>18</v>
      </c>
      <c r="K23" s="40">
        <v>15.632671999999999</v>
      </c>
      <c r="L23" s="40" t="e">
        <f>#REF!</f>
        <v>#REF!</v>
      </c>
      <c r="N23" s="40">
        <v>18</v>
      </c>
      <c r="O23" s="40">
        <v>182.03433719</v>
      </c>
      <c r="P23" s="40" t="e">
        <f>#REF!</f>
        <v>#REF!</v>
      </c>
      <c r="R23" s="40">
        <v>18</v>
      </c>
      <c r="S23" s="40">
        <v>429.18397375000001</v>
      </c>
      <c r="T23" s="40" t="e">
        <f>#REF!</f>
        <v>#REF!</v>
      </c>
      <c r="V23" s="40">
        <v>18</v>
      </c>
      <c r="W23" s="40">
        <v>22.482636620000001</v>
      </c>
      <c r="X23" s="40" t="e">
        <f>#REF!</f>
        <v>#REF!</v>
      </c>
    </row>
    <row r="24" spans="2:24" x14ac:dyDescent="0.35">
      <c r="B24" s="40">
        <v>19</v>
      </c>
      <c r="C24" s="40">
        <v>128.9143794</v>
      </c>
      <c r="D24" s="40" t="e">
        <f>#REF!</f>
        <v>#REF!</v>
      </c>
      <c r="F24" s="40">
        <v>19</v>
      </c>
      <c r="G24" s="40">
        <v>128.90437940000001</v>
      </c>
      <c r="H24" s="40" t="e">
        <f>#REF!</f>
        <v>#REF!</v>
      </c>
      <c r="J24" s="40">
        <v>19</v>
      </c>
      <c r="K24" s="40">
        <v>15.632671999999999</v>
      </c>
      <c r="L24" s="40" t="e">
        <f>#REF!</f>
        <v>#REF!</v>
      </c>
      <c r="N24" s="40">
        <v>19</v>
      </c>
      <c r="O24" s="40">
        <v>182.03433719</v>
      </c>
      <c r="P24" s="40" t="e">
        <f>#REF!</f>
        <v>#REF!</v>
      </c>
      <c r="R24" s="40">
        <v>19</v>
      </c>
      <c r="S24" s="40">
        <v>182.04433718999999</v>
      </c>
      <c r="T24" s="40" t="e">
        <f>#REF!</f>
        <v>#REF!</v>
      </c>
      <c r="V24" s="40">
        <v>19</v>
      </c>
      <c r="W24" s="40">
        <v>22.482636620000001</v>
      </c>
      <c r="X24" s="40" t="e">
        <f>#REF!</f>
        <v>#REF!</v>
      </c>
    </row>
    <row r="25" spans="2:24" x14ac:dyDescent="0.35">
      <c r="B25" s="40">
        <v>20</v>
      </c>
      <c r="C25" s="40">
        <v>128.9143794</v>
      </c>
      <c r="D25" s="40" t="e">
        <f>#REF!</f>
        <v>#REF!</v>
      </c>
      <c r="F25" s="40">
        <v>20</v>
      </c>
      <c r="G25" s="40">
        <v>128.90437940000001</v>
      </c>
      <c r="H25" s="40" t="e">
        <f>#REF!</f>
        <v>#REF!</v>
      </c>
      <c r="J25" s="40">
        <v>20</v>
      </c>
      <c r="K25" s="40">
        <v>15.632671999999999</v>
      </c>
      <c r="L25" s="40" t="e">
        <f>#REF!</f>
        <v>#REF!</v>
      </c>
      <c r="N25" s="40">
        <v>20</v>
      </c>
      <c r="O25" s="40">
        <v>182.03433719</v>
      </c>
      <c r="P25" s="40" t="e">
        <f>#REF!</f>
        <v>#REF!</v>
      </c>
      <c r="R25" s="40">
        <v>20</v>
      </c>
      <c r="S25" s="40">
        <v>182.04433718999999</v>
      </c>
      <c r="T25" s="40" t="e">
        <f>#REF!</f>
        <v>#REF!</v>
      </c>
      <c r="V25" s="40">
        <v>20</v>
      </c>
      <c r="W25" s="40">
        <v>22.482636620000001</v>
      </c>
      <c r="X25" s="40" t="e">
        <f>#REF!</f>
        <v>#REF!</v>
      </c>
    </row>
    <row r="26" spans="2:24" x14ac:dyDescent="0.35">
      <c r="B26" s="40">
        <v>21</v>
      </c>
      <c r="C26" s="40">
        <v>128.9143794</v>
      </c>
      <c r="D26" s="40" t="e">
        <f>#REF!</f>
        <v>#REF!</v>
      </c>
      <c r="F26" s="40">
        <v>21</v>
      </c>
      <c r="G26" s="40">
        <v>128.90437940000001</v>
      </c>
      <c r="H26" s="40" t="e">
        <f>#REF!</f>
        <v>#REF!</v>
      </c>
      <c r="J26" s="40">
        <v>21</v>
      </c>
      <c r="K26" s="40">
        <v>15.632671999999999</v>
      </c>
      <c r="L26" s="40" t="e">
        <f>#REF!</f>
        <v>#REF!</v>
      </c>
      <c r="N26" s="40">
        <v>21</v>
      </c>
      <c r="O26" s="40">
        <v>182.03433719</v>
      </c>
      <c r="P26" s="40" t="e">
        <f>#REF!</f>
        <v>#REF!</v>
      </c>
      <c r="R26" s="40">
        <v>21</v>
      </c>
      <c r="S26" s="40">
        <v>182.04433718999999</v>
      </c>
      <c r="T26" s="40" t="e">
        <f>#REF!</f>
        <v>#REF!</v>
      </c>
      <c r="V26" s="40">
        <v>21</v>
      </c>
      <c r="W26" s="40">
        <v>22.482636620000001</v>
      </c>
      <c r="X26" s="40" t="e">
        <f>#REF!</f>
        <v>#REF!</v>
      </c>
    </row>
    <row r="27" spans="2:24" x14ac:dyDescent="0.35">
      <c r="B27" s="40">
        <v>22</v>
      </c>
      <c r="C27" s="40">
        <v>128.9143794</v>
      </c>
      <c r="D27" s="40" t="e">
        <f>#REF!</f>
        <v>#REF!</v>
      </c>
      <c r="F27" s="40">
        <v>22</v>
      </c>
      <c r="G27" s="40">
        <v>128.90437940000001</v>
      </c>
      <c r="H27" s="40" t="e">
        <f>#REF!</f>
        <v>#REF!</v>
      </c>
      <c r="J27" s="40">
        <v>22</v>
      </c>
      <c r="K27" s="40">
        <v>15.632671999999999</v>
      </c>
      <c r="L27" s="40" t="e">
        <f>#REF!</f>
        <v>#REF!</v>
      </c>
      <c r="N27" s="40">
        <v>22</v>
      </c>
      <c r="O27" s="40">
        <v>182.03433719</v>
      </c>
      <c r="P27" s="40" t="e">
        <f>#REF!</f>
        <v>#REF!</v>
      </c>
      <c r="R27" s="40">
        <v>22</v>
      </c>
      <c r="S27" s="40">
        <v>182.04433718999999</v>
      </c>
      <c r="T27" s="40" t="e">
        <f>#REF!</f>
        <v>#REF!</v>
      </c>
      <c r="V27" s="40">
        <v>22</v>
      </c>
      <c r="W27" s="40">
        <v>22.482636620000001</v>
      </c>
      <c r="X27" s="40" t="e">
        <f>#REF!</f>
        <v>#REF!</v>
      </c>
    </row>
    <row r="28" spans="2:24" x14ac:dyDescent="0.35">
      <c r="B28" s="40">
        <v>23</v>
      </c>
      <c r="C28" s="40">
        <v>126.01</v>
      </c>
      <c r="D28" s="40" t="e">
        <f>#REF!</f>
        <v>#REF!</v>
      </c>
      <c r="F28" s="40">
        <v>23</v>
      </c>
      <c r="G28" s="40">
        <v>126</v>
      </c>
      <c r="H28" s="40" t="e">
        <f>#REF!</f>
        <v>#REF!</v>
      </c>
      <c r="J28" s="40">
        <v>23</v>
      </c>
      <c r="K28" s="40">
        <v>15.632671999999999</v>
      </c>
      <c r="L28" s="40" t="e">
        <f>#REF!</f>
        <v>#REF!</v>
      </c>
      <c r="N28" s="40">
        <v>23</v>
      </c>
      <c r="O28" s="40">
        <v>177.94366196999999</v>
      </c>
      <c r="P28" s="40" t="e">
        <f>#REF!</f>
        <v>#REF!</v>
      </c>
      <c r="R28" s="40">
        <v>23</v>
      </c>
      <c r="S28" s="40">
        <v>177.95366197000001</v>
      </c>
      <c r="T28" s="40" t="e">
        <f>#REF!</f>
        <v>#REF!</v>
      </c>
      <c r="V28" s="40">
        <v>23</v>
      </c>
      <c r="W28" s="40">
        <v>22.482636620000001</v>
      </c>
      <c r="X28" s="40" t="e">
        <f>#REF!</f>
        <v>#REF!</v>
      </c>
    </row>
    <row r="29" spans="2:24" x14ac:dyDescent="0.35">
      <c r="B29" s="40">
        <v>24</v>
      </c>
      <c r="C29" s="40">
        <v>118.60202905</v>
      </c>
      <c r="D29" s="40" t="e">
        <f>#REF!</f>
        <v>#REF!</v>
      </c>
      <c r="F29" s="40">
        <v>24</v>
      </c>
      <c r="G29" s="40">
        <v>118.59202904999999</v>
      </c>
      <c r="H29" s="40" t="e">
        <f>#REF!</f>
        <v>#REF!</v>
      </c>
      <c r="J29" s="40">
        <v>24</v>
      </c>
      <c r="K29" s="40">
        <v>15.632671999999999</v>
      </c>
      <c r="L29" s="40" t="e">
        <f>#REF!</f>
        <v>#REF!</v>
      </c>
      <c r="N29" s="40">
        <v>24</v>
      </c>
      <c r="O29" s="40">
        <v>167.50990006999999</v>
      </c>
      <c r="P29" s="40" t="e">
        <f>#REF!</f>
        <v>#REF!</v>
      </c>
      <c r="R29" s="40">
        <v>24</v>
      </c>
      <c r="S29" s="40">
        <v>167.51990007000001</v>
      </c>
      <c r="T29" s="40" t="e">
        <f>#REF!</f>
        <v>#REF!</v>
      </c>
      <c r="V29" s="40">
        <v>24</v>
      </c>
      <c r="W29" s="40">
        <v>22.482636620000001</v>
      </c>
      <c r="X29" s="40" t="e">
        <f>#REF!</f>
        <v>#REF!</v>
      </c>
    </row>
    <row r="30" spans="2:24" x14ac:dyDescent="0.35">
      <c r="B30" s="40">
        <v>25</v>
      </c>
      <c r="C30" s="40">
        <v>118.60202905</v>
      </c>
      <c r="D30" s="40" t="e">
        <f>#REF!</f>
        <v>#REF!</v>
      </c>
      <c r="F30" s="40">
        <v>25</v>
      </c>
      <c r="G30" s="40">
        <v>118.59202904999999</v>
      </c>
      <c r="H30" s="40" t="e">
        <f>#REF!</f>
        <v>#REF!</v>
      </c>
      <c r="J30" s="40">
        <v>25</v>
      </c>
      <c r="K30" s="40">
        <v>15.632671999999999</v>
      </c>
      <c r="L30" s="40" t="e">
        <f>#REF!</f>
        <v>#REF!</v>
      </c>
      <c r="N30" s="40">
        <v>25</v>
      </c>
      <c r="O30" s="40">
        <v>167.50990006999999</v>
      </c>
      <c r="P30" s="40" t="e">
        <f>#REF!</f>
        <v>#REF!</v>
      </c>
      <c r="R30" s="40">
        <v>25</v>
      </c>
      <c r="S30" s="40">
        <v>167.51990007000001</v>
      </c>
      <c r="T30" s="40" t="e">
        <f>#REF!</f>
        <v>#REF!</v>
      </c>
      <c r="V30" s="40">
        <v>25</v>
      </c>
      <c r="W30" s="40">
        <v>22.482636620000001</v>
      </c>
      <c r="X30" s="40" t="e">
        <f>#REF!</f>
        <v>#REF!</v>
      </c>
    </row>
    <row r="31" spans="2:24" x14ac:dyDescent="0.35">
      <c r="B31" s="40">
        <v>26</v>
      </c>
      <c r="C31" s="40">
        <v>118.60202905</v>
      </c>
      <c r="D31" s="40" t="e">
        <f>#REF!</f>
        <v>#REF!</v>
      </c>
      <c r="F31" s="40">
        <v>26</v>
      </c>
      <c r="G31" s="40">
        <v>118.59202904999999</v>
      </c>
      <c r="H31" s="40" t="e">
        <f>#REF!</f>
        <v>#REF!</v>
      </c>
      <c r="J31" s="40">
        <v>26</v>
      </c>
      <c r="K31" s="40">
        <v>15.632671999999999</v>
      </c>
      <c r="L31" s="40" t="e">
        <f>#REF!</f>
        <v>#REF!</v>
      </c>
      <c r="N31" s="40">
        <v>26</v>
      </c>
      <c r="O31" s="40">
        <v>167.50990006999999</v>
      </c>
      <c r="P31" s="40" t="e">
        <f>#REF!</f>
        <v>#REF!</v>
      </c>
      <c r="R31" s="40">
        <v>26</v>
      </c>
      <c r="S31" s="40">
        <v>167.51990007000001</v>
      </c>
      <c r="T31" s="40" t="e">
        <f>#REF!</f>
        <v>#REF!</v>
      </c>
      <c r="V31" s="40">
        <v>26</v>
      </c>
      <c r="W31" s="40">
        <v>22.482636620000001</v>
      </c>
      <c r="X31" s="40" t="e">
        <f>#REF!</f>
        <v>#REF!</v>
      </c>
    </row>
    <row r="32" spans="2:24" x14ac:dyDescent="0.35">
      <c r="B32" s="40">
        <v>27</v>
      </c>
      <c r="C32" s="40">
        <v>118.60202905</v>
      </c>
      <c r="D32" s="40" t="e">
        <f>#REF!</f>
        <v>#REF!</v>
      </c>
      <c r="F32" s="40">
        <v>27</v>
      </c>
      <c r="G32" s="40">
        <v>118.59202904999999</v>
      </c>
      <c r="H32" s="40" t="e">
        <f>#REF!</f>
        <v>#REF!</v>
      </c>
      <c r="J32" s="40">
        <v>27</v>
      </c>
      <c r="K32" s="40">
        <v>15.632671999999999</v>
      </c>
      <c r="L32" s="40" t="e">
        <f>#REF!</f>
        <v>#REF!</v>
      </c>
      <c r="N32" s="40">
        <v>27</v>
      </c>
      <c r="O32" s="40">
        <v>167.50990006999999</v>
      </c>
      <c r="P32" s="40" t="e">
        <f>#REF!</f>
        <v>#REF!</v>
      </c>
      <c r="R32" s="40">
        <v>27</v>
      </c>
      <c r="S32" s="40">
        <v>167.51990007000001</v>
      </c>
      <c r="T32" s="40" t="e">
        <f>#REF!</f>
        <v>#REF!</v>
      </c>
      <c r="V32" s="40">
        <v>27</v>
      </c>
      <c r="W32" s="40">
        <v>22.482636620000001</v>
      </c>
      <c r="X32" s="40" t="e">
        <f>#REF!</f>
        <v>#REF!</v>
      </c>
    </row>
    <row r="33" spans="2:24" x14ac:dyDescent="0.35">
      <c r="B33" s="40">
        <v>28</v>
      </c>
      <c r="C33" s="40">
        <v>126.01056250000001</v>
      </c>
      <c r="D33" s="40" t="e">
        <f>#REF!</f>
        <v>#REF!</v>
      </c>
      <c r="F33" s="40">
        <v>28</v>
      </c>
      <c r="G33" s="40">
        <v>126.0005625</v>
      </c>
      <c r="H33" s="40" t="e">
        <f>#REF!</f>
        <v>#REF!</v>
      </c>
      <c r="J33" s="40">
        <v>28</v>
      </c>
      <c r="K33" s="40">
        <v>15.632671999999999</v>
      </c>
      <c r="L33" s="40" t="e">
        <f>#REF!</f>
        <v>#REF!</v>
      </c>
      <c r="N33" s="40">
        <v>28</v>
      </c>
      <c r="O33" s="40">
        <v>177.94445422999999</v>
      </c>
      <c r="P33" s="40" t="e">
        <f>#REF!</f>
        <v>#REF!</v>
      </c>
      <c r="R33" s="40">
        <v>28</v>
      </c>
      <c r="S33" s="40">
        <v>177.95445423000001</v>
      </c>
      <c r="T33" s="40" t="e">
        <f>#REF!</f>
        <v>#REF!</v>
      </c>
      <c r="V33" s="40">
        <v>28</v>
      </c>
      <c r="W33" s="40">
        <v>22.482636620000001</v>
      </c>
      <c r="X33" s="40" t="e">
        <f>#REF!</f>
        <v>#REF!</v>
      </c>
    </row>
    <row r="34" spans="2:24" x14ac:dyDescent="0.35">
      <c r="B34" s="40">
        <v>29</v>
      </c>
      <c r="C34" s="40">
        <v>128.9143794</v>
      </c>
      <c r="D34" s="40" t="e">
        <f>#REF!</f>
        <v>#REF!</v>
      </c>
      <c r="F34" s="40">
        <v>29</v>
      </c>
      <c r="G34" s="40">
        <v>128.90437940000001</v>
      </c>
      <c r="H34" s="40" t="e">
        <f>#REF!</f>
        <v>#REF!</v>
      </c>
      <c r="J34" s="40">
        <v>29</v>
      </c>
      <c r="K34" s="40">
        <v>15.632671999999999</v>
      </c>
      <c r="L34" s="40" t="e">
        <f>#REF!</f>
        <v>#REF!</v>
      </c>
      <c r="N34" s="40">
        <v>29</v>
      </c>
      <c r="O34" s="40">
        <v>182.03433719</v>
      </c>
      <c r="P34" s="40" t="e">
        <f>#REF!</f>
        <v>#REF!</v>
      </c>
      <c r="R34" s="40">
        <v>29</v>
      </c>
      <c r="S34" s="40">
        <v>182.04433718999999</v>
      </c>
      <c r="T34" s="40" t="e">
        <f>#REF!</f>
        <v>#REF!</v>
      </c>
      <c r="V34" s="40">
        <v>29</v>
      </c>
      <c r="W34" s="40">
        <v>22.482636620000001</v>
      </c>
      <c r="X34" s="40" t="e">
        <f>#REF!</f>
        <v>#REF!</v>
      </c>
    </row>
    <row r="35" spans="2:24" x14ac:dyDescent="0.35">
      <c r="B35" s="40">
        <v>30</v>
      </c>
      <c r="C35" s="40">
        <v>128.9143794</v>
      </c>
      <c r="D35" s="40" t="e">
        <f>#REF!</f>
        <v>#REF!</v>
      </c>
      <c r="F35" s="40">
        <v>30</v>
      </c>
      <c r="G35" s="40">
        <v>128.90437940000001</v>
      </c>
      <c r="H35" s="40" t="e">
        <f>#REF!</f>
        <v>#REF!</v>
      </c>
      <c r="J35" s="40">
        <v>30</v>
      </c>
      <c r="K35" s="40">
        <v>15.632671999999999</v>
      </c>
      <c r="L35" s="40" t="e">
        <f>#REF!</f>
        <v>#REF!</v>
      </c>
      <c r="N35" s="40">
        <v>30</v>
      </c>
      <c r="O35" s="40">
        <v>182.03433719</v>
      </c>
      <c r="P35" s="40" t="e">
        <f>#REF!</f>
        <v>#REF!</v>
      </c>
      <c r="R35" s="40">
        <v>30</v>
      </c>
      <c r="S35" s="40">
        <v>182.04433718999999</v>
      </c>
      <c r="T35" s="40" t="e">
        <f>#REF!</f>
        <v>#REF!</v>
      </c>
      <c r="V35" s="40">
        <v>30</v>
      </c>
      <c r="W35" s="40">
        <v>22.482636620000001</v>
      </c>
      <c r="X35" s="40" t="e">
        <f>#REF!</f>
        <v>#REF!</v>
      </c>
    </row>
    <row r="36" spans="2:24" x14ac:dyDescent="0.35">
      <c r="B36" s="40">
        <v>31</v>
      </c>
      <c r="C36" s="40">
        <v>128.9143794</v>
      </c>
      <c r="D36" s="40" t="e">
        <f>#REF!</f>
        <v>#REF!</v>
      </c>
      <c r="F36" s="40">
        <v>31</v>
      </c>
      <c r="G36" s="40">
        <v>128.90437940000001</v>
      </c>
      <c r="H36" s="40" t="e">
        <f>#REF!</f>
        <v>#REF!</v>
      </c>
      <c r="J36" s="40">
        <v>31</v>
      </c>
      <c r="K36" s="40">
        <v>15.632671999999999</v>
      </c>
      <c r="L36" s="40" t="e">
        <f>#REF!</f>
        <v>#REF!</v>
      </c>
      <c r="N36" s="40">
        <v>31</v>
      </c>
      <c r="O36" s="40">
        <v>182.03433719</v>
      </c>
      <c r="P36" s="40" t="e">
        <f>#REF!</f>
        <v>#REF!</v>
      </c>
      <c r="R36" s="40">
        <v>31</v>
      </c>
      <c r="S36" s="40">
        <v>182.04433718999999</v>
      </c>
      <c r="T36" s="40" t="e">
        <f>#REF!</f>
        <v>#REF!</v>
      </c>
      <c r="V36" s="40">
        <v>31</v>
      </c>
      <c r="W36" s="40">
        <v>22.482636620000001</v>
      </c>
      <c r="X36" s="40" t="e">
        <f>#REF!</f>
        <v>#REF!</v>
      </c>
    </row>
    <row r="37" spans="2:24" x14ac:dyDescent="0.35">
      <c r="B37" s="40">
        <v>32</v>
      </c>
      <c r="C37" s="40">
        <v>128.9143794</v>
      </c>
      <c r="D37" s="40" t="e">
        <f>#REF!</f>
        <v>#REF!</v>
      </c>
      <c r="F37" s="40">
        <v>32</v>
      </c>
      <c r="G37" s="40">
        <v>128.90437940000001</v>
      </c>
      <c r="H37" s="40" t="e">
        <f>#REF!</f>
        <v>#REF!</v>
      </c>
      <c r="J37" s="40">
        <v>32</v>
      </c>
      <c r="K37" s="40">
        <v>15.632671999999999</v>
      </c>
      <c r="L37" s="40" t="e">
        <f>#REF!</f>
        <v>#REF!</v>
      </c>
      <c r="N37" s="40">
        <v>32</v>
      </c>
      <c r="O37" s="40">
        <v>182.03433719</v>
      </c>
      <c r="P37" s="40" t="e">
        <f>#REF!</f>
        <v>#REF!</v>
      </c>
      <c r="R37" s="40">
        <v>32</v>
      </c>
      <c r="S37" s="40">
        <v>502.87855605999999</v>
      </c>
      <c r="T37" s="40" t="e">
        <f>#REF!</f>
        <v>#REF!</v>
      </c>
      <c r="V37" s="40">
        <v>32</v>
      </c>
      <c r="W37" s="40">
        <v>22.482636620000001</v>
      </c>
      <c r="X37" s="40" t="e">
        <f>#REF!</f>
        <v>#REF!</v>
      </c>
    </row>
    <row r="38" spans="2:24" x14ac:dyDescent="0.35">
      <c r="B38" s="40">
        <v>33</v>
      </c>
      <c r="C38" s="40">
        <v>128.9143794</v>
      </c>
      <c r="D38" s="40" t="e">
        <f>#REF!</f>
        <v>#REF!</v>
      </c>
      <c r="F38" s="40">
        <v>33</v>
      </c>
      <c r="G38" s="40">
        <v>128.90437940000001</v>
      </c>
      <c r="H38" s="40" t="e">
        <f>#REF!</f>
        <v>#REF!</v>
      </c>
      <c r="J38" s="40">
        <v>33</v>
      </c>
      <c r="K38" s="40">
        <v>15.632671999999999</v>
      </c>
      <c r="L38" s="40" t="e">
        <f>#REF!</f>
        <v>#REF!</v>
      </c>
      <c r="N38" s="40">
        <v>33</v>
      </c>
      <c r="O38" s="40">
        <v>182.03433719</v>
      </c>
      <c r="P38" s="40" t="e">
        <f>#REF!</f>
        <v>#REF!</v>
      </c>
      <c r="R38" s="40">
        <v>33</v>
      </c>
      <c r="S38" s="40">
        <v>0.46478872999999998</v>
      </c>
      <c r="T38" s="40" t="e">
        <f>#REF!</f>
        <v>#REF!</v>
      </c>
      <c r="V38" s="40">
        <v>33</v>
      </c>
      <c r="W38" s="40">
        <v>22.482636620000001</v>
      </c>
      <c r="X38" s="40" t="e">
        <f>#REF!</f>
        <v>#REF!</v>
      </c>
    </row>
    <row r="39" spans="2:24" x14ac:dyDescent="0.35">
      <c r="B39" s="40">
        <v>34</v>
      </c>
      <c r="C39" s="40">
        <v>51.997</v>
      </c>
      <c r="D39" s="40" t="e">
        <f>#REF!</f>
        <v>#REF!</v>
      </c>
      <c r="F39" s="40">
        <v>34</v>
      </c>
      <c r="G39" s="40">
        <v>51.987000000000002</v>
      </c>
      <c r="H39" s="40" t="e">
        <f>#REF!</f>
        <v>#REF!</v>
      </c>
      <c r="J39" s="40">
        <v>34</v>
      </c>
      <c r="K39" s="40">
        <v>15.632671999999999</v>
      </c>
      <c r="L39" s="40" t="e">
        <f>#REF!</f>
        <v>#REF!</v>
      </c>
      <c r="N39" s="40">
        <v>34</v>
      </c>
      <c r="O39" s="40">
        <v>73.7</v>
      </c>
      <c r="P39" s="40" t="e">
        <f>#REF!</f>
        <v>#REF!</v>
      </c>
      <c r="R39" s="40">
        <v>34</v>
      </c>
      <c r="S39" s="40">
        <v>0.46478872999999998</v>
      </c>
      <c r="T39" s="40" t="e">
        <f>#REF!</f>
        <v>#REF!</v>
      </c>
      <c r="V39" s="40">
        <v>34</v>
      </c>
      <c r="W39" s="40">
        <v>22.482636620000001</v>
      </c>
      <c r="X39" s="40" t="e">
        <f>#REF!</f>
        <v>#REF!</v>
      </c>
    </row>
    <row r="40" spans="2:24" x14ac:dyDescent="0.35">
      <c r="B40" s="40">
        <v>35</v>
      </c>
      <c r="C40" s="40">
        <v>15.642671999999999</v>
      </c>
      <c r="D40" s="40" t="e">
        <f>#REF!</f>
        <v>#REF!</v>
      </c>
      <c r="F40" s="40">
        <v>35</v>
      </c>
      <c r="G40" s="40">
        <v>15.632671999999999</v>
      </c>
      <c r="H40" s="40" t="e">
        <f>#REF!</f>
        <v>#REF!</v>
      </c>
      <c r="J40" s="40">
        <v>35</v>
      </c>
      <c r="K40" s="40">
        <v>15.632671999999999</v>
      </c>
      <c r="L40" s="40" t="e">
        <f>#REF!</f>
        <v>#REF!</v>
      </c>
      <c r="N40" s="40">
        <v>35</v>
      </c>
      <c r="O40" s="40">
        <v>22.496721130000001</v>
      </c>
      <c r="P40" s="40" t="e">
        <f>#REF!</f>
        <v>#REF!</v>
      </c>
      <c r="R40" s="40">
        <v>35</v>
      </c>
      <c r="S40" s="40">
        <v>0.46478872999999998</v>
      </c>
      <c r="T40" s="40" t="e">
        <f>#REF!</f>
        <v>#REF!</v>
      </c>
      <c r="V40" s="40">
        <v>35</v>
      </c>
      <c r="W40" s="40">
        <v>22.482636620000001</v>
      </c>
      <c r="X40" s="40" t="e">
        <f>#REF!</f>
        <v>#REF!</v>
      </c>
    </row>
    <row r="41" spans="2:24" x14ac:dyDescent="0.35">
      <c r="B41" s="40">
        <v>36</v>
      </c>
      <c r="C41" s="40">
        <v>15.642671999999999</v>
      </c>
      <c r="D41" s="40" t="e">
        <f>#REF!</f>
        <v>#REF!</v>
      </c>
      <c r="F41" s="40">
        <v>36</v>
      </c>
      <c r="G41" s="40">
        <v>15.632671999999999</v>
      </c>
      <c r="H41" s="40" t="e">
        <f>#REF!</f>
        <v>#REF!</v>
      </c>
      <c r="J41" s="40">
        <v>36</v>
      </c>
      <c r="K41" s="40">
        <v>15.632671999999999</v>
      </c>
      <c r="L41" s="40" t="e">
        <f>#REF!</f>
        <v>#REF!</v>
      </c>
      <c r="N41" s="40">
        <v>36</v>
      </c>
      <c r="O41" s="40">
        <v>22.468552110000001</v>
      </c>
      <c r="P41" s="40" t="e">
        <f>#REF!</f>
        <v>#REF!</v>
      </c>
      <c r="R41" s="40">
        <v>36</v>
      </c>
      <c r="S41" s="40">
        <v>0.46478872999999998</v>
      </c>
      <c r="T41" s="40" t="e">
        <f>#REF!</f>
        <v>#REF!</v>
      </c>
      <c r="V41" s="40">
        <v>36</v>
      </c>
      <c r="W41" s="40">
        <v>22.468552110000001</v>
      </c>
      <c r="X41" s="40" t="e">
        <f>#REF!</f>
        <v>#REF!</v>
      </c>
    </row>
    <row r="42" spans="2:24" x14ac:dyDescent="0.35">
      <c r="B42" s="40">
        <v>37</v>
      </c>
      <c r="C42" s="40">
        <v>15.642671999999999</v>
      </c>
      <c r="D42" s="40" t="e">
        <f>#REF!</f>
        <v>#REF!</v>
      </c>
      <c r="F42" s="40">
        <v>37</v>
      </c>
      <c r="G42" s="40">
        <v>15.632671999999999</v>
      </c>
      <c r="H42" s="40" t="e">
        <f>#REF!</f>
        <v>#REF!</v>
      </c>
      <c r="J42" s="40">
        <v>37</v>
      </c>
      <c r="K42" s="40">
        <v>15.632671999999999</v>
      </c>
      <c r="L42" s="40" t="e">
        <f>#REF!</f>
        <v>#REF!</v>
      </c>
      <c r="N42" s="40">
        <v>37</v>
      </c>
      <c r="O42" s="40">
        <v>22.468552110000001</v>
      </c>
      <c r="P42" s="40" t="e">
        <f>#REF!</f>
        <v>#REF!</v>
      </c>
      <c r="R42" s="40">
        <v>37</v>
      </c>
      <c r="S42" s="40">
        <v>0.46478872999999998</v>
      </c>
      <c r="T42" s="40" t="e">
        <f>#REF!</f>
        <v>#REF!</v>
      </c>
      <c r="V42" s="40">
        <v>37</v>
      </c>
      <c r="W42" s="40">
        <v>22.478552109999999</v>
      </c>
      <c r="X42" s="40" t="e">
        <f>#REF!</f>
        <v>#REF!</v>
      </c>
    </row>
    <row r="43" spans="2:24" x14ac:dyDescent="0.35">
      <c r="B43" s="40">
        <v>38</v>
      </c>
      <c r="C43" s="40">
        <v>15.642671999999999</v>
      </c>
      <c r="D43" s="40" t="e">
        <f>#REF!</f>
        <v>#REF!</v>
      </c>
      <c r="F43" s="40">
        <v>38</v>
      </c>
      <c r="G43" s="40">
        <v>15.632671999999999</v>
      </c>
      <c r="H43" s="40" t="e">
        <f>#REF!</f>
        <v>#REF!</v>
      </c>
      <c r="J43" s="40">
        <v>38</v>
      </c>
      <c r="K43" s="40">
        <v>15.632671999999999</v>
      </c>
      <c r="L43" s="40" t="e">
        <f>#REF!</f>
        <v>#REF!</v>
      </c>
      <c r="N43" s="40">
        <v>38</v>
      </c>
      <c r="O43" s="40">
        <v>22.468552110000001</v>
      </c>
      <c r="P43" s="40" t="e">
        <f>#REF!</f>
        <v>#REF!</v>
      </c>
      <c r="R43" s="40">
        <v>38</v>
      </c>
      <c r="S43" s="40">
        <v>0.46478872999999998</v>
      </c>
      <c r="T43" s="40" t="e">
        <f>#REF!</f>
        <v>#REF!</v>
      </c>
      <c r="V43" s="40">
        <v>38</v>
      </c>
      <c r="W43" s="40">
        <v>22.478552109999999</v>
      </c>
      <c r="X43" s="40" t="e">
        <f>#REF!</f>
        <v>#REF!</v>
      </c>
    </row>
    <row r="44" spans="2:24" x14ac:dyDescent="0.35">
      <c r="B44" s="40">
        <v>39</v>
      </c>
      <c r="C44" s="40">
        <v>15.642671999999999</v>
      </c>
      <c r="D44" s="40" t="e">
        <f>#REF!</f>
        <v>#REF!</v>
      </c>
      <c r="F44" s="40">
        <v>39</v>
      </c>
      <c r="G44" s="40">
        <v>15.632671999999999</v>
      </c>
      <c r="H44" s="40" t="e">
        <f>#REF!</f>
        <v>#REF!</v>
      </c>
      <c r="J44" s="40">
        <v>39</v>
      </c>
      <c r="K44" s="40">
        <v>15.632671999999999</v>
      </c>
      <c r="L44" s="40" t="e">
        <f>#REF!</f>
        <v>#REF!</v>
      </c>
      <c r="N44" s="40">
        <v>39</v>
      </c>
      <c r="O44" s="40">
        <v>22.468552110000001</v>
      </c>
      <c r="P44" s="40" t="e">
        <f>#REF!</f>
        <v>#REF!</v>
      </c>
      <c r="R44" s="40">
        <v>39</v>
      </c>
      <c r="S44" s="40">
        <v>0.46478872999999998</v>
      </c>
      <c r="T44" s="40" t="e">
        <f>#REF!</f>
        <v>#REF!</v>
      </c>
      <c r="V44" s="40">
        <v>39</v>
      </c>
      <c r="W44" s="40">
        <v>22.478552109999999</v>
      </c>
      <c r="X44" s="40" t="e">
        <f>#REF!</f>
        <v>#REF!</v>
      </c>
    </row>
    <row r="45" spans="2:24" x14ac:dyDescent="0.35">
      <c r="B45" s="40">
        <v>40</v>
      </c>
      <c r="C45" s="40">
        <v>96.685784549999994</v>
      </c>
      <c r="D45" s="40" t="e">
        <f>#REF!</f>
        <v>#REF!</v>
      </c>
      <c r="F45" s="40">
        <v>40</v>
      </c>
      <c r="G45" s="40">
        <v>96.675784550000003</v>
      </c>
      <c r="H45" s="40" t="e">
        <f>#REF!</f>
        <v>#REF!</v>
      </c>
      <c r="J45" s="40">
        <v>40</v>
      </c>
      <c r="K45" s="40">
        <v>15.632671999999999</v>
      </c>
      <c r="L45" s="40" t="e">
        <f>#REF!</f>
        <v>#REF!</v>
      </c>
      <c r="N45" s="40">
        <v>40</v>
      </c>
      <c r="O45" s="40">
        <v>136.64195007000001</v>
      </c>
      <c r="P45" s="40" t="e">
        <f>#REF!</f>
        <v>#REF!</v>
      </c>
      <c r="R45" s="40">
        <v>40</v>
      </c>
      <c r="S45" s="40">
        <v>0.46478872999999998</v>
      </c>
      <c r="T45" s="40" t="e">
        <f>#REF!</f>
        <v>#REF!</v>
      </c>
      <c r="V45" s="40">
        <v>40</v>
      </c>
      <c r="W45" s="40">
        <v>22.482636620000001</v>
      </c>
      <c r="X45" s="40" t="e">
        <f>#REF!</f>
        <v>#REF!</v>
      </c>
    </row>
    <row r="46" spans="2:24" x14ac:dyDescent="0.35">
      <c r="B46" s="40">
        <v>41</v>
      </c>
      <c r="C46" s="40">
        <v>156.53247099999999</v>
      </c>
      <c r="D46" s="40" t="e">
        <f>#REF!</f>
        <v>#REF!</v>
      </c>
      <c r="F46" s="40">
        <v>41</v>
      </c>
      <c r="G46" s="40">
        <v>156.522471</v>
      </c>
      <c r="H46" s="40" t="e">
        <f>#REF!</f>
        <v>#REF!</v>
      </c>
      <c r="J46" s="40">
        <v>41</v>
      </c>
      <c r="K46" s="40">
        <v>15.632671999999999</v>
      </c>
      <c r="L46" s="40" t="e">
        <f>#REF!</f>
        <v>#REF!</v>
      </c>
      <c r="N46" s="40">
        <v>41</v>
      </c>
      <c r="O46" s="40">
        <v>220.93305774999999</v>
      </c>
      <c r="P46" s="40" t="e">
        <f>#REF!</f>
        <v>#REF!</v>
      </c>
      <c r="R46" s="40">
        <v>41</v>
      </c>
      <c r="S46" s="40">
        <v>0.46478872999999998</v>
      </c>
      <c r="T46" s="40" t="e">
        <f>#REF!</f>
        <v>#REF!</v>
      </c>
      <c r="V46" s="40">
        <v>41</v>
      </c>
      <c r="W46" s="40">
        <v>22.482636620000001</v>
      </c>
      <c r="X46" s="40" t="e">
        <f>#REF!</f>
        <v>#REF!</v>
      </c>
    </row>
    <row r="47" spans="2:24" x14ac:dyDescent="0.35">
      <c r="B47" s="40">
        <v>42</v>
      </c>
      <c r="C47" s="40">
        <v>156.53247099999999</v>
      </c>
      <c r="D47" s="40" t="e">
        <f>#REF!</f>
        <v>#REF!</v>
      </c>
      <c r="F47" s="40">
        <v>42</v>
      </c>
      <c r="G47" s="40">
        <v>156.522471</v>
      </c>
      <c r="H47" s="40" t="e">
        <f>#REF!</f>
        <v>#REF!</v>
      </c>
      <c r="J47" s="40">
        <v>42</v>
      </c>
      <c r="K47" s="40">
        <v>15.632671999999999</v>
      </c>
      <c r="L47" s="40" t="e">
        <f>#REF!</f>
        <v>#REF!</v>
      </c>
      <c r="N47" s="40">
        <v>42</v>
      </c>
      <c r="O47" s="40">
        <v>220.93305774999999</v>
      </c>
      <c r="P47" s="40" t="e">
        <f>#REF!</f>
        <v>#REF!</v>
      </c>
      <c r="R47" s="40">
        <v>42</v>
      </c>
      <c r="S47" s="40">
        <v>621.57601485999999</v>
      </c>
      <c r="T47" s="40" t="e">
        <f>#REF!</f>
        <v>#REF!</v>
      </c>
      <c r="V47" s="40">
        <v>42</v>
      </c>
      <c r="W47" s="40">
        <v>22.482636620000001</v>
      </c>
      <c r="X47" s="40" t="e">
        <f>#REF!</f>
        <v>#REF!</v>
      </c>
    </row>
    <row r="48" spans="2:24" x14ac:dyDescent="0.35">
      <c r="B48" s="40">
        <v>43</v>
      </c>
      <c r="C48" s="40">
        <v>156.53247099999999</v>
      </c>
      <c r="D48" s="40" t="e">
        <f>#REF!</f>
        <v>#REF!</v>
      </c>
      <c r="F48" s="40">
        <v>43</v>
      </c>
      <c r="G48" s="40">
        <v>156.522471</v>
      </c>
      <c r="H48" s="40" t="e">
        <f>#REF!</f>
        <v>#REF!</v>
      </c>
      <c r="J48" s="40">
        <v>43</v>
      </c>
      <c r="K48" s="40">
        <v>15.632671999999999</v>
      </c>
      <c r="L48" s="40" t="e">
        <f>#REF!</f>
        <v>#REF!</v>
      </c>
      <c r="N48" s="40">
        <v>43</v>
      </c>
      <c r="O48" s="40">
        <v>220.93305774999999</v>
      </c>
      <c r="P48" s="40" t="e">
        <f>#REF!</f>
        <v>#REF!</v>
      </c>
      <c r="R48" s="40">
        <v>43</v>
      </c>
      <c r="S48" s="40">
        <v>220.94305775000001</v>
      </c>
      <c r="T48" s="40" t="e">
        <f>#REF!</f>
        <v>#REF!</v>
      </c>
      <c r="V48" s="40">
        <v>43</v>
      </c>
      <c r="W48" s="40">
        <v>22.482636620000001</v>
      </c>
      <c r="X48" s="40" t="e">
        <f>#REF!</f>
        <v>#REF!</v>
      </c>
    </row>
    <row r="49" spans="2:24" x14ac:dyDescent="0.35">
      <c r="B49" s="40">
        <v>44</v>
      </c>
      <c r="C49" s="40">
        <v>156.53247099999999</v>
      </c>
      <c r="D49" s="40" t="e">
        <f>#REF!</f>
        <v>#REF!</v>
      </c>
      <c r="F49" s="40">
        <v>44</v>
      </c>
      <c r="G49" s="40">
        <v>156.522471</v>
      </c>
      <c r="H49" s="40" t="e">
        <f>#REF!</f>
        <v>#REF!</v>
      </c>
      <c r="J49" s="40">
        <v>44</v>
      </c>
      <c r="K49" s="40">
        <v>15.632671999999999</v>
      </c>
      <c r="L49" s="40" t="e">
        <f>#REF!</f>
        <v>#REF!</v>
      </c>
      <c r="N49" s="40">
        <v>44</v>
      </c>
      <c r="O49" s="40">
        <v>220.8725215</v>
      </c>
      <c r="P49" s="40" t="e">
        <f>#REF!</f>
        <v>#REF!</v>
      </c>
      <c r="R49" s="40">
        <v>44</v>
      </c>
      <c r="S49" s="40">
        <v>220.8825215</v>
      </c>
      <c r="T49" s="40" t="e">
        <f>#REF!</f>
        <v>#REF!</v>
      </c>
      <c r="V49" s="40">
        <v>44</v>
      </c>
      <c r="W49" s="40">
        <v>22.482636620000001</v>
      </c>
      <c r="X49" s="40" t="e">
        <f>#REF!</f>
        <v>#REF!</v>
      </c>
    </row>
    <row r="50" spans="2:24" x14ac:dyDescent="0.35">
      <c r="B50" s="40">
        <v>45</v>
      </c>
      <c r="C50" s="40">
        <v>156.53247099999999</v>
      </c>
      <c r="D50" s="40" t="e">
        <f>#REF!</f>
        <v>#REF!</v>
      </c>
      <c r="F50" s="40">
        <v>45</v>
      </c>
      <c r="G50" s="40">
        <v>156.522471</v>
      </c>
      <c r="H50" s="40" t="e">
        <f>#REF!</f>
        <v>#REF!</v>
      </c>
      <c r="J50" s="40">
        <v>45</v>
      </c>
      <c r="K50" s="40">
        <v>15.632671999999999</v>
      </c>
      <c r="L50" s="40" t="e">
        <f>#REF!</f>
        <v>#REF!</v>
      </c>
      <c r="N50" s="40">
        <v>45</v>
      </c>
      <c r="O50" s="40">
        <v>173.77873238999999</v>
      </c>
      <c r="P50" s="40" t="e">
        <f>#REF!</f>
        <v>#REF!</v>
      </c>
      <c r="R50" s="40">
        <v>45</v>
      </c>
      <c r="S50" s="40">
        <v>173.78873239000001</v>
      </c>
      <c r="T50" s="40" t="e">
        <f>#REF!</f>
        <v>#REF!</v>
      </c>
      <c r="V50" s="40">
        <v>45</v>
      </c>
      <c r="W50" s="40">
        <v>22.482636620000001</v>
      </c>
      <c r="X50" s="40" t="e">
        <f>#REF!</f>
        <v>#REF!</v>
      </c>
    </row>
    <row r="51" spans="2:24" x14ac:dyDescent="0.35">
      <c r="B51" s="40">
        <v>46</v>
      </c>
      <c r="C51" s="40">
        <v>156.53247099999999</v>
      </c>
      <c r="D51" s="40" t="e">
        <f>#REF!</f>
        <v>#REF!</v>
      </c>
      <c r="F51" s="40">
        <v>46</v>
      </c>
      <c r="G51" s="40">
        <v>156.522471</v>
      </c>
      <c r="H51" s="40" t="e">
        <f>#REF!</f>
        <v>#REF!</v>
      </c>
      <c r="J51" s="40">
        <v>46</v>
      </c>
      <c r="K51" s="40">
        <v>15.632671999999999</v>
      </c>
      <c r="L51" s="40" t="e">
        <f>#REF!</f>
        <v>#REF!</v>
      </c>
      <c r="N51" s="40">
        <v>46</v>
      </c>
      <c r="O51" s="40">
        <v>173.77873238999999</v>
      </c>
      <c r="P51" s="40" t="e">
        <f>#REF!</f>
        <v>#REF!</v>
      </c>
      <c r="R51" s="40">
        <v>46</v>
      </c>
      <c r="S51" s="40">
        <v>173.78873239000001</v>
      </c>
      <c r="T51" s="40" t="e">
        <f>#REF!</f>
        <v>#REF!</v>
      </c>
      <c r="V51" s="40">
        <v>46</v>
      </c>
      <c r="W51" s="40">
        <v>22.482636620000001</v>
      </c>
      <c r="X51" s="40" t="e">
        <f>#REF!</f>
        <v>#REF!</v>
      </c>
    </row>
    <row r="52" spans="2:24" x14ac:dyDescent="0.35">
      <c r="B52" s="40">
        <v>47</v>
      </c>
      <c r="C52" s="40">
        <v>156.53247099999999</v>
      </c>
      <c r="D52" s="40" t="e">
        <f>#REF!</f>
        <v>#REF!</v>
      </c>
      <c r="F52" s="40">
        <v>47</v>
      </c>
      <c r="G52" s="40">
        <v>156.522471</v>
      </c>
      <c r="H52" s="40" t="e">
        <f>#REF!</f>
        <v>#REF!</v>
      </c>
      <c r="J52" s="40">
        <v>47</v>
      </c>
      <c r="K52" s="40">
        <v>15.632671999999999</v>
      </c>
      <c r="L52" s="40" t="e">
        <f>#REF!</f>
        <v>#REF!</v>
      </c>
      <c r="N52" s="40">
        <v>47</v>
      </c>
      <c r="O52" s="40">
        <v>173.77873238999999</v>
      </c>
      <c r="P52" s="40" t="e">
        <f>#REF!</f>
        <v>#REF!</v>
      </c>
      <c r="R52" s="40">
        <v>47</v>
      </c>
      <c r="S52" s="40">
        <v>173.78873239000001</v>
      </c>
      <c r="T52" s="40" t="e">
        <f>#REF!</f>
        <v>#REF!</v>
      </c>
      <c r="V52" s="40">
        <v>47</v>
      </c>
      <c r="W52" s="40">
        <v>22.482636620000001</v>
      </c>
      <c r="X52" s="40" t="e">
        <f>#REF!</f>
        <v>#REF!</v>
      </c>
    </row>
    <row r="53" spans="2:24" x14ac:dyDescent="0.35">
      <c r="B53" s="40">
        <v>48</v>
      </c>
      <c r="C53" s="40">
        <v>156.53247099999999</v>
      </c>
      <c r="D53" s="40" t="e">
        <f>#REF!</f>
        <v>#REF!</v>
      </c>
      <c r="F53" s="40">
        <v>48</v>
      </c>
      <c r="G53" s="40">
        <v>156.522471</v>
      </c>
      <c r="H53" s="40" t="e">
        <f>#REF!</f>
        <v>#REF!</v>
      </c>
      <c r="J53" s="40">
        <v>48</v>
      </c>
      <c r="K53" s="40">
        <v>15.632671999999999</v>
      </c>
      <c r="L53" s="40" t="e">
        <f>#REF!</f>
        <v>#REF!</v>
      </c>
      <c r="N53" s="40">
        <v>48</v>
      </c>
      <c r="O53" s="40">
        <v>173.77464789000001</v>
      </c>
      <c r="P53" s="40" t="e">
        <f>#REF!</f>
        <v>#REF!</v>
      </c>
      <c r="R53" s="40">
        <v>48</v>
      </c>
      <c r="S53" s="40">
        <v>173.78464789</v>
      </c>
      <c r="T53" s="40" t="e">
        <f>#REF!</f>
        <v>#REF!</v>
      </c>
      <c r="V53" s="40">
        <v>48</v>
      </c>
      <c r="W53" s="40">
        <v>22.482636620000001</v>
      </c>
      <c r="X53" s="40" t="e">
        <f>#REF!</f>
        <v>#REF!</v>
      </c>
    </row>
    <row r="54" spans="2:24" x14ac:dyDescent="0.35">
      <c r="B54" s="40">
        <v>49</v>
      </c>
      <c r="C54" s="40">
        <v>140.25309401999999</v>
      </c>
      <c r="D54" s="40" t="e">
        <f>#REF!</f>
        <v>#REF!</v>
      </c>
      <c r="F54" s="40">
        <v>49</v>
      </c>
      <c r="G54" s="40">
        <v>126</v>
      </c>
      <c r="H54" s="40" t="e">
        <f>#REF!</f>
        <v>#REF!</v>
      </c>
      <c r="J54" s="40">
        <v>49</v>
      </c>
      <c r="K54" s="40">
        <v>15.632671999999999</v>
      </c>
      <c r="L54" s="40" t="e">
        <f>#REF!</f>
        <v>#REF!</v>
      </c>
      <c r="N54" s="40">
        <v>49</v>
      </c>
      <c r="O54" s="40">
        <v>173.77464789000001</v>
      </c>
      <c r="P54" s="40" t="e">
        <f>#REF!</f>
        <v>#REF!</v>
      </c>
      <c r="R54" s="40">
        <v>49</v>
      </c>
      <c r="S54" s="40">
        <v>173.78464789</v>
      </c>
      <c r="T54" s="40" t="e">
        <f>#REF!</f>
        <v>#REF!</v>
      </c>
      <c r="V54" s="40">
        <v>49</v>
      </c>
      <c r="W54" s="40">
        <v>22.482636620000001</v>
      </c>
      <c r="X54" s="40" t="e">
        <f>#REF!</f>
        <v>#REF!</v>
      </c>
    </row>
    <row r="55" spans="2:24" x14ac:dyDescent="0.35">
      <c r="B55" s="40">
        <v>50</v>
      </c>
      <c r="C55" s="40">
        <v>140.25309401999999</v>
      </c>
      <c r="D55" s="40" t="e">
        <f>#REF!</f>
        <v>#REF!</v>
      </c>
      <c r="F55" s="40">
        <v>50</v>
      </c>
      <c r="G55" s="40">
        <v>126</v>
      </c>
      <c r="H55" s="40" t="e">
        <f>#REF!</f>
        <v>#REF!</v>
      </c>
      <c r="J55" s="40">
        <v>50</v>
      </c>
      <c r="K55" s="40">
        <v>15.632671999999999</v>
      </c>
      <c r="L55" s="40" t="e">
        <f>#REF!</f>
        <v>#REF!</v>
      </c>
      <c r="N55" s="40">
        <v>50</v>
      </c>
      <c r="O55" s="40">
        <v>173.77464789000001</v>
      </c>
      <c r="P55" s="40" t="e">
        <f>#REF!</f>
        <v>#REF!</v>
      </c>
      <c r="R55" s="40">
        <v>50</v>
      </c>
      <c r="S55" s="40">
        <v>173.78464789</v>
      </c>
      <c r="T55" s="40" t="e">
        <f>#REF!</f>
        <v>#REF!</v>
      </c>
      <c r="V55" s="40">
        <v>50</v>
      </c>
      <c r="W55" s="40">
        <v>22.482636620000001</v>
      </c>
      <c r="X55" s="40" t="e">
        <f>#REF!</f>
        <v>#REF!</v>
      </c>
    </row>
    <row r="56" spans="2:24" x14ac:dyDescent="0.35">
      <c r="B56" s="40">
        <v>51</v>
      </c>
      <c r="C56" s="40">
        <v>140.25309401999999</v>
      </c>
      <c r="D56" s="40" t="e">
        <f>#REF!</f>
        <v>#REF!</v>
      </c>
      <c r="F56" s="40">
        <v>51</v>
      </c>
      <c r="G56" s="40">
        <v>126</v>
      </c>
      <c r="H56" s="40" t="e">
        <f>#REF!</f>
        <v>#REF!</v>
      </c>
      <c r="J56" s="40">
        <v>51</v>
      </c>
      <c r="K56" s="40">
        <v>15.632671999999999</v>
      </c>
      <c r="L56" s="40" t="e">
        <f>#REF!</f>
        <v>#REF!</v>
      </c>
      <c r="N56" s="40">
        <v>51</v>
      </c>
      <c r="O56" s="40">
        <v>173.76964788999999</v>
      </c>
      <c r="P56" s="40" t="e">
        <f>#REF!</f>
        <v>#REF!</v>
      </c>
      <c r="R56" s="40">
        <v>51</v>
      </c>
      <c r="S56" s="40">
        <v>173.77964789000001</v>
      </c>
      <c r="T56" s="40" t="e">
        <f>#REF!</f>
        <v>#REF!</v>
      </c>
      <c r="V56" s="40">
        <v>51</v>
      </c>
      <c r="W56" s="40">
        <v>22.482636620000001</v>
      </c>
      <c r="X56" s="40" t="e">
        <f>#REF!</f>
        <v>#REF!</v>
      </c>
    </row>
    <row r="57" spans="2:24" x14ac:dyDescent="0.35">
      <c r="B57" s="40">
        <v>52</v>
      </c>
      <c r="C57" s="40">
        <v>140.25309401999999</v>
      </c>
      <c r="D57" s="40" t="e">
        <f>#REF!</f>
        <v>#REF!</v>
      </c>
      <c r="F57" s="40">
        <v>52</v>
      </c>
      <c r="G57" s="40">
        <v>126</v>
      </c>
      <c r="H57" s="40" t="e">
        <f>#REF!</f>
        <v>#REF!</v>
      </c>
      <c r="J57" s="40">
        <v>52</v>
      </c>
      <c r="K57" s="40">
        <v>15.632671999999999</v>
      </c>
      <c r="L57" s="40" t="e">
        <f>#REF!</f>
        <v>#REF!</v>
      </c>
      <c r="N57" s="40">
        <v>52</v>
      </c>
      <c r="O57" s="40">
        <v>173.77464789000001</v>
      </c>
      <c r="P57" s="40" t="e">
        <f>#REF!</f>
        <v>#REF!</v>
      </c>
      <c r="R57" s="40">
        <v>52</v>
      </c>
      <c r="S57" s="40">
        <v>173.78464789</v>
      </c>
      <c r="T57" s="40" t="e">
        <f>#REF!</f>
        <v>#REF!</v>
      </c>
      <c r="V57" s="40">
        <v>52</v>
      </c>
      <c r="W57" s="40">
        <v>22.482636620000001</v>
      </c>
      <c r="X57" s="40" t="e">
        <f>#REF!</f>
        <v>#REF!</v>
      </c>
    </row>
    <row r="58" spans="2:24" x14ac:dyDescent="0.35">
      <c r="B58" s="40">
        <v>53</v>
      </c>
      <c r="C58" s="40">
        <v>156.53247099999999</v>
      </c>
      <c r="D58" s="40" t="e">
        <f>#REF!</f>
        <v>#REF!</v>
      </c>
      <c r="F58" s="40">
        <v>53</v>
      </c>
      <c r="G58" s="40">
        <v>126</v>
      </c>
      <c r="H58" s="40" t="e">
        <f>#REF!</f>
        <v>#REF!</v>
      </c>
      <c r="J58" s="40">
        <v>53</v>
      </c>
      <c r="K58" s="40">
        <v>15.632671999999999</v>
      </c>
      <c r="L58" s="40" t="e">
        <f>#REF!</f>
        <v>#REF!</v>
      </c>
      <c r="N58" s="40">
        <v>53</v>
      </c>
      <c r="O58" s="40">
        <v>173.79873239</v>
      </c>
      <c r="P58" s="40" t="e">
        <f>#REF!</f>
        <v>#REF!</v>
      </c>
      <c r="R58" s="40">
        <v>53</v>
      </c>
      <c r="S58" s="40">
        <v>173.80873238999999</v>
      </c>
      <c r="T58" s="40" t="e">
        <f>#REF!</f>
        <v>#REF!</v>
      </c>
      <c r="V58" s="40">
        <v>53</v>
      </c>
      <c r="W58" s="40">
        <v>22.482636620000001</v>
      </c>
      <c r="X58" s="40" t="e">
        <f>#REF!</f>
        <v>#REF!</v>
      </c>
    </row>
    <row r="59" spans="2:24" x14ac:dyDescent="0.35">
      <c r="B59" s="40">
        <v>54</v>
      </c>
      <c r="C59" s="40">
        <v>156.53247099999999</v>
      </c>
      <c r="D59" s="40" t="e">
        <f>#REF!</f>
        <v>#REF!</v>
      </c>
      <c r="F59" s="40">
        <v>54</v>
      </c>
      <c r="G59" s="40">
        <v>126</v>
      </c>
      <c r="H59" s="40" t="e">
        <f>#REF!</f>
        <v>#REF!</v>
      </c>
      <c r="J59" s="40">
        <v>54</v>
      </c>
      <c r="K59" s="40">
        <v>15.622672</v>
      </c>
      <c r="L59" s="40" t="e">
        <f>#REF!</f>
        <v>#REF!</v>
      </c>
      <c r="N59" s="40">
        <v>54</v>
      </c>
      <c r="O59" s="40">
        <v>220.93305774999999</v>
      </c>
      <c r="P59" s="40" t="e">
        <f>#REF!</f>
        <v>#REF!</v>
      </c>
      <c r="R59" s="40">
        <v>54</v>
      </c>
      <c r="S59" s="40">
        <v>220.94305775000001</v>
      </c>
      <c r="T59" s="40" t="e">
        <f>#REF!</f>
        <v>#REF!</v>
      </c>
      <c r="V59" s="40">
        <v>54</v>
      </c>
      <c r="W59" s="40">
        <v>22.468552110000001</v>
      </c>
      <c r="X59" s="40" t="e">
        <f>#REF!</f>
        <v>#REF!</v>
      </c>
    </row>
    <row r="60" spans="2:24" x14ac:dyDescent="0.35">
      <c r="B60" s="40">
        <v>55</v>
      </c>
      <c r="C60" s="40">
        <v>156.53247099999999</v>
      </c>
      <c r="D60" s="40" t="e">
        <f>#REF!</f>
        <v>#REF!</v>
      </c>
      <c r="F60" s="40">
        <v>55</v>
      </c>
      <c r="G60" s="40">
        <v>136.95652174</v>
      </c>
      <c r="H60" s="40" t="e">
        <f>#REF!</f>
        <v>#REF!</v>
      </c>
      <c r="J60" s="40">
        <v>55</v>
      </c>
      <c r="K60" s="40">
        <v>15.632671999999999</v>
      </c>
      <c r="L60" s="40" t="e">
        <f>#REF!</f>
        <v>#REF!</v>
      </c>
      <c r="N60" s="40">
        <v>55</v>
      </c>
      <c r="O60" s="40">
        <v>220.93305774999999</v>
      </c>
      <c r="P60" s="40" t="e">
        <f>#REF!</f>
        <v>#REF!</v>
      </c>
      <c r="R60" s="40">
        <v>55</v>
      </c>
      <c r="S60" s="40">
        <v>220.94305775000001</v>
      </c>
      <c r="T60" s="40" t="e">
        <f>#REF!</f>
        <v>#REF!</v>
      </c>
      <c r="V60" s="40">
        <v>55</v>
      </c>
      <c r="W60" s="40">
        <v>22.482636620000001</v>
      </c>
      <c r="X60" s="40" t="e">
        <f>#REF!</f>
        <v>#REF!</v>
      </c>
    </row>
    <row r="61" spans="2:24" x14ac:dyDescent="0.35">
      <c r="B61" s="40">
        <v>56</v>
      </c>
      <c r="C61" s="40">
        <v>156.53247099999999</v>
      </c>
      <c r="D61" s="40" t="e">
        <f>#REF!</f>
        <v>#REF!</v>
      </c>
      <c r="F61" s="40">
        <v>56</v>
      </c>
      <c r="G61" s="40">
        <v>136.95652174</v>
      </c>
      <c r="H61" s="40" t="e">
        <f>#REF!</f>
        <v>#REF!</v>
      </c>
      <c r="J61" s="40">
        <v>56</v>
      </c>
      <c r="K61" s="40">
        <v>15.632671999999999</v>
      </c>
      <c r="L61" s="40" t="e">
        <f>#REF!</f>
        <v>#REF!</v>
      </c>
      <c r="N61" s="40">
        <v>56</v>
      </c>
      <c r="O61" s="40">
        <v>220.93305774999999</v>
      </c>
      <c r="P61" s="40" t="e">
        <f>#REF!</f>
        <v>#REF!</v>
      </c>
      <c r="R61" s="40">
        <v>56</v>
      </c>
      <c r="S61" s="40">
        <v>220.94305775000001</v>
      </c>
      <c r="T61" s="40" t="e">
        <f>#REF!</f>
        <v>#REF!</v>
      </c>
      <c r="V61" s="40">
        <v>56</v>
      </c>
      <c r="W61" s="40">
        <v>22.482636620000001</v>
      </c>
      <c r="X61" s="40" t="e">
        <f>#REF!</f>
        <v>#REF!</v>
      </c>
    </row>
    <row r="62" spans="2:24" x14ac:dyDescent="0.35">
      <c r="B62" s="40">
        <v>57</v>
      </c>
      <c r="C62" s="40">
        <v>156.53247099999999</v>
      </c>
      <c r="D62" s="40" t="e">
        <f>#REF!</f>
        <v>#REF!</v>
      </c>
      <c r="F62" s="40">
        <v>57</v>
      </c>
      <c r="G62" s="40">
        <v>136.95652174</v>
      </c>
      <c r="H62" s="40" t="e">
        <f>#REF!</f>
        <v>#REF!</v>
      </c>
      <c r="J62" s="40">
        <v>57</v>
      </c>
      <c r="K62" s="40">
        <v>15.632671999999999</v>
      </c>
      <c r="L62" s="40" t="e">
        <f>#REF!</f>
        <v>#REF!</v>
      </c>
      <c r="N62" s="40">
        <v>57</v>
      </c>
      <c r="O62" s="40">
        <v>220.93305774999999</v>
      </c>
      <c r="P62" s="40" t="e">
        <f>#REF!</f>
        <v>#REF!</v>
      </c>
      <c r="R62" s="40">
        <v>57</v>
      </c>
      <c r="S62" s="40">
        <v>423.05188848</v>
      </c>
      <c r="T62" s="40" t="e">
        <f>#REF!</f>
        <v>#REF!</v>
      </c>
      <c r="V62" s="40">
        <v>57</v>
      </c>
      <c r="W62" s="40">
        <v>22.482636620000001</v>
      </c>
      <c r="X62" s="40" t="e">
        <f>#REF!</f>
        <v>#REF!</v>
      </c>
    </row>
    <row r="63" spans="2:24" x14ac:dyDescent="0.35">
      <c r="B63" s="40">
        <v>58</v>
      </c>
      <c r="C63" s="40">
        <v>117.39935325</v>
      </c>
      <c r="D63" s="40" t="e">
        <f>#REF!</f>
        <v>#REF!</v>
      </c>
      <c r="F63" s="40">
        <v>58</v>
      </c>
      <c r="G63" s="40">
        <v>117.38935325</v>
      </c>
      <c r="H63" s="40" t="e">
        <f>#REF!</f>
        <v>#REF!</v>
      </c>
      <c r="J63" s="40">
        <v>58</v>
      </c>
      <c r="K63" s="40">
        <v>15.632671999999999</v>
      </c>
      <c r="L63" s="40" t="e">
        <f>#REF!</f>
        <v>#REF!</v>
      </c>
      <c r="N63" s="40">
        <v>58</v>
      </c>
      <c r="O63" s="40">
        <v>136.59824481000001</v>
      </c>
      <c r="P63" s="40" t="e">
        <f>#REF!</f>
        <v>#REF!</v>
      </c>
      <c r="R63" s="40">
        <v>58</v>
      </c>
      <c r="S63" s="40">
        <v>0.46478872999999998</v>
      </c>
      <c r="T63" s="40" t="e">
        <f>#REF!</f>
        <v>#REF!</v>
      </c>
      <c r="V63" s="40">
        <v>58</v>
      </c>
      <c r="W63" s="40">
        <v>22.482636620000001</v>
      </c>
      <c r="X63" s="40" t="e">
        <f>#REF!</f>
        <v>#REF!</v>
      </c>
    </row>
    <row r="64" spans="2:24" x14ac:dyDescent="0.35">
      <c r="B64" s="40">
        <v>59</v>
      </c>
      <c r="C64" s="40">
        <v>117.39935325</v>
      </c>
      <c r="D64" s="40" t="e">
        <f>#REF!</f>
        <v>#REF!</v>
      </c>
      <c r="F64" s="40">
        <v>59</v>
      </c>
      <c r="G64" s="40">
        <v>117.38935325</v>
      </c>
      <c r="H64" s="40" t="e">
        <f>#REF!</f>
        <v>#REF!</v>
      </c>
      <c r="J64" s="40">
        <v>59</v>
      </c>
      <c r="K64" s="40">
        <v>15.632671999999999</v>
      </c>
      <c r="L64" s="40" t="e">
        <f>#REF!</f>
        <v>#REF!</v>
      </c>
      <c r="N64" s="40">
        <v>59</v>
      </c>
      <c r="O64" s="40">
        <v>22.472636619999999</v>
      </c>
      <c r="P64" s="40" t="e">
        <f>#REF!</f>
        <v>#REF!</v>
      </c>
      <c r="R64" s="40">
        <v>59</v>
      </c>
      <c r="S64" s="40">
        <v>0.46478872999999998</v>
      </c>
      <c r="T64" s="40" t="e">
        <f>#REF!</f>
        <v>#REF!</v>
      </c>
      <c r="V64" s="40">
        <v>59</v>
      </c>
      <c r="W64" s="40">
        <v>22.482636620000001</v>
      </c>
      <c r="X64" s="40" t="e">
        <f>#REF!</f>
        <v>#REF!</v>
      </c>
    </row>
    <row r="65" spans="2:24" x14ac:dyDescent="0.35">
      <c r="B65" s="40">
        <v>60</v>
      </c>
      <c r="C65" s="40">
        <v>117.39935325</v>
      </c>
      <c r="D65" s="40" t="e">
        <f>#REF!</f>
        <v>#REF!</v>
      </c>
      <c r="F65" s="40">
        <v>60</v>
      </c>
      <c r="G65" s="40">
        <v>117.38935325</v>
      </c>
      <c r="H65" s="40" t="e">
        <f>#REF!</f>
        <v>#REF!</v>
      </c>
      <c r="J65" s="40">
        <v>60</v>
      </c>
      <c r="K65" s="40">
        <v>15.632671999999999</v>
      </c>
      <c r="L65" s="40" t="e">
        <f>#REF!</f>
        <v>#REF!</v>
      </c>
      <c r="N65" s="40">
        <v>60</v>
      </c>
      <c r="O65" s="40">
        <v>22.468552110000001</v>
      </c>
      <c r="P65" s="40" t="e">
        <f>#REF!</f>
        <v>#REF!</v>
      </c>
      <c r="R65" s="40">
        <v>60</v>
      </c>
      <c r="S65" s="40">
        <v>0.46478872999999998</v>
      </c>
      <c r="T65" s="40" t="e">
        <f>#REF!</f>
        <v>#REF!</v>
      </c>
      <c r="V65" s="40">
        <v>60</v>
      </c>
      <c r="W65" s="40">
        <v>22.478552109999999</v>
      </c>
      <c r="X65" s="40" t="e">
        <f>#REF!</f>
        <v>#REF!</v>
      </c>
    </row>
    <row r="66" spans="2:24" x14ac:dyDescent="0.35">
      <c r="B66" s="40">
        <v>61</v>
      </c>
      <c r="C66" s="40">
        <v>117.39935325</v>
      </c>
      <c r="D66" s="40" t="e">
        <f>#REF!</f>
        <v>#REF!</v>
      </c>
      <c r="F66" s="40">
        <v>61</v>
      </c>
      <c r="G66" s="40">
        <v>117.38935325</v>
      </c>
      <c r="H66" s="40" t="e">
        <f>#REF!</f>
        <v>#REF!</v>
      </c>
      <c r="J66" s="40">
        <v>61</v>
      </c>
      <c r="K66" s="40">
        <v>15.632671999999999</v>
      </c>
      <c r="L66" s="40" t="e">
        <f>#REF!</f>
        <v>#REF!</v>
      </c>
      <c r="N66" s="40">
        <v>61</v>
      </c>
      <c r="O66" s="40">
        <v>22.468552110000001</v>
      </c>
      <c r="P66" s="40" t="e">
        <f>#REF!</f>
        <v>#REF!</v>
      </c>
      <c r="R66" s="40">
        <v>61</v>
      </c>
      <c r="S66" s="40">
        <v>0.46478872999999998</v>
      </c>
      <c r="T66" s="40" t="e">
        <f>#REF!</f>
        <v>#REF!</v>
      </c>
      <c r="V66" s="40">
        <v>61</v>
      </c>
      <c r="W66" s="40">
        <v>22.478552109999999</v>
      </c>
      <c r="X66" s="40" t="e">
        <f>#REF!</f>
        <v>#REF!</v>
      </c>
    </row>
    <row r="67" spans="2:24" x14ac:dyDescent="0.35">
      <c r="B67" s="40">
        <v>62</v>
      </c>
      <c r="C67" s="40">
        <v>117.39935325</v>
      </c>
      <c r="D67" s="40" t="e">
        <f>#REF!</f>
        <v>#REF!</v>
      </c>
      <c r="F67" s="40">
        <v>62</v>
      </c>
      <c r="G67" s="40">
        <v>117.38935325</v>
      </c>
      <c r="H67" s="40" t="e">
        <f>#REF!</f>
        <v>#REF!</v>
      </c>
      <c r="J67" s="40">
        <v>62</v>
      </c>
      <c r="K67" s="40">
        <v>15.632671999999999</v>
      </c>
      <c r="L67" s="40" t="e">
        <f>#REF!</f>
        <v>#REF!</v>
      </c>
      <c r="N67" s="40">
        <v>62</v>
      </c>
      <c r="O67" s="40">
        <v>22.468552110000001</v>
      </c>
      <c r="P67" s="40" t="e">
        <f>#REF!</f>
        <v>#REF!</v>
      </c>
      <c r="R67" s="40">
        <v>62</v>
      </c>
      <c r="S67" s="40">
        <v>0.46478872999999998</v>
      </c>
      <c r="T67" s="40" t="e">
        <f>#REF!</f>
        <v>#REF!</v>
      </c>
      <c r="V67" s="40">
        <v>62</v>
      </c>
      <c r="W67" s="40">
        <v>22.478552109999999</v>
      </c>
      <c r="X67" s="40" t="e">
        <f>#REF!</f>
        <v>#REF!</v>
      </c>
    </row>
    <row r="68" spans="2:24" x14ac:dyDescent="0.35">
      <c r="B68" s="40">
        <v>63</v>
      </c>
      <c r="C68" s="40">
        <v>117.39935325</v>
      </c>
      <c r="D68" s="40" t="e">
        <f>#REF!</f>
        <v>#REF!</v>
      </c>
      <c r="F68" s="40">
        <v>63</v>
      </c>
      <c r="G68" s="40">
        <v>117.38935325</v>
      </c>
      <c r="H68" s="40" t="e">
        <f>#REF!</f>
        <v>#REF!</v>
      </c>
      <c r="J68" s="40">
        <v>63</v>
      </c>
      <c r="K68" s="40">
        <v>15.632671999999999</v>
      </c>
      <c r="L68" s="40" t="e">
        <f>#REF!</f>
        <v>#REF!</v>
      </c>
      <c r="N68" s="40">
        <v>63</v>
      </c>
      <c r="O68" s="40">
        <v>39.449689329999998</v>
      </c>
      <c r="P68" s="40" t="e">
        <f>#REF!</f>
        <v>#REF!</v>
      </c>
      <c r="R68" s="40">
        <v>63</v>
      </c>
      <c r="S68" s="40">
        <v>0.46478872999999998</v>
      </c>
      <c r="T68" s="40" t="e">
        <f>#REF!</f>
        <v>#REF!</v>
      </c>
      <c r="V68" s="40">
        <v>63</v>
      </c>
      <c r="W68" s="40">
        <v>22.482636620000001</v>
      </c>
      <c r="X68" s="40" t="e">
        <f>#REF!</f>
        <v>#REF!</v>
      </c>
    </row>
    <row r="69" spans="2:24" x14ac:dyDescent="0.35">
      <c r="B69" s="40">
        <v>64</v>
      </c>
      <c r="C69" s="40">
        <v>117.39935325</v>
      </c>
      <c r="D69" s="40" t="e">
        <f>#REF!</f>
        <v>#REF!</v>
      </c>
      <c r="F69" s="40">
        <v>64</v>
      </c>
      <c r="G69" s="40">
        <v>117.38935325</v>
      </c>
      <c r="H69" s="40" t="e">
        <f>#REF!</f>
        <v>#REF!</v>
      </c>
      <c r="J69" s="40">
        <v>64</v>
      </c>
      <c r="K69" s="40">
        <v>19.10890294</v>
      </c>
      <c r="L69" s="40" t="e">
        <f>#REF!</f>
        <v>#REF!</v>
      </c>
      <c r="N69" s="40">
        <v>64</v>
      </c>
      <c r="O69" s="40">
        <v>165.81599048999999</v>
      </c>
      <c r="P69" s="40" t="e">
        <f>#REF!</f>
        <v>#REF!</v>
      </c>
      <c r="R69" s="40">
        <v>64</v>
      </c>
      <c r="S69" s="40">
        <v>0.46478872999999998</v>
      </c>
      <c r="T69" s="40" t="e">
        <f>#REF!</f>
        <v>#REF!</v>
      </c>
      <c r="V69" s="40">
        <v>64</v>
      </c>
      <c r="W69" s="40">
        <v>27.378736539999998</v>
      </c>
      <c r="X69" s="40" t="e">
        <f>#REF!</f>
        <v>#REF!</v>
      </c>
    </row>
    <row r="70" spans="2:24" x14ac:dyDescent="0.35">
      <c r="B70" s="40">
        <v>65</v>
      </c>
      <c r="C70" s="40">
        <v>159.84172691000001</v>
      </c>
      <c r="D70" s="40" t="e">
        <f>#REF!</f>
        <v>#REF!</v>
      </c>
      <c r="F70" s="40">
        <v>65</v>
      </c>
      <c r="G70" s="40">
        <v>159.83172690999999</v>
      </c>
      <c r="H70" s="40" t="e">
        <f>#REF!</f>
        <v>#REF!</v>
      </c>
      <c r="J70" s="40">
        <v>65</v>
      </c>
      <c r="K70" s="40">
        <v>99.599357179999998</v>
      </c>
      <c r="L70" s="40" t="e">
        <f>#REF!</f>
        <v>#REF!</v>
      </c>
      <c r="N70" s="40">
        <v>65</v>
      </c>
      <c r="O70" s="40">
        <v>225.59398156</v>
      </c>
      <c r="P70" s="40" t="e">
        <f>#REF!</f>
        <v>#REF!</v>
      </c>
      <c r="R70" s="40">
        <v>65</v>
      </c>
      <c r="S70" s="40">
        <v>0.46478872999999998</v>
      </c>
      <c r="T70" s="40" t="e">
        <f>#REF!</f>
        <v>#REF!</v>
      </c>
      <c r="V70" s="40">
        <v>65</v>
      </c>
      <c r="W70" s="40">
        <v>140.74557349</v>
      </c>
      <c r="X70" s="40" t="e">
        <f>#REF!</f>
        <v>#REF!</v>
      </c>
    </row>
    <row r="71" spans="2:24" x14ac:dyDescent="0.35">
      <c r="B71" s="40">
        <v>66</v>
      </c>
      <c r="C71" s="40">
        <v>159.84172691000001</v>
      </c>
      <c r="D71" s="40" t="e">
        <f>#REF!</f>
        <v>#REF!</v>
      </c>
      <c r="F71" s="40">
        <v>66</v>
      </c>
      <c r="G71" s="40">
        <v>159.83172690999999</v>
      </c>
      <c r="H71" s="40" t="e">
        <f>#REF!</f>
        <v>#REF!</v>
      </c>
      <c r="J71" s="40">
        <v>66</v>
      </c>
      <c r="K71" s="40">
        <v>123.06</v>
      </c>
      <c r="L71" s="40" t="e">
        <f>#REF!</f>
        <v>#REF!</v>
      </c>
      <c r="N71" s="40">
        <v>66</v>
      </c>
      <c r="O71" s="40">
        <v>225.59398156</v>
      </c>
      <c r="P71" s="40" t="e">
        <f>#REF!</f>
        <v>#REF!</v>
      </c>
      <c r="R71" s="40">
        <v>66</v>
      </c>
      <c r="S71" s="40">
        <v>677.05304013</v>
      </c>
      <c r="T71" s="40" t="e">
        <f>#REF!</f>
        <v>#REF!</v>
      </c>
      <c r="V71" s="40">
        <v>66</v>
      </c>
      <c r="W71" s="40">
        <v>173.76873239</v>
      </c>
      <c r="X71" s="40" t="e">
        <f>#REF!</f>
        <v>#REF!</v>
      </c>
    </row>
    <row r="72" spans="2:24" x14ac:dyDescent="0.35">
      <c r="B72" s="40">
        <v>67</v>
      </c>
      <c r="C72" s="40">
        <v>159.84172691000001</v>
      </c>
      <c r="D72" s="40" t="e">
        <f>#REF!</f>
        <v>#REF!</v>
      </c>
      <c r="F72" s="40">
        <v>67</v>
      </c>
      <c r="G72" s="40">
        <v>159.83172690999999</v>
      </c>
      <c r="H72" s="40" t="e">
        <f>#REF!</f>
        <v>#REF!</v>
      </c>
      <c r="J72" s="40">
        <v>67</v>
      </c>
      <c r="K72" s="40">
        <v>123.0458</v>
      </c>
      <c r="L72" s="40" t="e">
        <f>#REF!</f>
        <v>#REF!</v>
      </c>
      <c r="N72" s="40">
        <v>67</v>
      </c>
      <c r="O72" s="40">
        <v>225.59398156</v>
      </c>
      <c r="P72" s="40" t="e">
        <f>#REF!</f>
        <v>#REF!</v>
      </c>
      <c r="R72" s="40">
        <v>67</v>
      </c>
      <c r="S72" s="40">
        <v>225.60398155999999</v>
      </c>
      <c r="T72" s="40" t="e">
        <f>#REF!</f>
        <v>#REF!</v>
      </c>
      <c r="V72" s="40">
        <v>67</v>
      </c>
      <c r="W72" s="40">
        <v>173.76873239</v>
      </c>
      <c r="X72" s="40" t="e">
        <f>#REF!</f>
        <v>#REF!</v>
      </c>
    </row>
    <row r="73" spans="2:24" x14ac:dyDescent="0.35">
      <c r="B73" s="40">
        <v>68</v>
      </c>
      <c r="C73" s="40">
        <v>159.84172691000001</v>
      </c>
      <c r="D73" s="40" t="e">
        <f>#REF!</f>
        <v>#REF!</v>
      </c>
      <c r="F73" s="40">
        <v>68</v>
      </c>
      <c r="G73" s="40">
        <v>159.83172690999999</v>
      </c>
      <c r="H73" s="40" t="e">
        <f>#REF!</f>
        <v>#REF!</v>
      </c>
      <c r="J73" s="40">
        <v>68</v>
      </c>
      <c r="K73" s="40">
        <v>99.599357179999998</v>
      </c>
      <c r="L73" s="40" t="e">
        <f>#REF!</f>
        <v>#REF!</v>
      </c>
      <c r="N73" s="40">
        <v>68</v>
      </c>
      <c r="O73" s="40">
        <v>225.59398156</v>
      </c>
      <c r="P73" s="40" t="e">
        <f>#REF!</f>
        <v>#REF!</v>
      </c>
      <c r="R73" s="40">
        <v>68</v>
      </c>
      <c r="S73" s="40">
        <v>225.60398155999999</v>
      </c>
      <c r="T73" s="40" t="e">
        <f>#REF!</f>
        <v>#REF!</v>
      </c>
      <c r="V73" s="40">
        <v>68</v>
      </c>
      <c r="W73" s="40">
        <v>140.74557349</v>
      </c>
      <c r="X73" s="40" t="e">
        <f>#REF!</f>
        <v>#REF!</v>
      </c>
    </row>
    <row r="74" spans="2:24" x14ac:dyDescent="0.35">
      <c r="B74" s="40">
        <v>69</v>
      </c>
      <c r="C74" s="40">
        <v>159.84172691000001</v>
      </c>
      <c r="D74" s="40" t="e">
        <f>#REF!</f>
        <v>#REF!</v>
      </c>
      <c r="F74" s="40">
        <v>69</v>
      </c>
      <c r="G74" s="40">
        <v>159.83172690999999</v>
      </c>
      <c r="H74" s="40" t="e">
        <f>#REF!</f>
        <v>#REF!</v>
      </c>
      <c r="J74" s="40">
        <v>69</v>
      </c>
      <c r="K74" s="40">
        <v>99.599357179999998</v>
      </c>
      <c r="L74" s="40" t="e">
        <f>#REF!</f>
        <v>#REF!</v>
      </c>
      <c r="N74" s="40">
        <v>69</v>
      </c>
      <c r="O74" s="40">
        <v>225.59398156</v>
      </c>
      <c r="P74" s="40" t="e">
        <f>#REF!</f>
        <v>#REF!</v>
      </c>
      <c r="R74" s="40">
        <v>69</v>
      </c>
      <c r="S74" s="40">
        <v>225.60398155999999</v>
      </c>
      <c r="T74" s="40" t="e">
        <f>#REF!</f>
        <v>#REF!</v>
      </c>
      <c r="V74" s="40">
        <v>69</v>
      </c>
      <c r="W74" s="40">
        <v>140.74557349</v>
      </c>
      <c r="X74" s="40" t="e">
        <f>#REF!</f>
        <v>#REF!</v>
      </c>
    </row>
    <row r="75" spans="2:24" x14ac:dyDescent="0.35">
      <c r="B75" s="40">
        <v>70</v>
      </c>
      <c r="C75" s="40">
        <v>159.74662789999999</v>
      </c>
      <c r="D75" s="40" t="e">
        <f>#REF!</f>
        <v>#REF!</v>
      </c>
      <c r="F75" s="40">
        <v>70</v>
      </c>
      <c r="G75" s="40">
        <v>159.7366279</v>
      </c>
      <c r="H75" s="40" t="e">
        <f>#REF!</f>
        <v>#REF!</v>
      </c>
      <c r="J75" s="40">
        <v>70</v>
      </c>
      <c r="K75" s="40">
        <v>99.599357179999998</v>
      </c>
      <c r="L75" s="40" t="e">
        <f>#REF!</f>
        <v>#REF!</v>
      </c>
      <c r="N75" s="40">
        <v>70</v>
      </c>
      <c r="O75" s="40">
        <v>208.45516986000001</v>
      </c>
      <c r="P75" s="40" t="e">
        <f>#REF!</f>
        <v>#REF!</v>
      </c>
      <c r="R75" s="40">
        <v>70</v>
      </c>
      <c r="S75" s="40">
        <v>208.46516986</v>
      </c>
      <c r="T75" s="40" t="e">
        <f>#REF!</f>
        <v>#REF!</v>
      </c>
      <c r="V75" s="40">
        <v>70</v>
      </c>
      <c r="W75" s="40">
        <v>140.74557349</v>
      </c>
      <c r="X75" s="40" t="e">
        <f>#REF!</f>
        <v>#REF!</v>
      </c>
    </row>
    <row r="76" spans="2:24" x14ac:dyDescent="0.35">
      <c r="B76" s="40">
        <v>71</v>
      </c>
      <c r="C76" s="40">
        <v>156.53247099999999</v>
      </c>
      <c r="D76" s="40" t="e">
        <f>#REF!</f>
        <v>#REF!</v>
      </c>
      <c r="F76" s="40">
        <v>71</v>
      </c>
      <c r="G76" s="40">
        <v>156.522471</v>
      </c>
      <c r="H76" s="40" t="e">
        <f>#REF!</f>
        <v>#REF!</v>
      </c>
      <c r="J76" s="40">
        <v>71</v>
      </c>
      <c r="K76" s="40">
        <v>99.599357179999998</v>
      </c>
      <c r="L76" s="40" t="e">
        <f>#REF!</f>
        <v>#REF!</v>
      </c>
      <c r="N76" s="40">
        <v>71</v>
      </c>
      <c r="O76" s="40">
        <v>173.79873239</v>
      </c>
      <c r="P76" s="40" t="e">
        <f>#REF!</f>
        <v>#REF!</v>
      </c>
      <c r="R76" s="40">
        <v>71</v>
      </c>
      <c r="S76" s="40">
        <v>173.80873238999999</v>
      </c>
      <c r="T76" s="40" t="e">
        <f>#REF!</f>
        <v>#REF!</v>
      </c>
      <c r="V76" s="40">
        <v>71</v>
      </c>
      <c r="W76" s="40">
        <v>140.74557349</v>
      </c>
      <c r="X76" s="40" t="e">
        <f>#REF!</f>
        <v>#REF!</v>
      </c>
    </row>
    <row r="77" spans="2:24" x14ac:dyDescent="0.35">
      <c r="B77" s="40">
        <v>72</v>
      </c>
      <c r="C77" s="40">
        <v>156.53247099999999</v>
      </c>
      <c r="D77" s="40" t="e">
        <f>#REF!</f>
        <v>#REF!</v>
      </c>
      <c r="F77" s="40">
        <v>72</v>
      </c>
      <c r="G77" s="40">
        <v>156.522471</v>
      </c>
      <c r="H77" s="40" t="e">
        <f>#REF!</f>
        <v>#REF!</v>
      </c>
      <c r="J77" s="40">
        <v>72</v>
      </c>
      <c r="K77" s="40">
        <v>20.843562670000001</v>
      </c>
      <c r="L77" s="40" t="e">
        <f>#REF!</f>
        <v>#REF!</v>
      </c>
      <c r="N77" s="40">
        <v>72</v>
      </c>
      <c r="O77" s="40">
        <v>173.79873239</v>
      </c>
      <c r="P77" s="40" t="e">
        <f>#REF!</f>
        <v>#REF!</v>
      </c>
      <c r="R77" s="40">
        <v>72</v>
      </c>
      <c r="S77" s="40">
        <v>173.80873238999999</v>
      </c>
      <c r="T77" s="40" t="e">
        <f>#REF!</f>
        <v>#REF!</v>
      </c>
      <c r="V77" s="40">
        <v>72</v>
      </c>
      <c r="W77" s="40">
        <v>29.821919250000001</v>
      </c>
      <c r="X77" s="40" t="e">
        <f>#REF!</f>
        <v>#REF!</v>
      </c>
    </row>
    <row r="78" spans="2:24" x14ac:dyDescent="0.35">
      <c r="B78" s="40">
        <v>73</v>
      </c>
      <c r="C78" s="40">
        <v>156.53247099999999</v>
      </c>
      <c r="D78" s="40" t="e">
        <f>#REF!</f>
        <v>#REF!</v>
      </c>
      <c r="F78" s="40">
        <v>73</v>
      </c>
      <c r="G78" s="40">
        <v>156.522471</v>
      </c>
      <c r="H78" s="40" t="e">
        <f>#REF!</f>
        <v>#REF!</v>
      </c>
      <c r="J78" s="40">
        <v>73</v>
      </c>
      <c r="K78" s="40">
        <v>20.843562670000001</v>
      </c>
      <c r="L78" s="40" t="e">
        <f>#REF!</f>
        <v>#REF!</v>
      </c>
      <c r="N78" s="40">
        <v>73</v>
      </c>
      <c r="O78" s="40">
        <v>173.79873239</v>
      </c>
      <c r="P78" s="40" t="e">
        <f>#REF!</f>
        <v>#REF!</v>
      </c>
      <c r="R78" s="40">
        <v>73</v>
      </c>
      <c r="S78" s="40">
        <v>173.80873238999999</v>
      </c>
      <c r="T78" s="40" t="e">
        <f>#REF!</f>
        <v>#REF!</v>
      </c>
      <c r="V78" s="40">
        <v>73</v>
      </c>
      <c r="W78" s="40">
        <v>29.821919250000001</v>
      </c>
      <c r="X78" s="40" t="e">
        <f>#REF!</f>
        <v>#REF!</v>
      </c>
    </row>
    <row r="79" spans="2:24" x14ac:dyDescent="0.35">
      <c r="B79" s="40">
        <v>74</v>
      </c>
      <c r="C79" s="40">
        <v>156.53247099999999</v>
      </c>
      <c r="D79" s="40" t="e">
        <f>#REF!</f>
        <v>#REF!</v>
      </c>
      <c r="F79" s="40">
        <v>74</v>
      </c>
      <c r="G79" s="40">
        <v>156.522471</v>
      </c>
      <c r="H79" s="40" t="e">
        <f>#REF!</f>
        <v>#REF!</v>
      </c>
      <c r="J79" s="40">
        <v>74</v>
      </c>
      <c r="K79" s="40">
        <v>19.12890294</v>
      </c>
      <c r="L79" s="40" t="e">
        <f>#REF!</f>
        <v>#REF!</v>
      </c>
      <c r="N79" s="40">
        <v>74</v>
      </c>
      <c r="O79" s="40">
        <v>173.79873239</v>
      </c>
      <c r="P79" s="40" t="e">
        <f>#REF!</f>
        <v>#REF!</v>
      </c>
      <c r="R79" s="40">
        <v>74</v>
      </c>
      <c r="S79" s="40">
        <v>173.80873238999999</v>
      </c>
      <c r="T79" s="40" t="e">
        <f>#REF!</f>
        <v>#REF!</v>
      </c>
      <c r="V79" s="40">
        <v>74</v>
      </c>
      <c r="W79" s="40">
        <v>27.406905550000001</v>
      </c>
      <c r="X79" s="40" t="e">
        <f>#REF!</f>
        <v>#REF!</v>
      </c>
    </row>
    <row r="80" spans="2:24" x14ac:dyDescent="0.35">
      <c r="B80" s="40">
        <v>75</v>
      </c>
      <c r="C80" s="40">
        <v>156.53247099999999</v>
      </c>
      <c r="D80" s="40" t="e">
        <f>#REF!</f>
        <v>#REF!</v>
      </c>
      <c r="F80" s="40">
        <v>75</v>
      </c>
      <c r="G80" s="40">
        <v>156.522471</v>
      </c>
      <c r="H80" s="40" t="e">
        <f>#REF!</f>
        <v>#REF!</v>
      </c>
      <c r="J80" s="40">
        <v>75</v>
      </c>
      <c r="K80" s="40">
        <v>19.12890294</v>
      </c>
      <c r="L80" s="40" t="e">
        <f>#REF!</f>
        <v>#REF!</v>
      </c>
      <c r="N80" s="40">
        <v>75</v>
      </c>
      <c r="O80" s="40">
        <v>173.79873239</v>
      </c>
      <c r="P80" s="40" t="e">
        <f>#REF!</f>
        <v>#REF!</v>
      </c>
      <c r="R80" s="40">
        <v>75</v>
      </c>
      <c r="S80" s="40">
        <v>173.80873238999999</v>
      </c>
      <c r="T80" s="40" t="e">
        <f>#REF!</f>
        <v>#REF!</v>
      </c>
      <c r="V80" s="40">
        <v>75</v>
      </c>
      <c r="W80" s="40">
        <v>27.406905550000001</v>
      </c>
      <c r="X80" s="40" t="e">
        <f>#REF!</f>
        <v>#REF!</v>
      </c>
    </row>
    <row r="81" spans="2:24" x14ac:dyDescent="0.35">
      <c r="B81" s="40">
        <v>76</v>
      </c>
      <c r="C81" s="40">
        <v>156.53247099999999</v>
      </c>
      <c r="D81" s="40" t="e">
        <f>#REF!</f>
        <v>#REF!</v>
      </c>
      <c r="F81" s="40">
        <v>76</v>
      </c>
      <c r="G81" s="40">
        <v>156.522471</v>
      </c>
      <c r="H81" s="40" t="e">
        <f>#REF!</f>
        <v>#REF!</v>
      </c>
      <c r="J81" s="40">
        <v>76</v>
      </c>
      <c r="K81" s="40">
        <v>19.12890294</v>
      </c>
      <c r="L81" s="40" t="e">
        <f>#REF!</f>
        <v>#REF!</v>
      </c>
      <c r="N81" s="40">
        <v>76</v>
      </c>
      <c r="O81" s="40">
        <v>173.79873239</v>
      </c>
      <c r="P81" s="40" t="e">
        <f>#REF!</f>
        <v>#REF!</v>
      </c>
      <c r="R81" s="40">
        <v>76</v>
      </c>
      <c r="S81" s="40">
        <v>173.80873238999999</v>
      </c>
      <c r="T81" s="40" t="e">
        <f>#REF!</f>
        <v>#REF!</v>
      </c>
      <c r="V81" s="40">
        <v>76</v>
      </c>
      <c r="W81" s="40">
        <v>27.406905550000001</v>
      </c>
      <c r="X81" s="40" t="e">
        <f>#REF!</f>
        <v>#REF!</v>
      </c>
    </row>
    <row r="82" spans="2:24" x14ac:dyDescent="0.35">
      <c r="B82" s="40">
        <v>77</v>
      </c>
      <c r="C82" s="40">
        <v>156.53247099999999</v>
      </c>
      <c r="D82" s="40" t="e">
        <f>#REF!</f>
        <v>#REF!</v>
      </c>
      <c r="F82" s="40">
        <v>77</v>
      </c>
      <c r="G82" s="40">
        <v>156.522471</v>
      </c>
      <c r="H82" s="40" t="e">
        <f>#REF!</f>
        <v>#REF!</v>
      </c>
      <c r="J82" s="40">
        <v>77</v>
      </c>
      <c r="K82" s="40">
        <v>19.10890294</v>
      </c>
      <c r="L82" s="40" t="e">
        <f>#REF!</f>
        <v>#REF!</v>
      </c>
      <c r="N82" s="40">
        <v>77</v>
      </c>
      <c r="O82" s="40">
        <v>220.93305774999999</v>
      </c>
      <c r="P82" s="40" t="e">
        <f>#REF!</f>
        <v>#REF!</v>
      </c>
      <c r="R82" s="40">
        <v>77</v>
      </c>
      <c r="S82" s="40">
        <v>220.94305775000001</v>
      </c>
      <c r="T82" s="40" t="e">
        <f>#REF!</f>
        <v>#REF!</v>
      </c>
      <c r="V82" s="40">
        <v>77</v>
      </c>
      <c r="W82" s="40">
        <v>27.378736539999998</v>
      </c>
      <c r="X82" s="40" t="e">
        <f>#REF!</f>
        <v>#REF!</v>
      </c>
    </row>
    <row r="83" spans="2:24" x14ac:dyDescent="0.35">
      <c r="B83" s="40">
        <v>78</v>
      </c>
      <c r="C83" s="40">
        <v>156.53247099999999</v>
      </c>
      <c r="D83" s="40" t="e">
        <f>#REF!</f>
        <v>#REF!</v>
      </c>
      <c r="F83" s="40">
        <v>78</v>
      </c>
      <c r="G83" s="40">
        <v>156.522471</v>
      </c>
      <c r="H83" s="40" t="e">
        <f>#REF!</f>
        <v>#REF!</v>
      </c>
      <c r="J83" s="40">
        <v>78</v>
      </c>
      <c r="K83" s="40">
        <v>19.12890294</v>
      </c>
      <c r="L83" s="40" t="e">
        <f>#REF!</f>
        <v>#REF!</v>
      </c>
      <c r="N83" s="40">
        <v>78</v>
      </c>
      <c r="O83" s="40">
        <v>220.93305774999999</v>
      </c>
      <c r="P83" s="40" t="e">
        <f>#REF!</f>
        <v>#REF!</v>
      </c>
      <c r="R83" s="40">
        <v>78</v>
      </c>
      <c r="S83" s="40">
        <v>220.94305775000001</v>
      </c>
      <c r="T83" s="40" t="e">
        <f>#REF!</f>
        <v>#REF!</v>
      </c>
      <c r="V83" s="40">
        <v>78</v>
      </c>
      <c r="W83" s="40">
        <v>27.406905550000001</v>
      </c>
      <c r="X83" s="40" t="e">
        <f>#REF!</f>
        <v>#REF!</v>
      </c>
    </row>
    <row r="84" spans="2:24" x14ac:dyDescent="0.35">
      <c r="B84" s="40">
        <v>79</v>
      </c>
      <c r="C84" s="40">
        <v>159.84172691000001</v>
      </c>
      <c r="D84" s="40" t="e">
        <f>#REF!</f>
        <v>#REF!</v>
      </c>
      <c r="F84" s="40">
        <v>79</v>
      </c>
      <c r="G84" s="40">
        <v>159.83172690999999</v>
      </c>
      <c r="H84" s="40" t="e">
        <f>#REF!</f>
        <v>#REF!</v>
      </c>
      <c r="J84" s="40">
        <v>79</v>
      </c>
      <c r="K84" s="40">
        <v>20.79141624</v>
      </c>
      <c r="L84" s="40" t="e">
        <f>#REF!</f>
        <v>#REF!</v>
      </c>
      <c r="N84" s="40">
        <v>79</v>
      </c>
      <c r="O84" s="40">
        <v>225.59398156</v>
      </c>
      <c r="P84" s="40" t="e">
        <f>#REF!</f>
        <v>#REF!</v>
      </c>
      <c r="R84" s="40">
        <v>79</v>
      </c>
      <c r="S84" s="40">
        <v>225.60398155999999</v>
      </c>
      <c r="T84" s="40" t="e">
        <f>#REF!</f>
        <v>#REF!</v>
      </c>
      <c r="V84" s="40">
        <v>79</v>
      </c>
      <c r="W84" s="40">
        <v>29.748473579999999</v>
      </c>
      <c r="X84" s="40" t="e">
        <f>#REF!</f>
        <v>#REF!</v>
      </c>
    </row>
    <row r="85" spans="2:24" x14ac:dyDescent="0.35">
      <c r="B85" s="40">
        <v>80</v>
      </c>
      <c r="C85" s="40">
        <v>159.84172691000001</v>
      </c>
      <c r="D85" s="40" t="e">
        <f>#REF!</f>
        <v>#REF!</v>
      </c>
      <c r="F85" s="40">
        <v>80</v>
      </c>
      <c r="G85" s="40">
        <v>159.83172690999999</v>
      </c>
      <c r="H85" s="40" t="e">
        <f>#REF!</f>
        <v>#REF!</v>
      </c>
      <c r="J85" s="40">
        <v>80</v>
      </c>
      <c r="K85" s="40">
        <v>20.843562670000001</v>
      </c>
      <c r="L85" s="40" t="e">
        <f>#REF!</f>
        <v>#REF!</v>
      </c>
      <c r="N85" s="40">
        <v>80</v>
      </c>
      <c r="O85" s="40">
        <v>225.59398156</v>
      </c>
      <c r="P85" s="40" t="e">
        <f>#REF!</f>
        <v>#REF!</v>
      </c>
      <c r="R85" s="40">
        <v>80</v>
      </c>
      <c r="S85" s="40">
        <v>225.60398155999999</v>
      </c>
      <c r="T85" s="40" t="e">
        <f>#REF!</f>
        <v>#REF!</v>
      </c>
      <c r="V85" s="40">
        <v>80</v>
      </c>
      <c r="W85" s="40">
        <v>29.821919250000001</v>
      </c>
      <c r="X85" s="40" t="e">
        <f>#REF!</f>
        <v>#REF!</v>
      </c>
    </row>
    <row r="86" spans="2:24" x14ac:dyDescent="0.35">
      <c r="B86" s="40">
        <v>81</v>
      </c>
      <c r="C86" s="40">
        <v>156.53247099999999</v>
      </c>
      <c r="D86" s="40" t="e">
        <f>#REF!</f>
        <v>#REF!</v>
      </c>
      <c r="F86" s="40">
        <v>81</v>
      </c>
      <c r="G86" s="40">
        <v>156.522471</v>
      </c>
      <c r="H86" s="40" t="e">
        <f>#REF!</f>
        <v>#REF!</v>
      </c>
      <c r="J86" s="40">
        <v>81</v>
      </c>
      <c r="K86" s="40">
        <v>15.632671999999999</v>
      </c>
      <c r="L86" s="40" t="e">
        <f>#REF!</f>
        <v>#REF!</v>
      </c>
      <c r="N86" s="40">
        <v>81</v>
      </c>
      <c r="O86" s="40">
        <v>220.93305774999999</v>
      </c>
      <c r="P86" s="40" t="e">
        <f>#REF!</f>
        <v>#REF!</v>
      </c>
      <c r="R86" s="40">
        <v>81</v>
      </c>
      <c r="S86" s="40">
        <v>388.55947887000002</v>
      </c>
      <c r="T86" s="40" t="e">
        <f>#REF!</f>
        <v>#REF!</v>
      </c>
      <c r="V86" s="40">
        <v>81</v>
      </c>
      <c r="W86" s="40">
        <v>22.482636620000001</v>
      </c>
      <c r="X86" s="40" t="e">
        <f>#REF!</f>
        <v>#REF!</v>
      </c>
    </row>
    <row r="87" spans="2:24" x14ac:dyDescent="0.35">
      <c r="B87" s="40">
        <v>82</v>
      </c>
      <c r="C87" s="40">
        <v>56.532471000000001</v>
      </c>
      <c r="D87" s="40" t="e">
        <f>#REF!</f>
        <v>#REF!</v>
      </c>
      <c r="F87" s="40">
        <v>82</v>
      </c>
      <c r="G87" s="40">
        <v>56.522471000000003</v>
      </c>
      <c r="H87" s="40" t="e">
        <f>#REF!</f>
        <v>#REF!</v>
      </c>
      <c r="J87" s="40">
        <v>82</v>
      </c>
      <c r="K87" s="40">
        <v>15.632671999999999</v>
      </c>
      <c r="L87" s="40" t="e">
        <f>#REF!</f>
        <v>#REF!</v>
      </c>
      <c r="N87" s="40">
        <v>82</v>
      </c>
      <c r="O87" s="40">
        <v>80.087987319999996</v>
      </c>
      <c r="P87" s="40" t="e">
        <f>#REF!</f>
        <v>#REF!</v>
      </c>
      <c r="R87" s="40">
        <v>82</v>
      </c>
      <c r="S87" s="40">
        <v>0.46478872999999998</v>
      </c>
      <c r="T87" s="40" t="e">
        <f>#REF!</f>
        <v>#REF!</v>
      </c>
      <c r="V87" s="40">
        <v>82</v>
      </c>
      <c r="W87" s="40">
        <v>22.482636620000001</v>
      </c>
      <c r="X87" s="40" t="e">
        <f>#REF!</f>
        <v>#REF!</v>
      </c>
    </row>
    <row r="88" spans="2:24" x14ac:dyDescent="0.35">
      <c r="B88" s="40">
        <v>83</v>
      </c>
      <c r="C88" s="40">
        <v>15.642671999999999</v>
      </c>
      <c r="D88" s="40" t="e">
        <f>#REF!</f>
        <v>#REF!</v>
      </c>
      <c r="F88" s="40">
        <v>83</v>
      </c>
      <c r="G88" s="40">
        <v>15.632671999999999</v>
      </c>
      <c r="H88" s="40" t="e">
        <f>#REF!</f>
        <v>#REF!</v>
      </c>
      <c r="J88" s="40">
        <v>83</v>
      </c>
      <c r="K88" s="40">
        <v>15.632671999999999</v>
      </c>
      <c r="L88" s="40" t="e">
        <f>#REF!</f>
        <v>#REF!</v>
      </c>
      <c r="N88" s="40">
        <v>83</v>
      </c>
      <c r="O88" s="40">
        <v>22.496721130000001</v>
      </c>
      <c r="P88" s="40" t="e">
        <f>#REF!</f>
        <v>#REF!</v>
      </c>
      <c r="R88" s="40">
        <v>83</v>
      </c>
      <c r="S88" s="40">
        <v>0.46478872999999998</v>
      </c>
      <c r="T88" s="40" t="e">
        <f>#REF!</f>
        <v>#REF!</v>
      </c>
      <c r="V88" s="40">
        <v>83</v>
      </c>
      <c r="W88" s="40">
        <v>22.482636620000001</v>
      </c>
      <c r="X88" s="40" t="e">
        <f>#REF!</f>
        <v>#REF!</v>
      </c>
    </row>
    <row r="89" spans="2:24" x14ac:dyDescent="0.35">
      <c r="B89" s="40">
        <v>84</v>
      </c>
      <c r="C89" s="40">
        <v>15.642671999999999</v>
      </c>
      <c r="D89" s="40" t="e">
        <f>#REF!</f>
        <v>#REF!</v>
      </c>
      <c r="F89" s="40">
        <v>84</v>
      </c>
      <c r="G89" s="40">
        <v>15.632671999999999</v>
      </c>
      <c r="H89" s="40" t="e">
        <f>#REF!</f>
        <v>#REF!</v>
      </c>
      <c r="J89" s="40">
        <v>84</v>
      </c>
      <c r="K89" s="40">
        <v>15.632671999999999</v>
      </c>
      <c r="L89" s="40" t="e">
        <f>#REF!</f>
        <v>#REF!</v>
      </c>
      <c r="N89" s="40">
        <v>84</v>
      </c>
      <c r="O89" s="40">
        <v>22.468552110000001</v>
      </c>
      <c r="P89" s="40" t="e">
        <f>#REF!</f>
        <v>#REF!</v>
      </c>
      <c r="R89" s="40">
        <v>84</v>
      </c>
      <c r="S89" s="40">
        <v>0.46478872999999998</v>
      </c>
      <c r="T89" s="40" t="e">
        <f>#REF!</f>
        <v>#REF!</v>
      </c>
      <c r="V89" s="40">
        <v>84</v>
      </c>
      <c r="W89" s="40">
        <v>22.478552109999999</v>
      </c>
      <c r="X89" s="40" t="e">
        <f>#REF!</f>
        <v>#REF!</v>
      </c>
    </row>
    <row r="90" spans="2:24" x14ac:dyDescent="0.35">
      <c r="B90" s="40">
        <v>85</v>
      </c>
      <c r="C90" s="40">
        <v>15.642671999999999</v>
      </c>
      <c r="D90" s="40" t="e">
        <f>#REF!</f>
        <v>#REF!</v>
      </c>
      <c r="F90" s="40">
        <v>85</v>
      </c>
      <c r="G90" s="40">
        <v>15.632671999999999</v>
      </c>
      <c r="H90" s="40" t="e">
        <f>#REF!</f>
        <v>#REF!</v>
      </c>
      <c r="J90" s="40">
        <v>85</v>
      </c>
      <c r="K90" s="40">
        <v>15.632671999999999</v>
      </c>
      <c r="L90" s="40" t="e">
        <f>#REF!</f>
        <v>#REF!</v>
      </c>
      <c r="N90" s="40">
        <v>85</v>
      </c>
      <c r="O90" s="40">
        <v>22.468552110000001</v>
      </c>
      <c r="P90" s="40" t="e">
        <f>#REF!</f>
        <v>#REF!</v>
      </c>
      <c r="R90" s="40">
        <v>85</v>
      </c>
      <c r="S90" s="40">
        <v>0.46478872999999998</v>
      </c>
      <c r="T90" s="40" t="e">
        <f>#REF!</f>
        <v>#REF!</v>
      </c>
      <c r="V90" s="40">
        <v>85</v>
      </c>
      <c r="W90" s="40">
        <v>22.478552109999999</v>
      </c>
      <c r="X90" s="40" t="e">
        <f>#REF!</f>
        <v>#REF!</v>
      </c>
    </row>
    <row r="91" spans="2:24" x14ac:dyDescent="0.35">
      <c r="B91" s="40">
        <v>86</v>
      </c>
      <c r="C91" s="40">
        <v>15.642671999999999</v>
      </c>
      <c r="D91" s="40" t="e">
        <f>#REF!</f>
        <v>#REF!</v>
      </c>
      <c r="F91" s="40">
        <v>86</v>
      </c>
      <c r="G91" s="40">
        <v>15.632671999999999</v>
      </c>
      <c r="H91" s="40" t="e">
        <f>#REF!</f>
        <v>#REF!</v>
      </c>
      <c r="J91" s="40">
        <v>86</v>
      </c>
      <c r="K91" s="40">
        <v>15.632671999999999</v>
      </c>
      <c r="L91" s="40" t="e">
        <f>#REF!</f>
        <v>#REF!</v>
      </c>
      <c r="N91" s="40">
        <v>86</v>
      </c>
      <c r="O91" s="40">
        <v>22.468552110000001</v>
      </c>
      <c r="P91" s="40" t="e">
        <f>#REF!</f>
        <v>#REF!</v>
      </c>
      <c r="R91" s="40">
        <v>86</v>
      </c>
      <c r="S91" s="40">
        <v>0.46478872999999998</v>
      </c>
      <c r="T91" s="40" t="e">
        <f>#REF!</f>
        <v>#REF!</v>
      </c>
      <c r="V91" s="40">
        <v>86</v>
      </c>
      <c r="W91" s="40">
        <v>22.468552110000001</v>
      </c>
      <c r="X91" s="40" t="e">
        <f>#REF!</f>
        <v>#REF!</v>
      </c>
    </row>
    <row r="92" spans="2:24" x14ac:dyDescent="0.35">
      <c r="B92" s="40">
        <v>87</v>
      </c>
      <c r="C92" s="40">
        <v>15.642671999999999</v>
      </c>
      <c r="D92" s="40" t="e">
        <f>#REF!</f>
        <v>#REF!</v>
      </c>
      <c r="F92" s="40">
        <v>87</v>
      </c>
      <c r="G92" s="40">
        <v>15.632671999999999</v>
      </c>
      <c r="H92" s="40" t="e">
        <f>#REF!</f>
        <v>#REF!</v>
      </c>
      <c r="J92" s="40">
        <v>87</v>
      </c>
      <c r="K92" s="40">
        <v>15.632671999999999</v>
      </c>
      <c r="L92" s="40" t="e">
        <f>#REF!</f>
        <v>#REF!</v>
      </c>
      <c r="N92" s="40">
        <v>87</v>
      </c>
      <c r="O92" s="40">
        <v>22.468552110000001</v>
      </c>
      <c r="P92" s="40" t="e">
        <f>#REF!</f>
        <v>#REF!</v>
      </c>
      <c r="R92" s="40">
        <v>87</v>
      </c>
      <c r="S92" s="40">
        <v>0.46478872999999998</v>
      </c>
      <c r="T92" s="40" t="e">
        <f>#REF!</f>
        <v>#REF!</v>
      </c>
      <c r="V92" s="40">
        <v>87</v>
      </c>
      <c r="W92" s="40">
        <v>22.468552110000001</v>
      </c>
      <c r="X92" s="40" t="e">
        <f>#REF!</f>
        <v>#REF!</v>
      </c>
    </row>
    <row r="93" spans="2:24" x14ac:dyDescent="0.35">
      <c r="B93" s="40">
        <v>88</v>
      </c>
      <c r="C93" s="40">
        <v>15.642671999999999</v>
      </c>
      <c r="D93" s="40" t="e">
        <f>#REF!</f>
        <v>#REF!</v>
      </c>
      <c r="F93" s="40">
        <v>88</v>
      </c>
      <c r="G93" s="40">
        <v>15.632671999999999</v>
      </c>
      <c r="H93" s="40" t="e">
        <f>#REF!</f>
        <v>#REF!</v>
      </c>
      <c r="J93" s="40">
        <v>88</v>
      </c>
      <c r="K93" s="40">
        <v>15.632671999999999</v>
      </c>
      <c r="L93" s="40" t="e">
        <f>#REF!</f>
        <v>#REF!</v>
      </c>
      <c r="N93" s="40">
        <v>88</v>
      </c>
      <c r="O93" s="40">
        <v>22.496721130000001</v>
      </c>
      <c r="P93" s="40" t="e">
        <f>#REF!</f>
        <v>#REF!</v>
      </c>
      <c r="R93" s="40">
        <v>88</v>
      </c>
      <c r="S93" s="40">
        <v>44.480484509999997</v>
      </c>
      <c r="T93" s="40" t="e">
        <f>#REF!</f>
        <v>#REF!</v>
      </c>
      <c r="V93" s="40">
        <v>88</v>
      </c>
      <c r="W93" s="40">
        <v>22.482636620000001</v>
      </c>
      <c r="X93" s="40" t="e">
        <f>#REF!</f>
        <v>#REF!</v>
      </c>
    </row>
    <row r="94" spans="2:24" x14ac:dyDescent="0.35">
      <c r="B94" s="40">
        <v>89</v>
      </c>
      <c r="C94" s="40">
        <v>20.856895999999999</v>
      </c>
      <c r="D94" s="40" t="e">
        <f>#REF!</f>
        <v>#REF!</v>
      </c>
      <c r="F94" s="40">
        <v>89</v>
      </c>
      <c r="G94" s="40">
        <v>20.846896000000001</v>
      </c>
      <c r="H94" s="40" t="e">
        <f>#REF!</f>
        <v>#REF!</v>
      </c>
      <c r="J94" s="40">
        <v>89</v>
      </c>
      <c r="K94" s="40">
        <v>20.843562670000001</v>
      </c>
      <c r="L94" s="40" t="e">
        <f>#REF!</f>
        <v>#REF!</v>
      </c>
      <c r="N94" s="40">
        <v>89</v>
      </c>
      <c r="O94" s="40">
        <v>29.840698589999999</v>
      </c>
      <c r="P94" s="40" t="e">
        <f>#REF!</f>
        <v>#REF!</v>
      </c>
      <c r="R94" s="40">
        <v>89</v>
      </c>
      <c r="S94" s="40">
        <v>29.830698590000001</v>
      </c>
      <c r="T94" s="40" t="e">
        <f>#REF!</f>
        <v>#REF!</v>
      </c>
      <c r="V94" s="40">
        <v>89</v>
      </c>
      <c r="W94" s="40">
        <v>29.821919250000001</v>
      </c>
      <c r="X94" s="40" t="e">
        <f>#REF!</f>
        <v>#REF!</v>
      </c>
    </row>
    <row r="95" spans="2:24" x14ac:dyDescent="0.35">
      <c r="B95" s="40">
        <v>90</v>
      </c>
      <c r="C95" s="40">
        <v>20.856895999999999</v>
      </c>
      <c r="D95" s="40" t="e">
        <f>#REF!</f>
        <v>#REF!</v>
      </c>
      <c r="F95" s="40">
        <v>90</v>
      </c>
      <c r="G95" s="40">
        <v>20.846896000000001</v>
      </c>
      <c r="H95" s="40" t="e">
        <f>#REF!</f>
        <v>#REF!</v>
      </c>
      <c r="J95" s="40">
        <v>90</v>
      </c>
      <c r="K95" s="40">
        <v>20.843562670000001</v>
      </c>
      <c r="L95" s="40" t="e">
        <f>#REF!</f>
        <v>#REF!</v>
      </c>
      <c r="N95" s="40">
        <v>90</v>
      </c>
      <c r="O95" s="40">
        <v>29.840698589999999</v>
      </c>
      <c r="P95" s="40" t="e">
        <f>#REF!</f>
        <v>#REF!</v>
      </c>
      <c r="R95" s="40">
        <v>90</v>
      </c>
      <c r="S95" s="40">
        <v>29.830698590000001</v>
      </c>
      <c r="T95" s="40" t="e">
        <f>#REF!</f>
        <v>#REF!</v>
      </c>
      <c r="V95" s="40">
        <v>90</v>
      </c>
      <c r="W95" s="40">
        <v>29.821919250000001</v>
      </c>
      <c r="X95" s="40" t="e">
        <f>#REF!</f>
        <v>#REF!</v>
      </c>
    </row>
    <row r="96" spans="2:24" x14ac:dyDescent="0.35">
      <c r="B96" s="40">
        <v>91</v>
      </c>
      <c r="C96" s="40">
        <v>20.856895999999999</v>
      </c>
      <c r="D96" s="40" t="e">
        <f>#REF!</f>
        <v>#REF!</v>
      </c>
      <c r="F96" s="40">
        <v>91</v>
      </c>
      <c r="G96" s="40">
        <v>20.846896000000001</v>
      </c>
      <c r="H96" s="40" t="e">
        <f>#REF!</f>
        <v>#REF!</v>
      </c>
      <c r="J96" s="40">
        <v>91</v>
      </c>
      <c r="K96" s="40">
        <v>20.843562670000001</v>
      </c>
      <c r="L96" s="40" t="e">
        <f>#REF!</f>
        <v>#REF!</v>
      </c>
      <c r="N96" s="40">
        <v>91</v>
      </c>
      <c r="O96" s="40">
        <v>29.840698589999999</v>
      </c>
      <c r="P96" s="40" t="e">
        <f>#REF!</f>
        <v>#REF!</v>
      </c>
      <c r="R96" s="40">
        <v>91</v>
      </c>
      <c r="S96" s="40">
        <v>29.830698590000001</v>
      </c>
      <c r="T96" s="40" t="e">
        <f>#REF!</f>
        <v>#REF!</v>
      </c>
      <c r="V96" s="40">
        <v>91</v>
      </c>
      <c r="W96" s="40">
        <v>29.821919250000001</v>
      </c>
      <c r="X96" s="40" t="e">
        <f>#REF!</f>
        <v>#REF!</v>
      </c>
    </row>
    <row r="97" spans="2:24" x14ac:dyDescent="0.35">
      <c r="B97" s="40">
        <v>92</v>
      </c>
      <c r="C97" s="40">
        <v>20.856895999999999</v>
      </c>
      <c r="D97" s="40" t="e">
        <f>#REF!</f>
        <v>#REF!</v>
      </c>
      <c r="F97" s="40">
        <v>92</v>
      </c>
      <c r="G97" s="40">
        <v>20.846896000000001</v>
      </c>
      <c r="H97" s="40" t="e">
        <f>#REF!</f>
        <v>#REF!</v>
      </c>
      <c r="J97" s="40">
        <v>92</v>
      </c>
      <c r="K97" s="40">
        <v>15.632671999999999</v>
      </c>
      <c r="L97" s="40" t="e">
        <f>#REF!</f>
        <v>#REF!</v>
      </c>
      <c r="N97" s="40">
        <v>92</v>
      </c>
      <c r="O97" s="40">
        <v>29.840698589999999</v>
      </c>
      <c r="P97" s="40" t="e">
        <f>#REF!</f>
        <v>#REF!</v>
      </c>
      <c r="R97" s="40">
        <v>92</v>
      </c>
      <c r="S97" s="40">
        <v>59.196608449999999</v>
      </c>
      <c r="T97" s="40" t="e">
        <f>#REF!</f>
        <v>#REF!</v>
      </c>
      <c r="V97" s="40">
        <v>92</v>
      </c>
      <c r="W97" s="40">
        <v>22.482636620000001</v>
      </c>
      <c r="X97" s="40" t="e">
        <f>#REF!</f>
        <v>#REF!</v>
      </c>
    </row>
    <row r="98" spans="2:24" x14ac:dyDescent="0.35">
      <c r="B98" s="40">
        <v>93</v>
      </c>
      <c r="C98" s="40">
        <v>20.856895999999999</v>
      </c>
      <c r="D98" s="40" t="e">
        <f>#REF!</f>
        <v>#REF!</v>
      </c>
      <c r="F98" s="40">
        <v>93</v>
      </c>
      <c r="G98" s="40">
        <v>20.846896000000001</v>
      </c>
      <c r="H98" s="40" t="e">
        <f>#REF!</f>
        <v>#REF!</v>
      </c>
      <c r="J98" s="40">
        <v>93</v>
      </c>
      <c r="K98" s="40">
        <v>15.632671999999999</v>
      </c>
      <c r="L98" s="40" t="e">
        <f>#REF!</f>
        <v>#REF!</v>
      </c>
      <c r="N98" s="40">
        <v>93</v>
      </c>
      <c r="O98" s="40">
        <v>29.840698589999999</v>
      </c>
      <c r="P98" s="40" t="e">
        <f>#REF!</f>
        <v>#REF!</v>
      </c>
      <c r="R98" s="40">
        <v>93</v>
      </c>
      <c r="S98" s="40">
        <v>0.46478872999999998</v>
      </c>
      <c r="T98" s="40" t="e">
        <f>#REF!</f>
        <v>#REF!</v>
      </c>
      <c r="V98" s="40">
        <v>93</v>
      </c>
      <c r="W98" s="40">
        <v>22.482636620000001</v>
      </c>
      <c r="X98" s="40" t="e">
        <f>#REF!</f>
        <v>#REF!</v>
      </c>
    </row>
    <row r="99" spans="2:24" x14ac:dyDescent="0.35">
      <c r="B99" s="40">
        <v>94</v>
      </c>
      <c r="C99" s="40">
        <v>15.642671999999999</v>
      </c>
      <c r="D99" s="40" t="e">
        <f>#REF!</f>
        <v>#REF!</v>
      </c>
      <c r="F99" s="40">
        <v>94</v>
      </c>
      <c r="G99" s="40">
        <v>15.632671999999999</v>
      </c>
      <c r="H99" s="40" t="e">
        <f>#REF!</f>
        <v>#REF!</v>
      </c>
      <c r="J99" s="40">
        <v>94</v>
      </c>
      <c r="K99" s="40">
        <v>15.632671999999999</v>
      </c>
      <c r="L99" s="40" t="e">
        <f>#REF!</f>
        <v>#REF!</v>
      </c>
      <c r="N99" s="40">
        <v>94</v>
      </c>
      <c r="O99" s="40">
        <v>22.496721130000001</v>
      </c>
      <c r="P99" s="40" t="e">
        <f>#REF!</f>
        <v>#REF!</v>
      </c>
      <c r="R99" s="40">
        <v>94</v>
      </c>
      <c r="S99" s="40">
        <v>22.486721129999999</v>
      </c>
      <c r="T99" s="40" t="e">
        <f>#REF!</f>
        <v>#REF!</v>
      </c>
      <c r="V99" s="40">
        <v>94</v>
      </c>
      <c r="W99" s="40">
        <v>22.482636620000001</v>
      </c>
      <c r="X99" s="40" t="e">
        <f>#REF!</f>
        <v>#REF!</v>
      </c>
    </row>
    <row r="100" spans="2:24" x14ac:dyDescent="0.35">
      <c r="B100" s="40">
        <v>95</v>
      </c>
      <c r="C100" s="40">
        <v>15.622672</v>
      </c>
      <c r="D100" s="40" t="e">
        <f>#REF!</f>
        <v>#REF!</v>
      </c>
      <c r="F100" s="40">
        <v>95</v>
      </c>
      <c r="G100" s="40">
        <v>15.612672</v>
      </c>
      <c r="H100" s="40" t="e">
        <f>#REF!</f>
        <v>#REF!</v>
      </c>
      <c r="J100" s="40">
        <v>95</v>
      </c>
      <c r="K100" s="40">
        <v>15.632671999999999</v>
      </c>
      <c r="L100" s="40" t="e">
        <f>#REF!</f>
        <v>#REF!</v>
      </c>
      <c r="N100" s="40">
        <v>95</v>
      </c>
      <c r="O100" s="40">
        <v>22.468552110000001</v>
      </c>
      <c r="P100" s="40" t="e">
        <f>#REF!</f>
        <v>#REF!</v>
      </c>
      <c r="R100" s="40">
        <v>95</v>
      </c>
      <c r="S100" s="40">
        <v>22.458552109999999</v>
      </c>
      <c r="T100" s="40" t="e">
        <f>#REF!</f>
        <v>#REF!</v>
      </c>
      <c r="V100" s="40">
        <v>95</v>
      </c>
      <c r="W100" s="40">
        <v>22.468552110000001</v>
      </c>
      <c r="X100" s="40" t="e">
        <f>#REF!</f>
        <v>#REF!</v>
      </c>
    </row>
    <row r="101" spans="2:24" x14ac:dyDescent="0.35">
      <c r="B101" s="40">
        <v>96</v>
      </c>
      <c r="C101" s="40">
        <v>15.622672</v>
      </c>
      <c r="D101" s="40" t="e">
        <f>#REF!</f>
        <v>#REF!</v>
      </c>
      <c r="F101" s="40">
        <v>96</v>
      </c>
      <c r="G101" s="40">
        <v>15.612672</v>
      </c>
      <c r="H101" s="40" t="e">
        <f>#REF!</f>
        <v>#REF!</v>
      </c>
      <c r="J101" s="40">
        <v>96</v>
      </c>
      <c r="K101" s="40">
        <v>15.632671999999999</v>
      </c>
      <c r="L101" s="40" t="e">
        <f>#REF!</f>
        <v>#REF!</v>
      </c>
      <c r="N101" s="40">
        <v>96</v>
      </c>
      <c r="O101" s="40">
        <v>22.468552110000001</v>
      </c>
      <c r="P101" s="40" t="e">
        <f>#REF!</f>
        <v>#REF!</v>
      </c>
      <c r="R101" s="40">
        <v>96</v>
      </c>
      <c r="S101" s="40">
        <v>22.458552109999999</v>
      </c>
      <c r="T101" s="40" t="e">
        <f>#REF!</f>
        <v>#REF!</v>
      </c>
      <c r="V101" s="40">
        <v>96</v>
      </c>
      <c r="W101" s="40">
        <v>22.468552110000001</v>
      </c>
      <c r="X101" s="40" t="e">
        <f>#REF!</f>
        <v>#REF!</v>
      </c>
    </row>
    <row r="102" spans="2:24" x14ac:dyDescent="0.35">
      <c r="B102" s="40">
        <v>97</v>
      </c>
      <c r="C102" s="40">
        <v>15.622672</v>
      </c>
      <c r="D102" s="40" t="e">
        <f>#REF!</f>
        <v>#REF!</v>
      </c>
      <c r="F102" s="40">
        <v>97</v>
      </c>
      <c r="G102" s="40">
        <v>15.612672</v>
      </c>
      <c r="H102" s="40" t="e">
        <f>#REF!</f>
        <v>#REF!</v>
      </c>
      <c r="J102" s="40">
        <v>97</v>
      </c>
      <c r="K102" s="40">
        <v>15.632671999999999</v>
      </c>
      <c r="L102" s="40" t="e">
        <f>#REF!</f>
        <v>#REF!</v>
      </c>
      <c r="N102" s="40">
        <v>97</v>
      </c>
      <c r="O102" s="40">
        <v>22.468552110000001</v>
      </c>
      <c r="P102" s="40" t="e">
        <f>#REF!</f>
        <v>#REF!</v>
      </c>
      <c r="R102" s="40">
        <v>97</v>
      </c>
      <c r="S102" s="40">
        <v>22.458552109999999</v>
      </c>
      <c r="T102" s="40" t="e">
        <f>#REF!</f>
        <v>#REF!</v>
      </c>
      <c r="V102" s="40">
        <v>97</v>
      </c>
      <c r="W102" s="40">
        <v>22.468552110000001</v>
      </c>
      <c r="X102" s="40" t="e">
        <f>#REF!</f>
        <v>#REF!</v>
      </c>
    </row>
    <row r="103" spans="2:24" x14ac:dyDescent="0.35">
      <c r="B103" s="40">
        <v>98</v>
      </c>
      <c r="C103" s="40">
        <v>15.622672</v>
      </c>
      <c r="D103" s="40" t="e">
        <f>#REF!</f>
        <v>#REF!</v>
      </c>
      <c r="F103" s="40">
        <v>98</v>
      </c>
      <c r="G103" s="40">
        <v>15.612672</v>
      </c>
      <c r="H103" s="40" t="e">
        <f>#REF!</f>
        <v>#REF!</v>
      </c>
      <c r="J103" s="40">
        <v>98</v>
      </c>
      <c r="K103" s="40">
        <v>15.632671999999999</v>
      </c>
      <c r="L103" s="40" t="e">
        <f>#REF!</f>
        <v>#REF!</v>
      </c>
      <c r="N103" s="40">
        <v>98</v>
      </c>
      <c r="O103" s="40">
        <v>22.468552110000001</v>
      </c>
      <c r="P103" s="40" t="e">
        <f>#REF!</f>
        <v>#REF!</v>
      </c>
      <c r="R103" s="40">
        <v>98</v>
      </c>
      <c r="S103" s="40">
        <v>22.458552109999999</v>
      </c>
      <c r="T103" s="40" t="e">
        <f>#REF!</f>
        <v>#REF!</v>
      </c>
      <c r="V103" s="40">
        <v>98</v>
      </c>
      <c r="W103" s="40">
        <v>22.468552110000001</v>
      </c>
      <c r="X103" s="40" t="e">
        <f>#REF!</f>
        <v>#REF!</v>
      </c>
    </row>
    <row r="104" spans="2:24" x14ac:dyDescent="0.35">
      <c r="B104" s="40">
        <v>99</v>
      </c>
      <c r="C104" s="40">
        <v>15.622672</v>
      </c>
      <c r="D104" s="40" t="e">
        <f>#REF!</f>
        <v>#REF!</v>
      </c>
      <c r="F104" s="40">
        <v>99</v>
      </c>
      <c r="G104" s="40">
        <v>15.612672</v>
      </c>
      <c r="H104" s="40" t="e">
        <f>#REF!</f>
        <v>#REF!</v>
      </c>
      <c r="J104" s="40">
        <v>99</v>
      </c>
      <c r="K104" s="40">
        <v>15.632671999999999</v>
      </c>
      <c r="L104" s="40" t="e">
        <f>#REF!</f>
        <v>#REF!</v>
      </c>
      <c r="N104" s="40">
        <v>99</v>
      </c>
      <c r="O104" s="40">
        <v>22.468552110000001</v>
      </c>
      <c r="P104" s="40" t="e">
        <f>#REF!</f>
        <v>#REF!</v>
      </c>
      <c r="R104" s="40">
        <v>99</v>
      </c>
      <c r="S104" s="40">
        <v>22.458552109999999</v>
      </c>
      <c r="T104" s="40" t="e">
        <f>#REF!</f>
        <v>#REF!</v>
      </c>
      <c r="V104" s="40">
        <v>99</v>
      </c>
      <c r="W104" s="40">
        <v>22.468552110000001</v>
      </c>
      <c r="X104" s="40" t="e">
        <f>#REF!</f>
        <v>#REF!</v>
      </c>
    </row>
    <row r="105" spans="2:24" x14ac:dyDescent="0.35">
      <c r="B105" s="40">
        <v>100</v>
      </c>
      <c r="C105" s="40">
        <v>15.622672</v>
      </c>
      <c r="D105" s="40" t="e">
        <f>#REF!</f>
        <v>#REF!</v>
      </c>
      <c r="F105" s="40">
        <v>100</v>
      </c>
      <c r="G105" s="40">
        <v>15.612672</v>
      </c>
      <c r="H105" s="40" t="e">
        <f>#REF!</f>
        <v>#REF!</v>
      </c>
      <c r="J105" s="40">
        <v>100</v>
      </c>
      <c r="K105" s="40">
        <v>15.632671999999999</v>
      </c>
      <c r="L105" s="40" t="e">
        <f>#REF!</f>
        <v>#REF!</v>
      </c>
      <c r="N105" s="40">
        <v>100</v>
      </c>
      <c r="O105" s="40">
        <v>22.468552110000001</v>
      </c>
      <c r="P105" s="40" t="e">
        <f>#REF!</f>
        <v>#REF!</v>
      </c>
      <c r="R105" s="40">
        <v>100</v>
      </c>
      <c r="S105" s="40">
        <v>22.458552109999999</v>
      </c>
      <c r="T105" s="40" t="e">
        <f>#REF!</f>
        <v>#REF!</v>
      </c>
      <c r="V105" s="40">
        <v>100</v>
      </c>
      <c r="W105" s="40">
        <v>22.468552110000001</v>
      </c>
      <c r="X105" s="40" t="e">
        <f>#REF!</f>
        <v>#REF!</v>
      </c>
    </row>
    <row r="106" spans="2:24" x14ac:dyDescent="0.35">
      <c r="B106" s="40">
        <v>101</v>
      </c>
      <c r="C106" s="40">
        <v>15.622672</v>
      </c>
      <c r="D106" s="40" t="e">
        <f>#REF!</f>
        <v>#REF!</v>
      </c>
      <c r="F106" s="40">
        <v>101</v>
      </c>
      <c r="G106" s="40">
        <v>15.612672</v>
      </c>
      <c r="H106" s="40" t="e">
        <f>#REF!</f>
        <v>#REF!</v>
      </c>
      <c r="J106" s="40">
        <v>101</v>
      </c>
      <c r="K106" s="40">
        <v>15.632671999999999</v>
      </c>
      <c r="L106" s="40" t="e">
        <f>#REF!</f>
        <v>#REF!</v>
      </c>
      <c r="N106" s="40">
        <v>101</v>
      </c>
      <c r="O106" s="40">
        <v>22.468552110000001</v>
      </c>
      <c r="P106" s="40" t="e">
        <f>#REF!</f>
        <v>#REF!</v>
      </c>
      <c r="R106" s="40">
        <v>101</v>
      </c>
      <c r="S106" s="40">
        <v>22.458552109999999</v>
      </c>
      <c r="T106" s="40" t="e">
        <f>#REF!</f>
        <v>#REF!</v>
      </c>
      <c r="V106" s="40">
        <v>101</v>
      </c>
      <c r="W106" s="40">
        <v>22.468552110000001</v>
      </c>
      <c r="X106" s="40" t="e">
        <f>#REF!</f>
        <v>#REF!</v>
      </c>
    </row>
    <row r="107" spans="2:24" x14ac:dyDescent="0.35">
      <c r="B107" s="40">
        <v>102</v>
      </c>
      <c r="C107" s="40">
        <v>15.622672</v>
      </c>
      <c r="D107" s="40" t="e">
        <f>#REF!</f>
        <v>#REF!</v>
      </c>
      <c r="F107" s="40">
        <v>102</v>
      </c>
      <c r="G107" s="40">
        <v>15.612672</v>
      </c>
      <c r="H107" s="40" t="e">
        <f>#REF!</f>
        <v>#REF!</v>
      </c>
      <c r="J107" s="40">
        <v>102</v>
      </c>
      <c r="K107" s="40">
        <v>15.632671999999999</v>
      </c>
      <c r="L107" s="40" t="e">
        <f>#REF!</f>
        <v>#REF!</v>
      </c>
      <c r="N107" s="40">
        <v>102</v>
      </c>
      <c r="O107" s="40">
        <v>22.468552110000001</v>
      </c>
      <c r="P107" s="40" t="e">
        <f>#REF!</f>
        <v>#REF!</v>
      </c>
      <c r="R107" s="40">
        <v>102</v>
      </c>
      <c r="S107" s="40">
        <v>22.458552109999999</v>
      </c>
      <c r="T107" s="40" t="e">
        <f>#REF!</f>
        <v>#REF!</v>
      </c>
      <c r="V107" s="40">
        <v>102</v>
      </c>
      <c r="W107" s="40">
        <v>22.468552110000001</v>
      </c>
      <c r="X107" s="40" t="e">
        <f>#REF!</f>
        <v>#REF!</v>
      </c>
    </row>
    <row r="108" spans="2:24" x14ac:dyDescent="0.35">
      <c r="B108" s="40">
        <v>103</v>
      </c>
      <c r="C108" s="40">
        <v>15.622672</v>
      </c>
      <c r="D108" s="40" t="e">
        <f>#REF!</f>
        <v>#REF!</v>
      </c>
      <c r="F108" s="40">
        <v>103</v>
      </c>
      <c r="G108" s="40">
        <v>15.612672</v>
      </c>
      <c r="H108" s="40" t="e">
        <f>#REF!</f>
        <v>#REF!</v>
      </c>
      <c r="J108" s="40">
        <v>103</v>
      </c>
      <c r="K108" s="40">
        <v>15.632671999999999</v>
      </c>
      <c r="L108" s="40" t="e">
        <f>#REF!</f>
        <v>#REF!</v>
      </c>
      <c r="N108" s="40">
        <v>103</v>
      </c>
      <c r="O108" s="40">
        <v>22.468552110000001</v>
      </c>
      <c r="P108" s="40" t="e">
        <f>#REF!</f>
        <v>#REF!</v>
      </c>
      <c r="R108" s="40">
        <v>103</v>
      </c>
      <c r="S108" s="40">
        <v>22.458552109999999</v>
      </c>
      <c r="T108" s="40" t="e">
        <f>#REF!</f>
        <v>#REF!</v>
      </c>
      <c r="V108" s="40">
        <v>103</v>
      </c>
      <c r="W108" s="40">
        <v>22.468552110000001</v>
      </c>
      <c r="X108" s="40" t="e">
        <f>#REF!</f>
        <v>#REF!</v>
      </c>
    </row>
    <row r="109" spans="2:24" x14ac:dyDescent="0.35">
      <c r="B109" s="40">
        <v>104</v>
      </c>
      <c r="C109" s="40">
        <v>15.622672</v>
      </c>
      <c r="D109" s="40" t="e">
        <f>#REF!</f>
        <v>#REF!</v>
      </c>
      <c r="F109" s="40">
        <v>104</v>
      </c>
      <c r="G109" s="40">
        <v>15.612672</v>
      </c>
      <c r="H109" s="40" t="e">
        <f>#REF!</f>
        <v>#REF!</v>
      </c>
      <c r="J109" s="40">
        <v>104</v>
      </c>
      <c r="K109" s="40">
        <v>15.632671999999999</v>
      </c>
      <c r="L109" s="40" t="e">
        <f>#REF!</f>
        <v>#REF!</v>
      </c>
      <c r="N109" s="40">
        <v>104</v>
      </c>
      <c r="O109" s="40">
        <v>22.468552110000001</v>
      </c>
      <c r="P109" s="40" t="e">
        <f>#REF!</f>
        <v>#REF!</v>
      </c>
      <c r="R109" s="40">
        <v>104</v>
      </c>
      <c r="S109" s="40">
        <v>22.458552109999999</v>
      </c>
      <c r="T109" s="40" t="e">
        <f>#REF!</f>
        <v>#REF!</v>
      </c>
      <c r="V109" s="40">
        <v>104</v>
      </c>
      <c r="W109" s="40">
        <v>22.468552110000001</v>
      </c>
      <c r="X109" s="40" t="e">
        <f>#REF!</f>
        <v>#REF!</v>
      </c>
    </row>
    <row r="110" spans="2:24" x14ac:dyDescent="0.35">
      <c r="B110" s="40">
        <v>105</v>
      </c>
      <c r="C110" s="40">
        <v>11.717003999999999</v>
      </c>
      <c r="D110" s="40" t="e">
        <f>#REF!</f>
        <v>#REF!</v>
      </c>
      <c r="F110" s="40">
        <v>105</v>
      </c>
      <c r="G110" s="40">
        <v>11.707004</v>
      </c>
      <c r="H110" s="40" t="e">
        <f>#REF!</f>
        <v>#REF!</v>
      </c>
      <c r="J110" s="40">
        <v>105</v>
      </c>
      <c r="K110" s="40">
        <v>15.632671999999999</v>
      </c>
      <c r="L110" s="40" t="e">
        <f>#REF!</f>
        <v>#REF!</v>
      </c>
      <c r="N110" s="40">
        <v>105</v>
      </c>
      <c r="O110" s="40">
        <v>16.967611269999999</v>
      </c>
      <c r="P110" s="40" t="e">
        <f>#REF!</f>
        <v>#REF!</v>
      </c>
      <c r="R110" s="40">
        <v>105</v>
      </c>
      <c r="S110" s="40">
        <v>16.92761127</v>
      </c>
      <c r="T110" s="40" t="e">
        <f>#REF!</f>
        <v>#REF!</v>
      </c>
      <c r="V110" s="40">
        <v>105</v>
      </c>
      <c r="W110" s="40">
        <v>16.967611269999999</v>
      </c>
      <c r="X110" s="40" t="e">
        <f>#REF!</f>
        <v>#REF!</v>
      </c>
    </row>
    <row r="111" spans="2:24" x14ac:dyDescent="0.35">
      <c r="B111" s="40">
        <v>106</v>
      </c>
      <c r="C111" s="40">
        <v>0</v>
      </c>
      <c r="D111" s="40" t="e">
        <f>#REF!</f>
        <v>#REF!</v>
      </c>
      <c r="F111" s="40">
        <v>106</v>
      </c>
      <c r="G111" s="40">
        <v>0.01</v>
      </c>
      <c r="H111" s="40" t="e">
        <f>#REF!</f>
        <v>#REF!</v>
      </c>
      <c r="J111" s="40">
        <v>106</v>
      </c>
      <c r="K111" s="40">
        <v>15.622672</v>
      </c>
      <c r="L111" s="40" t="e">
        <f>#REF!</f>
        <v>#REF!</v>
      </c>
      <c r="N111" s="40">
        <v>106</v>
      </c>
      <c r="O111" s="40">
        <v>0.46478872999999998</v>
      </c>
      <c r="P111" s="40" t="e">
        <f>#REF!</f>
        <v>#REF!</v>
      </c>
      <c r="R111" s="40">
        <v>106</v>
      </c>
      <c r="S111" s="40">
        <v>0.46478872999999998</v>
      </c>
      <c r="T111" s="40" t="e">
        <f>#REF!</f>
        <v>#REF!</v>
      </c>
      <c r="V111" s="40">
        <v>106</v>
      </c>
      <c r="W111" s="40">
        <v>0.46478872999999998</v>
      </c>
      <c r="X111" s="40" t="e">
        <f>#REF!</f>
        <v>#REF!</v>
      </c>
    </row>
    <row r="112" spans="2:24" x14ac:dyDescent="0.35">
      <c r="B112" s="40">
        <v>107</v>
      </c>
      <c r="C112" s="40">
        <v>0</v>
      </c>
      <c r="D112" s="40" t="e">
        <f>#REF!</f>
        <v>#REF!</v>
      </c>
      <c r="F112" s="40">
        <v>107</v>
      </c>
      <c r="G112" s="40">
        <v>0.01</v>
      </c>
      <c r="H112" s="40" t="e">
        <f>#REF!</f>
        <v>#REF!</v>
      </c>
      <c r="J112" s="40">
        <v>107</v>
      </c>
      <c r="K112" s="40">
        <v>15.011112430000001</v>
      </c>
      <c r="L112" s="40" t="e">
        <f>#REF!</f>
        <v>#REF!</v>
      </c>
      <c r="N112" s="40">
        <v>107</v>
      </c>
      <c r="O112" s="40">
        <v>0.46478872999999998</v>
      </c>
      <c r="P112" s="40" t="e">
        <f>#REF!</f>
        <v>#REF!</v>
      </c>
      <c r="R112" s="40">
        <v>107</v>
      </c>
      <c r="S112" s="40">
        <v>0.46478872999999998</v>
      </c>
      <c r="T112" s="40" t="e">
        <f>#REF!</f>
        <v>#REF!</v>
      </c>
      <c r="V112" s="40">
        <v>107</v>
      </c>
      <c r="W112" s="40">
        <v>0.46478872999999998</v>
      </c>
      <c r="X112" s="40" t="e">
        <f>#REF!</f>
        <v>#REF!</v>
      </c>
    </row>
    <row r="113" spans="2:24" x14ac:dyDescent="0.35">
      <c r="B113" s="40">
        <v>108</v>
      </c>
      <c r="C113" s="40">
        <v>0</v>
      </c>
      <c r="D113" s="40" t="e">
        <f>#REF!</f>
        <v>#REF!</v>
      </c>
      <c r="F113" s="40">
        <v>108</v>
      </c>
      <c r="G113" s="40">
        <v>0.01</v>
      </c>
      <c r="H113" s="40" t="e">
        <f>#REF!</f>
        <v>#REF!</v>
      </c>
      <c r="J113" s="40">
        <v>108</v>
      </c>
      <c r="K113" s="40">
        <v>15.011112430000001</v>
      </c>
      <c r="L113" s="40" t="e">
        <f>#REF!</f>
        <v>#REF!</v>
      </c>
      <c r="N113" s="40">
        <v>108</v>
      </c>
      <c r="O113" s="40">
        <v>0.46478872999999998</v>
      </c>
      <c r="P113" s="40" t="e">
        <f>#REF!</f>
        <v>#REF!</v>
      </c>
      <c r="R113" s="40">
        <v>108</v>
      </c>
      <c r="S113" s="40">
        <v>0.46478872999999998</v>
      </c>
      <c r="T113" s="40" t="e">
        <f>#REF!</f>
        <v>#REF!</v>
      </c>
      <c r="V113" s="40">
        <v>108</v>
      </c>
      <c r="W113" s="40">
        <v>0.46478872999999998</v>
      </c>
      <c r="X113" s="40" t="e">
        <f>#REF!</f>
        <v>#REF!</v>
      </c>
    </row>
    <row r="114" spans="2:24" x14ac:dyDescent="0.35">
      <c r="B114" s="40">
        <v>109</v>
      </c>
      <c r="C114" s="40">
        <v>0</v>
      </c>
      <c r="D114" s="40" t="e">
        <f>#REF!</f>
        <v>#REF!</v>
      </c>
      <c r="F114" s="40">
        <v>109</v>
      </c>
      <c r="G114" s="40">
        <v>0.01</v>
      </c>
      <c r="H114" s="40" t="e">
        <f>#REF!</f>
        <v>#REF!</v>
      </c>
      <c r="J114" s="40">
        <v>109</v>
      </c>
      <c r="K114" s="40">
        <v>14.372058239999999</v>
      </c>
      <c r="L114" s="40" t="e">
        <f>#REF!</f>
        <v>#REF!</v>
      </c>
      <c r="N114" s="40">
        <v>109</v>
      </c>
      <c r="O114" s="40">
        <v>0.46478872999999998</v>
      </c>
      <c r="P114" s="40" t="e">
        <f>#REF!</f>
        <v>#REF!</v>
      </c>
      <c r="R114" s="40">
        <v>109</v>
      </c>
      <c r="S114" s="40">
        <v>0.46478872999999998</v>
      </c>
      <c r="T114" s="40" t="e">
        <f>#REF!</f>
        <v>#REF!</v>
      </c>
      <c r="V114" s="40">
        <v>109</v>
      </c>
      <c r="W114" s="40">
        <v>0.46478872999999998</v>
      </c>
      <c r="X114" s="40" t="e">
        <f>#REF!</f>
        <v>#REF!</v>
      </c>
    </row>
    <row r="115" spans="2:24" x14ac:dyDescent="0.35">
      <c r="B115" s="40">
        <v>110</v>
      </c>
      <c r="C115" s="40">
        <v>0</v>
      </c>
      <c r="D115" s="40" t="e">
        <f>#REF!</f>
        <v>#REF!</v>
      </c>
      <c r="F115" s="40">
        <v>110</v>
      </c>
      <c r="G115" s="40">
        <v>0.01</v>
      </c>
      <c r="H115" s="40" t="e">
        <f>#REF!</f>
        <v>#REF!</v>
      </c>
      <c r="J115" s="40">
        <v>110</v>
      </c>
      <c r="K115" s="40">
        <v>14.392058240000001</v>
      </c>
      <c r="L115" s="40" t="e">
        <f>#REF!</f>
        <v>#REF!</v>
      </c>
      <c r="N115" s="40">
        <v>110</v>
      </c>
      <c r="O115" s="40">
        <v>0.46478872999999998</v>
      </c>
      <c r="P115" s="40" t="e">
        <f>#REF!</f>
        <v>#REF!</v>
      </c>
      <c r="R115" s="40">
        <v>110</v>
      </c>
      <c r="S115" s="40">
        <v>0.46478872999999998</v>
      </c>
      <c r="T115" s="40" t="e">
        <f>#REF!</f>
        <v>#REF!</v>
      </c>
      <c r="V115" s="40">
        <v>110</v>
      </c>
      <c r="W115" s="40">
        <v>0.46478872999999998</v>
      </c>
      <c r="X115" s="40" t="e">
        <f>#REF!</f>
        <v>#REF!</v>
      </c>
    </row>
    <row r="116" spans="2:24" x14ac:dyDescent="0.35">
      <c r="B116" s="40">
        <v>111</v>
      </c>
      <c r="C116" s="40">
        <v>0</v>
      </c>
      <c r="D116" s="40" t="e">
        <f>#REF!</f>
        <v>#REF!</v>
      </c>
      <c r="F116" s="40">
        <v>111</v>
      </c>
      <c r="G116" s="40">
        <v>0.01</v>
      </c>
      <c r="H116" s="40" t="e">
        <f>#REF!</f>
        <v>#REF!</v>
      </c>
      <c r="J116" s="40">
        <v>111</v>
      </c>
      <c r="K116" s="40">
        <v>15.632671999999999</v>
      </c>
      <c r="L116" s="40" t="e">
        <f>#REF!</f>
        <v>#REF!</v>
      </c>
      <c r="N116" s="40">
        <v>111</v>
      </c>
      <c r="O116" s="40">
        <v>0.46478872999999998</v>
      </c>
      <c r="P116" s="40" t="e">
        <f>#REF!</f>
        <v>#REF!</v>
      </c>
      <c r="R116" s="40">
        <v>111</v>
      </c>
      <c r="S116" s="40">
        <v>0.46478872999999998</v>
      </c>
      <c r="T116" s="40" t="e">
        <f>#REF!</f>
        <v>#REF!</v>
      </c>
      <c r="V116" s="40">
        <v>111</v>
      </c>
      <c r="W116" s="40">
        <v>0.46478872999999998</v>
      </c>
      <c r="X116" s="40" t="e">
        <f>#REF!</f>
        <v>#REF!</v>
      </c>
    </row>
    <row r="117" spans="2:24" x14ac:dyDescent="0.35">
      <c r="B117" s="40">
        <v>112</v>
      </c>
      <c r="C117" s="40">
        <v>0</v>
      </c>
      <c r="D117" s="40" t="e">
        <f>#REF!</f>
        <v>#REF!</v>
      </c>
      <c r="F117" s="40">
        <v>112</v>
      </c>
      <c r="G117" s="40">
        <v>0.01</v>
      </c>
      <c r="H117" s="40" t="e">
        <f>#REF!</f>
        <v>#REF!</v>
      </c>
      <c r="J117" s="40">
        <v>112</v>
      </c>
      <c r="K117" s="40">
        <v>15.632671999999999</v>
      </c>
      <c r="L117" s="40" t="e">
        <f>#REF!</f>
        <v>#REF!</v>
      </c>
      <c r="N117" s="40">
        <v>112</v>
      </c>
      <c r="O117" s="40">
        <v>0.46478872999999998</v>
      </c>
      <c r="P117" s="40" t="e">
        <f>#REF!</f>
        <v>#REF!</v>
      </c>
      <c r="R117" s="40">
        <v>112</v>
      </c>
      <c r="S117" s="40">
        <v>0.46478872999999998</v>
      </c>
      <c r="T117" s="40" t="e">
        <f>#REF!</f>
        <v>#REF!</v>
      </c>
      <c r="V117" s="40">
        <v>112</v>
      </c>
      <c r="W117" s="40">
        <v>0.46478872999999998</v>
      </c>
      <c r="X117" s="40" t="e">
        <f>#REF!</f>
        <v>#REF!</v>
      </c>
    </row>
    <row r="118" spans="2:24" x14ac:dyDescent="0.35">
      <c r="B118" s="40">
        <v>113</v>
      </c>
      <c r="C118" s="40">
        <v>15.622672</v>
      </c>
      <c r="D118" s="40" t="e">
        <f>#REF!</f>
        <v>#REF!</v>
      </c>
      <c r="F118" s="40">
        <v>113</v>
      </c>
      <c r="G118" s="40">
        <v>15.612672</v>
      </c>
      <c r="H118" s="40" t="e">
        <f>#REF!</f>
        <v>#REF!</v>
      </c>
      <c r="J118" s="40">
        <v>113</v>
      </c>
      <c r="K118" s="40">
        <v>15.642671999999999</v>
      </c>
      <c r="L118" s="40" t="e">
        <f>#REF!</f>
        <v>#REF!</v>
      </c>
      <c r="N118" s="40">
        <v>113</v>
      </c>
      <c r="O118" s="40">
        <v>22.24386659</v>
      </c>
      <c r="P118" s="40" t="e">
        <f>#REF!</f>
        <v>#REF!</v>
      </c>
      <c r="R118" s="40">
        <v>113</v>
      </c>
      <c r="S118" s="40">
        <v>0.46478872999999998</v>
      </c>
      <c r="T118" s="40" t="e">
        <f>#REF!</f>
        <v>#REF!</v>
      </c>
      <c r="V118" s="40">
        <v>113</v>
      </c>
      <c r="W118" s="40">
        <v>22.24386659</v>
      </c>
      <c r="X118" s="40" t="e">
        <f>#REF!</f>
        <v>#REF!</v>
      </c>
    </row>
    <row r="119" spans="2:24" x14ac:dyDescent="0.35">
      <c r="B119" s="40">
        <v>114</v>
      </c>
      <c r="C119" s="40">
        <v>15.622672</v>
      </c>
      <c r="D119" s="40" t="e">
        <f>#REF!</f>
        <v>#REF!</v>
      </c>
      <c r="F119" s="40">
        <v>114</v>
      </c>
      <c r="G119" s="40">
        <v>15.612672</v>
      </c>
      <c r="H119" s="40" t="e">
        <f>#REF!</f>
        <v>#REF!</v>
      </c>
      <c r="J119" s="40">
        <v>114</v>
      </c>
      <c r="K119" s="40">
        <v>16.866418469999999</v>
      </c>
      <c r="L119" s="40" t="e">
        <f>#REF!</f>
        <v>#REF!</v>
      </c>
      <c r="N119" s="40">
        <v>114</v>
      </c>
      <c r="O119" s="40">
        <v>22.468552110000001</v>
      </c>
      <c r="P119" s="40" t="e">
        <f>#REF!</f>
        <v>#REF!</v>
      </c>
      <c r="R119" s="40">
        <v>114</v>
      </c>
      <c r="S119" s="40">
        <v>44.207629969999999</v>
      </c>
      <c r="T119" s="40" t="e">
        <f>#REF!</f>
        <v>#REF!</v>
      </c>
      <c r="V119" s="40">
        <v>114</v>
      </c>
      <c r="W119" s="40">
        <v>22.468552110000001</v>
      </c>
      <c r="X119" s="40" t="e">
        <f>#REF!</f>
        <v>#REF!</v>
      </c>
    </row>
    <row r="120" spans="2:24" x14ac:dyDescent="0.35">
      <c r="B120" s="40">
        <v>115</v>
      </c>
      <c r="C120" s="40">
        <v>15.622672</v>
      </c>
      <c r="D120" s="40" t="e">
        <f>#REF!</f>
        <v>#REF!</v>
      </c>
      <c r="F120" s="40">
        <v>115</v>
      </c>
      <c r="G120" s="40">
        <v>15.612672</v>
      </c>
      <c r="H120" s="40" t="e">
        <f>#REF!</f>
        <v>#REF!</v>
      </c>
      <c r="J120" s="40">
        <v>115</v>
      </c>
      <c r="K120" s="40">
        <v>16.866418469999999</v>
      </c>
      <c r="L120" s="40" t="e">
        <f>#REF!</f>
        <v>#REF!</v>
      </c>
      <c r="N120" s="40">
        <v>115</v>
      </c>
      <c r="O120" s="40">
        <v>22.468552110000001</v>
      </c>
      <c r="P120" s="40" t="e">
        <f>#REF!</f>
        <v>#REF!</v>
      </c>
      <c r="R120" s="40">
        <v>115</v>
      </c>
      <c r="S120" s="40">
        <v>22.458552109999999</v>
      </c>
      <c r="T120" s="40" t="e">
        <f>#REF!</f>
        <v>#REF!</v>
      </c>
      <c r="V120" s="40">
        <v>115</v>
      </c>
      <c r="W120" s="40">
        <v>22.468552110000001</v>
      </c>
      <c r="X120" s="40" t="e">
        <f>#REF!</f>
        <v>#REF!</v>
      </c>
    </row>
    <row r="121" spans="2:24" x14ac:dyDescent="0.35">
      <c r="B121" s="40">
        <v>116</v>
      </c>
      <c r="C121" s="40">
        <v>15.622672</v>
      </c>
      <c r="D121" s="40" t="e">
        <f>#REF!</f>
        <v>#REF!</v>
      </c>
      <c r="F121" s="40">
        <v>116</v>
      </c>
      <c r="G121" s="40">
        <v>15.612672</v>
      </c>
      <c r="H121" s="40" t="e">
        <f>#REF!</f>
        <v>#REF!</v>
      </c>
      <c r="J121" s="40">
        <v>116</v>
      </c>
      <c r="K121" s="40">
        <v>15.632671999999999</v>
      </c>
      <c r="L121" s="40" t="e">
        <f>#REF!</f>
        <v>#REF!</v>
      </c>
      <c r="N121" s="40">
        <v>116</v>
      </c>
      <c r="O121" s="40">
        <v>22.468552110000001</v>
      </c>
      <c r="P121" s="40" t="e">
        <f>#REF!</f>
        <v>#REF!</v>
      </c>
      <c r="R121" s="40">
        <v>116</v>
      </c>
      <c r="S121" s="40">
        <v>22.458552109999999</v>
      </c>
      <c r="T121" s="40" t="e">
        <f>#REF!</f>
        <v>#REF!</v>
      </c>
      <c r="V121" s="40">
        <v>116</v>
      </c>
      <c r="W121" s="40">
        <v>22.468552110000001</v>
      </c>
      <c r="X121" s="40" t="e">
        <f>#REF!</f>
        <v>#REF!</v>
      </c>
    </row>
    <row r="122" spans="2:24" x14ac:dyDescent="0.35">
      <c r="B122" s="40">
        <v>117</v>
      </c>
      <c r="C122" s="40">
        <v>15.622672</v>
      </c>
      <c r="D122" s="40" t="e">
        <f>#REF!</f>
        <v>#REF!</v>
      </c>
      <c r="F122" s="40">
        <v>117</v>
      </c>
      <c r="G122" s="40">
        <v>15.612672</v>
      </c>
      <c r="H122" s="40" t="e">
        <f>#REF!</f>
        <v>#REF!</v>
      </c>
      <c r="J122" s="40">
        <v>117</v>
      </c>
      <c r="K122" s="40">
        <v>15.632671999999999</v>
      </c>
      <c r="L122" s="40" t="e">
        <f>#REF!</f>
        <v>#REF!</v>
      </c>
      <c r="N122" s="40">
        <v>117</v>
      </c>
      <c r="O122" s="40">
        <v>22.468552110000001</v>
      </c>
      <c r="P122" s="40" t="e">
        <f>#REF!</f>
        <v>#REF!</v>
      </c>
      <c r="R122" s="40">
        <v>117</v>
      </c>
      <c r="S122" s="40">
        <v>22.458552109999999</v>
      </c>
      <c r="T122" s="40" t="e">
        <f>#REF!</f>
        <v>#REF!</v>
      </c>
      <c r="V122" s="40">
        <v>117</v>
      </c>
      <c r="W122" s="40">
        <v>22.468552110000001</v>
      </c>
      <c r="X122" s="40" t="e">
        <f>#REF!</f>
        <v>#REF!</v>
      </c>
    </row>
    <row r="123" spans="2:24" x14ac:dyDescent="0.35">
      <c r="B123" s="40">
        <v>118</v>
      </c>
      <c r="C123" s="40">
        <v>15.622672</v>
      </c>
      <c r="D123" s="40" t="e">
        <f>#REF!</f>
        <v>#REF!</v>
      </c>
      <c r="F123" s="40">
        <v>118</v>
      </c>
      <c r="G123" s="40">
        <v>15.612672</v>
      </c>
      <c r="H123" s="40" t="e">
        <f>#REF!</f>
        <v>#REF!</v>
      </c>
      <c r="J123" s="40">
        <v>118</v>
      </c>
      <c r="K123" s="40">
        <v>15.632671999999999</v>
      </c>
      <c r="L123" s="40" t="e">
        <f>#REF!</f>
        <v>#REF!</v>
      </c>
      <c r="N123" s="40">
        <v>118</v>
      </c>
      <c r="O123" s="40">
        <v>22.468552110000001</v>
      </c>
      <c r="P123" s="40" t="e">
        <f>#REF!</f>
        <v>#REF!</v>
      </c>
      <c r="R123" s="40">
        <v>118</v>
      </c>
      <c r="S123" s="40">
        <v>22.458552109999999</v>
      </c>
      <c r="T123" s="40" t="e">
        <f>#REF!</f>
        <v>#REF!</v>
      </c>
      <c r="V123" s="40">
        <v>118</v>
      </c>
      <c r="W123" s="40">
        <v>22.468552110000001</v>
      </c>
      <c r="X123" s="40" t="e">
        <f>#REF!</f>
        <v>#REF!</v>
      </c>
    </row>
    <row r="124" spans="2:24" x14ac:dyDescent="0.35">
      <c r="B124" s="40">
        <v>119</v>
      </c>
      <c r="C124" s="40">
        <v>15.622672</v>
      </c>
      <c r="D124" s="40" t="e">
        <f>#REF!</f>
        <v>#REF!</v>
      </c>
      <c r="F124" s="40">
        <v>119</v>
      </c>
      <c r="G124" s="40">
        <v>15.612672</v>
      </c>
      <c r="H124" s="40" t="e">
        <f>#REF!</f>
        <v>#REF!</v>
      </c>
      <c r="J124" s="40">
        <v>119</v>
      </c>
      <c r="K124" s="40">
        <v>15.632671999999999</v>
      </c>
      <c r="L124" s="40" t="e">
        <f>#REF!</f>
        <v>#REF!</v>
      </c>
      <c r="N124" s="40">
        <v>119</v>
      </c>
      <c r="O124" s="40">
        <v>22.468552110000001</v>
      </c>
      <c r="P124" s="40" t="e">
        <f>#REF!</f>
        <v>#REF!</v>
      </c>
      <c r="R124" s="40">
        <v>119</v>
      </c>
      <c r="S124" s="40">
        <v>22.458552109999999</v>
      </c>
      <c r="T124" s="40" t="e">
        <f>#REF!</f>
        <v>#REF!</v>
      </c>
      <c r="V124" s="40">
        <v>119</v>
      </c>
      <c r="W124" s="40">
        <v>22.468552110000001</v>
      </c>
      <c r="X124" s="40" t="e">
        <f>#REF!</f>
        <v>#REF!</v>
      </c>
    </row>
    <row r="125" spans="2:24" x14ac:dyDescent="0.35">
      <c r="B125" s="40">
        <v>120</v>
      </c>
      <c r="C125" s="40">
        <v>15.436078999999999</v>
      </c>
      <c r="D125" s="40" t="e">
        <f>#REF!</f>
        <v>#REF!</v>
      </c>
      <c r="F125" s="40">
        <v>120</v>
      </c>
      <c r="G125" s="40">
        <v>0</v>
      </c>
      <c r="H125" s="40" t="e">
        <f>#REF!</f>
        <v>#REF!</v>
      </c>
      <c r="J125" s="40">
        <v>120</v>
      </c>
      <c r="K125" s="40">
        <v>15.632671999999999</v>
      </c>
      <c r="L125" s="40" t="e">
        <f>#REF!</f>
        <v>#REF!</v>
      </c>
      <c r="N125" s="40">
        <v>120</v>
      </c>
      <c r="O125" s="40">
        <v>22.205745069999999</v>
      </c>
      <c r="P125" s="40" t="e">
        <f>#REF!</f>
        <v>#REF!</v>
      </c>
      <c r="R125" s="40">
        <v>120</v>
      </c>
      <c r="S125" s="40">
        <v>3000</v>
      </c>
      <c r="T125" s="40" t="e">
        <f>#REF!</f>
        <v>#REF!</v>
      </c>
      <c r="V125" s="40">
        <v>120</v>
      </c>
      <c r="W125" s="40">
        <v>22.205745069999999</v>
      </c>
      <c r="X125" s="40" t="e">
        <f>#REF!</f>
        <v>#REF!</v>
      </c>
    </row>
    <row r="126" spans="2:24" x14ac:dyDescent="0.35">
      <c r="B126" s="40">
        <v>121</v>
      </c>
      <c r="C126" s="40">
        <v>15.436078999999999</v>
      </c>
      <c r="D126" s="40" t="e">
        <f>#REF!</f>
        <v>#REF!</v>
      </c>
      <c r="F126" s="40">
        <v>121</v>
      </c>
      <c r="G126" s="40">
        <v>0</v>
      </c>
      <c r="H126" s="40" t="e">
        <f>#REF!</f>
        <v>#REF!</v>
      </c>
      <c r="J126" s="40">
        <v>121</v>
      </c>
      <c r="K126" s="40">
        <v>15.632671999999999</v>
      </c>
      <c r="L126" s="40" t="e">
        <f>#REF!</f>
        <v>#REF!</v>
      </c>
      <c r="N126" s="40">
        <v>121</v>
      </c>
      <c r="O126" s="40">
        <v>22.205745069999999</v>
      </c>
      <c r="P126" s="40" t="e">
        <f>#REF!</f>
        <v>#REF!</v>
      </c>
      <c r="R126" s="40">
        <v>121</v>
      </c>
      <c r="S126" s="40">
        <v>22.215745070000001</v>
      </c>
      <c r="T126" s="40" t="e">
        <f>#REF!</f>
        <v>#REF!</v>
      </c>
      <c r="V126" s="40">
        <v>121</v>
      </c>
      <c r="W126" s="40">
        <v>22.205745069999999</v>
      </c>
      <c r="X126" s="40" t="e">
        <f>#REF!</f>
        <v>#REF!</v>
      </c>
    </row>
    <row r="127" spans="2:24" x14ac:dyDescent="0.35">
      <c r="B127" s="40">
        <v>122</v>
      </c>
      <c r="C127" s="40">
        <v>15.436078999999999</v>
      </c>
      <c r="D127" s="40" t="e">
        <f>#REF!</f>
        <v>#REF!</v>
      </c>
      <c r="F127" s="40">
        <v>122</v>
      </c>
      <c r="G127" s="40">
        <v>0</v>
      </c>
      <c r="H127" s="40" t="e">
        <f>#REF!</f>
        <v>#REF!</v>
      </c>
      <c r="J127" s="40">
        <v>122</v>
      </c>
      <c r="K127" s="40">
        <v>15.632671999999999</v>
      </c>
      <c r="L127" s="40" t="e">
        <f>#REF!</f>
        <v>#REF!</v>
      </c>
      <c r="N127" s="40">
        <v>122</v>
      </c>
      <c r="O127" s="40">
        <v>22.205745069999999</v>
      </c>
      <c r="P127" s="40" t="e">
        <f>#REF!</f>
        <v>#REF!</v>
      </c>
      <c r="R127" s="40">
        <v>122</v>
      </c>
      <c r="S127" s="40">
        <v>22.215745070000001</v>
      </c>
      <c r="T127" s="40" t="e">
        <f>#REF!</f>
        <v>#REF!</v>
      </c>
      <c r="V127" s="40">
        <v>122</v>
      </c>
      <c r="W127" s="40">
        <v>22.205745069999999</v>
      </c>
      <c r="X127" s="40" t="e">
        <f>#REF!</f>
        <v>#REF!</v>
      </c>
    </row>
    <row r="128" spans="2:24" x14ac:dyDescent="0.35">
      <c r="B128" s="40">
        <v>123</v>
      </c>
      <c r="C128" s="40">
        <v>15.436078999999999</v>
      </c>
      <c r="D128" s="40" t="e">
        <f>#REF!</f>
        <v>#REF!</v>
      </c>
      <c r="F128" s="40">
        <v>123</v>
      </c>
      <c r="G128" s="40">
        <v>0</v>
      </c>
      <c r="H128" s="40" t="e">
        <f>#REF!</f>
        <v>#REF!</v>
      </c>
      <c r="J128" s="40">
        <v>123</v>
      </c>
      <c r="K128" s="40">
        <v>15.632671999999999</v>
      </c>
      <c r="L128" s="40" t="e">
        <f>#REF!</f>
        <v>#REF!</v>
      </c>
      <c r="N128" s="40">
        <v>123</v>
      </c>
      <c r="O128" s="40">
        <v>22.205745069999999</v>
      </c>
      <c r="P128" s="40" t="e">
        <f>#REF!</f>
        <v>#REF!</v>
      </c>
      <c r="R128" s="40">
        <v>123</v>
      </c>
      <c r="S128" s="40">
        <v>22.215745070000001</v>
      </c>
      <c r="T128" s="40" t="e">
        <f>#REF!</f>
        <v>#REF!</v>
      </c>
      <c r="V128" s="40">
        <v>123</v>
      </c>
      <c r="W128" s="40">
        <v>22.205745069999999</v>
      </c>
      <c r="X128" s="40" t="e">
        <f>#REF!</f>
        <v>#REF!</v>
      </c>
    </row>
    <row r="129" spans="2:24" x14ac:dyDescent="0.35">
      <c r="B129" s="40">
        <v>124</v>
      </c>
      <c r="C129" s="40">
        <v>15.436078999999999</v>
      </c>
      <c r="D129" s="40" t="e">
        <f>#REF!</f>
        <v>#REF!</v>
      </c>
      <c r="F129" s="40">
        <v>124</v>
      </c>
      <c r="G129" s="40">
        <v>0</v>
      </c>
      <c r="H129" s="40" t="e">
        <f>#REF!</f>
        <v>#REF!</v>
      </c>
      <c r="J129" s="40">
        <v>124</v>
      </c>
      <c r="K129" s="40">
        <v>15.632671999999999</v>
      </c>
      <c r="L129" s="40" t="e">
        <f>#REF!</f>
        <v>#REF!</v>
      </c>
      <c r="N129" s="40">
        <v>124</v>
      </c>
      <c r="O129" s="40">
        <v>22.205745069999999</v>
      </c>
      <c r="P129" s="40" t="e">
        <f>#REF!</f>
        <v>#REF!</v>
      </c>
      <c r="R129" s="40">
        <v>124</v>
      </c>
      <c r="S129" s="40">
        <v>22.215745070000001</v>
      </c>
      <c r="T129" s="40" t="e">
        <f>#REF!</f>
        <v>#REF!</v>
      </c>
      <c r="V129" s="40">
        <v>124</v>
      </c>
      <c r="W129" s="40">
        <v>22.205745069999999</v>
      </c>
      <c r="X129" s="40" t="e">
        <f>#REF!</f>
        <v>#REF!</v>
      </c>
    </row>
    <row r="130" spans="2:24" x14ac:dyDescent="0.35">
      <c r="B130" s="40">
        <v>125</v>
      </c>
      <c r="C130" s="40">
        <v>15.436078999999999</v>
      </c>
      <c r="D130" s="40" t="e">
        <f>#REF!</f>
        <v>#REF!</v>
      </c>
      <c r="F130" s="40">
        <v>125</v>
      </c>
      <c r="G130" s="40">
        <v>0</v>
      </c>
      <c r="H130" s="40" t="e">
        <f>#REF!</f>
        <v>#REF!</v>
      </c>
      <c r="J130" s="40">
        <v>125</v>
      </c>
      <c r="K130" s="40">
        <v>15.632671999999999</v>
      </c>
      <c r="L130" s="40" t="e">
        <f>#REF!</f>
        <v>#REF!</v>
      </c>
      <c r="N130" s="40">
        <v>125</v>
      </c>
      <c r="O130" s="40">
        <v>22.205745069999999</v>
      </c>
      <c r="P130" s="40" t="e">
        <f>#REF!</f>
        <v>#REF!</v>
      </c>
      <c r="R130" s="40">
        <v>125</v>
      </c>
      <c r="S130" s="40">
        <v>22.215745070000001</v>
      </c>
      <c r="T130" s="40" t="e">
        <f>#REF!</f>
        <v>#REF!</v>
      </c>
      <c r="V130" s="40">
        <v>125</v>
      </c>
      <c r="W130" s="40">
        <v>22.205745069999999</v>
      </c>
      <c r="X130" s="40" t="e">
        <f>#REF!</f>
        <v>#REF!</v>
      </c>
    </row>
    <row r="131" spans="2:24" x14ac:dyDescent="0.35">
      <c r="B131" s="40">
        <v>126</v>
      </c>
      <c r="C131" s="40">
        <v>15.436078999999999</v>
      </c>
      <c r="D131" s="40" t="e">
        <f>#REF!</f>
        <v>#REF!</v>
      </c>
      <c r="F131" s="40">
        <v>126</v>
      </c>
      <c r="G131" s="40">
        <v>0</v>
      </c>
      <c r="H131" s="40" t="e">
        <f>#REF!</f>
        <v>#REF!</v>
      </c>
      <c r="J131" s="40">
        <v>126</v>
      </c>
      <c r="K131" s="40">
        <v>15.632671999999999</v>
      </c>
      <c r="L131" s="40" t="e">
        <f>#REF!</f>
        <v>#REF!</v>
      </c>
      <c r="N131" s="40">
        <v>126</v>
      </c>
      <c r="O131" s="40">
        <v>22.205745069999999</v>
      </c>
      <c r="P131" s="40" t="e">
        <f>#REF!</f>
        <v>#REF!</v>
      </c>
      <c r="R131" s="40">
        <v>126</v>
      </c>
      <c r="S131" s="40">
        <v>22.215745070000001</v>
      </c>
      <c r="T131" s="40" t="e">
        <f>#REF!</f>
        <v>#REF!</v>
      </c>
      <c r="V131" s="40">
        <v>126</v>
      </c>
      <c r="W131" s="40">
        <v>22.205745069999999</v>
      </c>
      <c r="X131" s="40" t="e">
        <f>#REF!</f>
        <v>#REF!</v>
      </c>
    </row>
    <row r="132" spans="2:24" x14ac:dyDescent="0.35">
      <c r="B132" s="40">
        <v>127</v>
      </c>
      <c r="C132" s="40">
        <v>15.436078999999999</v>
      </c>
      <c r="D132" s="40" t="e">
        <f>#REF!</f>
        <v>#REF!</v>
      </c>
      <c r="F132" s="40">
        <v>127</v>
      </c>
      <c r="G132" s="40">
        <v>0</v>
      </c>
      <c r="H132" s="40" t="e">
        <f>#REF!</f>
        <v>#REF!</v>
      </c>
      <c r="J132" s="40">
        <v>127</v>
      </c>
      <c r="K132" s="40">
        <v>15.632671999999999</v>
      </c>
      <c r="L132" s="40" t="e">
        <f>#REF!</f>
        <v>#REF!</v>
      </c>
      <c r="N132" s="40">
        <v>127</v>
      </c>
      <c r="O132" s="40">
        <v>22.205745069999999</v>
      </c>
      <c r="P132" s="40" t="e">
        <f>#REF!</f>
        <v>#REF!</v>
      </c>
      <c r="R132" s="40">
        <v>127</v>
      </c>
      <c r="S132" s="40">
        <v>22.215745070000001</v>
      </c>
      <c r="T132" s="40" t="e">
        <f>#REF!</f>
        <v>#REF!</v>
      </c>
      <c r="V132" s="40">
        <v>127</v>
      </c>
      <c r="W132" s="40">
        <v>22.205745069999999</v>
      </c>
      <c r="X132" s="40" t="e">
        <f>#REF!</f>
        <v>#REF!</v>
      </c>
    </row>
    <row r="133" spans="2:24" x14ac:dyDescent="0.35">
      <c r="B133" s="40">
        <v>128</v>
      </c>
      <c r="C133" s="40">
        <v>15.436078999999999</v>
      </c>
      <c r="D133" s="40" t="e">
        <f>#REF!</f>
        <v>#REF!</v>
      </c>
      <c r="F133" s="40">
        <v>128</v>
      </c>
      <c r="G133" s="40">
        <v>0</v>
      </c>
      <c r="H133" s="40" t="e">
        <f>#REF!</f>
        <v>#REF!</v>
      </c>
      <c r="J133" s="40">
        <v>128</v>
      </c>
      <c r="K133" s="40">
        <v>15.632671999999999</v>
      </c>
      <c r="L133" s="40" t="e">
        <f>#REF!</f>
        <v>#REF!</v>
      </c>
      <c r="N133" s="40">
        <v>128</v>
      </c>
      <c r="O133" s="40">
        <v>22.205745069999999</v>
      </c>
      <c r="P133" s="40" t="e">
        <f>#REF!</f>
        <v>#REF!</v>
      </c>
      <c r="R133" s="40">
        <v>128</v>
      </c>
      <c r="S133" s="40">
        <v>22.215745070000001</v>
      </c>
      <c r="T133" s="40" t="e">
        <f>#REF!</f>
        <v>#REF!</v>
      </c>
      <c r="V133" s="40">
        <v>128</v>
      </c>
      <c r="W133" s="40">
        <v>22.205745069999999</v>
      </c>
      <c r="X133" s="40" t="e">
        <f>#REF!</f>
        <v>#REF!</v>
      </c>
    </row>
    <row r="134" spans="2:24" x14ac:dyDescent="0.35">
      <c r="B134" s="40">
        <v>129</v>
      </c>
      <c r="C134" s="40">
        <v>11.57705925</v>
      </c>
      <c r="D134" s="40" t="e">
        <f>#REF!</f>
        <v>#REF!</v>
      </c>
      <c r="F134" s="40">
        <v>129</v>
      </c>
      <c r="G134" s="40">
        <v>0</v>
      </c>
      <c r="H134" s="40" t="e">
        <f>#REF!</f>
        <v>#REF!</v>
      </c>
      <c r="J134" s="40">
        <v>129</v>
      </c>
      <c r="K134" s="40">
        <v>15.632671999999999</v>
      </c>
      <c r="L134" s="40" t="e">
        <f>#REF!</f>
        <v>#REF!</v>
      </c>
      <c r="N134" s="40">
        <v>129</v>
      </c>
      <c r="O134" s="40">
        <v>16.77050599</v>
      </c>
      <c r="P134" s="40" t="e">
        <f>#REF!</f>
        <v>#REF!</v>
      </c>
      <c r="R134" s="40">
        <v>129</v>
      </c>
      <c r="S134" s="40">
        <v>16.780505990000002</v>
      </c>
      <c r="T134" s="40" t="e">
        <f>#REF!</f>
        <v>#REF!</v>
      </c>
      <c r="V134" s="40">
        <v>129</v>
      </c>
      <c r="W134" s="40">
        <v>16.77050599</v>
      </c>
      <c r="X134" s="40" t="e">
        <f>#REF!</f>
        <v>#REF!</v>
      </c>
    </row>
    <row r="135" spans="2:24" x14ac:dyDescent="0.35">
      <c r="B135" s="40">
        <v>130</v>
      </c>
      <c r="C135" s="40">
        <v>0</v>
      </c>
      <c r="D135" s="40" t="e">
        <f>#REF!</f>
        <v>#REF!</v>
      </c>
      <c r="F135" s="40">
        <v>130</v>
      </c>
      <c r="G135" s="40">
        <v>0</v>
      </c>
      <c r="H135" s="40" t="e">
        <f>#REF!</f>
        <v>#REF!</v>
      </c>
      <c r="J135" s="40">
        <v>130</v>
      </c>
      <c r="K135" s="40">
        <v>15.632671999999999</v>
      </c>
      <c r="L135" s="40" t="e">
        <f>#REF!</f>
        <v>#REF!</v>
      </c>
      <c r="N135" s="40">
        <v>130</v>
      </c>
      <c r="O135" s="40">
        <v>0.46478872999999998</v>
      </c>
      <c r="P135" s="40" t="e">
        <f>#REF!</f>
        <v>#REF!</v>
      </c>
      <c r="R135" s="40">
        <v>130</v>
      </c>
      <c r="S135" s="40">
        <v>0.46478872999999998</v>
      </c>
      <c r="T135" s="40" t="e">
        <f>#REF!</f>
        <v>#REF!</v>
      </c>
      <c r="V135" s="40">
        <v>130</v>
      </c>
      <c r="W135" s="40">
        <v>0.46478872999999998</v>
      </c>
      <c r="X135" s="40" t="e">
        <f>#REF!</f>
        <v>#REF!</v>
      </c>
    </row>
    <row r="136" spans="2:24" x14ac:dyDescent="0.35">
      <c r="B136" s="40">
        <v>131</v>
      </c>
      <c r="C136" s="40">
        <v>0</v>
      </c>
      <c r="D136" s="40" t="e">
        <f>#REF!</f>
        <v>#REF!</v>
      </c>
      <c r="F136" s="40">
        <v>131</v>
      </c>
      <c r="G136" s="40">
        <v>0</v>
      </c>
      <c r="H136" s="40" t="e">
        <f>#REF!</f>
        <v>#REF!</v>
      </c>
      <c r="J136" s="40">
        <v>131</v>
      </c>
      <c r="K136" s="40">
        <v>15.632671999999999</v>
      </c>
      <c r="L136" s="40" t="e">
        <f>#REF!</f>
        <v>#REF!</v>
      </c>
      <c r="N136" s="40">
        <v>131</v>
      </c>
      <c r="O136" s="40">
        <v>0.46478872999999998</v>
      </c>
      <c r="P136" s="40" t="e">
        <f>#REF!</f>
        <v>#REF!</v>
      </c>
      <c r="R136" s="40">
        <v>131</v>
      </c>
      <c r="S136" s="40">
        <v>0.46478872999999998</v>
      </c>
      <c r="T136" s="40" t="e">
        <f>#REF!</f>
        <v>#REF!</v>
      </c>
      <c r="V136" s="40">
        <v>131</v>
      </c>
      <c r="W136" s="40">
        <v>0.46478872999999998</v>
      </c>
      <c r="X136" s="40" t="e">
        <f>#REF!</f>
        <v>#REF!</v>
      </c>
    </row>
    <row r="137" spans="2:24" x14ac:dyDescent="0.35">
      <c r="B137" s="40">
        <v>132</v>
      </c>
      <c r="C137" s="40">
        <v>0</v>
      </c>
      <c r="D137" s="40" t="e">
        <f>#REF!</f>
        <v>#REF!</v>
      </c>
      <c r="F137" s="40">
        <v>132</v>
      </c>
      <c r="G137" s="40">
        <v>0</v>
      </c>
      <c r="H137" s="40" t="e">
        <f>#REF!</f>
        <v>#REF!</v>
      </c>
      <c r="J137" s="40">
        <v>132</v>
      </c>
      <c r="K137" s="40">
        <v>15.632671999999999</v>
      </c>
      <c r="L137" s="40" t="e">
        <f>#REF!</f>
        <v>#REF!</v>
      </c>
      <c r="N137" s="40">
        <v>132</v>
      </c>
      <c r="O137" s="40">
        <v>0.46478872999999998</v>
      </c>
      <c r="P137" s="40" t="e">
        <f>#REF!</f>
        <v>#REF!</v>
      </c>
      <c r="R137" s="40">
        <v>132</v>
      </c>
      <c r="S137" s="40">
        <v>0.46478872999999998</v>
      </c>
      <c r="T137" s="40" t="e">
        <f>#REF!</f>
        <v>#REF!</v>
      </c>
      <c r="V137" s="40">
        <v>132</v>
      </c>
      <c r="W137" s="40">
        <v>0.46478872999999998</v>
      </c>
      <c r="X137" s="40" t="e">
        <f>#REF!</f>
        <v>#REF!</v>
      </c>
    </row>
    <row r="138" spans="2:24" x14ac:dyDescent="0.35">
      <c r="B138" s="40">
        <v>133</v>
      </c>
      <c r="C138" s="40">
        <v>0</v>
      </c>
      <c r="D138" s="40" t="e">
        <f>#REF!</f>
        <v>#REF!</v>
      </c>
      <c r="F138" s="40">
        <v>133</v>
      </c>
      <c r="G138" s="40">
        <v>0</v>
      </c>
      <c r="H138" s="40" t="e">
        <f>#REF!</f>
        <v>#REF!</v>
      </c>
      <c r="J138" s="40">
        <v>133</v>
      </c>
      <c r="K138" s="40">
        <v>15.632671999999999</v>
      </c>
      <c r="L138" s="40" t="e">
        <f>#REF!</f>
        <v>#REF!</v>
      </c>
      <c r="N138" s="40">
        <v>133</v>
      </c>
      <c r="O138" s="40">
        <v>0.46478872999999998</v>
      </c>
      <c r="P138" s="40" t="e">
        <f>#REF!</f>
        <v>#REF!</v>
      </c>
      <c r="R138" s="40">
        <v>133</v>
      </c>
      <c r="S138" s="40">
        <v>0.46478872999999998</v>
      </c>
      <c r="T138" s="40" t="e">
        <f>#REF!</f>
        <v>#REF!</v>
      </c>
      <c r="V138" s="40">
        <v>133</v>
      </c>
      <c r="W138" s="40">
        <v>0.46478872999999998</v>
      </c>
      <c r="X138" s="40" t="e">
        <f>#REF!</f>
        <v>#REF!</v>
      </c>
    </row>
    <row r="139" spans="2:24" x14ac:dyDescent="0.35">
      <c r="B139" s="40">
        <v>134</v>
      </c>
      <c r="C139" s="40">
        <v>0</v>
      </c>
      <c r="D139" s="40" t="e">
        <f>#REF!</f>
        <v>#REF!</v>
      </c>
      <c r="F139" s="40">
        <v>134</v>
      </c>
      <c r="G139" s="40">
        <v>0</v>
      </c>
      <c r="H139" s="40" t="e">
        <f>#REF!</f>
        <v>#REF!</v>
      </c>
      <c r="J139" s="40">
        <v>134</v>
      </c>
      <c r="K139" s="40">
        <v>15.632671999999999</v>
      </c>
      <c r="L139" s="40" t="e">
        <f>#REF!</f>
        <v>#REF!</v>
      </c>
      <c r="N139" s="40">
        <v>134</v>
      </c>
      <c r="O139" s="40">
        <v>0.46478872999999998</v>
      </c>
      <c r="P139" s="40" t="e">
        <f>#REF!</f>
        <v>#REF!</v>
      </c>
      <c r="R139" s="40">
        <v>134</v>
      </c>
      <c r="S139" s="40">
        <v>0.46478872999999998</v>
      </c>
      <c r="T139" s="40" t="e">
        <f>#REF!</f>
        <v>#REF!</v>
      </c>
      <c r="V139" s="40">
        <v>134</v>
      </c>
      <c r="W139" s="40">
        <v>0.46478872999999998</v>
      </c>
      <c r="X139" s="40" t="e">
        <f>#REF!</f>
        <v>#REF!</v>
      </c>
    </row>
    <row r="140" spans="2:24" x14ac:dyDescent="0.35">
      <c r="B140" s="40">
        <v>135</v>
      </c>
      <c r="C140" s="40">
        <v>0</v>
      </c>
      <c r="D140" s="40" t="e">
        <f>#REF!</f>
        <v>#REF!</v>
      </c>
      <c r="F140" s="40">
        <v>135</v>
      </c>
      <c r="G140" s="40">
        <v>0</v>
      </c>
      <c r="H140" s="40" t="e">
        <f>#REF!</f>
        <v>#REF!</v>
      </c>
      <c r="J140" s="40">
        <v>135</v>
      </c>
      <c r="K140" s="40">
        <v>15.632671999999999</v>
      </c>
      <c r="L140" s="40" t="e">
        <f>#REF!</f>
        <v>#REF!</v>
      </c>
      <c r="N140" s="40">
        <v>135</v>
      </c>
      <c r="O140" s="40">
        <v>0.46478872999999998</v>
      </c>
      <c r="P140" s="40" t="e">
        <f>#REF!</f>
        <v>#REF!</v>
      </c>
      <c r="R140" s="40">
        <v>135</v>
      </c>
      <c r="S140" s="40">
        <v>0.46478872999999998</v>
      </c>
      <c r="T140" s="40" t="e">
        <f>#REF!</f>
        <v>#REF!</v>
      </c>
      <c r="V140" s="40">
        <v>135</v>
      </c>
      <c r="W140" s="40">
        <v>0.46478872999999998</v>
      </c>
      <c r="X140" s="40" t="e">
        <f>#REF!</f>
        <v>#REF!</v>
      </c>
    </row>
    <row r="141" spans="2:24" x14ac:dyDescent="0.35">
      <c r="B141" s="40">
        <v>136</v>
      </c>
      <c r="C141" s="40">
        <v>0</v>
      </c>
      <c r="D141" s="40" t="e">
        <f>#REF!</f>
        <v>#REF!</v>
      </c>
      <c r="F141" s="40">
        <v>136</v>
      </c>
      <c r="G141" s="40">
        <v>0</v>
      </c>
      <c r="H141" s="40" t="e">
        <f>#REF!</f>
        <v>#REF!</v>
      </c>
      <c r="J141" s="40">
        <v>136</v>
      </c>
      <c r="K141" s="40">
        <v>20.843562670000001</v>
      </c>
      <c r="L141" s="40" t="e">
        <f>#REF!</f>
        <v>#REF!</v>
      </c>
      <c r="N141" s="40">
        <v>136</v>
      </c>
      <c r="O141" s="40">
        <v>0.46478872999999998</v>
      </c>
      <c r="P141" s="40" t="e">
        <f>#REF!</f>
        <v>#REF!</v>
      </c>
      <c r="R141" s="40">
        <v>136</v>
      </c>
      <c r="S141" s="40">
        <v>0.46478872999999998</v>
      </c>
      <c r="T141" s="40" t="e">
        <f>#REF!</f>
        <v>#REF!</v>
      </c>
      <c r="V141" s="40">
        <v>136</v>
      </c>
      <c r="W141" s="40">
        <v>0.46478872999999998</v>
      </c>
      <c r="X141" s="40" t="e">
        <f>#REF!</f>
        <v>#REF!</v>
      </c>
    </row>
    <row r="142" spans="2:24" x14ac:dyDescent="0.35">
      <c r="B142" s="40">
        <v>137</v>
      </c>
      <c r="C142" s="40">
        <v>15.436078999999999</v>
      </c>
      <c r="D142" s="40" t="e">
        <f>#REF!</f>
        <v>#REF!</v>
      </c>
      <c r="F142" s="40">
        <v>137</v>
      </c>
      <c r="G142" s="40">
        <v>0</v>
      </c>
      <c r="H142" s="40" t="e">
        <f>#REF!</f>
        <v>#REF!</v>
      </c>
      <c r="J142" s="40">
        <v>137</v>
      </c>
      <c r="K142" s="40">
        <v>20.843562670000001</v>
      </c>
      <c r="L142" s="40" t="e">
        <f>#REF!</f>
        <v>#REF!</v>
      </c>
      <c r="N142" s="40">
        <v>137</v>
      </c>
      <c r="O142" s="40">
        <v>22.205745069999999</v>
      </c>
      <c r="P142" s="40" t="e">
        <f>#REF!</f>
        <v>#REF!</v>
      </c>
      <c r="R142" s="40">
        <v>137</v>
      </c>
      <c r="S142" s="40">
        <v>22.16574507</v>
      </c>
      <c r="T142" s="40" t="e">
        <f>#REF!</f>
        <v>#REF!</v>
      </c>
      <c r="V142" s="40">
        <v>137</v>
      </c>
      <c r="W142" s="40">
        <v>22.205745069999999</v>
      </c>
      <c r="X142" s="40" t="e">
        <f>#REF!</f>
        <v>#REF!</v>
      </c>
    </row>
    <row r="143" spans="2:24" x14ac:dyDescent="0.35">
      <c r="B143" s="40">
        <v>138</v>
      </c>
      <c r="C143" s="40">
        <v>15.436078999999999</v>
      </c>
      <c r="D143" s="40" t="e">
        <f>#REF!</f>
        <v>#REF!</v>
      </c>
      <c r="F143" s="40">
        <v>138</v>
      </c>
      <c r="G143" s="40">
        <v>0</v>
      </c>
      <c r="H143" s="40" t="e">
        <f>#REF!</f>
        <v>#REF!</v>
      </c>
      <c r="J143" s="40">
        <v>138</v>
      </c>
      <c r="K143" s="40">
        <v>21</v>
      </c>
      <c r="L143" s="40" t="e">
        <f>#REF!</f>
        <v>#REF!</v>
      </c>
      <c r="N143" s="40">
        <v>138</v>
      </c>
      <c r="O143" s="40">
        <v>22.205745069999999</v>
      </c>
      <c r="P143" s="40" t="e">
        <f>#REF!</f>
        <v>#REF!</v>
      </c>
      <c r="R143" s="40">
        <v>138</v>
      </c>
      <c r="S143" s="40">
        <v>22.195745070000001</v>
      </c>
      <c r="T143" s="40" t="e">
        <f>#REF!</f>
        <v>#REF!</v>
      </c>
      <c r="V143" s="40">
        <v>138</v>
      </c>
      <c r="W143" s="40">
        <v>22.205745069999999</v>
      </c>
      <c r="X143" s="40" t="e">
        <f>#REF!</f>
        <v>#REF!</v>
      </c>
    </row>
    <row r="144" spans="2:24" x14ac:dyDescent="0.35">
      <c r="B144" s="40">
        <v>139</v>
      </c>
      <c r="C144" s="40">
        <v>15.436078999999999</v>
      </c>
      <c r="D144" s="40" t="e">
        <f>#REF!</f>
        <v>#REF!</v>
      </c>
      <c r="F144" s="40">
        <v>139</v>
      </c>
      <c r="G144" s="40">
        <v>0</v>
      </c>
      <c r="H144" s="40" t="e">
        <f>#REF!</f>
        <v>#REF!</v>
      </c>
      <c r="J144" s="40">
        <v>139</v>
      </c>
      <c r="K144" s="40">
        <v>20.843562670000001</v>
      </c>
      <c r="L144" s="40" t="e">
        <f>#REF!</f>
        <v>#REF!</v>
      </c>
      <c r="N144" s="40">
        <v>139</v>
      </c>
      <c r="O144" s="40">
        <v>22.205745069999999</v>
      </c>
      <c r="P144" s="40" t="e">
        <f>#REF!</f>
        <v>#REF!</v>
      </c>
      <c r="R144" s="40">
        <v>139</v>
      </c>
      <c r="S144" s="40">
        <v>22.195745070000001</v>
      </c>
      <c r="T144" s="40" t="e">
        <f>#REF!</f>
        <v>#REF!</v>
      </c>
      <c r="V144" s="40">
        <v>139</v>
      </c>
      <c r="W144" s="40">
        <v>22.205745069999999</v>
      </c>
      <c r="X144" s="40" t="e">
        <f>#REF!</f>
        <v>#REF!</v>
      </c>
    </row>
    <row r="145" spans="2:24" x14ac:dyDescent="0.35">
      <c r="B145" s="40">
        <v>140</v>
      </c>
      <c r="C145" s="40">
        <v>15.436078999999999</v>
      </c>
      <c r="D145" s="40" t="e">
        <f>#REF!</f>
        <v>#REF!</v>
      </c>
      <c r="F145" s="40">
        <v>140</v>
      </c>
      <c r="G145" s="40">
        <v>0</v>
      </c>
      <c r="H145" s="40" t="e">
        <f>#REF!</f>
        <v>#REF!</v>
      </c>
      <c r="J145" s="40">
        <v>140</v>
      </c>
      <c r="K145" s="40">
        <v>15.632671999999999</v>
      </c>
      <c r="L145" s="40" t="e">
        <f>#REF!</f>
        <v>#REF!</v>
      </c>
      <c r="N145" s="40">
        <v>140</v>
      </c>
      <c r="O145" s="40">
        <v>22.205745069999999</v>
      </c>
      <c r="P145" s="40" t="e">
        <f>#REF!</f>
        <v>#REF!</v>
      </c>
      <c r="R145" s="40">
        <v>140</v>
      </c>
      <c r="S145" s="40">
        <v>22.195745070000001</v>
      </c>
      <c r="T145" s="40" t="e">
        <f>#REF!</f>
        <v>#REF!</v>
      </c>
      <c r="V145" s="40">
        <v>140</v>
      </c>
      <c r="W145" s="40">
        <v>22.205745069999999</v>
      </c>
      <c r="X145" s="40" t="e">
        <f>#REF!</f>
        <v>#REF!</v>
      </c>
    </row>
    <row r="146" spans="2:24" x14ac:dyDescent="0.35">
      <c r="B146" s="40">
        <v>141</v>
      </c>
      <c r="C146" s="40">
        <v>15.436078999999999</v>
      </c>
      <c r="D146" s="40" t="e">
        <f>#REF!</f>
        <v>#REF!</v>
      </c>
      <c r="F146" s="40">
        <v>141</v>
      </c>
      <c r="G146" s="40">
        <v>0</v>
      </c>
      <c r="H146" s="40" t="e">
        <f>#REF!</f>
        <v>#REF!</v>
      </c>
      <c r="J146" s="40">
        <v>141</v>
      </c>
      <c r="K146" s="40">
        <v>15.632671999999999</v>
      </c>
      <c r="L146" s="40" t="e">
        <f>#REF!</f>
        <v>#REF!</v>
      </c>
      <c r="N146" s="40">
        <v>141</v>
      </c>
      <c r="O146" s="40">
        <v>22.205745069999999</v>
      </c>
      <c r="P146" s="40" t="e">
        <f>#REF!</f>
        <v>#REF!</v>
      </c>
      <c r="R146" s="40">
        <v>141</v>
      </c>
      <c r="S146" s="40">
        <v>22.195745070000001</v>
      </c>
      <c r="T146" s="40" t="e">
        <f>#REF!</f>
        <v>#REF!</v>
      </c>
      <c r="V146" s="40">
        <v>141</v>
      </c>
      <c r="W146" s="40">
        <v>22.205745069999999</v>
      </c>
      <c r="X146" s="40" t="e">
        <f>#REF!</f>
        <v>#REF!</v>
      </c>
    </row>
    <row r="147" spans="2:24" x14ac:dyDescent="0.35">
      <c r="B147" s="40">
        <v>142</v>
      </c>
      <c r="C147" s="40">
        <v>15.436078999999999</v>
      </c>
      <c r="D147" s="40" t="e">
        <f>#REF!</f>
        <v>#REF!</v>
      </c>
      <c r="F147" s="40">
        <v>142</v>
      </c>
      <c r="G147" s="40">
        <v>0</v>
      </c>
      <c r="H147" s="40" t="e">
        <f>#REF!</f>
        <v>#REF!</v>
      </c>
      <c r="J147" s="40">
        <v>142</v>
      </c>
      <c r="K147" s="40">
        <v>15.632671999999999</v>
      </c>
      <c r="L147" s="40" t="e">
        <f>#REF!</f>
        <v>#REF!</v>
      </c>
      <c r="N147" s="40">
        <v>142</v>
      </c>
      <c r="O147" s="40">
        <v>22.205745069999999</v>
      </c>
      <c r="P147" s="40" t="e">
        <f>#REF!</f>
        <v>#REF!</v>
      </c>
      <c r="R147" s="40">
        <v>142</v>
      </c>
      <c r="S147" s="40">
        <v>22.195745070000001</v>
      </c>
      <c r="T147" s="40" t="e">
        <f>#REF!</f>
        <v>#REF!</v>
      </c>
      <c r="V147" s="40">
        <v>142</v>
      </c>
      <c r="W147" s="40">
        <v>22.205745069999999</v>
      </c>
      <c r="X147" s="40" t="e">
        <f>#REF!</f>
        <v>#REF!</v>
      </c>
    </row>
    <row r="148" spans="2:24" x14ac:dyDescent="0.35">
      <c r="B148" s="40">
        <v>143</v>
      </c>
      <c r="C148" s="40">
        <v>15.436078999999999</v>
      </c>
      <c r="D148" s="40" t="e">
        <f>#REF!</f>
        <v>#REF!</v>
      </c>
      <c r="F148" s="40">
        <v>143</v>
      </c>
      <c r="G148" s="40">
        <v>0</v>
      </c>
      <c r="H148" s="40" t="e">
        <f>#REF!</f>
        <v>#REF!</v>
      </c>
      <c r="J148" s="40">
        <v>143</v>
      </c>
      <c r="K148" s="40">
        <v>15.632671999999999</v>
      </c>
      <c r="L148" s="40" t="e">
        <f>#REF!</f>
        <v>#REF!</v>
      </c>
      <c r="N148" s="40">
        <v>143</v>
      </c>
      <c r="O148" s="40">
        <v>22.205745069999999</v>
      </c>
      <c r="P148" s="40" t="e">
        <f>#REF!</f>
        <v>#REF!</v>
      </c>
      <c r="R148" s="40">
        <v>143</v>
      </c>
      <c r="S148" s="40">
        <v>22.15982958</v>
      </c>
      <c r="T148" s="40" t="e">
        <f>#REF!</f>
        <v>#REF!</v>
      </c>
      <c r="V148" s="40">
        <v>143</v>
      </c>
      <c r="W148" s="40">
        <v>22.205745069999999</v>
      </c>
      <c r="X148" s="40" t="e">
        <f>#REF!</f>
        <v>#REF!</v>
      </c>
    </row>
    <row r="149" spans="2:24" x14ac:dyDescent="0.35">
      <c r="B149" s="40">
        <v>144</v>
      </c>
      <c r="C149" s="40">
        <v>0.01</v>
      </c>
      <c r="D149" s="40" t="e">
        <f>#REF!</f>
        <v>#REF!</v>
      </c>
      <c r="F149" s="40">
        <v>144</v>
      </c>
      <c r="G149" s="40">
        <v>0</v>
      </c>
      <c r="H149" s="40" t="e">
        <f>#REF!</f>
        <v>#REF!</v>
      </c>
      <c r="J149" s="40">
        <v>144</v>
      </c>
      <c r="K149" s="40">
        <v>15.632671999999999</v>
      </c>
      <c r="L149" s="40" t="e">
        <f>#REF!</f>
        <v>#REF!</v>
      </c>
      <c r="N149" s="40">
        <v>144</v>
      </c>
      <c r="O149" s="40">
        <v>0.47887323999999998</v>
      </c>
      <c r="P149" s="40" t="e">
        <f>#REF!</f>
        <v>#REF!</v>
      </c>
      <c r="R149" s="40">
        <v>144</v>
      </c>
      <c r="S149" s="40">
        <v>0.46478872999999998</v>
      </c>
      <c r="T149" s="40" t="e">
        <f>#REF!</f>
        <v>#REF!</v>
      </c>
      <c r="V149" s="40">
        <v>144</v>
      </c>
      <c r="W149" s="40">
        <v>0.47887323999999998</v>
      </c>
      <c r="X149" s="40" t="e">
        <f>#REF!</f>
        <v>#REF!</v>
      </c>
    </row>
    <row r="150" spans="2:24" x14ac:dyDescent="0.35">
      <c r="B150" s="40">
        <v>145</v>
      </c>
      <c r="C150" s="40">
        <v>0</v>
      </c>
      <c r="D150" s="40" t="e">
        <f>#REF!</f>
        <v>#REF!</v>
      </c>
      <c r="F150" s="40">
        <v>145</v>
      </c>
      <c r="G150" s="40">
        <v>0</v>
      </c>
      <c r="H150" s="40" t="e">
        <f>#REF!</f>
        <v>#REF!</v>
      </c>
      <c r="J150" s="40">
        <v>145</v>
      </c>
      <c r="K150" s="40">
        <v>15.632671999999999</v>
      </c>
      <c r="L150" s="40" t="e">
        <f>#REF!</f>
        <v>#REF!</v>
      </c>
      <c r="N150" s="40">
        <v>145</v>
      </c>
      <c r="O150" s="40">
        <v>0.46478872999999998</v>
      </c>
      <c r="P150" s="40" t="e">
        <f>#REF!</f>
        <v>#REF!</v>
      </c>
      <c r="R150" s="40">
        <v>145</v>
      </c>
      <c r="S150" s="40">
        <v>0.46478872999999998</v>
      </c>
      <c r="T150" s="40" t="e">
        <f>#REF!</f>
        <v>#REF!</v>
      </c>
      <c r="V150" s="40">
        <v>145</v>
      </c>
      <c r="W150" s="40">
        <v>0.46478872999999998</v>
      </c>
      <c r="X150" s="40" t="e">
        <f>#REF!</f>
        <v>#REF!</v>
      </c>
    </row>
    <row r="151" spans="2:24" x14ac:dyDescent="0.35">
      <c r="B151" s="40">
        <v>146</v>
      </c>
      <c r="C151" s="40">
        <v>0</v>
      </c>
      <c r="D151" s="40" t="e">
        <f>#REF!</f>
        <v>#REF!</v>
      </c>
      <c r="F151" s="40">
        <v>146</v>
      </c>
      <c r="G151" s="40">
        <v>0</v>
      </c>
      <c r="H151" s="40" t="e">
        <f>#REF!</f>
        <v>#REF!</v>
      </c>
      <c r="J151" s="40">
        <v>146</v>
      </c>
      <c r="K151" s="40">
        <v>15.632671999999999</v>
      </c>
      <c r="L151" s="40" t="e">
        <f>#REF!</f>
        <v>#REF!</v>
      </c>
      <c r="N151" s="40">
        <v>146</v>
      </c>
      <c r="O151" s="40">
        <v>0.46478872999999998</v>
      </c>
      <c r="P151" s="40" t="e">
        <f>#REF!</f>
        <v>#REF!</v>
      </c>
      <c r="R151" s="40">
        <v>146</v>
      </c>
      <c r="S151" s="40">
        <v>0.46478872999999998</v>
      </c>
      <c r="T151" s="40" t="e">
        <f>#REF!</f>
        <v>#REF!</v>
      </c>
      <c r="V151" s="40">
        <v>146</v>
      </c>
      <c r="W151" s="40">
        <v>0.46478872999999998</v>
      </c>
      <c r="X151" s="40" t="e">
        <f>#REF!</f>
        <v>#REF!</v>
      </c>
    </row>
    <row r="152" spans="2:24" x14ac:dyDescent="0.35">
      <c r="B152" s="40">
        <v>147</v>
      </c>
      <c r="C152" s="40">
        <v>0</v>
      </c>
      <c r="D152" s="40" t="e">
        <f>#REF!</f>
        <v>#REF!</v>
      </c>
      <c r="F152" s="40">
        <v>147</v>
      </c>
      <c r="G152" s="40">
        <v>0</v>
      </c>
      <c r="H152" s="40" t="e">
        <f>#REF!</f>
        <v>#REF!</v>
      </c>
      <c r="J152" s="40">
        <v>147</v>
      </c>
      <c r="K152" s="40">
        <v>15.632671999999999</v>
      </c>
      <c r="L152" s="40" t="e">
        <f>#REF!</f>
        <v>#REF!</v>
      </c>
      <c r="N152" s="40">
        <v>147</v>
      </c>
      <c r="O152" s="40">
        <v>0.46478872999999998</v>
      </c>
      <c r="P152" s="40" t="e">
        <f>#REF!</f>
        <v>#REF!</v>
      </c>
      <c r="R152" s="40">
        <v>147</v>
      </c>
      <c r="S152" s="40">
        <v>0.46478872999999998</v>
      </c>
      <c r="T152" s="40" t="e">
        <f>#REF!</f>
        <v>#REF!</v>
      </c>
      <c r="V152" s="40">
        <v>147</v>
      </c>
      <c r="W152" s="40">
        <v>0.46478872999999998</v>
      </c>
      <c r="X152" s="40" t="e">
        <f>#REF!</f>
        <v>#REF!</v>
      </c>
    </row>
    <row r="153" spans="2:24" x14ac:dyDescent="0.35">
      <c r="B153" s="40">
        <v>148</v>
      </c>
      <c r="C153" s="40">
        <v>0</v>
      </c>
      <c r="D153" s="40" t="e">
        <f>#REF!</f>
        <v>#REF!</v>
      </c>
      <c r="F153" s="40">
        <v>148</v>
      </c>
      <c r="G153" s="40">
        <v>0</v>
      </c>
      <c r="H153" s="40" t="e">
        <f>#REF!</f>
        <v>#REF!</v>
      </c>
      <c r="J153" s="40">
        <v>148</v>
      </c>
      <c r="K153" s="40">
        <v>15.632671999999999</v>
      </c>
      <c r="L153" s="40" t="e">
        <f>#REF!</f>
        <v>#REF!</v>
      </c>
      <c r="N153" s="40">
        <v>148</v>
      </c>
      <c r="O153" s="40">
        <v>0.46478872999999998</v>
      </c>
      <c r="P153" s="40" t="e">
        <f>#REF!</f>
        <v>#REF!</v>
      </c>
      <c r="R153" s="40">
        <v>148</v>
      </c>
      <c r="S153" s="40">
        <v>0.46478872999999998</v>
      </c>
      <c r="T153" s="40" t="e">
        <f>#REF!</f>
        <v>#REF!</v>
      </c>
      <c r="V153" s="40">
        <v>148</v>
      </c>
      <c r="W153" s="40">
        <v>0.46478872999999998</v>
      </c>
      <c r="X153" s="40" t="e">
        <f>#REF!</f>
        <v>#REF!</v>
      </c>
    </row>
    <row r="154" spans="2:24" x14ac:dyDescent="0.35">
      <c r="B154" s="40">
        <v>149</v>
      </c>
      <c r="C154" s="40">
        <v>0</v>
      </c>
      <c r="D154" s="40" t="e">
        <f>#REF!</f>
        <v>#REF!</v>
      </c>
      <c r="F154" s="40">
        <v>149</v>
      </c>
      <c r="G154" s="40">
        <v>0</v>
      </c>
      <c r="H154" s="40" t="e">
        <f>#REF!</f>
        <v>#REF!</v>
      </c>
      <c r="J154" s="40">
        <v>149</v>
      </c>
      <c r="K154" s="40">
        <v>15.632671999999999</v>
      </c>
      <c r="L154" s="40" t="e">
        <f>#REF!</f>
        <v>#REF!</v>
      </c>
      <c r="N154" s="40">
        <v>149</v>
      </c>
      <c r="O154" s="40">
        <v>0.46478872999999998</v>
      </c>
      <c r="P154" s="40" t="e">
        <f>#REF!</f>
        <v>#REF!</v>
      </c>
      <c r="R154" s="40">
        <v>149</v>
      </c>
      <c r="S154" s="40">
        <v>0.46478872999999998</v>
      </c>
      <c r="T154" s="40" t="e">
        <f>#REF!</f>
        <v>#REF!</v>
      </c>
      <c r="V154" s="40">
        <v>149</v>
      </c>
      <c r="W154" s="40">
        <v>0.46478872999999998</v>
      </c>
      <c r="X154" s="40" t="e">
        <f>#REF!</f>
        <v>#REF!</v>
      </c>
    </row>
    <row r="155" spans="2:24" x14ac:dyDescent="0.35">
      <c r="B155" s="40">
        <v>150</v>
      </c>
      <c r="C155" s="40">
        <v>0</v>
      </c>
      <c r="D155" s="40" t="e">
        <f>#REF!</f>
        <v>#REF!</v>
      </c>
      <c r="F155" s="40">
        <v>150</v>
      </c>
      <c r="G155" s="40">
        <v>0</v>
      </c>
      <c r="H155" s="40" t="e">
        <f>#REF!</f>
        <v>#REF!</v>
      </c>
      <c r="J155" s="40">
        <v>150</v>
      </c>
      <c r="K155" s="40">
        <v>15.632671999999999</v>
      </c>
      <c r="L155" s="40" t="e">
        <f>#REF!</f>
        <v>#REF!</v>
      </c>
      <c r="N155" s="40">
        <v>150</v>
      </c>
      <c r="O155" s="40">
        <v>0.46478872999999998</v>
      </c>
      <c r="P155" s="40" t="e">
        <f>#REF!</f>
        <v>#REF!</v>
      </c>
      <c r="R155" s="40">
        <v>150</v>
      </c>
      <c r="S155" s="40">
        <v>0.46478872999999998</v>
      </c>
      <c r="T155" s="40" t="e">
        <f>#REF!</f>
        <v>#REF!</v>
      </c>
      <c r="V155" s="40">
        <v>150</v>
      </c>
      <c r="W155" s="40">
        <v>0.46478872999999998</v>
      </c>
      <c r="X155" s="40" t="e">
        <f>#REF!</f>
        <v>#REF!</v>
      </c>
    </row>
    <row r="156" spans="2:24" x14ac:dyDescent="0.35">
      <c r="B156" s="40">
        <v>151</v>
      </c>
      <c r="C156" s="40">
        <v>0</v>
      </c>
      <c r="D156" s="40" t="e">
        <f>#REF!</f>
        <v>#REF!</v>
      </c>
      <c r="F156" s="40">
        <v>151</v>
      </c>
      <c r="G156" s="40">
        <v>0</v>
      </c>
      <c r="H156" s="40" t="e">
        <f>#REF!</f>
        <v>#REF!</v>
      </c>
      <c r="J156" s="40">
        <v>151</v>
      </c>
      <c r="K156" s="40">
        <v>15.632671999999999</v>
      </c>
      <c r="L156" s="40" t="e">
        <f>#REF!</f>
        <v>#REF!</v>
      </c>
      <c r="N156" s="40">
        <v>151</v>
      </c>
      <c r="O156" s="40">
        <v>0.46478872999999998</v>
      </c>
      <c r="P156" s="40" t="e">
        <f>#REF!</f>
        <v>#REF!</v>
      </c>
      <c r="R156" s="40">
        <v>151</v>
      </c>
      <c r="S156" s="40">
        <v>0.46478872999999998</v>
      </c>
      <c r="T156" s="40" t="e">
        <f>#REF!</f>
        <v>#REF!</v>
      </c>
      <c r="V156" s="40">
        <v>151</v>
      </c>
      <c r="W156" s="40">
        <v>0.46478872999999998</v>
      </c>
      <c r="X156" s="40" t="e">
        <f>#REF!</f>
        <v>#REF!</v>
      </c>
    </row>
    <row r="157" spans="2:24" x14ac:dyDescent="0.35">
      <c r="B157" s="40">
        <v>152</v>
      </c>
      <c r="C157" s="40">
        <v>0</v>
      </c>
      <c r="D157" s="40" t="e">
        <f>#REF!</f>
        <v>#REF!</v>
      </c>
      <c r="F157" s="40">
        <v>152</v>
      </c>
      <c r="G157" s="40">
        <v>0</v>
      </c>
      <c r="H157" s="40" t="e">
        <f>#REF!</f>
        <v>#REF!</v>
      </c>
      <c r="J157" s="40">
        <v>152</v>
      </c>
      <c r="K157" s="40">
        <v>15.632671999999999</v>
      </c>
      <c r="L157" s="40" t="e">
        <f>#REF!</f>
        <v>#REF!</v>
      </c>
      <c r="N157" s="40">
        <v>152</v>
      </c>
      <c r="O157" s="40">
        <v>0.46478872999999998</v>
      </c>
      <c r="P157" s="40" t="e">
        <f>#REF!</f>
        <v>#REF!</v>
      </c>
      <c r="R157" s="40">
        <v>152</v>
      </c>
      <c r="S157" s="40">
        <v>0.46478872999999998</v>
      </c>
      <c r="T157" s="40" t="e">
        <f>#REF!</f>
        <v>#REF!</v>
      </c>
      <c r="V157" s="40">
        <v>152</v>
      </c>
      <c r="W157" s="40">
        <v>0.46478872999999998</v>
      </c>
      <c r="X157" s="40" t="e">
        <f>#REF!</f>
        <v>#REF!</v>
      </c>
    </row>
    <row r="158" spans="2:24" x14ac:dyDescent="0.35">
      <c r="B158" s="40">
        <v>153</v>
      </c>
      <c r="C158" s="40">
        <v>0</v>
      </c>
      <c r="D158" s="40" t="e">
        <f>#REF!</f>
        <v>#REF!</v>
      </c>
      <c r="F158" s="40">
        <v>153</v>
      </c>
      <c r="G158" s="40">
        <v>0</v>
      </c>
      <c r="H158" s="40" t="e">
        <f>#REF!</f>
        <v>#REF!</v>
      </c>
      <c r="J158" s="40">
        <v>153</v>
      </c>
      <c r="K158" s="40">
        <v>15.632671999999999</v>
      </c>
      <c r="L158" s="40" t="e">
        <f>#REF!</f>
        <v>#REF!</v>
      </c>
      <c r="N158" s="40">
        <v>153</v>
      </c>
      <c r="O158" s="40">
        <v>0.46478872999999998</v>
      </c>
      <c r="P158" s="40" t="e">
        <f>#REF!</f>
        <v>#REF!</v>
      </c>
      <c r="R158" s="40">
        <v>153</v>
      </c>
      <c r="S158" s="40">
        <v>0.46478872999999998</v>
      </c>
      <c r="T158" s="40" t="e">
        <f>#REF!</f>
        <v>#REF!</v>
      </c>
      <c r="V158" s="40">
        <v>153</v>
      </c>
      <c r="W158" s="40">
        <v>0.46478872999999998</v>
      </c>
      <c r="X158" s="40" t="e">
        <f>#REF!</f>
        <v>#REF!</v>
      </c>
    </row>
    <row r="159" spans="2:24" x14ac:dyDescent="0.35">
      <c r="B159" s="40">
        <v>154</v>
      </c>
      <c r="C159" s="40">
        <v>0</v>
      </c>
      <c r="D159" s="40" t="e">
        <f>#REF!</f>
        <v>#REF!</v>
      </c>
      <c r="F159" s="40">
        <v>154</v>
      </c>
      <c r="G159" s="40">
        <v>0</v>
      </c>
      <c r="H159" s="40" t="e">
        <f>#REF!</f>
        <v>#REF!</v>
      </c>
      <c r="J159" s="40">
        <v>154</v>
      </c>
      <c r="K159" s="40">
        <v>15.632671999999999</v>
      </c>
      <c r="L159" s="40" t="e">
        <f>#REF!</f>
        <v>#REF!</v>
      </c>
      <c r="N159" s="40">
        <v>154</v>
      </c>
      <c r="O159" s="40">
        <v>0.46478872999999998</v>
      </c>
      <c r="P159" s="40" t="e">
        <f>#REF!</f>
        <v>#REF!</v>
      </c>
      <c r="R159" s="40">
        <v>154</v>
      </c>
      <c r="S159" s="40">
        <v>0.46478872999999998</v>
      </c>
      <c r="T159" s="40" t="e">
        <f>#REF!</f>
        <v>#REF!</v>
      </c>
      <c r="V159" s="40">
        <v>154</v>
      </c>
      <c r="W159" s="40">
        <v>0.46478872999999998</v>
      </c>
      <c r="X159" s="40" t="e">
        <f>#REF!</f>
        <v>#REF!</v>
      </c>
    </row>
    <row r="160" spans="2:24" x14ac:dyDescent="0.35">
      <c r="B160" s="40">
        <v>155</v>
      </c>
      <c r="C160" s="40">
        <v>0</v>
      </c>
      <c r="D160" s="40" t="e">
        <f>#REF!</f>
        <v>#REF!</v>
      </c>
      <c r="F160" s="40">
        <v>155</v>
      </c>
      <c r="G160" s="40">
        <v>0</v>
      </c>
      <c r="H160" s="40" t="e">
        <f>#REF!</f>
        <v>#REF!</v>
      </c>
      <c r="J160" s="40">
        <v>155</v>
      </c>
      <c r="K160" s="40">
        <v>15.632671999999999</v>
      </c>
      <c r="L160" s="40" t="e">
        <f>#REF!</f>
        <v>#REF!</v>
      </c>
      <c r="N160" s="40">
        <v>155</v>
      </c>
      <c r="O160" s="40">
        <v>0.46478872999999998</v>
      </c>
      <c r="P160" s="40" t="e">
        <f>#REF!</f>
        <v>#REF!</v>
      </c>
      <c r="R160" s="40">
        <v>155</v>
      </c>
      <c r="S160" s="40">
        <v>0.46478872999999998</v>
      </c>
      <c r="T160" s="40" t="e">
        <f>#REF!</f>
        <v>#REF!</v>
      </c>
      <c r="V160" s="40">
        <v>155</v>
      </c>
      <c r="W160" s="40">
        <v>0.46478872999999998</v>
      </c>
      <c r="X160" s="40" t="e">
        <f>#REF!</f>
        <v>#REF!</v>
      </c>
    </row>
    <row r="161" spans="2:24" x14ac:dyDescent="0.35">
      <c r="B161" s="40">
        <v>156</v>
      </c>
      <c r="C161" s="40">
        <v>0</v>
      </c>
      <c r="D161" s="40" t="e">
        <f>#REF!</f>
        <v>#REF!</v>
      </c>
      <c r="F161" s="40">
        <v>156</v>
      </c>
      <c r="G161" s="40">
        <v>0</v>
      </c>
      <c r="H161" s="40" t="e">
        <f>#REF!</f>
        <v>#REF!</v>
      </c>
      <c r="J161" s="40">
        <v>156</v>
      </c>
      <c r="K161" s="40">
        <v>15.632671999999999</v>
      </c>
      <c r="L161" s="40" t="e">
        <f>#REF!</f>
        <v>#REF!</v>
      </c>
      <c r="N161" s="40">
        <v>156</v>
      </c>
      <c r="O161" s="40">
        <v>0.46478872999999998</v>
      </c>
      <c r="P161" s="40" t="e">
        <f>#REF!</f>
        <v>#REF!</v>
      </c>
      <c r="R161" s="40">
        <v>156</v>
      </c>
      <c r="S161" s="40">
        <v>0.46478872999999998</v>
      </c>
      <c r="T161" s="40" t="e">
        <f>#REF!</f>
        <v>#REF!</v>
      </c>
      <c r="V161" s="40">
        <v>156</v>
      </c>
      <c r="W161" s="40">
        <v>0.46478872999999998</v>
      </c>
      <c r="X161" s="40" t="e">
        <f>#REF!</f>
        <v>#REF!</v>
      </c>
    </row>
    <row r="162" spans="2:24" x14ac:dyDescent="0.35">
      <c r="B162" s="40">
        <v>157</v>
      </c>
      <c r="C162" s="40">
        <v>0</v>
      </c>
      <c r="D162" s="40" t="e">
        <f>#REF!</f>
        <v>#REF!</v>
      </c>
      <c r="F162" s="40">
        <v>157</v>
      </c>
      <c r="G162" s="40">
        <v>0</v>
      </c>
      <c r="H162" s="40" t="e">
        <f>#REF!</f>
        <v>#REF!</v>
      </c>
      <c r="J162" s="40">
        <v>157</v>
      </c>
      <c r="K162" s="40">
        <v>15.632671999999999</v>
      </c>
      <c r="L162" s="40" t="e">
        <f>#REF!</f>
        <v>#REF!</v>
      </c>
      <c r="N162" s="40">
        <v>157</v>
      </c>
      <c r="O162" s="40">
        <v>0.46478872999999998</v>
      </c>
      <c r="P162" s="40" t="e">
        <f>#REF!</f>
        <v>#REF!</v>
      </c>
      <c r="R162" s="40">
        <v>157</v>
      </c>
      <c r="S162" s="40">
        <v>0.46478872999999998</v>
      </c>
      <c r="T162" s="40" t="e">
        <f>#REF!</f>
        <v>#REF!</v>
      </c>
      <c r="V162" s="40">
        <v>157</v>
      </c>
      <c r="W162" s="40">
        <v>0.46478872999999998</v>
      </c>
      <c r="X162" s="40" t="e">
        <f>#REF!</f>
        <v>#REF!</v>
      </c>
    </row>
    <row r="163" spans="2:24" x14ac:dyDescent="0.35">
      <c r="B163" s="40">
        <v>158</v>
      </c>
      <c r="C163" s="40">
        <v>0</v>
      </c>
      <c r="D163" s="40" t="e">
        <f>#REF!</f>
        <v>#REF!</v>
      </c>
      <c r="F163" s="40">
        <v>158</v>
      </c>
      <c r="G163" s="40">
        <v>0</v>
      </c>
      <c r="H163" s="40" t="e">
        <f>#REF!</f>
        <v>#REF!</v>
      </c>
      <c r="J163" s="40">
        <v>158</v>
      </c>
      <c r="K163" s="40">
        <v>15.632671999999999</v>
      </c>
      <c r="L163" s="40" t="e">
        <f>#REF!</f>
        <v>#REF!</v>
      </c>
      <c r="N163" s="40">
        <v>158</v>
      </c>
      <c r="O163" s="40">
        <v>0.46478872999999998</v>
      </c>
      <c r="P163" s="40" t="e">
        <f>#REF!</f>
        <v>#REF!</v>
      </c>
      <c r="R163" s="40">
        <v>158</v>
      </c>
      <c r="S163" s="40">
        <v>0.46478872999999998</v>
      </c>
      <c r="T163" s="40" t="e">
        <f>#REF!</f>
        <v>#REF!</v>
      </c>
      <c r="V163" s="40">
        <v>158</v>
      </c>
      <c r="W163" s="40">
        <v>0.46478872999999998</v>
      </c>
      <c r="X163" s="40" t="e">
        <f>#REF!</f>
        <v>#REF!</v>
      </c>
    </row>
    <row r="164" spans="2:24" x14ac:dyDescent="0.35">
      <c r="B164" s="40">
        <v>159</v>
      </c>
      <c r="C164" s="40">
        <v>0</v>
      </c>
      <c r="D164" s="40" t="e">
        <f>#REF!</f>
        <v>#REF!</v>
      </c>
      <c r="F164" s="40">
        <v>159</v>
      </c>
      <c r="G164" s="40">
        <v>0</v>
      </c>
      <c r="H164" s="40" t="e">
        <f>#REF!</f>
        <v>#REF!</v>
      </c>
      <c r="J164" s="40">
        <v>159</v>
      </c>
      <c r="K164" s="40">
        <v>15.632671999999999</v>
      </c>
      <c r="L164" s="40" t="e">
        <f>#REF!</f>
        <v>#REF!</v>
      </c>
      <c r="N164" s="40">
        <v>159</v>
      </c>
      <c r="O164" s="40">
        <v>0.46478872999999998</v>
      </c>
      <c r="P164" s="40" t="e">
        <f>#REF!</f>
        <v>#REF!</v>
      </c>
      <c r="R164" s="40">
        <v>159</v>
      </c>
      <c r="S164" s="40">
        <v>0.46478872999999998</v>
      </c>
      <c r="T164" s="40" t="e">
        <f>#REF!</f>
        <v>#REF!</v>
      </c>
      <c r="V164" s="40">
        <v>159</v>
      </c>
      <c r="W164" s="40">
        <v>0.46478872999999998</v>
      </c>
      <c r="X164" s="40" t="e">
        <f>#REF!</f>
        <v>#REF!</v>
      </c>
    </row>
    <row r="165" spans="2:24" x14ac:dyDescent="0.35">
      <c r="B165" s="40">
        <v>160</v>
      </c>
      <c r="C165" s="40">
        <v>0</v>
      </c>
      <c r="D165" s="40" t="e">
        <f>#REF!</f>
        <v>#REF!</v>
      </c>
      <c r="F165" s="40">
        <v>160</v>
      </c>
      <c r="G165" s="40">
        <v>0</v>
      </c>
      <c r="H165" s="40" t="e">
        <f>#REF!</f>
        <v>#REF!</v>
      </c>
      <c r="J165" s="40">
        <v>160</v>
      </c>
      <c r="K165" s="40">
        <v>15.632671999999999</v>
      </c>
      <c r="L165" s="40" t="e">
        <f>#REF!</f>
        <v>#REF!</v>
      </c>
      <c r="N165" s="40">
        <v>160</v>
      </c>
      <c r="O165" s="40">
        <v>0.46478872999999998</v>
      </c>
      <c r="P165" s="40" t="e">
        <f>#REF!</f>
        <v>#REF!</v>
      </c>
      <c r="R165" s="40">
        <v>160</v>
      </c>
      <c r="S165" s="40">
        <v>0.46478872999999998</v>
      </c>
      <c r="T165" s="40" t="e">
        <f>#REF!</f>
        <v>#REF!</v>
      </c>
      <c r="V165" s="40">
        <v>160</v>
      </c>
      <c r="W165" s="40">
        <v>0.46478872999999998</v>
      </c>
      <c r="X165" s="40" t="e">
        <f>#REF!</f>
        <v>#REF!</v>
      </c>
    </row>
    <row r="166" spans="2:24" x14ac:dyDescent="0.35">
      <c r="B166" s="40">
        <v>161</v>
      </c>
      <c r="C166" s="40">
        <v>0</v>
      </c>
      <c r="D166" s="40" t="e">
        <f>#REF!</f>
        <v>#REF!</v>
      </c>
      <c r="F166" s="40">
        <v>161</v>
      </c>
      <c r="G166" s="40">
        <v>0</v>
      </c>
      <c r="H166" s="40" t="e">
        <f>#REF!</f>
        <v>#REF!</v>
      </c>
      <c r="J166" s="40">
        <v>161</v>
      </c>
      <c r="K166" s="40">
        <v>15.632671999999999</v>
      </c>
      <c r="L166" s="40" t="e">
        <f>#REF!</f>
        <v>#REF!</v>
      </c>
      <c r="N166" s="40">
        <v>161</v>
      </c>
      <c r="O166" s="40">
        <v>0.46478872999999998</v>
      </c>
      <c r="P166" s="40" t="e">
        <f>#REF!</f>
        <v>#REF!</v>
      </c>
      <c r="R166" s="40">
        <v>161</v>
      </c>
      <c r="S166" s="40">
        <v>0.46478872999999998</v>
      </c>
      <c r="T166" s="40" t="e">
        <f>#REF!</f>
        <v>#REF!</v>
      </c>
      <c r="V166" s="40">
        <v>161</v>
      </c>
      <c r="W166" s="40">
        <v>0.46478872999999998</v>
      </c>
      <c r="X166" s="40" t="e">
        <f>#REF!</f>
        <v>#REF!</v>
      </c>
    </row>
    <row r="167" spans="2:24" x14ac:dyDescent="0.35">
      <c r="B167" s="40">
        <v>162</v>
      </c>
      <c r="C167" s="40">
        <v>0</v>
      </c>
      <c r="D167" s="40" t="e">
        <f>#REF!</f>
        <v>#REF!</v>
      </c>
      <c r="F167" s="40">
        <v>162</v>
      </c>
      <c r="G167" s="40">
        <v>0</v>
      </c>
      <c r="H167" s="40" t="e">
        <f>#REF!</f>
        <v>#REF!</v>
      </c>
      <c r="J167" s="40">
        <v>162</v>
      </c>
      <c r="K167" s="40">
        <v>15.632671999999999</v>
      </c>
      <c r="L167" s="40" t="e">
        <f>#REF!</f>
        <v>#REF!</v>
      </c>
      <c r="N167" s="40">
        <v>162</v>
      </c>
      <c r="O167" s="40">
        <v>0.46478872999999998</v>
      </c>
      <c r="P167" s="40" t="e">
        <f>#REF!</f>
        <v>#REF!</v>
      </c>
      <c r="R167" s="40">
        <v>162</v>
      </c>
      <c r="S167" s="40">
        <v>0.46478872999999998</v>
      </c>
      <c r="T167" s="40" t="e">
        <f>#REF!</f>
        <v>#REF!</v>
      </c>
      <c r="V167" s="40">
        <v>162</v>
      </c>
      <c r="W167" s="40">
        <v>0.46478872999999998</v>
      </c>
      <c r="X167" s="40" t="e">
        <f>#REF!</f>
        <v>#REF!</v>
      </c>
    </row>
    <row r="168" spans="2:24" x14ac:dyDescent="0.35">
      <c r="B168" s="40">
        <v>163</v>
      </c>
      <c r="C168" s="40">
        <v>0</v>
      </c>
      <c r="D168" s="40" t="e">
        <f>#REF!</f>
        <v>#REF!</v>
      </c>
      <c r="F168" s="40">
        <v>163</v>
      </c>
      <c r="G168" s="40">
        <v>0</v>
      </c>
      <c r="H168" s="40" t="e">
        <f>#REF!</f>
        <v>#REF!</v>
      </c>
      <c r="J168" s="40">
        <v>163</v>
      </c>
      <c r="K168" s="40">
        <v>15.632671999999999</v>
      </c>
      <c r="L168" s="40" t="e">
        <f>#REF!</f>
        <v>#REF!</v>
      </c>
      <c r="N168" s="40">
        <v>163</v>
      </c>
      <c r="O168" s="40">
        <v>0.46478872999999998</v>
      </c>
      <c r="P168" s="40" t="e">
        <f>#REF!</f>
        <v>#REF!</v>
      </c>
      <c r="R168" s="40">
        <v>163</v>
      </c>
      <c r="S168" s="40">
        <v>0.46478872999999998</v>
      </c>
      <c r="T168" s="40" t="e">
        <f>#REF!</f>
        <v>#REF!</v>
      </c>
      <c r="V168" s="40">
        <v>163</v>
      </c>
      <c r="W168" s="40">
        <v>0.46478872999999998</v>
      </c>
      <c r="X168" s="40" t="e">
        <f>#REF!</f>
        <v>#REF!</v>
      </c>
    </row>
    <row r="169" spans="2:24" x14ac:dyDescent="0.35">
      <c r="B169" s="40">
        <v>164</v>
      </c>
      <c r="C169" s="40">
        <v>0</v>
      </c>
      <c r="D169" s="40" t="e">
        <f>#REF!</f>
        <v>#REF!</v>
      </c>
      <c r="F169" s="40">
        <v>164</v>
      </c>
      <c r="G169" s="40">
        <v>0</v>
      </c>
      <c r="H169" s="40" t="e">
        <f>#REF!</f>
        <v>#REF!</v>
      </c>
      <c r="J169" s="40">
        <v>164</v>
      </c>
      <c r="K169" s="40">
        <v>15.632671999999999</v>
      </c>
      <c r="L169" s="40" t="e">
        <f>#REF!</f>
        <v>#REF!</v>
      </c>
      <c r="N169" s="40">
        <v>164</v>
      </c>
      <c r="O169" s="40">
        <v>0.46478872999999998</v>
      </c>
      <c r="P169" s="40" t="e">
        <f>#REF!</f>
        <v>#REF!</v>
      </c>
      <c r="R169" s="40">
        <v>164</v>
      </c>
      <c r="S169" s="40">
        <v>0.46478872999999998</v>
      </c>
      <c r="T169" s="40" t="e">
        <f>#REF!</f>
        <v>#REF!</v>
      </c>
      <c r="V169" s="40">
        <v>164</v>
      </c>
      <c r="W169" s="40">
        <v>0.46478872999999998</v>
      </c>
      <c r="X169" s="40" t="e">
        <f>#REF!</f>
        <v>#REF!</v>
      </c>
    </row>
    <row r="170" spans="2:24" x14ac:dyDescent="0.35">
      <c r="B170" s="40">
        <v>165</v>
      </c>
      <c r="C170" s="40">
        <v>0</v>
      </c>
      <c r="D170" s="40" t="e">
        <f>#REF!</f>
        <v>#REF!</v>
      </c>
      <c r="F170" s="40">
        <v>165</v>
      </c>
      <c r="G170" s="40">
        <v>0</v>
      </c>
      <c r="H170" s="40" t="e">
        <f>#REF!</f>
        <v>#REF!</v>
      </c>
      <c r="J170" s="40">
        <v>165</v>
      </c>
      <c r="K170" s="40">
        <v>15.632671999999999</v>
      </c>
      <c r="L170" s="40" t="e">
        <f>#REF!</f>
        <v>#REF!</v>
      </c>
      <c r="N170" s="40">
        <v>165</v>
      </c>
      <c r="O170" s="40">
        <v>0.46478872999999998</v>
      </c>
      <c r="P170" s="40" t="e">
        <f>#REF!</f>
        <v>#REF!</v>
      </c>
      <c r="R170" s="40">
        <v>165</v>
      </c>
      <c r="S170" s="40">
        <v>0.46478872999999998</v>
      </c>
      <c r="T170" s="40" t="e">
        <f>#REF!</f>
        <v>#REF!</v>
      </c>
      <c r="V170" s="40">
        <v>165</v>
      </c>
      <c r="W170" s="40">
        <v>0.46478872999999998</v>
      </c>
      <c r="X170" s="40" t="e">
        <f>#REF!</f>
        <v>#REF!</v>
      </c>
    </row>
    <row r="171" spans="2:24" x14ac:dyDescent="0.35">
      <c r="B171" s="40">
        <v>166</v>
      </c>
      <c r="C171" s="40">
        <v>0</v>
      </c>
      <c r="D171" s="40" t="e">
        <f>#REF!</f>
        <v>#REF!</v>
      </c>
      <c r="F171" s="40">
        <v>166</v>
      </c>
      <c r="G171" s="40">
        <v>0</v>
      </c>
      <c r="H171" s="40" t="e">
        <f>#REF!</f>
        <v>#REF!</v>
      </c>
      <c r="J171" s="40">
        <v>166</v>
      </c>
      <c r="K171" s="40">
        <v>15.632671999999999</v>
      </c>
      <c r="L171" s="40" t="e">
        <f>#REF!</f>
        <v>#REF!</v>
      </c>
      <c r="N171" s="40">
        <v>166</v>
      </c>
      <c r="O171" s="40">
        <v>0.46478872999999998</v>
      </c>
      <c r="P171" s="40" t="e">
        <f>#REF!</f>
        <v>#REF!</v>
      </c>
      <c r="R171" s="40">
        <v>166</v>
      </c>
      <c r="S171" s="40">
        <v>0.46478872999999998</v>
      </c>
      <c r="T171" s="40" t="e">
        <f>#REF!</f>
        <v>#REF!</v>
      </c>
      <c r="V171" s="40">
        <v>166</v>
      </c>
      <c r="W171" s="40">
        <v>0.46478872999999998</v>
      </c>
      <c r="X171" s="40" t="e">
        <f>#REF!</f>
        <v>#REF!</v>
      </c>
    </row>
    <row r="172" spans="2:24" x14ac:dyDescent="0.35">
      <c r="B172" s="46">
        <v>167</v>
      </c>
      <c r="C172" s="46">
        <v>0</v>
      </c>
      <c r="D172" s="46" t="e">
        <f>#REF!</f>
        <v>#REF!</v>
      </c>
      <c r="F172" s="46">
        <v>167</v>
      </c>
      <c r="G172" s="46">
        <v>0</v>
      </c>
      <c r="H172" s="46" t="e">
        <f>#REF!</f>
        <v>#REF!</v>
      </c>
      <c r="J172" s="46">
        <v>167</v>
      </c>
      <c r="K172" s="46">
        <v>15.632671999999999</v>
      </c>
      <c r="L172" s="46" t="e">
        <f>#REF!</f>
        <v>#REF!</v>
      </c>
      <c r="N172" s="46">
        <v>167</v>
      </c>
      <c r="O172" s="46">
        <v>0.46478872999999998</v>
      </c>
      <c r="P172" s="46" t="e">
        <f>#REF!</f>
        <v>#REF!</v>
      </c>
      <c r="R172" s="46">
        <v>167</v>
      </c>
      <c r="S172" s="46">
        <v>0.46478872999999998</v>
      </c>
      <c r="T172" s="46" t="e">
        <f>#REF!</f>
        <v>#REF!</v>
      </c>
      <c r="V172" s="46">
        <v>167</v>
      </c>
      <c r="W172" s="46">
        <v>0.46478872999999998</v>
      </c>
      <c r="X172" s="40" t="e">
        <f>#REF!</f>
        <v>#REF!</v>
      </c>
    </row>
    <row r="173" spans="2:24" x14ac:dyDescent="0.35">
      <c r="P173" s="25"/>
      <c r="T173" s="25"/>
      <c r="X173" s="40" t="e">
        <f>#REF!</f>
        <v>#REF!</v>
      </c>
    </row>
  </sheetData>
  <mergeCells count="6">
    <mergeCell ref="W3:X3"/>
    <mergeCell ref="C3:D3"/>
    <mergeCell ref="G3:H3"/>
    <mergeCell ref="K3:L3"/>
    <mergeCell ref="O3:P3"/>
    <mergeCell ref="S3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Comparación Generacion</vt:lpstr>
      <vt:lpstr>Comparación Interconexiones</vt:lpstr>
      <vt:lpstr>Comparación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2026-04-20T15:12:30Z</dcterms:created>
  <dcterms:modified xsi:type="dcterms:W3CDTF">2026-04-28T15:10:16Z</dcterms:modified>
</cp:coreProperties>
</file>