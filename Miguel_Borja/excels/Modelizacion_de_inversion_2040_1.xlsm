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/>
  <mc:AlternateContent xmlns:mc="http://schemas.openxmlformats.org/markup-compatibility/2006">
    <mc:Choice Requires="x15">
      <x15ac:absPath xmlns:x15ac="http://schemas.microsoft.com/office/spreadsheetml/2010/11/ac" url="C:\Users\EXT10348\Downloads\WinPython 3.12.10\WPy64-31241\PROYECTOS PYPSA\excels\"/>
    </mc:Choice>
  </mc:AlternateContent>
  <xr:revisionPtr revIDLastSave="0" documentId="13_ncr:1_{9857CBDD-B694-4DBF-9F79-8A42F3C9FFA8}" xr6:coauthVersionLast="47" xr6:coauthVersionMax="47" xr10:uidLastSave="{00000000-0000-0000-0000-000000000000}"/>
  <bookViews>
    <workbookView xWindow="38115" yWindow="4125" windowWidth="14400" windowHeight="7275" firstSheet="1" activeTab="5" xr2:uid="{00000000-000D-0000-FFFF-FFFF00000000}"/>
  </bookViews>
  <sheets>
    <sheet name="Generators" sheetId="1" r:id="rId1"/>
    <sheet name="Carriers" sheetId="5" r:id="rId2"/>
    <sheet name="Buses" sheetId="2" r:id="rId3"/>
    <sheet name="Links" sheetId="3" r:id="rId4"/>
    <sheet name="Loads" sheetId="4" r:id="rId5"/>
    <sheet name="StorageUnit" sheetId="6" r:id="rId6"/>
    <sheet name="Store" sheetId="7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C2" i="7" l="1"/>
  <c r="D2" i="7" s="1"/>
  <c r="D2" i="4"/>
</calcChain>
</file>

<file path=xl/sharedStrings.xml><?xml version="1.0" encoding="utf-8"?>
<sst xmlns="http://schemas.openxmlformats.org/spreadsheetml/2006/main" count="188" uniqueCount="60">
  <si>
    <t>Type</t>
  </si>
  <si>
    <t>Name</t>
  </si>
  <si>
    <t>Bus</t>
  </si>
  <si>
    <t>p_nom</t>
  </si>
  <si>
    <t>p_nom_extendable</t>
  </si>
  <si>
    <t>capital_cost</t>
  </si>
  <si>
    <t>marginal_cost</t>
  </si>
  <si>
    <t>carrier</t>
  </si>
  <si>
    <t>overwrite</t>
  </si>
  <si>
    <t>Generator</t>
  </si>
  <si>
    <t>Solar</t>
  </si>
  <si>
    <t>electricity_Market</t>
  </si>
  <si>
    <t>True</t>
  </si>
  <si>
    <t>Wind</t>
  </si>
  <si>
    <t>Biomass</t>
  </si>
  <si>
    <t>Gas</t>
  </si>
  <si>
    <t>gas_bus</t>
  </si>
  <si>
    <t xml:space="preserve">Generator </t>
  </si>
  <si>
    <t>Water</t>
  </si>
  <si>
    <t>False</t>
  </si>
  <si>
    <t>Commodity_Cost</t>
  </si>
  <si>
    <t>Overwrite</t>
  </si>
  <si>
    <t>AC</t>
  </si>
  <si>
    <t>Grid_Import</t>
  </si>
  <si>
    <t>Hydrogen</t>
  </si>
  <si>
    <t>Electricity</t>
  </si>
  <si>
    <t>water_bus</t>
  </si>
  <si>
    <t xml:space="preserve">True </t>
  </si>
  <si>
    <t>hydrogen_bus</t>
  </si>
  <si>
    <t>Bus 1</t>
  </si>
  <si>
    <t>Bus 2</t>
  </si>
  <si>
    <t>efficiency</t>
  </si>
  <si>
    <t>Ramp limit up</t>
  </si>
  <si>
    <t>Ramp limit down</t>
  </si>
  <si>
    <t>Link</t>
  </si>
  <si>
    <t>CCGT</t>
  </si>
  <si>
    <t xml:space="preserve">Turbina </t>
  </si>
  <si>
    <t>Pump</t>
  </si>
  <si>
    <t>Electrolyzer</t>
  </si>
  <si>
    <t>p_set</t>
  </si>
  <si>
    <t>Load</t>
  </si>
  <si>
    <t>Demand</t>
  </si>
  <si>
    <t>hydrogen</t>
  </si>
  <si>
    <t>max_hours</t>
  </si>
  <si>
    <t>efficiency_store</t>
  </si>
  <si>
    <t>efficiency_dispatch</t>
  </si>
  <si>
    <t>e_min_pu</t>
  </si>
  <si>
    <t>e_max_pu</t>
  </si>
  <si>
    <t>Capital_cost</t>
  </si>
  <si>
    <t>cyclic_state_of_charge</t>
  </si>
  <si>
    <t>StorageUnit</t>
  </si>
  <si>
    <t>Battery</t>
  </si>
  <si>
    <t>Hstorage</t>
  </si>
  <si>
    <t>e_nom</t>
  </si>
  <si>
    <t>e_initial</t>
  </si>
  <si>
    <t>Embalse</t>
  </si>
  <si>
    <t>p_nom_max</t>
  </si>
  <si>
    <t>test_FLEX</t>
  </si>
  <si>
    <t>true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</si>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</sst>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5" x14ac:knownFonts="1">
    <font>
      <sz val="11"/>
      <color theme="1"/>
      <name val="Verdana"/>
      <family val="2"/>
      <scheme val="minor"/>
    </font>
    <font>
      <sz val="11"/>
      <color rgb="FF242424"/>
      <name val="Aptos Narrow"/>
      <family val="2"/>
    </font>
    <font>
      <sz val="11"/>
      <color rgb="FF000000"/>
      <name val="Verdana"/>
      <family val="2"/>
    </font>
    <font>
      <sz val="11"/>
      <color rgb="FF000000"/>
      <name val="Verdana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44" fontId="0" fillId="0" borderId="0" xfId="0" applyNumberFormat="1"/>
    <xf numFmtId="44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Enagás">
  <a:themeElements>
    <a:clrScheme name="Enagá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AAE"/>
      </a:accent1>
      <a:accent2>
        <a:srgbClr val="9CB700"/>
      </a:accent2>
      <a:accent3>
        <a:srgbClr val="63666A"/>
      </a:accent3>
      <a:accent4>
        <a:srgbClr val="00B5E2"/>
      </a:accent4>
      <a:accent5>
        <a:srgbClr val="FFB81C"/>
      </a:accent5>
      <a:accent6>
        <a:srgbClr val="FFFFFF"/>
      </a:accent6>
      <a:hlink>
        <a:srgbClr val="0563C1"/>
      </a:hlink>
      <a:folHlink>
        <a:srgbClr val="954F72"/>
      </a:folHlink>
    </a:clrScheme>
    <a:fontScheme name="Consolas 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solidFill>
            <a:schemeClr val="accent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"/>
  <sheetViews>
    <sheetView workbookViewId="0">
      <selection activeCell="E12" sqref="E12"/>
    </sheetView>
  </sheetViews>
  <sheetFormatPr baseColWidth="10" defaultColWidth="11.2109375" defaultRowHeight="14.25" customHeight="1" x14ac:dyDescent="0.25"/>
  <cols>
    <col min="3" max="3" width="19.85546875" customWidth="1"/>
    <col min="4" max="4" width="12" bestFit="1" customWidth="1"/>
    <col min="5" max="6" width="12" customWidth="1"/>
    <col min="7" max="7" width="23.92578125" customWidth="1"/>
    <col min="8" max="9" width="15.28515625" customWidth="1"/>
  </cols>
  <sheetData>
    <row r="1" spans="1:10" ht="3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56</v>
      </c>
      <c r="G1" t="s">
        <v>5</v>
      </c>
      <c r="H1" t="s">
        <v>6</v>
      </c>
      <c r="I1" t="s">
        <v>7</v>
      </c>
      <c r="J1" t="s">
        <v>8</v>
      </c>
    </row>
    <row r="2" spans="1:10" ht="13.5" x14ac:dyDescent="0.25">
      <c r="A2" t="s">
        <v>9</v>
      </c>
      <c r="B2" t="s">
        <v>10</v>
      </c>
      <c r="C2" t="s">
        <v>11</v>
      </c>
      <c r="D2">
        <v>0</v>
      </c>
      <c r="E2" t="s">
        <v>12</v>
      </c>
      <c r="G2" s="5">
        <v>37903.47</v>
      </c>
      <c r="H2">
        <v>0</v>
      </c>
      <c r="I2" t="s">
        <v>10</v>
      </c>
      <c r="J2" t="s">
        <v>12</v>
      </c>
    </row>
    <row r="3" spans="1:10" ht="13.5" x14ac:dyDescent="0.25">
      <c r="A3" t="s">
        <v>9</v>
      </c>
      <c r="B3" t="s">
        <v>13</v>
      </c>
      <c r="C3" t="s">
        <v>11</v>
      </c>
      <c r="D3">
        <v>0</v>
      </c>
      <c r="E3" t="s">
        <v>12</v>
      </c>
      <c r="G3" s="5">
        <v>105391.33</v>
      </c>
      <c r="H3">
        <v>0</v>
      </c>
      <c r="I3" t="s">
        <v>13</v>
      </c>
      <c r="J3" t="s">
        <v>12</v>
      </c>
    </row>
    <row r="4" spans="1:10" ht="13.5" x14ac:dyDescent="0.25">
      <c r="A4" t="s">
        <v>9</v>
      </c>
      <c r="B4" t="s">
        <v>14</v>
      </c>
      <c r="C4" t="s">
        <v>11</v>
      </c>
      <c r="D4">
        <v>0</v>
      </c>
      <c r="E4" t="s">
        <v>12</v>
      </c>
      <c r="F4">
        <f>2462.66*1.5</f>
        <v>3693.99</v>
      </c>
      <c r="G4" s="5">
        <v>384049.00349999999</v>
      </c>
      <c r="H4">
        <v>14</v>
      </c>
      <c r="I4" t="s">
        <v>14</v>
      </c>
      <c r="J4" t="s">
        <v>12</v>
      </c>
    </row>
    <row r="5" spans="1:10" ht="13.5" x14ac:dyDescent="0.25">
      <c r="A5" t="s">
        <v>9</v>
      </c>
      <c r="B5" t="s">
        <v>15</v>
      </c>
      <c r="C5" t="s">
        <v>16</v>
      </c>
      <c r="D5">
        <v>0</v>
      </c>
      <c r="E5" t="s">
        <v>12</v>
      </c>
      <c r="G5" s="5">
        <v>88195.005669999999</v>
      </c>
      <c r="I5" t="s">
        <v>15</v>
      </c>
      <c r="J5" t="s">
        <v>12</v>
      </c>
    </row>
    <row r="6" spans="1:10" ht="13.5" x14ac:dyDescent="0.25">
      <c r="A6" t="s">
        <v>17</v>
      </c>
      <c r="B6" t="s">
        <v>18</v>
      </c>
      <c r="C6" t="s">
        <v>11</v>
      </c>
      <c r="D6" s="3">
        <v>3424.6656160000002</v>
      </c>
      <c r="E6" t="s">
        <v>19</v>
      </c>
      <c r="G6" s="5">
        <v>0</v>
      </c>
      <c r="H6">
        <v>4</v>
      </c>
      <c r="I6" t="s">
        <v>18</v>
      </c>
      <c r="J6" t="s">
        <v>12</v>
      </c>
    </row>
    <row r="7" spans="1:10" ht="14.25" customHeight="1" x14ac:dyDescent="0.25">
      <c r="A7" t="s">
        <v>9</v>
      </c>
      <c r="B7" t="s">
        <v>57</v>
      </c>
      <c r="C7" t="s">
        <v>11</v>
      </c>
      <c r="D7">
        <v>0</v>
      </c>
      <c r="E7" t="s">
        <v>58</v>
      </c>
      <c r="G7" s="5">
        <v>0</v>
      </c>
      <c r="H7">
        <v>4000</v>
      </c>
      <c r="I7" t="s">
        <v>59</v>
      </c>
      <c r="J7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9FE0-54BA-40C2-A084-196B38F25559}">
  <dimension ref="A1:C12"/>
  <sheetViews>
    <sheetView workbookViewId="0">
      <selection activeCell="D12" sqref="D12"/>
    </sheetView>
  </sheetViews>
  <sheetFormatPr baseColWidth="10" defaultColWidth="11.2109375" defaultRowHeight="13.5" x14ac:dyDescent="0.25"/>
  <sheetData>
    <row r="1" spans="1:3" x14ac:dyDescent="0.25">
      <c r="A1" t="s">
        <v>1</v>
      </c>
      <c r="B1" t="s">
        <v>20</v>
      </c>
      <c r="C1" t="s">
        <v>21</v>
      </c>
    </row>
    <row r="2" spans="1:3" x14ac:dyDescent="0.25">
      <c r="A2" t="s">
        <v>22</v>
      </c>
      <c r="C2" t="s">
        <v>12</v>
      </c>
    </row>
    <row r="3" spans="1:3" x14ac:dyDescent="0.25">
      <c r="A3" t="s">
        <v>18</v>
      </c>
      <c r="C3" t="s">
        <v>12</v>
      </c>
    </row>
    <row r="4" spans="1:3" x14ac:dyDescent="0.25">
      <c r="A4" t="s">
        <v>13</v>
      </c>
      <c r="C4" t="s">
        <v>12</v>
      </c>
    </row>
    <row r="5" spans="1:3" x14ac:dyDescent="0.25">
      <c r="A5" t="s">
        <v>15</v>
      </c>
      <c r="C5" t="s">
        <v>12</v>
      </c>
    </row>
    <row r="6" spans="1:3" x14ac:dyDescent="0.25">
      <c r="A6" t="s">
        <v>10</v>
      </c>
      <c r="C6" t="s">
        <v>12</v>
      </c>
    </row>
    <row r="7" spans="1:3" x14ac:dyDescent="0.25">
      <c r="A7" t="s">
        <v>23</v>
      </c>
      <c r="C7" t="s">
        <v>12</v>
      </c>
    </row>
    <row r="8" spans="1:3" x14ac:dyDescent="0.25">
      <c r="A8" t="s">
        <v>14</v>
      </c>
      <c r="C8" t="s">
        <v>12</v>
      </c>
    </row>
    <row r="9" spans="1:3" x14ac:dyDescent="0.25">
      <c r="A9" t="s">
        <v>24</v>
      </c>
      <c r="C9" t="s">
        <v>12</v>
      </c>
    </row>
    <row r="10" spans="1:3" x14ac:dyDescent="0.25">
      <c r="A10" s="2" t="s">
        <v>25</v>
      </c>
      <c r="B10" s="2"/>
      <c r="C10" s="2" t="s">
        <v>12</v>
      </c>
    </row>
    <row r="11" spans="1:3" x14ac:dyDescent="0.25">
      <c r="A11" s="2" t="s">
        <v>18</v>
      </c>
      <c r="B11" s="2"/>
      <c r="C11" s="2" t="s">
        <v>12</v>
      </c>
    </row>
    <row r="12" spans="1:3" x14ac:dyDescent="0.25">
      <c r="A12" t="s">
        <v>59</v>
      </c>
      <c r="C12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D0FC-2AB4-43F9-87E5-C17EC5AACE65}">
  <dimension ref="A1:D5"/>
  <sheetViews>
    <sheetView workbookViewId="0">
      <selection activeCell="C8" sqref="C8"/>
    </sheetView>
  </sheetViews>
  <sheetFormatPr baseColWidth="10" defaultColWidth="11.2109375" defaultRowHeight="13.5" x14ac:dyDescent="0.25"/>
  <cols>
    <col min="2" max="2" width="15.5" customWidth="1"/>
    <col min="3" max="3" width="12.7109375" customWidth="1"/>
  </cols>
  <sheetData>
    <row r="1" spans="1:4" x14ac:dyDescent="0.25">
      <c r="A1" t="s">
        <v>0</v>
      </c>
      <c r="B1" t="s">
        <v>1</v>
      </c>
      <c r="C1" t="s">
        <v>7</v>
      </c>
      <c r="D1" t="s">
        <v>8</v>
      </c>
    </row>
    <row r="2" spans="1:4" x14ac:dyDescent="0.25">
      <c r="A2" t="s">
        <v>2</v>
      </c>
      <c r="B2" t="s">
        <v>11</v>
      </c>
      <c r="C2" t="s">
        <v>25</v>
      </c>
      <c r="D2" t="s">
        <v>12</v>
      </c>
    </row>
    <row r="3" spans="1:4" x14ac:dyDescent="0.25">
      <c r="A3" t="s">
        <v>2</v>
      </c>
      <c r="B3" t="s">
        <v>26</v>
      </c>
      <c r="C3" t="s">
        <v>18</v>
      </c>
      <c r="D3" t="s">
        <v>27</v>
      </c>
    </row>
    <row r="4" spans="1:4" x14ac:dyDescent="0.25">
      <c r="A4" t="s">
        <v>2</v>
      </c>
      <c r="B4" t="s">
        <v>16</v>
      </c>
      <c r="C4" t="s">
        <v>15</v>
      </c>
      <c r="D4" t="s">
        <v>27</v>
      </c>
    </row>
    <row r="5" spans="1:4" x14ac:dyDescent="0.25">
      <c r="A5" t="s">
        <v>2</v>
      </c>
      <c r="B5" t="s">
        <v>28</v>
      </c>
      <c r="C5" t="s">
        <v>24</v>
      </c>
      <c r="D5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666D-252D-4BF5-A5AF-3CE0E9787FCA}">
  <dimension ref="A1:M6"/>
  <sheetViews>
    <sheetView workbookViewId="0">
      <selection activeCell="G16" sqref="G16"/>
    </sheetView>
  </sheetViews>
  <sheetFormatPr baseColWidth="10" defaultColWidth="11.2109375" defaultRowHeight="14.25" customHeight="1" x14ac:dyDescent="0.25"/>
  <cols>
    <col min="3" max="3" width="14.5" customWidth="1"/>
    <col min="5" max="5" width="12" bestFit="1" customWidth="1"/>
    <col min="6" max="6" width="13.28515625" customWidth="1"/>
    <col min="7" max="7" width="19.7109375" customWidth="1"/>
    <col min="10" max="10" width="14.78515625" customWidth="1"/>
  </cols>
  <sheetData>
    <row r="1" spans="1:13" ht="13.5" x14ac:dyDescent="0.25">
      <c r="A1" t="s">
        <v>0</v>
      </c>
      <c r="B1" t="s">
        <v>1</v>
      </c>
      <c r="C1" t="s">
        <v>29</v>
      </c>
      <c r="D1" t="s">
        <v>30</v>
      </c>
      <c r="E1" t="s">
        <v>3</v>
      </c>
      <c r="F1" t="s">
        <v>4</v>
      </c>
      <c r="G1" t="s">
        <v>5</v>
      </c>
      <c r="H1" t="s">
        <v>31</v>
      </c>
      <c r="I1" t="s">
        <v>6</v>
      </c>
      <c r="J1" t="s">
        <v>32</v>
      </c>
      <c r="K1" t="s">
        <v>33</v>
      </c>
      <c r="L1" t="s">
        <v>7</v>
      </c>
      <c r="M1" t="s">
        <v>8</v>
      </c>
    </row>
    <row r="2" spans="1:13" ht="13.5" x14ac:dyDescent="0.25">
      <c r="A2" t="s">
        <v>34</v>
      </c>
      <c r="B2" t="s">
        <v>35</v>
      </c>
      <c r="C2" t="s">
        <v>16</v>
      </c>
      <c r="D2" t="s">
        <v>11</v>
      </c>
      <c r="E2">
        <v>0</v>
      </c>
      <c r="F2" t="s">
        <v>12</v>
      </c>
      <c r="G2" s="5">
        <v>70877.929999999993</v>
      </c>
      <c r="H2">
        <v>0.57999999999999996</v>
      </c>
      <c r="I2">
        <v>34.5</v>
      </c>
      <c r="J2">
        <v>842.35602840000001</v>
      </c>
      <c r="K2">
        <v>1052.945035</v>
      </c>
      <c r="L2" t="s">
        <v>15</v>
      </c>
      <c r="M2" t="s">
        <v>12</v>
      </c>
    </row>
    <row r="3" spans="1:13" ht="14.25" customHeight="1" x14ac:dyDescent="0.25">
      <c r="A3" t="s">
        <v>34</v>
      </c>
      <c r="B3" t="s">
        <v>36</v>
      </c>
      <c r="C3" t="s">
        <v>26</v>
      </c>
      <c r="D3" t="s">
        <v>11</v>
      </c>
      <c r="E3" s="4">
        <v>11536.29614</v>
      </c>
      <c r="F3" t="s">
        <v>19</v>
      </c>
      <c r="G3" s="5">
        <v>0</v>
      </c>
      <c r="H3">
        <v>0.85</v>
      </c>
      <c r="I3">
        <v>4</v>
      </c>
      <c r="L3" t="s">
        <v>18</v>
      </c>
      <c r="M3" t="s">
        <v>12</v>
      </c>
    </row>
    <row r="4" spans="1:13" ht="14.25" customHeight="1" x14ac:dyDescent="0.25">
      <c r="A4" t="s">
        <v>34</v>
      </c>
      <c r="B4" t="s">
        <v>37</v>
      </c>
      <c r="C4" t="s">
        <v>11</v>
      </c>
      <c r="D4" t="s">
        <v>26</v>
      </c>
      <c r="E4" s="4">
        <v>11536.29614</v>
      </c>
      <c r="F4" t="s">
        <v>19</v>
      </c>
      <c r="G4" s="5">
        <v>0</v>
      </c>
      <c r="H4">
        <v>0.75</v>
      </c>
      <c r="I4">
        <v>40</v>
      </c>
      <c r="L4" t="s">
        <v>22</v>
      </c>
      <c r="M4" t="s">
        <v>12</v>
      </c>
    </row>
    <row r="5" spans="1:13" ht="14.25" customHeight="1" x14ac:dyDescent="0.25">
      <c r="A5" t="s">
        <v>34</v>
      </c>
      <c r="B5" t="s">
        <v>38</v>
      </c>
      <c r="C5" t="s">
        <v>11</v>
      </c>
      <c r="D5" t="s">
        <v>28</v>
      </c>
      <c r="E5">
        <v>0</v>
      </c>
      <c r="F5" t="s">
        <v>12</v>
      </c>
      <c r="G5" s="5">
        <v>149714.51550000001</v>
      </c>
      <c r="H5">
        <v>0.7</v>
      </c>
      <c r="I5">
        <v>7</v>
      </c>
      <c r="L5" t="s">
        <v>24</v>
      </c>
      <c r="M5" t="s">
        <v>12</v>
      </c>
    </row>
    <row r="6" spans="1:13" ht="14.25" customHeight="1" x14ac:dyDescent="0.25">
      <c r="G6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777C-9588-438B-9F46-B38F22F23598}">
  <dimension ref="A1:F2"/>
  <sheetViews>
    <sheetView workbookViewId="0">
      <selection activeCell="B7" sqref="B7"/>
    </sheetView>
  </sheetViews>
  <sheetFormatPr baseColWidth="10" defaultColWidth="11.2109375" defaultRowHeight="13.5" x14ac:dyDescent="0.25"/>
  <cols>
    <col min="3" max="3" width="15.07031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39</v>
      </c>
      <c r="E1" t="s">
        <v>7</v>
      </c>
      <c r="F1" t="s">
        <v>8</v>
      </c>
    </row>
    <row r="2" spans="1:6" x14ac:dyDescent="0.25">
      <c r="A2" t="s">
        <v>40</v>
      </c>
      <c r="B2" t="s">
        <v>41</v>
      </c>
      <c r="C2" t="s">
        <v>28</v>
      </c>
      <c r="D2">
        <f>75.8*10^6/8760</f>
        <v>8652.9680365296808</v>
      </c>
      <c r="E2" t="s">
        <v>42</v>
      </c>
      <c r="F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78BF3-3D10-43F3-93DC-FAC6067A6600}">
  <dimension ref="A1:P3"/>
  <sheetViews>
    <sheetView tabSelected="1" zoomScale="99" workbookViewId="0">
      <selection activeCell="B3" sqref="B3"/>
    </sheetView>
  </sheetViews>
  <sheetFormatPr baseColWidth="10" defaultColWidth="9.0703125" defaultRowHeight="14.25" customHeight="1" x14ac:dyDescent="0.25"/>
  <cols>
    <col min="1" max="1" width="12.42578125" customWidth="1"/>
    <col min="2" max="2" width="11.5" customWidth="1"/>
    <col min="3" max="3" width="13.78515625" customWidth="1"/>
    <col min="6" max="6" width="8.5" customWidth="1"/>
    <col min="7" max="7" width="12.92578125" customWidth="1"/>
    <col min="8" max="10" width="15.5" customWidth="1"/>
    <col min="11" max="11" width="14" customWidth="1"/>
    <col min="12" max="12" width="11.42578125" customWidth="1"/>
    <col min="13" max="13" width="10.92578125" customWidth="1"/>
  </cols>
  <sheetData>
    <row r="1" spans="1:16" ht="14.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6</v>
      </c>
      <c r="N1" t="s">
        <v>7</v>
      </c>
      <c r="O1" t="s">
        <v>8</v>
      </c>
      <c r="P1" s="1"/>
    </row>
    <row r="2" spans="1:16" ht="14.5" x14ac:dyDescent="0.35">
      <c r="A2" t="s">
        <v>50</v>
      </c>
      <c r="B2" t="s">
        <v>51</v>
      </c>
      <c r="C2" t="s">
        <v>11</v>
      </c>
      <c r="D2" s="1">
        <v>0</v>
      </c>
      <c r="E2" s="1" t="s">
        <v>12</v>
      </c>
      <c r="F2">
        <v>4</v>
      </c>
      <c r="G2" s="1">
        <v>0.89658206308387101</v>
      </c>
      <c r="H2" s="1">
        <v>0.89658206308387101</v>
      </c>
      <c r="I2" s="1"/>
      <c r="J2" s="1"/>
      <c r="K2" s="5">
        <v>103850.57</v>
      </c>
      <c r="L2" t="s">
        <v>12</v>
      </c>
      <c r="M2">
        <v>5</v>
      </c>
      <c r="N2" t="s">
        <v>22</v>
      </c>
      <c r="O2" t="s">
        <v>12</v>
      </c>
    </row>
    <row r="3" spans="1:16" ht="14.5" x14ac:dyDescent="0.35">
      <c r="A3" t="s">
        <v>50</v>
      </c>
      <c r="B3" t="s">
        <v>52</v>
      </c>
      <c r="C3" t="s">
        <v>28</v>
      </c>
      <c r="D3" s="1">
        <v>0</v>
      </c>
      <c r="E3" s="1" t="s">
        <v>12</v>
      </c>
      <c r="F3">
        <v>1000</v>
      </c>
      <c r="G3">
        <v>1</v>
      </c>
      <c r="H3">
        <v>1</v>
      </c>
      <c r="I3">
        <v>0</v>
      </c>
      <c r="J3">
        <v>1</v>
      </c>
      <c r="K3" s="6">
        <v>137330.728</v>
      </c>
      <c r="L3" t="s">
        <v>12</v>
      </c>
      <c r="M3">
        <v>0</v>
      </c>
      <c r="N3" t="s">
        <v>24</v>
      </c>
      <c r="O3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FDCC-20F9-4048-9100-AB6E3F80BA1C}">
  <dimension ref="A1:K2"/>
  <sheetViews>
    <sheetView workbookViewId="0">
      <selection activeCell="B5" sqref="B5"/>
    </sheetView>
  </sheetViews>
  <sheetFormatPr baseColWidth="10" defaultColWidth="11.2109375" defaultRowHeight="14.25" customHeight="1" x14ac:dyDescent="0.25"/>
  <cols>
    <col min="4" max="4" width="12.0703125" bestFit="1" customWidth="1"/>
  </cols>
  <sheetData>
    <row r="1" spans="1:11" x14ac:dyDescent="0.25">
      <c r="A1" t="s">
        <v>1</v>
      </c>
      <c r="B1" t="s">
        <v>2</v>
      </c>
      <c r="C1" t="s">
        <v>53</v>
      </c>
      <c r="D1" t="s">
        <v>54</v>
      </c>
      <c r="E1" t="s">
        <v>46</v>
      </c>
      <c r="F1" t="s">
        <v>47</v>
      </c>
      <c r="G1" t="s">
        <v>49</v>
      </c>
      <c r="H1" t="s">
        <v>5</v>
      </c>
      <c r="I1" t="s">
        <v>6</v>
      </c>
      <c r="J1" t="s">
        <v>7</v>
      </c>
      <c r="K1" t="s">
        <v>8</v>
      </c>
    </row>
    <row r="2" spans="1:11" x14ac:dyDescent="0.25">
      <c r="A2" t="s">
        <v>55</v>
      </c>
      <c r="B2" t="s">
        <v>26</v>
      </c>
      <c r="C2">
        <f>1387684*10^3</f>
        <v>1387684000</v>
      </c>
      <c r="D2">
        <f>C2*F2</f>
        <v>1248915600</v>
      </c>
      <c r="E2">
        <v>0.2</v>
      </c>
      <c r="F2">
        <v>0.9</v>
      </c>
      <c r="G2" t="s">
        <v>12</v>
      </c>
      <c r="I2">
        <v>1</v>
      </c>
      <c r="J2" t="s">
        <v>18</v>
      </c>
      <c r="K2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791353C0E1AC4B8ED0956F06AC0F5E" ma:contentTypeVersion="12" ma:contentTypeDescription="Crear nuevo documento." ma:contentTypeScope="" ma:versionID="2ad44b3b23c8f86b0970c3f2e1838a37">
  <xsd:schema xmlns:xsd="http://www.w3.org/2001/XMLSchema" xmlns:xs="http://www.w3.org/2001/XMLSchema" xmlns:p="http://schemas.microsoft.com/office/2006/metadata/properties" xmlns:ns2="ac6c52fe-02c3-487d-b00f-09a9a6fd05ff" xmlns:ns3="1d5b5c73-de20-4e04-9cd3-394e24e35ef5" targetNamespace="http://schemas.microsoft.com/office/2006/metadata/properties" ma:root="true" ma:fieldsID="b5e48cd4cb840cdcd139310e6a9ccfe1" ns2:_="" ns3:_="">
    <xsd:import namespace="ac6c52fe-02c3-487d-b00f-09a9a6fd05ff"/>
    <xsd:import namespace="1d5b5c73-de20-4e04-9cd3-394e24e35e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6c52fe-02c3-487d-b00f-09a9a6fd05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5b5c73-de20-4e04-9cd3-394e24e35e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FAEDF64-9338-4BBE-8332-C18CC4D604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E1F670-340F-4041-9188-84639721F92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84000BB-0003-4D92-8E13-7728886818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6c52fe-02c3-487d-b00f-09a9a6fd05ff"/>
    <ds:schemaRef ds:uri="1d5b5c73-de20-4e04-9cd3-394e24e35e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Generators</vt:lpstr>
      <vt:lpstr>Carriers</vt:lpstr>
      <vt:lpstr>Buses</vt:lpstr>
      <vt:lpstr>Links</vt:lpstr>
      <vt:lpstr>Loads</vt:lpstr>
      <vt:lpstr>StorageUnit</vt:lpstr>
      <vt:lpstr>Store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Herranz Zuñiga, Borja</dc:creator>
  <cp:keywords/>
  <dc:description/>
  <cp:lastModifiedBy>Batres Fernandez, Ana</cp:lastModifiedBy>
  <cp:revision/>
  <dcterms:created xsi:type="dcterms:W3CDTF">2017-06-02T10:56:43Z</dcterms:created>
  <dcterms:modified xsi:type="dcterms:W3CDTF">2025-11-13T15:41:52Z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0x010100B6791353C0E1AC4B8ED0956F06AC0F5E</vt:lpwstr>
  </property>
</Properties>
</file>