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276737BF-5482-4AB2-8BFC-8F103C49863D}" xr6:coauthVersionLast="47" xr6:coauthVersionMax="47" xr10:uidLastSave="{00000000-0000-0000-0000-000000000000}"/>
  <bookViews>
    <workbookView xWindow="-110" yWindow="-110" windowWidth="19420" windowHeight="10300" tabRatio="752" activeTab="2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H4" i="13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<sst xmlns="http://schemas.openxmlformats.org/spreadsheetml/2006/main" count="26529" uniqueCount="1100">
  <si>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</si>
  <si>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</si>
  <si>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</si>
  <si>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</si>
  <si>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</si>
  <si>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</si>
  <si>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</si>
  <si>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</si>
  <si>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</si>
  <si>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</si>
  <si>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</si>
  <si>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</si>
  <si>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</si>
  <si>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</si>
  <si>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</si>
  <si>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</si>
  <si>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</si>
  <si>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</si>
  <si>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</si>
  <si>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</si>
  <si>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</si>
  <si>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</si>
  <si>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</si>
  <si>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</si>
  <si>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</si>
  <si>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</si>
  <si>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</si>
  <si>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</si>
  <si>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</si>
  <si>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</si>
  <si>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</si>
  <si>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</si>
  <si>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</si>
  <si>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</si>
  <si>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</si>
  <si>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</si>
  <si>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</si>
  <si>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</si>
  <si>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</si>
  <si>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</si>
  <si>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</si>
  <si>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</si>
  <si>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</si>
  <si>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</si>
  <si>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</si>
  <si>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</si>
  <si>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</si>
  <si>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</si>
  <si>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</si>
  <si>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</si>
  <si>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</si>
  <si>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</si>
  <si>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</si>
  <si>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</si>
  <si>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</si>
  <si>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</si>
  <si>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</si>
  <si>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</si>
  <si>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</si>
  <si>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</si>
  <si>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</si>
  <si>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</si>
  <si>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</si>
  <si>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</si>
  <si>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</si>
  <si>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</si>
  <si>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</si>
  <si>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</si>
  <si>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</si>
  <si>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</si>
  <si>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</si>
  <si>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</si>
  <si>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</si>
  <si>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</si>
  <si>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</si>
  <si>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</si>
  <si>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</si>
  <si>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</si>
  <si>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</si>
  <si>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</si>
  <si>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</si>
  <si>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</si>
  <si>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</si>
  <si>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</si>
  <si>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</si>
  <si>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</si>
  <si>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</si>
  <si>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</si>
  <si>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</si>
  <si>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</si>
  <si>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</si>
  <si>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</si>
  <si>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</si>
  <si>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</si>
  <si>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</si>
  <si>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</si>
  <si>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</si>
  <si>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</si>
  <si>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</si>
  <si>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</si>
  <si>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</si>
  <si>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</si>
  <si>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</si>
  <si>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</si>
  <si>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</si>
  <si>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</si>
  <si>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</si>
  <si>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</si>
  <si>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</si>
  <si>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</si>
  <si>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</si>
  <si>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</si>
  <si>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</si>
  <si>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</si>
  <si>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</si>
  <si>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</si>
  <si>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</si>
  <si>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</si>
  <si>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</si>
  <si>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</si>
  <si>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</si>
  <si>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</si>
  <si>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</si>
  <si>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</si>
  <si>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</si>
  <si>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</si>
  <si>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</si>
  <si>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</si>
  <si>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</si>
  <si>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</si>
  <si>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</si>
  <si>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</si>
  <si>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</si>
  <si>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</si>
  <si>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</si>
  <si>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</si>
  <si>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</si>
  <si>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</si>
  <si>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</si>
  <si>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</si>
  <si>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</si>
  <si>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</si>
  <si>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</si>
  <si>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</si>
  <si>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</si>
  <si>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</si>
  <si>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</si>
  <si>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</si>
  <si>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</si>
  <si>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</si>
  <si>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</si>
  <si>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</si>
  <si>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</si>
  <si>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</si>
  <si>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</si>
  <si>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</si>
  <si>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</si>
  <si>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</si>
  <si>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</si>
  <si>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</si>
  <si>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</si>
  <si>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</si>
  <si>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</si>
  <si>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</si>
  <si>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</si>
  <si>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</si>
  <si>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</si>
  <si>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</si>
  <si>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</si>
  <si>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</si>
  <si>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</si>
  <si>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</si>
  <si>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</si>
  <si>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</si>
  <si>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</si>
  <si>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</si>
  <si>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</si>
  <si>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</si>
  <si>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</si>
  <si>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</si>
  <si>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</si>
  <si>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</si>
  <si>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</si>
  <si>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</si>
  <si>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</si>
  <si>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</si>
  <si>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</si>
  <si>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</si>
  <si>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</si>
  <si>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</si>
  <si>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</si>
  <si>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</si>
  <si>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</si>
  <si>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</si>
  <si>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</si>
  <si>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</si>
  <si>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</si>
  <si>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</si>
  <si>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</si>
  <si>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</si>
  <si>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</si>
  <si>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</si>
  <si>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</si>
  <si>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</si>
  <si>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</si>
  <si>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</si>
  <si>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</si>
  <si>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</si>
  <si>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</si>
  <si>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</si>
  <si>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</si>
  <si>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</si>
  <si>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</si>
  <si>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</si>
  <si>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</si>
  <si>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</si>
  <si>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</si>
  <si>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</si>
  <si>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</si>
  <si>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</si>
  <si>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</si>
  <si>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</si>
  <si>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</si>
  <si>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</si>
  <si>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</si>
  <si>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</si>
  <si>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</si>
  <si>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</si>
  <si>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</si>
  <si>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</si>
  <si>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</si>
  <si>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</si>
  <si>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</si>
  <si>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</si>
  <si>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</si>
  <si>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</si>
  <si>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</si>
  <si>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</si>
  <si>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</si>
  <si>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</si>
  <si>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</si>
  <si>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</si>
  <si>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</si>
  <si>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</si>
  <si>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</si>
  <si>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</si>
  <si>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</si>
  <si>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</si>
  <si>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</si>
  <si>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</si>
  <si>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</si>
  <si>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</si>
  <si>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</si>
  <si>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</si>
  <si>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</si>
  <si>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</si>
  <si>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</si>
  <si>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</si>
  <si>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</si>
  <si>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</si>
  <si>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</si>
  <si>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</si>
  <si>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</si>
  <si>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</si>
  <si>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</si>
  <si>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</si>
  <si>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</si>
  <si>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</si>
  <si>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</si>
  <si>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</si>
  <si>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</si>
  <si>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</si>
  <si>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</si>
  <si>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</si>
  <si>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</si>
  <si>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</si>
  <si>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</si>
  <si>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</si>
  <si>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</si>
  <si>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</si>
  <si>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</si>
  <si>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</si>
  <si>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</si>
  <si>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</si>
  <si>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</si>
  <si>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</si>
  <si>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</si>
  <si>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</si>
  <si>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</si>
  <si>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</si>
  <si>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</si>
  <si>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</si>
  <si>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</si>
  <si>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</si>
  <si>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</si>
  <si>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</si>
  <si>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</si>
  <si>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</si>
  <si>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</si>
  <si>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</si>
  <si>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</si>
  <si>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</si>
  <si>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</si>
  <si>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</si>
  <si>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</si>
  <si>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</si>
  <si>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</si>
  <si>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</si>
  <si>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</si>
  <si>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</si>
  <si>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</si>
  <si>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</si>
  <si>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</si>
  <si>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</si>
  <si>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</si>
  <si>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</si>
  <si>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</si>
  <si>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</si>
  <si>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</si>
  <si>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</si>
  <si>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</si>
  <si>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</si>
  <si>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</si>
  <si>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</si>
  <si>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</si>
  <si>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</si>
  <si>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</si>
  <si>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</si>
  <si>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</si>
  <si>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</si>
  <si>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</si>
  <si>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</si>
  <si>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</si>
  <si>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</si>
  <si>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</si>
  <si>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</si>
  <si>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</si>
  <si>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</si>
  <si>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</si>
  <si>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</si>
  <si>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</si>
  <si>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</si>
  <si>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</si>
  <si>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</si>
  <si>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</si>
  <si>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</si>
  <si>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</si>
  <si>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</si>
  <si>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</si>
  <si>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</si>
  <si>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</si>
  <si>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</si>
  <si>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</si>
  <si>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</si>
  <si>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</si>
  <si>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</si>
  <si>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</si>
  <si>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</si>
  <si>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</si>
  <si>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</si>
  <si>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</si>
  <si>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</si>
  <si>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</si>
  <si>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</si>
  <si>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</si>
  <si>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</si>
  <si>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</si>
  <si>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</si>
  <si>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</si>
  <si>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</si>
  <si>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</si>
  <si>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</si>
  <si>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</si>
  <si>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</si>
  <si>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</si>
  <si>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</si>
  <si>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</si>
  <si>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</si>
  <si>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</si>
  <si>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</si>
  <si>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</si>
  <si>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</si>
  <si>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</si>
  <si>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</si>
  <si>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</si>
  <si>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</si>
  <si>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</si>
  <si>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</si>
  <si>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</si>
  <si>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</si>
  <si>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</si>
  <si>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</si>
  <si>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</si>
  <si>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</si>
  <si>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</si>
  <si>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</si>
  <si>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</si>
  <si>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</si>
  <si>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</si>
  <si>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</si>
  <si>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</si>
  <si>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</si>
  <si>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</si>
  <si>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</si>
  <si>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</si>
  <si>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</si>
  <si>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</si>
  <si>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</si>
  <si>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</si>
  <si>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</si>
  <si>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</si>
  <si>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</si>
  <si>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</si>
  <si>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</si>
  <si>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</si>
  <si>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</si>
  <si>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</si>
  <si>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</si>
  <si>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</si>
  <si>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</si>
  <si>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</si>
  <si>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</si>
  <si>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</si>
  <si>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</si>
  <si>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</si>
  <si>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</si>
  <si>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</si>
  <si>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</si>
  <si>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</si>
  <si>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</si>
  <si>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</si>
  <si>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</si>
  <si>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</si>
  <si>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</si>
  <si>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</si>
  <si>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</si>
  <si>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</si>
  <si>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</si>
  <si>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</si>
  <si>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</si>
  <si>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</si>
  <si>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</si>
  <si>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</si>
  <si>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</si>
  <si>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</si>
  <si>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</si>
  <si>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</si>
  <si>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</si>
  <si>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</si>
  <si>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</si>
  <si>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</si>
  <si>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</si>
  <si>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</si>
  <si>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</si>
  <si>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</si>
  <si>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</si>
  <si>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</si>
  <si>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</si>
  <si>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</si>
  <si>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</si>
  <si>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</si>
  <si>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</si>
  <si>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</si>
  <si>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</si>
  <si>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</si>
  <si>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</si>
  <si>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</si>
  <si>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</si>
  <si>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</si>
  <si>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</si>
  <si>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</si>
  <si>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</si>
  <si>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</si>
  <si>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</si>
  <si>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</si>
  <si>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</si>
  <si>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</si>
  <si>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</si>
  <si>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</si>
  <si>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</si>
  <si>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</si>
  <si>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</si>
  <si>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</si>
  <si>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</si>
  <si>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</si>
  <si>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</si>
  <si>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</si>
  <si>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</si>
  <si>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</si>
  <si>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</si>
  <si>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</si>
  <si>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</si>
  <si>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</si>
  <si>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</si>
  <si>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</si>
  <si>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</si>
  <si>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</si>
  <si>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</si>
  <si>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</si>
  <si>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</si>
  <si>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</si>
  <si>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</si>
  <si>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</si>
  <si>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</si>
  <si>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</si>
  <si>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</si>
  <si>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</si>
  <si>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</si>
  <si>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</si>
  <si>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</si>
  <si>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</si>
  <si>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</si>
  <si>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</si>
  <si>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</si>
  <si>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</si>
  <si>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</si>
  <si>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</si>
  <si>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</si>
  <si>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</si>
  <si>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</si>
  <si>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</si>
  <si>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</si>
  <si>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</si>
  <si>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</si>
  <si>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</si>
  <si>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</si>
  <si>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</si>
  <si>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</si>
  <si>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</si>
  <si>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</si>
  <si>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</si>
  <si>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</si>
  <si>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</si>
  <si>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</si>
  <si>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</si>
  <si>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</si>
  <si>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</si>
  <si>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</si>
  <si>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</si>
  <si>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</si>
  <si>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</si>
  <si>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</si>
  <si>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</si>
  <si>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</si>
  <si>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</si>
  <si>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</si>
  <si>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</si>
  <si>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</si>
  <si>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</si>
  <si>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</si>
  <si>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</si>
  <si>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</si>
  <si>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</si>
  <si>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</si>
  <si>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</si>
  <si>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</si>
  <si>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</si>
  <si>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</si>
  <si>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</si>
  <si>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</si>
  <si>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</si>
  <si>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</si>
  <si>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</si>
  <si>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</si>
  <si>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</si>
  <si>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</si>
  <si>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</si>
  <si>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</si>
  <si>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</si>
  <si>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</si>
  <si>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</si>
  <si>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</si>
  <si>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</si>
  <si>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</si>
  <si>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</si>
  <si>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</si>
  <si>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</si>
  <si>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</si>
  <si>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</si>
  <si>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</si>
  <si>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</si>
  <si>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</si>
  <si>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</si>
  <si>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</si>
  <si>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</si>
  <si>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</si>
  <si>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</si>
  <si>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</si>
  <si>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</si>
  <si>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</si>
  <si>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</si>
  <si>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</si>
  <si>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</si>
  <si>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</si>
  <si>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</si>
  <si>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</si>
  <si>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</si>
  <si>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</si>
  <si>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</si>
  <si>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</si>
  <si>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</si>
  <si>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</si>
  <si>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</si>
  <si>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</si>
  <si>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</si>
  <si>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</si>
  <si>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</si>
  <si>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</si>
  <si>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</si>
  <si>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</si>
  <si>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</si>
  <si>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</si>
  <si>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</si>
  <si>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</si>
  <si>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</si>
  <si>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</si>
  <si>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</si>
  <si>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</si>
  <si>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</si>
  <si>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</si>
  <si>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</si>
  <si>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</si>
  <si>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</si>
  <si>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</si>
  <si>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</si>
  <si>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</si>
  <si>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</si>
  <si>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</si>
  <si>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</si>
  <si>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</si>
  <si>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</si>
  <si>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</si>
  <si>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</si>
  <si>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</si>
  <si>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</si>
  <si>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</si>
  <si>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</si>
  <si>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</si>
  <si>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</si>
  <si>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</si>
  <si>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</si>
  <si>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</si>
  <si>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</si>
  <si>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</si>
  <si>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</si>
  <si>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</si>
  <si>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</si>
  <si>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</si>
  <si>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</si>
  <si>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</si>
  <si>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</si>
  <si>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</si>
  <si>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</si>
  <si>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</si>
  <si>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</si>
  <si>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</si>
  <si>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</si>
  <si>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</si>
  <si>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</si>
  <si>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</si>
  <si>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</si>
  <si>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</si>
  <si>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</si>
  <si>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</si>
  <si>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</si>
  <si>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</si>
  <si>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</si>
  <si>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</si>
  <si>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</si>
  <si>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</si>
  <si>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</si>
  <si>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</si>
  <si>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</si>
  <si>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</si>
  <si>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</si>
  <si>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</si>
  <si>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</si>
  <si>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</si>
  <si>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</si>
  <si>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</si>
  <si>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</si>
  <si>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</si>
  <si>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</si>
  <si>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</si>
  <si>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</si>
  <si>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</si>
  <si>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</si>
  <si>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</si>
  <si>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</si>
  <si>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</si>
  <si>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</si>
  <si>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</si>
  <si>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</si>
  <si>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</si>
  <si>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</si>
  <si>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</si>
  <si>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</si>
  <si>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</si>
  <si>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</si>
  <si>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</si>
  <si>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</si>
  <si>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</si>
  <si>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</si>
  <si>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</si>
  <si>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</si>
  <si>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</si>
  <si>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</si>
  <si>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</si>
  <si>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</si>
  <si>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</si>
  <si>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</si>
  <si>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</si>
  <si>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</si>
  <si>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</si>
  <si>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</si>
  <si>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</si>
  <si>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</si>
  <si>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</si>
  <si>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</si>
  <si>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</si>
  <si>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</si>
  <si>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</si>
  <si>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</si>
  <si>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</si>
  <si>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</si>
  <si>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</si>
  <si>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</si>
  <si>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</si>
  <si>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</si>
  <si>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</si>
  <si>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</si>
  <si>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</si>
  <si>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</si>
  <si>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</si>
  <si>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</si>
  <si>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</si>
  <si>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</si>
  <si>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</si>
  <si>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</si>
  <si>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</si>
  <si>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</si>
  <si>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</si>
  <si>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</si>
  <si>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</si>
  <si>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</si>
  <si>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</si>
  <si>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</si>
  <si>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</si>
  <si>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</si>
  <si>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</si>
  <si>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</si>
  <si>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</si>
  <si>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</si>
  <si>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</si>
  <si>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</si>
  <si>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</si>
  <si>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</si>
  <si>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</si>
  <si>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</si>
  <si>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</si>
  <si>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</si>
  <si>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</si>
  <si>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</si>
  <si>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</si>
  <si>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</si>
  <si>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</si>
  <si>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</si>
  <si>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</si>
  <si>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</si>
  <si>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</si>
  <si>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</si>
  <si>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</si>
  <si>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</si>
  <si>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</si>
  <si>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</si>
  <si>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</si>
  <si>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</si>
  <si>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</si>
  <si>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</si>
  <si>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</si>
  <si>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</si>
  <si>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</si>
  <si>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</si>
  <si>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</si>
  <si>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</si>
  <si>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</si>
  <si>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</si>
  <si>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</si>
  <si>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</si>
  <si>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</si>
  <si>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</si>
  <si>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</si>
  <si>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</si>
  <si>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</si>
  <si>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</si>
  <si>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</si>
  <si>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</si>
  <si>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</si>
  <si>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</si>
  <si>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</si>
  <si>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</si>
  <si>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</si>
  <si>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</si>
  <si>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</si>
  <si>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</si>
  <si>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</si>
  <si>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</si>
  <si>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</si>
  <si>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</si>
  <si>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</si>
  <si>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</si>
  <si>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</si>
  <si>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</si>
  <si>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</si>
  <si>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</si>
  <si>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</si>
  <si>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</si>
  <si>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</si>
  <si>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</si>
  <si>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</si>
  <si>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</si>
  <si>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</si>
  <si>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</si>
  <si>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</si>
  <si>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</si>
  <si>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</si>
  <si>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</si>
  <si>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</si>
  <si>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</si>
  <si>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</si>
  <si>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</si>
  <si>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</si>
  <si>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</si>
  <si>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</si>
  <si>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</si>
  <si>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</si>
  <si>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</si>
  <si>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</si>
  <si>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</si>
  <si>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</si>
  <si>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</si>
  <si>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</si>
  <si>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</si>
  <si>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</si>
  <si>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</si>
  <si>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</si>
  <si>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</si>
  <si>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</si>
  <si>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</si>
  <si>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</si>
  <si>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</si>
  <si>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</si>
  <si>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</si>
  <si>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</si>
  <si>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</si>
  <si>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</si>
  <si>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</si>
  <si>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</si>
  <si>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</si>
  <si>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</si>
  <si>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</si>
  <si>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</si>
  <si>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</si>
  <si>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</si>
  <si>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</si>
  <si>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</si>
  <si>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</si>
  <si>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</si>
  <si>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</si>
  <si>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</si>
  <si>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</si>
  <si>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</si>
  <si>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</si>
  <si>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</si>
  <si>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</si>
  <si>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</si>
  <si>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</si>
  <si>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</si>
  <si>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</si>
  <si>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</si>
  <si>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</si>
  <si>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</si>
  <si>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</si>
  <si>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</si>
  <si>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</si>
  <si>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</si>
  <si>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</si>
  <si>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</si>
  <si>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</si>
  <si>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</si>
  <si>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</si>
  <si>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</si>
  <si>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</si>
  <si>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</si>
  <si>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</si>
  <si>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</si>
  <si>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</si>
  <si>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</si>
  <si>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</si>
  <si>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</si>
  <si>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</si>
  <si>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</si>
  <si>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</si>
  <si>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</si>
  <si>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</si>
  <si>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</si>
  <si>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</si>
  <si>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</si>
  <si>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</si>
  <si>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</si>
  <si>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</si>
  <si>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</si>
  <si>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</si>
  <si>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</si>
  <si>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</si>
  <si>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</si>
  <si>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</si>
  <si>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</si>
  <si>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</si>
  <si>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</si>
  <si>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</si>
  <si>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</si>
  <si>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</si>
  <si>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</si>
  <si>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</si>
  <si>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</si>
  <si>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</si>
  <si>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</si>
  <si>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</si>
  <si>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</si>
  <si>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</si>
  <si>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</si>
  <si>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</si>
  <si>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</si>
  <si>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</si>
  <si>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</si>
  <si>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</si>
  <si>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</si>
  <si>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</si>
  <si>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</si>
  <si>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</si>
  <si>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</si>
  <si>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</si>
  <si>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</si>
  <si>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</si>
  <si>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</si>
  <si>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</si>
  <si>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</si>
  <si>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</si>
  <si>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</si>
  <si>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</si>
  <si>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</si>
  <si>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</si>
  <si>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</si>
  <si>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</si>
  <si>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</si>
  <si>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</si>
  <si>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</si>
  <si>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</si>
  <si>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</si>
  <si>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</si>
  <si>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</si>
  <si>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</si>
  <si>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</si>
  <si>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</si>
  <si>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</si>
  <si>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</si>
  <si>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</si>
  <si>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</si>
  <si>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</si>
  <si>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</si>
  <si>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</si>
  <si>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</si>
  <si>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</si>
  <si>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</si>
  <si>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</si>
  <si>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</si>
  <si>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</si>
  <si>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</si>
  <si>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</si>
  <si>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</si>
  <si>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</si>
  <si>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</si>
  <si>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</si>
  <si>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</si>
  <si>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</si>
  <si>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</si>
  <si>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</si>
  <si>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</si>
  <si>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</si>
  <si>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</si>
  <si>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</si>
  <si>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</si>
  <si>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</si>
  <si>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</si>
  <si>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</si>
  <si>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</si>
  <si>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</si>
  <si>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</si>
  <si>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</si>
  <si>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</si>
  <si>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</si>
  <si>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</si>
  <si>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</si>
  <si>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</si>
  <si>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</si>
  <si>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</si>
  <si>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</si>
  <si>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</si>
  <si>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</si>
  <si>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</si>
  <si>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</si>
  <si>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</si>
  <si>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</si>
  <si>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</si>
  <si>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</si>
  <si>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</si>
  <si>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</si>
  <si>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</si>
  <si>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</si>
  <si>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</si>
  <si>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</si>
  <si>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</si>
  <si>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</si>
  <si>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</si>
  <si>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</si>
  <si>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</si>
  <si>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</si>
  <si>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</si>
  <si>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</si>
  <si>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</si>
  <si>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</si>
  <si>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</si>
  <si>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</si>
  <si>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</si>
  <si>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</si>
  <si>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</si>
  <si>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</si>
  <si>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</si>
  <si>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</si>
  <si>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</si>
  <si>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</si>
  <si>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</si>
  <si>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</si>
  <si>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</si>
  <si>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</si>
  <si>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</si>
  <si>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</si>
  <si>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</si>
  <si>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</si>
  <si>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</si>
  <si>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</si>
  <si>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</si>
  <si>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</si>
  <si>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</si>
  <si>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</si>
  <si>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</si>
  <si>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</si>
  <si>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</si>
  <si>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</si>
  <si>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</si>
  <si>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</si>
  <si>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</si>
  <si>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</si>
  <si>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</si>
  <si>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</si>
  <si>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</si>
  <si>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</si>
  <si>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</si>
  <si>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</si>
  <si>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</si>
  <si>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</si>
  <si>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</si>
  <si>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</si>
  <si>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</si>
  <si>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</si>
  <si>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</si>
  <si>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</si>
  <si>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</si>
  <si>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</si>
  <si>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p_min_pu</t>
  </si>
  <si>
    <t>p_max_pu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</si>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</sst>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59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7" borderId="1" xfId="0" applyFill="1" applyBorder="1"/>
    <xf numFmtId="0" fontId="0" fillId="2" borderId="7" xfId="0" applyFill="1" applyBorder="1"/>
    <xf numFmtId="0" fontId="0" fillId="0" borderId="7" xfId="0" applyBorder="1"/>
    <xf numFmtId="0" fontId="0" fillId="8" borderId="1" xfId="0" applyFill="1" applyBorder="1"/>
    <xf numFmtId="2" fontId="0" fillId="0" borderId="0" xfId="0" applyNumberFormat="1"/>
    <xf numFmtId="0" fontId="4" fillId="7" borderId="9" xfId="0" applyFont="1" applyFill="1" applyBorder="1"/>
    <xf numFmtId="0" fontId="0" fillId="0" borderId="10" xfId="0" applyBorder="1"/>
    <xf numFmtId="0" fontId="0" fillId="0" borderId="8" xfId="0" applyBorder="1"/>
    <xf numFmtId="0" fontId="4" fillId="7" borderId="12" xfId="0" applyFont="1" applyFill="1" applyBorder="1"/>
    <xf numFmtId="0" fontId="0" fillId="0" borderId="13" xfId="0" applyBorder="1"/>
    <xf numFmtId="0" fontId="0" fillId="0" borderId="11" xfId="0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workbookViewId="0">
      <selection activeCell="D18" sqref="D18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1082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1"/>
  <sheetViews>
    <sheetView tabSelected="1" workbookViewId="0">
      <selection activeCell="F2" sqref="F2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1098</v>
      </c>
      <c r="E1" s="30" t="s">
        <v>1099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3" t="s">
        <v>1024</v>
      </c>
      <c r="B5" s="2" t="s">
        <v>4</v>
      </c>
      <c r="C5" s="2" t="s">
        <v>6</v>
      </c>
      <c r="D5" s="1">
        <v>-3.7038000000000002</v>
      </c>
      <c r="E5" s="1">
        <v>40.416800000000002</v>
      </c>
    </row>
    <row r="6" spans="1:5" x14ac:dyDescent="0.35">
      <c r="A6" s="3" t="s">
        <v>1092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1028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1093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J19"/>
  <sheetViews>
    <sheetView zoomScaleNormal="100" workbookViewId="0">
      <selection activeCell="I16" sqref="I16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2.6328125" customWidth="1"/>
    <col min="4" max="4" width="10.90625" bestFit="1" customWidth="1"/>
    <col min="5" max="5" width="12.6328125" bestFit="1" customWidth="1"/>
    <col min="6" max="6" width="13.36328125" bestFit="1" customWidth="1"/>
  </cols>
  <sheetData>
    <row r="1" spans="1:10" ht="15" thickBot="1" x14ac:dyDescent="0.4">
      <c r="A1" s="29" t="s">
        <v>5</v>
      </c>
      <c r="B1" s="29" t="s">
        <v>16</v>
      </c>
      <c r="C1" s="29" t="s">
        <v>13</v>
      </c>
      <c r="D1" s="29" t="s">
        <v>14</v>
      </c>
      <c r="E1" s="29" t="s">
        <v>15</v>
      </c>
      <c r="F1" s="29" t="s">
        <v>0</v>
      </c>
      <c r="G1" s="29" t="s">
        <v>1</v>
      </c>
    </row>
    <row r="2" spans="1:10" x14ac:dyDescent="0.35">
      <c r="A2" s="41" t="s">
        <v>1037</v>
      </c>
      <c r="B2" s="31" t="s">
        <v>1021</v>
      </c>
      <c r="C2" s="31">
        <v>272338.68000020599</v>
      </c>
      <c r="D2" s="31"/>
      <c r="E2" s="31">
        <v>0.01</v>
      </c>
      <c r="F2" s="31" t="s">
        <v>10</v>
      </c>
      <c r="G2" s="31" t="s">
        <v>6</v>
      </c>
    </row>
    <row r="3" spans="1:10" x14ac:dyDescent="0.35">
      <c r="A3" s="3" t="s">
        <v>1038</v>
      </c>
      <c r="B3" s="2" t="s">
        <v>1021</v>
      </c>
      <c r="C3" s="2">
        <f>221599.2689</f>
        <v>221599.2689</v>
      </c>
      <c r="D3" s="2"/>
      <c r="E3" s="2">
        <v>0.01</v>
      </c>
      <c r="F3" s="2" t="s">
        <v>9</v>
      </c>
      <c r="G3" s="2" t="s">
        <v>6</v>
      </c>
    </row>
    <row r="4" spans="1:10" x14ac:dyDescent="0.35">
      <c r="A4" s="3" t="s">
        <v>1039</v>
      </c>
      <c r="B4" s="2" t="s">
        <v>1021</v>
      </c>
      <c r="C4" s="2">
        <v>2462.66</v>
      </c>
      <c r="D4" s="2"/>
      <c r="E4" s="1">
        <v>14</v>
      </c>
      <c r="F4" s="2" t="s">
        <v>12</v>
      </c>
      <c r="G4" s="2" t="s">
        <v>6</v>
      </c>
    </row>
    <row r="5" spans="1:10" x14ac:dyDescent="0.35">
      <c r="A5" s="4" t="s">
        <v>1040</v>
      </c>
      <c r="B5" s="2" t="s">
        <v>1023</v>
      </c>
      <c r="C5" s="1">
        <f>1*10^14</f>
        <v>100000000000000</v>
      </c>
      <c r="D5" s="1"/>
      <c r="E5" s="1">
        <v>0</v>
      </c>
      <c r="F5" s="1" t="s">
        <v>3</v>
      </c>
      <c r="G5" s="2" t="s">
        <v>6</v>
      </c>
      <c r="J5" s="52"/>
    </row>
    <row r="6" spans="1:10" x14ac:dyDescent="0.35">
      <c r="A6" s="3" t="s">
        <v>1041</v>
      </c>
      <c r="B6" s="2" t="s">
        <v>1021</v>
      </c>
      <c r="C6" s="2">
        <v>3117.91912</v>
      </c>
      <c r="D6" s="2"/>
      <c r="E6" s="2">
        <v>4</v>
      </c>
      <c r="F6" s="2" t="s">
        <v>8</v>
      </c>
      <c r="G6" s="2" t="s">
        <v>6</v>
      </c>
    </row>
    <row r="7" spans="1:10" x14ac:dyDescent="0.35">
      <c r="A7" s="4" t="s">
        <v>1094</v>
      </c>
      <c r="B7" s="1" t="s">
        <v>1092</v>
      </c>
      <c r="C7" s="1">
        <f>37999.78</f>
        <v>37999.78</v>
      </c>
      <c r="D7" s="1"/>
      <c r="E7" s="1">
        <v>0</v>
      </c>
      <c r="F7" s="1" t="s">
        <v>10</v>
      </c>
      <c r="G7" s="1" t="s">
        <v>6</v>
      </c>
    </row>
    <row r="8" spans="1:10" x14ac:dyDescent="0.35">
      <c r="A8" s="44" t="s">
        <v>1095</v>
      </c>
      <c r="B8" t="s">
        <v>1092</v>
      </c>
      <c r="C8">
        <f>37999.78</f>
        <v>37999.78</v>
      </c>
      <c r="E8" s="2">
        <v>0</v>
      </c>
      <c r="F8" t="s">
        <v>9</v>
      </c>
      <c r="G8" s="45" t="s">
        <v>6</v>
      </c>
    </row>
    <row r="9" spans="1:10" x14ac:dyDescent="0.35">
      <c r="A9" s="13" t="s">
        <v>1042</v>
      </c>
      <c r="B9" s="2" t="s">
        <v>1025</v>
      </c>
      <c r="C9" s="2">
        <v>61741.1</v>
      </c>
      <c r="D9" s="2"/>
      <c r="E9" s="1">
        <v>0.01</v>
      </c>
      <c r="F9" s="2" t="s">
        <v>10</v>
      </c>
      <c r="G9" s="2" t="s">
        <v>6</v>
      </c>
    </row>
    <row r="10" spans="1:10" x14ac:dyDescent="0.35">
      <c r="A10" s="14" t="s">
        <v>1043</v>
      </c>
      <c r="B10" s="2" t="s">
        <v>1025</v>
      </c>
      <c r="C10" s="1">
        <v>34501.199999999997</v>
      </c>
      <c r="D10" s="1"/>
      <c r="E10" s="1">
        <v>0.01</v>
      </c>
      <c r="F10" s="1" t="s">
        <v>9</v>
      </c>
      <c r="G10" s="2" t="s">
        <v>6</v>
      </c>
    </row>
    <row r="11" spans="1:10" x14ac:dyDescent="0.35">
      <c r="A11" s="13" t="s">
        <v>1044</v>
      </c>
      <c r="B11" s="2" t="s">
        <v>1025</v>
      </c>
      <c r="C11" s="2">
        <v>1607</v>
      </c>
      <c r="D11" s="2"/>
      <c r="E11" s="1">
        <v>14</v>
      </c>
      <c r="F11" s="2" t="s">
        <v>12</v>
      </c>
      <c r="G11" s="2" t="s">
        <v>6</v>
      </c>
    </row>
    <row r="12" spans="1:10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>
        <v>0</v>
      </c>
      <c r="F12" s="1" t="s">
        <v>3</v>
      </c>
      <c r="G12" s="2" t="s">
        <v>6</v>
      </c>
    </row>
    <row r="13" spans="1:10" x14ac:dyDescent="0.35">
      <c r="A13" s="13" t="s">
        <v>1046</v>
      </c>
      <c r="B13" s="2" t="s">
        <v>1025</v>
      </c>
      <c r="C13" s="2">
        <v>508.3</v>
      </c>
      <c r="D13" s="2"/>
      <c r="E13" s="2">
        <v>4</v>
      </c>
      <c r="F13" s="2" t="s">
        <v>8</v>
      </c>
      <c r="G13" s="2" t="s">
        <v>6</v>
      </c>
    </row>
    <row r="14" spans="1:10" x14ac:dyDescent="0.35">
      <c r="A14" s="13" t="s">
        <v>1096</v>
      </c>
      <c r="B14" s="1" t="s">
        <v>1093</v>
      </c>
      <c r="C14" s="47">
        <f>12584.9</f>
        <v>12584.9</v>
      </c>
      <c r="D14" s="1"/>
      <c r="E14" s="1">
        <v>0</v>
      </c>
      <c r="F14" s="1" t="s">
        <v>10</v>
      </c>
      <c r="G14" s="2" t="s">
        <v>6</v>
      </c>
    </row>
    <row r="15" spans="1:10" x14ac:dyDescent="0.35">
      <c r="A15" s="13" t="s">
        <v>1097</v>
      </c>
      <c r="B15" t="s">
        <v>1093</v>
      </c>
      <c r="C15" s="46">
        <f>9922</f>
        <v>9922</v>
      </c>
      <c r="D15" s="2"/>
      <c r="E15" s="1">
        <v>0</v>
      </c>
      <c r="F15" s="2" t="s">
        <v>9</v>
      </c>
      <c r="G15" s="2" t="s">
        <v>6</v>
      </c>
    </row>
    <row r="16" spans="1:10" x14ac:dyDescent="0.35">
      <c r="A16" s="48" t="s">
        <v>1083</v>
      </c>
      <c r="B16" s="2" t="s">
        <v>1021</v>
      </c>
      <c r="C16" s="2">
        <v>10000000</v>
      </c>
      <c r="D16" s="2"/>
      <c r="E16" s="2">
        <v>10000</v>
      </c>
      <c r="F16" s="2" t="s">
        <v>1082</v>
      </c>
      <c r="G16" s="45" t="s">
        <v>6</v>
      </c>
    </row>
    <row r="17" spans="1:7" x14ac:dyDescent="0.35">
      <c r="A17" s="48" t="s">
        <v>1084</v>
      </c>
      <c r="B17" s="2" t="s">
        <v>1025</v>
      </c>
      <c r="C17" s="2">
        <v>10000000</v>
      </c>
      <c r="D17" s="2"/>
      <c r="E17" s="2">
        <v>10000</v>
      </c>
      <c r="F17" s="2" t="s">
        <v>1082</v>
      </c>
      <c r="G17" s="2" t="s">
        <v>6</v>
      </c>
    </row>
    <row r="18" spans="1:7" x14ac:dyDescent="0.35">
      <c r="A18" s="48" t="s">
        <v>1085</v>
      </c>
      <c r="B18" s="2" t="s">
        <v>1024</v>
      </c>
      <c r="C18" s="2">
        <v>10000000</v>
      </c>
      <c r="D18" s="2"/>
      <c r="E18" s="2">
        <v>3000</v>
      </c>
      <c r="F18" s="2" t="s">
        <v>1082</v>
      </c>
      <c r="G18" s="45" t="s">
        <v>6</v>
      </c>
    </row>
    <row r="19" spans="1:7" x14ac:dyDescent="0.35">
      <c r="A19" s="48" t="s">
        <v>1086</v>
      </c>
      <c r="B19" s="2" t="s">
        <v>1028</v>
      </c>
      <c r="C19" s="2">
        <v>10000000</v>
      </c>
      <c r="D19" s="2"/>
      <c r="E19" s="2">
        <v>3000</v>
      </c>
      <c r="F19" s="2" t="s">
        <v>1082</v>
      </c>
      <c r="G19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E21" sqref="E21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M17"/>
  <sheetViews>
    <sheetView workbookViewId="0">
      <selection activeCell="H3" sqref="H3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6" width="11.81640625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3" ht="15" thickBot="1" x14ac:dyDescent="0.4">
      <c r="A1" s="29" t="s">
        <v>5</v>
      </c>
      <c r="B1" s="29" t="s">
        <v>1069</v>
      </c>
      <c r="C1" s="29" t="s">
        <v>1070</v>
      </c>
      <c r="D1" s="29" t="s">
        <v>13</v>
      </c>
      <c r="E1" s="56" t="s">
        <v>1081</v>
      </c>
      <c r="F1" s="53" t="s">
        <v>1080</v>
      </c>
      <c r="G1" s="29" t="s">
        <v>14</v>
      </c>
      <c r="H1" s="29" t="s">
        <v>17</v>
      </c>
      <c r="I1" s="29" t="s">
        <v>15</v>
      </c>
      <c r="J1" s="29" t="s">
        <v>19</v>
      </c>
      <c r="K1" s="29" t="s">
        <v>20</v>
      </c>
      <c r="L1" s="29" t="s">
        <v>0</v>
      </c>
      <c r="M1" s="29" t="s">
        <v>1</v>
      </c>
    </row>
    <row r="2" spans="1:13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57">
        <v>1</v>
      </c>
      <c r="F2" s="54">
        <v>0</v>
      </c>
      <c r="G2" s="1"/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</row>
    <row r="3" spans="1:13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57">
        <v>1</v>
      </c>
      <c r="F3" s="54">
        <v>0</v>
      </c>
      <c r="G3" s="2"/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3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58">
        <v>1</v>
      </c>
      <c r="F4" s="55">
        <v>0</v>
      </c>
      <c r="G4" s="2"/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3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58">
        <v>1</v>
      </c>
      <c r="F5" s="55">
        <v>0</v>
      </c>
      <c r="G5" s="2"/>
      <c r="H5" s="2">
        <v>0.7</v>
      </c>
      <c r="I5" s="2">
        <v>0</v>
      </c>
      <c r="J5" s="2"/>
      <c r="K5" s="2"/>
      <c r="L5" s="2" t="s">
        <v>4</v>
      </c>
      <c r="M5" s="2" t="s">
        <v>6</v>
      </c>
    </row>
    <row r="6" spans="1:13" x14ac:dyDescent="0.35">
      <c r="A6" s="3" t="s">
        <v>1076</v>
      </c>
      <c r="B6" s="2" t="s">
        <v>1092</v>
      </c>
      <c r="C6" s="2" t="s">
        <v>1024</v>
      </c>
      <c r="D6" s="2">
        <v>32600</v>
      </c>
      <c r="E6" s="58">
        <v>1</v>
      </c>
      <c r="F6" s="55">
        <v>0</v>
      </c>
      <c r="G6" s="2"/>
      <c r="H6" s="2">
        <v>0.7</v>
      </c>
      <c r="I6" s="2">
        <v>0</v>
      </c>
      <c r="J6" s="2"/>
      <c r="K6" s="2"/>
      <c r="L6" s="2" t="s">
        <v>4</v>
      </c>
      <c r="M6" s="2" t="s">
        <v>6</v>
      </c>
    </row>
    <row r="7" spans="1:13" x14ac:dyDescent="0.35">
      <c r="A7" s="3" t="s">
        <v>1077</v>
      </c>
      <c r="B7" s="2" t="s">
        <v>1092</v>
      </c>
      <c r="C7" s="2" t="s">
        <v>1021</v>
      </c>
      <c r="D7" s="2">
        <v>100000</v>
      </c>
      <c r="E7" s="58">
        <v>1</v>
      </c>
      <c r="F7" s="55">
        <v>0</v>
      </c>
      <c r="G7" s="2"/>
      <c r="H7" s="2">
        <v>1</v>
      </c>
      <c r="I7" s="2">
        <v>0</v>
      </c>
      <c r="J7" s="2"/>
      <c r="K7" s="2"/>
      <c r="L7" s="2" t="s">
        <v>7</v>
      </c>
      <c r="M7" s="2" t="s">
        <v>6</v>
      </c>
    </row>
    <row r="8" spans="1:13" x14ac:dyDescent="0.35">
      <c r="A8" s="14" t="s">
        <v>1033</v>
      </c>
      <c r="B8" s="1" t="s">
        <v>1027</v>
      </c>
      <c r="C8" s="1" t="s">
        <v>1025</v>
      </c>
      <c r="D8" s="51">
        <v>1357</v>
      </c>
      <c r="E8" s="57">
        <v>1</v>
      </c>
      <c r="F8" s="54">
        <v>0</v>
      </c>
      <c r="G8" s="1"/>
      <c r="H8" s="1">
        <v>0.57999999999999996</v>
      </c>
      <c r="I8" s="1">
        <v>96</v>
      </c>
      <c r="J8" s="1">
        <v>2.4</v>
      </c>
      <c r="K8" s="1">
        <v>3</v>
      </c>
      <c r="L8" s="1" t="s">
        <v>3</v>
      </c>
      <c r="M8" s="1" t="s">
        <v>6</v>
      </c>
    </row>
    <row r="9" spans="1:13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57">
        <v>1</v>
      </c>
      <c r="F9" s="54">
        <v>0</v>
      </c>
      <c r="G9" s="2"/>
      <c r="H9" s="1">
        <v>0.85</v>
      </c>
      <c r="I9" s="2">
        <v>4</v>
      </c>
      <c r="J9" s="1"/>
      <c r="K9" s="2"/>
      <c r="L9" s="1" t="s">
        <v>8</v>
      </c>
      <c r="M9" s="2" t="s">
        <v>6</v>
      </c>
    </row>
    <row r="10" spans="1:13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58">
        <v>1</v>
      </c>
      <c r="F10" s="55">
        <v>0</v>
      </c>
      <c r="G10" s="2"/>
      <c r="H10" s="2">
        <v>0.75</v>
      </c>
      <c r="I10" s="2">
        <v>40</v>
      </c>
      <c r="J10" s="2"/>
      <c r="K10" s="2"/>
      <c r="L10" s="2" t="s">
        <v>7</v>
      </c>
      <c r="M10" s="2" t="s">
        <v>6</v>
      </c>
    </row>
    <row r="11" spans="1:13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57">
        <v>1</v>
      </c>
      <c r="F11" s="54">
        <v>0</v>
      </c>
      <c r="G11" s="2"/>
      <c r="H11" s="1">
        <v>0.7</v>
      </c>
      <c r="I11" s="2">
        <v>0</v>
      </c>
      <c r="J11" s="1"/>
      <c r="K11" s="2"/>
      <c r="L11" s="1" t="s">
        <v>4</v>
      </c>
      <c r="M11" s="2" t="s">
        <v>6</v>
      </c>
    </row>
    <row r="12" spans="1:13" x14ac:dyDescent="0.35">
      <c r="A12" s="13" t="s">
        <v>1078</v>
      </c>
      <c r="B12" s="2" t="s">
        <v>1093</v>
      </c>
      <c r="C12" s="2" t="s">
        <v>1028</v>
      </c>
      <c r="D12" s="2">
        <v>13478</v>
      </c>
      <c r="E12" s="58">
        <v>1</v>
      </c>
      <c r="F12" s="55">
        <v>0</v>
      </c>
      <c r="G12" s="2"/>
      <c r="H12" s="2">
        <v>0.7</v>
      </c>
      <c r="I12" s="2">
        <v>0</v>
      </c>
      <c r="J12" s="2"/>
      <c r="K12" s="2"/>
      <c r="L12" s="2" t="s">
        <v>4</v>
      </c>
      <c r="M12" s="2" t="s">
        <v>6</v>
      </c>
    </row>
    <row r="13" spans="1:13" x14ac:dyDescent="0.35">
      <c r="A13" s="13" t="s">
        <v>1079</v>
      </c>
      <c r="B13" s="2" t="s">
        <v>1093</v>
      </c>
      <c r="C13" s="2" t="s">
        <v>1025</v>
      </c>
      <c r="D13" s="2">
        <v>1000000</v>
      </c>
      <c r="E13" s="58">
        <v>1</v>
      </c>
      <c r="F13" s="55">
        <v>0</v>
      </c>
      <c r="G13" s="2"/>
      <c r="H13" s="2">
        <v>1</v>
      </c>
      <c r="I13" s="2">
        <v>0</v>
      </c>
      <c r="J13" s="2"/>
      <c r="K13" s="2"/>
      <c r="L13" s="2" t="s">
        <v>7</v>
      </c>
      <c r="M13" s="2" t="s">
        <v>6</v>
      </c>
    </row>
    <row r="14" spans="1:13" x14ac:dyDescent="0.35">
      <c r="A14" s="42" t="s">
        <v>1072</v>
      </c>
      <c r="B14" s="1" t="s">
        <v>1021</v>
      </c>
      <c r="C14" s="1" t="s">
        <v>1025</v>
      </c>
      <c r="D14" s="1">
        <v>4500</v>
      </c>
      <c r="E14" s="57">
        <v>1</v>
      </c>
      <c r="F14" s="54">
        <v>0.78900000000000003</v>
      </c>
      <c r="G14" s="1"/>
      <c r="H14" s="1">
        <v>0.97499999999999998</v>
      </c>
      <c r="I14" s="1">
        <v>100</v>
      </c>
      <c r="J14" s="1"/>
      <c r="K14" s="1"/>
      <c r="L14" s="1" t="s">
        <v>7</v>
      </c>
      <c r="M14" s="1" t="s">
        <v>6</v>
      </c>
    </row>
    <row r="15" spans="1:13" x14ac:dyDescent="0.35">
      <c r="A15" s="43" t="s">
        <v>1073</v>
      </c>
      <c r="B15" s="2" t="s">
        <v>1024</v>
      </c>
      <c r="C15" s="2" t="s">
        <v>1028</v>
      </c>
      <c r="D15" s="2">
        <v>2850</v>
      </c>
      <c r="E15" s="58">
        <v>1</v>
      </c>
      <c r="F15" s="55">
        <v>0</v>
      </c>
      <c r="G15" s="1"/>
      <c r="H15" s="1">
        <v>0.97499999999999998</v>
      </c>
      <c r="I15" s="1">
        <v>100</v>
      </c>
      <c r="J15" s="2"/>
      <c r="K15" s="2"/>
      <c r="L15" s="2" t="s">
        <v>4</v>
      </c>
      <c r="M15" s="2" t="s">
        <v>6</v>
      </c>
    </row>
    <row r="16" spans="1:13" x14ac:dyDescent="0.35">
      <c r="A16" s="42" t="s">
        <v>1074</v>
      </c>
      <c r="B16" s="1" t="s">
        <v>1025</v>
      </c>
      <c r="C16" s="1" t="s">
        <v>1021</v>
      </c>
      <c r="D16" s="1">
        <v>3500</v>
      </c>
      <c r="E16" s="57">
        <v>1</v>
      </c>
      <c r="F16" s="54">
        <v>0.53800000000000003</v>
      </c>
      <c r="G16" s="1"/>
      <c r="H16" s="1">
        <v>0.97499999999999998</v>
      </c>
      <c r="I16" s="1">
        <v>100</v>
      </c>
      <c r="J16" s="1"/>
      <c r="K16" s="1"/>
      <c r="L16" s="1" t="s">
        <v>7</v>
      </c>
      <c r="M16" s="1" t="s">
        <v>6</v>
      </c>
    </row>
    <row r="17" spans="1:13" x14ac:dyDescent="0.35">
      <c r="A17" s="43" t="s">
        <v>1075</v>
      </c>
      <c r="B17" s="2" t="s">
        <v>1028</v>
      </c>
      <c r="C17" s="2" t="s">
        <v>1024</v>
      </c>
      <c r="D17" s="2">
        <v>2850</v>
      </c>
      <c r="E17" s="58">
        <v>1</v>
      </c>
      <c r="F17" s="55">
        <v>0</v>
      </c>
      <c r="G17" s="1"/>
      <c r="H17" s="1">
        <v>0.97499999999999998</v>
      </c>
      <c r="I17" s="1">
        <v>100</v>
      </c>
      <c r="J17" s="2"/>
      <c r="K17" s="2"/>
      <c r="L17" s="2" t="s">
        <v>4</v>
      </c>
      <c r="M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P11" sqref="P1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9" t="s">
        <v>1050</v>
      </c>
      <c r="B2" s="50" t="s">
        <v>1022</v>
      </c>
      <c r="C2" s="50">
        <f>1387684*10^3</f>
        <v>1387684000</v>
      </c>
      <c r="D2" s="50">
        <f>C2*F2</f>
        <v>1248915600</v>
      </c>
      <c r="E2" s="50">
        <v>0.2</v>
      </c>
      <c r="F2" s="50">
        <v>0.9</v>
      </c>
      <c r="G2" s="50" t="s">
        <v>6</v>
      </c>
      <c r="H2" s="50"/>
      <c r="I2" s="50">
        <v>1</v>
      </c>
      <c r="J2" s="50" t="s">
        <v>8</v>
      </c>
      <c r="K2" s="50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E1" sqref="E1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1052</v>
      </c>
      <c r="C1" s="39" t="s">
        <v>1053</v>
      </c>
      <c r="D1" s="36" t="s">
        <v>1054</v>
      </c>
      <c r="E1" s="36" t="s">
        <v>1055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D5" sqref="D5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1056</v>
      </c>
      <c r="C1" s="33" t="s">
        <v>1057</v>
      </c>
      <c r="D1" s="36" t="s">
        <v>1062</v>
      </c>
      <c r="E1" s="36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H8761"/>
  <sheetViews>
    <sheetView workbookViewId="0">
      <selection activeCell="H3" sqref="H3:H4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8" ht="15" thickBot="1" x14ac:dyDescent="0.4">
      <c r="A1" t="s">
        <v>1089</v>
      </c>
      <c r="B1" s="36" t="s">
        <v>1087</v>
      </c>
      <c r="C1" s="36" t="s">
        <v>1088</v>
      </c>
      <c r="D1" s="36" t="s">
        <v>1090</v>
      </c>
      <c r="E1" s="36" t="s">
        <v>1091</v>
      </c>
      <c r="F1" s="40" t="s">
        <v>1055</v>
      </c>
    </row>
    <row r="2" spans="1:8" ht="15" thickBot="1" x14ac:dyDescent="0.4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8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31">
        <v>272338.68000020593</v>
      </c>
    </row>
    <row r="4" spans="1:8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>
        <f>221599.2689</f>
        <v>221599.2689</v>
      </c>
    </row>
    <row r="5" spans="1:8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8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8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8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8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</row>
    <row r="10" spans="1:8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</row>
    <row r="11" spans="1:8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8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8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8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8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8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2026-02-25T15:19:59Z</dcterms:modified>
</cp:coreProperties>
</file>