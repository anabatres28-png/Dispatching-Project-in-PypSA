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 - SRES_Restriccion\"/>
    </mc:Choice>
  </mc:AlternateContent>
  <xr:revisionPtr revIDLastSave="0" documentId="13_ncr:1_{46771B78-36C3-4BD1-BBC3-FD0ABF48480C}" xr6:coauthVersionLast="47" xr6:coauthVersionMax="47" xr10:uidLastSave="{00000000-0000-0000-0000-000000000000}"/>
  <bookViews>
    <workbookView xWindow="28680" yWindow="-120" windowWidth="29040" windowHeight="15720" tabRatio="752" firstSheet="1" activeTab="5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D2" i="7" l="1"/>
  <c r="C2" i="7" l="1"/>
  <c r="C3" i="7"/>
  <c r="D3" i="7" s="1"/>
  <c r="C2" i="6" l="1"/>
</calcChain>
</file>

<file path=xl/sharedStrings.xml><?xml version="1.0" encoding="utf-8"?>
<sst xmlns="http://schemas.openxmlformats.org/spreadsheetml/2006/main" count="26546" uniqueCount="1094">
  <si>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</si>
  <si>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</si>
  <si>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</si>
  <si>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</si>
  <si>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</si>
  <si>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</si>
  <si>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</si>
  <si>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</si>
  <si>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</si>
  <si>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</si>
  <si>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</si>
  <si>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</si>
  <si>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</si>
  <si>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</si>
  <si>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</si>
  <si>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</si>
  <si>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</si>
  <si>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</si>
  <si>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</si>
  <si>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</si>
  <si>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</si>
  <si>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</si>
  <si>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</si>
  <si>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</si>
  <si>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</si>
  <si>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</si>
  <si>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</si>
  <si>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</si>
  <si>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</si>
  <si>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</si>
  <si>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</si>
  <si>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</si>
  <si>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</si>
  <si>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</si>
  <si>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</si>
  <si>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</si>
  <si>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</si>
  <si>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</si>
  <si>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</si>
  <si>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</si>
  <si>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</si>
  <si>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</si>
  <si>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</si>
  <si>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</si>
  <si>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</si>
  <si>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</si>
  <si>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</si>
  <si>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</si>
  <si>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</si>
  <si>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</si>
  <si>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</si>
  <si>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</si>
  <si>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</si>
  <si>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</si>
  <si>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</si>
  <si>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</si>
  <si>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</si>
  <si>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</si>
  <si>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</si>
  <si>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</si>
  <si>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</si>
  <si>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</si>
  <si>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</si>
  <si>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</si>
  <si>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</si>
  <si>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</si>
  <si>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</si>
  <si>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</si>
  <si>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</si>
  <si>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</si>
  <si>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</si>
  <si>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</si>
  <si>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</si>
  <si>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</si>
  <si>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</si>
  <si>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</si>
  <si>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</si>
  <si>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</si>
  <si>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</si>
  <si>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</si>
  <si>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</si>
  <si>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</si>
  <si>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</si>
  <si>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</si>
  <si>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</si>
  <si>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</si>
  <si>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</si>
  <si>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</si>
  <si>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</si>
  <si>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</si>
  <si>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</si>
  <si>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</si>
  <si>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</si>
  <si>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</si>
  <si>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</si>
  <si>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</si>
  <si>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</si>
  <si>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</si>
  <si>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</si>
  <si>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</si>
  <si>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</si>
  <si>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</si>
  <si>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</si>
  <si>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</si>
  <si>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</si>
  <si>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</si>
  <si>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</si>
  <si>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</si>
  <si>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</si>
  <si>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</si>
  <si>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</si>
  <si>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</si>
  <si>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</si>
  <si>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</si>
  <si>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</si>
  <si>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</si>
  <si>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</si>
  <si>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</si>
  <si>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</si>
  <si>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</si>
  <si>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</si>
  <si>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</si>
  <si>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</si>
  <si>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</si>
  <si>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</si>
  <si>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</si>
  <si>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</si>
  <si>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</si>
  <si>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</si>
  <si>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</si>
  <si>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</si>
  <si>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</si>
  <si>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</si>
  <si>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</si>
  <si>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</si>
  <si>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</si>
  <si>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</si>
  <si>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</si>
  <si>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</si>
  <si>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</si>
  <si>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</si>
  <si>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</si>
  <si>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</si>
  <si>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</si>
  <si>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</si>
  <si>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</si>
  <si>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</si>
  <si>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</si>
  <si>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</si>
  <si>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</si>
  <si>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</si>
  <si>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</si>
  <si>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</si>
  <si>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</si>
  <si>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</si>
  <si>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</si>
  <si>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</si>
  <si>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</si>
  <si>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</si>
  <si>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</si>
  <si>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</si>
  <si>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</si>
  <si>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</si>
  <si>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</si>
  <si>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</si>
  <si>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</si>
  <si>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</si>
  <si>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</si>
  <si>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</si>
  <si>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</si>
  <si>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</si>
  <si>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</si>
  <si>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</si>
  <si>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</si>
  <si>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</si>
  <si>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</si>
  <si>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</si>
  <si>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</si>
  <si>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</si>
  <si>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</si>
  <si>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</si>
  <si>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</si>
  <si>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</si>
  <si>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</si>
  <si>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</si>
  <si>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</si>
  <si>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</si>
  <si>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</si>
  <si>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</si>
  <si>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</si>
  <si>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</si>
  <si>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</si>
  <si>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</si>
  <si>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</si>
  <si>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</si>
  <si>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</si>
  <si>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</si>
  <si>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</si>
  <si>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</si>
  <si>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</si>
  <si>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</si>
  <si>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</si>
  <si>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</si>
  <si>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</si>
  <si>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</si>
  <si>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</si>
  <si>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</si>
  <si>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</si>
  <si>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</si>
  <si>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</si>
  <si>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</si>
  <si>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</si>
  <si>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</si>
  <si>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</si>
  <si>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</si>
  <si>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</si>
  <si>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</si>
  <si>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</si>
  <si>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</si>
  <si>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</si>
  <si>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</si>
  <si>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</si>
  <si>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</si>
  <si>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</si>
  <si>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</si>
  <si>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</si>
  <si>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</si>
  <si>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</si>
  <si>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</si>
  <si>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</si>
  <si>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</si>
  <si>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</si>
  <si>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</si>
  <si>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</si>
  <si>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</si>
  <si>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</si>
  <si>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</si>
  <si>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</si>
  <si>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</si>
  <si>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</si>
  <si>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</si>
  <si>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</si>
  <si>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</si>
  <si>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</si>
  <si>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</si>
  <si>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</si>
  <si>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</si>
  <si>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</si>
  <si>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</si>
  <si>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</si>
  <si>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</si>
  <si>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</si>
  <si>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</si>
  <si>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</si>
  <si>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</si>
  <si>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</si>
  <si>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</si>
  <si>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</si>
  <si>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</si>
  <si>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</si>
  <si>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</si>
  <si>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</si>
  <si>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</si>
  <si>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</si>
  <si>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</si>
  <si>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</si>
  <si>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</si>
  <si>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</si>
  <si>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</si>
  <si>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</si>
  <si>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</si>
  <si>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</si>
  <si>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</si>
  <si>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</si>
  <si>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</si>
  <si>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</si>
  <si>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</si>
  <si>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</si>
  <si>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</si>
  <si>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</si>
  <si>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</si>
  <si>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</si>
  <si>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</si>
  <si>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</si>
  <si>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</si>
  <si>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</si>
  <si>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</si>
  <si>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</si>
  <si>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</si>
  <si>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</si>
  <si>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</si>
  <si>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</si>
  <si>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</si>
  <si>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</si>
  <si>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</si>
  <si>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</si>
  <si>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</si>
  <si>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</si>
  <si>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</si>
  <si>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</si>
  <si>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</si>
  <si>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</si>
  <si>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</si>
  <si>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</si>
  <si>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</si>
  <si>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</si>
  <si>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</si>
  <si>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</si>
  <si>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</si>
  <si>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</si>
  <si>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</si>
  <si>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</si>
  <si>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</si>
  <si>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</si>
  <si>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</si>
  <si>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</si>
  <si>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</si>
  <si>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</si>
  <si>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</si>
  <si>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</si>
  <si>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</si>
  <si>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</si>
  <si>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</si>
  <si>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</si>
  <si>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</si>
  <si>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</si>
  <si>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</si>
  <si>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</si>
  <si>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</si>
  <si>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</si>
  <si>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</si>
  <si>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</si>
  <si>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</si>
  <si>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</si>
  <si>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</si>
  <si>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</si>
  <si>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</si>
  <si>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</si>
  <si>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</si>
  <si>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</si>
  <si>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</si>
  <si>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</si>
  <si>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</si>
  <si>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</si>
  <si>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</si>
  <si>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</si>
  <si>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</si>
  <si>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</si>
  <si>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</si>
  <si>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</si>
  <si>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</si>
  <si>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</si>
  <si>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</si>
  <si>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</si>
  <si>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</si>
  <si>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</si>
  <si>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</si>
  <si>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</si>
  <si>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</si>
  <si>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</si>
  <si>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</si>
  <si>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</si>
  <si>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</si>
  <si>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</si>
  <si>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</si>
  <si>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</si>
  <si>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</si>
  <si>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</si>
  <si>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</si>
  <si>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</si>
  <si>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</si>
  <si>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</si>
  <si>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</si>
  <si>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</si>
  <si>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</si>
  <si>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</si>
  <si>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</si>
  <si>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</si>
  <si>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</si>
  <si>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</si>
  <si>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</si>
  <si>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</si>
  <si>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</si>
  <si>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</si>
  <si>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</si>
  <si>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</si>
  <si>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</si>
  <si>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</si>
  <si>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</si>
  <si>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</si>
  <si>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</si>
  <si>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</si>
  <si>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</si>
  <si>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</si>
  <si>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</si>
  <si>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</si>
  <si>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</si>
  <si>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</si>
  <si>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</si>
  <si>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</si>
  <si>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</si>
  <si>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</si>
  <si>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</si>
  <si>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</si>
  <si>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</si>
  <si>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</si>
  <si>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</si>
  <si>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</si>
  <si>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</si>
  <si>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</si>
  <si>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</si>
  <si>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</si>
  <si>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</si>
  <si>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</si>
  <si>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</si>
  <si>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</si>
  <si>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</si>
  <si>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</si>
  <si>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</si>
  <si>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</si>
  <si>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</si>
  <si>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</si>
  <si>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</si>
  <si>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</si>
  <si>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</si>
  <si>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</si>
  <si>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</si>
  <si>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</si>
  <si>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</si>
  <si>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</si>
  <si>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</si>
  <si>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</si>
  <si>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</si>
  <si>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</si>
  <si>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</si>
  <si>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</si>
  <si>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</si>
  <si>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</si>
  <si>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</si>
  <si>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</si>
  <si>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</si>
  <si>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</si>
  <si>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</si>
  <si>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</si>
  <si>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</si>
  <si>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</si>
  <si>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</si>
  <si>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</si>
  <si>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</si>
  <si>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</si>
  <si>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</si>
  <si>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</si>
  <si>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</si>
  <si>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</si>
  <si>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</si>
  <si>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</si>
  <si>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</si>
  <si>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</si>
  <si>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</si>
  <si>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</si>
  <si>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</si>
  <si>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</si>
  <si>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</si>
  <si>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</si>
  <si>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</si>
  <si>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</si>
  <si>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</si>
  <si>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</si>
  <si>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</si>
  <si>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</si>
  <si>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</si>
  <si>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</si>
  <si>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</si>
  <si>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</si>
  <si>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</si>
  <si>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</si>
  <si>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</si>
  <si>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</si>
  <si>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</si>
  <si>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</si>
  <si>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</si>
  <si>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</si>
  <si>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</si>
  <si>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</si>
  <si>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</si>
  <si>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</si>
  <si>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</si>
  <si>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</si>
  <si>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</si>
  <si>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</si>
  <si>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</si>
  <si>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</si>
  <si>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</si>
  <si>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</si>
  <si>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</si>
  <si>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</si>
  <si>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</si>
  <si>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</si>
  <si>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</si>
  <si>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</si>
  <si>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</si>
  <si>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</si>
  <si>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</si>
  <si>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</si>
  <si>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</si>
  <si>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</si>
  <si>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</si>
  <si>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</si>
  <si>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</si>
  <si>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</si>
  <si>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</si>
  <si>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</si>
  <si>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</si>
  <si>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</si>
  <si>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</si>
  <si>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</si>
  <si>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</si>
  <si>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</si>
  <si>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</si>
  <si>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</si>
  <si>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</si>
  <si>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</si>
  <si>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</si>
  <si>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</si>
  <si>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</si>
  <si>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</si>
  <si>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</si>
  <si>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</si>
  <si>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</si>
  <si>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</si>
  <si>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</si>
  <si>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</si>
  <si>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</si>
  <si>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</si>
  <si>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</si>
  <si>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</si>
  <si>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</si>
  <si>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</si>
  <si>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</si>
  <si>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</si>
  <si>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</si>
  <si>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</si>
  <si>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</si>
  <si>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</si>
  <si>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</si>
  <si>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</si>
  <si>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</si>
  <si>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</si>
  <si>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</si>
  <si>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</si>
  <si>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</si>
  <si>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</si>
  <si>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</si>
  <si>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</si>
  <si>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</si>
  <si>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</si>
  <si>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</si>
  <si>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</si>
  <si>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</si>
  <si>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</si>
  <si>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</si>
  <si>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</si>
  <si>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</si>
  <si>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</si>
  <si>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</si>
  <si>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</si>
  <si>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</si>
  <si>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</si>
  <si>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</si>
  <si>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</si>
  <si>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</si>
  <si>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</si>
  <si>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</si>
  <si>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</si>
  <si>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</si>
  <si>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</si>
  <si>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</si>
  <si>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</si>
  <si>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</si>
  <si>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</si>
  <si>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</si>
  <si>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</si>
  <si>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</si>
  <si>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</si>
  <si>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</si>
  <si>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</si>
  <si>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</si>
  <si>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</si>
  <si>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</si>
  <si>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</si>
  <si>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</si>
  <si>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</si>
  <si>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</si>
  <si>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</si>
  <si>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</si>
  <si>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</si>
  <si>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</si>
  <si>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</si>
  <si>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</si>
  <si>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</si>
  <si>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</si>
  <si>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</si>
  <si>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</si>
  <si>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</si>
  <si>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</si>
  <si>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</si>
  <si>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</si>
  <si>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</si>
  <si>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</si>
  <si>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</si>
  <si>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</si>
  <si>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</si>
  <si>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</si>
  <si>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</si>
  <si>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</si>
  <si>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</si>
  <si>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</si>
  <si>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</si>
  <si>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</si>
  <si>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</si>
  <si>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</si>
  <si>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</si>
  <si>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</si>
  <si>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</si>
  <si>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</si>
  <si>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</si>
  <si>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</si>
  <si>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</si>
  <si>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</si>
  <si>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</si>
  <si>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</si>
  <si>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</si>
  <si>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</si>
  <si>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</si>
  <si>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</si>
  <si>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</si>
  <si>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</si>
  <si>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</si>
  <si>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</si>
  <si>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</si>
  <si>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</si>
  <si>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</si>
  <si>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</si>
  <si>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</si>
  <si>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</si>
  <si>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</si>
  <si>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</si>
  <si>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</si>
  <si>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</si>
  <si>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</si>
  <si>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</si>
  <si>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</si>
  <si>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</si>
  <si>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</si>
  <si>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</si>
  <si>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</si>
  <si>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</si>
  <si>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</si>
  <si>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</si>
  <si>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</si>
  <si>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</si>
  <si>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</si>
  <si>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</si>
  <si>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</si>
  <si>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</si>
  <si>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</si>
  <si>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</si>
  <si>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</si>
  <si>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</si>
  <si>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</si>
  <si>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</si>
  <si>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</si>
  <si>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</si>
  <si>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</si>
  <si>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</si>
  <si>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</si>
  <si>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</si>
  <si>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</si>
  <si>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</si>
  <si>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</si>
  <si>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</si>
  <si>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</si>
  <si>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</si>
  <si>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</si>
  <si>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</si>
  <si>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</si>
  <si>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</si>
  <si>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</si>
  <si>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</si>
  <si>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</si>
  <si>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</si>
  <si>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</si>
  <si>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</si>
  <si>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</si>
  <si>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</si>
  <si>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</si>
  <si>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</si>
  <si>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</si>
  <si>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</si>
  <si>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</si>
  <si>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</si>
  <si>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</si>
  <si>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</si>
  <si>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</si>
  <si>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</si>
  <si>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</si>
  <si>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</si>
  <si>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</si>
  <si>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</si>
  <si>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</si>
  <si>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</si>
  <si>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</si>
  <si>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</si>
  <si>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</si>
  <si>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</si>
  <si>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</si>
  <si>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</si>
  <si>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</si>
  <si>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</si>
  <si>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</si>
  <si>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</si>
  <si>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</si>
  <si>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</si>
  <si>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</si>
  <si>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</si>
  <si>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</si>
  <si>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</si>
  <si>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</si>
  <si>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</si>
  <si>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</si>
  <si>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</si>
  <si>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</si>
  <si>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</si>
  <si>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</si>
  <si>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</si>
  <si>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</si>
  <si>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</si>
  <si>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</si>
  <si>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</si>
  <si>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</si>
  <si>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</si>
  <si>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</si>
  <si>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</si>
  <si>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</si>
  <si>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</si>
  <si>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</si>
  <si>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</si>
  <si>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</si>
  <si>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</si>
  <si>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</si>
  <si>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</si>
  <si>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</si>
  <si>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</si>
  <si>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</si>
  <si>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</si>
  <si>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</si>
  <si>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</si>
  <si>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</si>
  <si>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</si>
  <si>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</si>
  <si>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</si>
  <si>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</si>
  <si>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</si>
  <si>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</si>
  <si>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</si>
  <si>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</si>
  <si>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</si>
  <si>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</si>
  <si>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</si>
  <si>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</si>
  <si>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</si>
  <si>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</si>
  <si>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</si>
  <si>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</si>
  <si>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</si>
  <si>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</si>
  <si>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</si>
  <si>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</si>
  <si>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</si>
  <si>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</si>
  <si>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</si>
  <si>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</si>
  <si>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</si>
  <si>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</si>
  <si>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</si>
  <si>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</si>
  <si>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</si>
  <si>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</si>
  <si>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</si>
  <si>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</si>
  <si>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</si>
  <si>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</si>
  <si>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</si>
  <si>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</si>
  <si>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</si>
  <si>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</si>
  <si>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</si>
  <si>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</si>
  <si>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</si>
  <si>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</si>
  <si>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</si>
  <si>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</si>
  <si>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</si>
  <si>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</si>
  <si>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</si>
  <si>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</si>
  <si>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</si>
  <si>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</si>
  <si>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</si>
  <si>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</si>
  <si>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</si>
  <si>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</si>
  <si>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</si>
  <si>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</si>
  <si>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</si>
  <si>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</si>
  <si>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</si>
  <si>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</si>
  <si>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</si>
  <si>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</si>
  <si>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</si>
  <si>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</si>
  <si>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</si>
  <si>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</si>
  <si>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</si>
  <si>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</si>
  <si>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</si>
  <si>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</si>
  <si>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</si>
  <si>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</si>
  <si>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</si>
  <si>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</si>
  <si>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</si>
  <si>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</si>
  <si>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</si>
  <si>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</si>
  <si>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</si>
  <si>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</si>
  <si>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</si>
  <si>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</si>
  <si>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</si>
  <si>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</si>
  <si>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</si>
  <si>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</si>
  <si>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</si>
  <si>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</si>
  <si>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</si>
  <si>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</si>
  <si>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</si>
  <si>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</si>
  <si>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</si>
  <si>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</si>
  <si>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</si>
  <si>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</si>
  <si>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</si>
  <si>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</si>
  <si>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</si>
  <si>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</si>
  <si>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</si>
  <si>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</si>
  <si>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</si>
  <si>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</si>
  <si>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</si>
  <si>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</si>
  <si>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</si>
  <si>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</si>
  <si>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</si>
  <si>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</si>
  <si>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</si>
  <si>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</si>
  <si>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</si>
  <si>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</si>
  <si>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</si>
  <si>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</si>
  <si>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</si>
  <si>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</si>
  <si>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</si>
  <si>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</si>
  <si>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</si>
  <si>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</si>
  <si>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</si>
  <si>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</si>
  <si>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</si>
  <si>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</si>
  <si>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</si>
  <si>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</si>
  <si>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</si>
  <si>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</si>
  <si>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</si>
  <si>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</si>
  <si>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</si>
  <si>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</si>
  <si>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</si>
  <si>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</si>
  <si>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</si>
  <si>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</si>
  <si>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</si>
  <si>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</si>
  <si>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</si>
  <si>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</si>
  <si>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</si>
  <si>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</si>
  <si>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</si>
  <si>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</si>
  <si>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</si>
  <si>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</si>
  <si>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</si>
  <si>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</si>
  <si>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</si>
  <si>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</si>
  <si>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</si>
  <si>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</si>
  <si>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</si>
  <si>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</si>
  <si>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</si>
  <si>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</si>
  <si>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</si>
  <si>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</si>
  <si>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</si>
  <si>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</si>
  <si>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</si>
  <si>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</si>
  <si>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</si>
  <si>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</si>
  <si>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</si>
  <si>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</si>
  <si>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</si>
  <si>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</si>
  <si>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</si>
  <si>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</si>
  <si>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</si>
  <si>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</si>
  <si>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</si>
  <si>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</si>
  <si>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</si>
  <si>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</si>
  <si>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</si>
  <si>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</si>
  <si>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</si>
  <si>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</si>
  <si>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</si>
  <si>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</si>
  <si>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</si>
  <si>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</si>
  <si>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</si>
  <si>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</si>
  <si>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</si>
  <si>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</si>
  <si>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</si>
  <si>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</si>
  <si>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</si>
  <si>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</si>
  <si>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</si>
  <si>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</si>
  <si>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</si>
  <si>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</si>
  <si>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</si>
  <si>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</si>
  <si>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</si>
  <si>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</si>
  <si>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</si>
  <si>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</si>
  <si>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</si>
  <si>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</si>
  <si>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</si>
  <si>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</si>
  <si>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</si>
  <si>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</si>
  <si>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</si>
  <si>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</si>
  <si>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</si>
  <si>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</si>
  <si>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</si>
  <si>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</si>
  <si>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</si>
  <si>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</si>
  <si>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</si>
  <si>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</si>
  <si>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</si>
  <si>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</si>
  <si>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</si>
  <si>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</si>
  <si>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</si>
  <si>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</si>
  <si>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</si>
  <si>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</si>
  <si>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</si>
  <si>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</si>
  <si>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</si>
  <si>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</si>
  <si>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</si>
  <si>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</si>
  <si>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</si>
  <si>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</si>
  <si>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</si>
  <si>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</si>
  <si>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</si>
  <si>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</si>
  <si>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</si>
  <si>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</si>
  <si>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</si>
  <si>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</si>
  <si>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</si>
  <si>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</si>
  <si>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</si>
  <si>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</si>
  <si>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</si>
  <si>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</si>
  <si>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</si>
  <si>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</si>
  <si>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</si>
  <si>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</si>
  <si>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</si>
  <si>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</si>
  <si>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</si>
  <si>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</si>
  <si>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</si>
  <si>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</si>
  <si>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</si>
  <si>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</si>
  <si>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</si>
  <si>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</si>
  <si>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</si>
  <si>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</si>
  <si>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</si>
  <si>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</si>
  <si>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</si>
  <si>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</si>
  <si>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</si>
  <si>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</si>
  <si>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</si>
  <si>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</si>
  <si>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</si>
  <si>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</si>
  <si>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</si>
  <si>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</si>
  <si>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</si>
  <si>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</si>
  <si>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</si>
  <si>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</si>
  <si>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</si>
  <si>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</si>
  <si>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</si>
  <si>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</si>
  <si>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</si>
  <si>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</si>
  <si>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</si>
  <si>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</si>
  <si>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</si>
  <si>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</si>
  <si>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</si>
  <si>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</si>
  <si>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</si>
  <si>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</si>
  <si>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</si>
  <si>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</si>
  <si>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</si>
  <si>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</si>
  <si>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</si>
  <si>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</si>
  <si>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</si>
  <si>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</si>
  <si>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</si>
  <si>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</si>
  <si>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</si>
  <si>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</si>
  <si>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</si>
  <si>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</si>
  <si>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</si>
  <si>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</si>
  <si>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</si>
  <si>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</si>
  <si>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</si>
  <si>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</si>
  <si>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</si>
  <si>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</si>
  <si>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</si>
  <si>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</si>
  <si>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</si>
  <si>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</si>
  <si>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PT_wind_profile_1</t>
  </si>
  <si>
    <t>PT_wind_profile_2</t>
  </si>
  <si>
    <t>Hora Semana</t>
  </si>
  <si>
    <t>PT_wind_profile_3</t>
  </si>
  <si>
    <t>PT_wind_profile_4:lat: 41,5288; long:  -6,3324</t>
  </si>
  <si>
    <t>p_nom_extendable</t>
  </si>
  <si>
    <t>false</t>
  </si>
  <si>
    <t>p_nom_max</t>
  </si>
  <si>
    <t>PT_SRES_solar</t>
  </si>
  <si>
    <t>PT_SRES_wind</t>
  </si>
  <si>
    <t>PT_SRES_bus</t>
  </si>
  <si>
    <t>ES_SRES_solar</t>
  </si>
  <si>
    <t>ES_SRES_wind</t>
  </si>
  <si>
    <t>ES_SRES_bus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</si>
</sst>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7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  <xf numFmtId="44" fontId="13" fillId="0" borderId="0" applyFont="0" applyFill="0" applyBorder="0" applyAlignment="0" applyProtection="0"/>
  </cellStyleXfs>
  <cellXfs count="58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2" fontId="0" fillId="0" borderId="1" xfId="0" applyNumberFormat="1" applyBorder="1"/>
    <xf numFmtId="0" fontId="0" fillId="2" borderId="7" xfId="0" applyFill="1" applyBorder="1"/>
    <xf numFmtId="0" fontId="0" fillId="0" borderId="7" xfId="0" applyBorder="1"/>
    <xf numFmtId="0" fontId="5" fillId="0" borderId="1" xfId="0" applyFont="1" applyBorder="1"/>
    <xf numFmtId="0" fontId="5" fillId="0" borderId="2" xfId="0" applyFont="1" applyBorder="1"/>
    <xf numFmtId="3" fontId="3" fillId="0" borderId="0" xfId="0" applyNumberFormat="1" applyFont="1"/>
    <xf numFmtId="0" fontId="3" fillId="0" borderId="0" xfId="0" applyFont="1"/>
    <xf numFmtId="44" fontId="0" fillId="0" borderId="0" xfId="16" applyFont="1"/>
    <xf numFmtId="44" fontId="0" fillId="0" borderId="1" xfId="16" applyFont="1" applyBorder="1"/>
    <xf numFmtId="44" fontId="0" fillId="0" borderId="6" xfId="16" applyFont="1" applyBorder="1"/>
    <xf numFmtId="44" fontId="0" fillId="0" borderId="0" xfId="16" applyFont="1" applyFill="1" applyBorder="1"/>
    <xf numFmtId="44" fontId="14" fillId="0" borderId="1" xfId="16" applyFont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F10" sqref="F10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1064</v>
      </c>
    </row>
    <row r="5" spans="1:3" x14ac:dyDescent="0.35">
      <c r="B5" t="s">
        <v>1052</v>
      </c>
      <c r="C5" t="s">
        <v>1065</v>
      </c>
    </row>
    <row r="6" spans="1:3" x14ac:dyDescent="0.35">
      <c r="B6" t="s">
        <v>14</v>
      </c>
      <c r="C6" t="s">
        <v>1066</v>
      </c>
    </row>
    <row r="7" spans="1:3" x14ac:dyDescent="0.35">
      <c r="B7" t="s">
        <v>15</v>
      </c>
      <c r="C7" t="s">
        <v>1066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1070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workbookViewId="0">
      <selection sqref="A1:B10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1079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11"/>
  <sheetViews>
    <sheetView workbookViewId="0">
      <selection activeCell="A16" sqref="A16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3" s="15" customFormat="1" ht="15" thickBot="1" x14ac:dyDescent="0.4">
      <c r="A1" s="30" t="s">
        <v>5</v>
      </c>
      <c r="B1" s="30" t="s">
        <v>0</v>
      </c>
      <c r="C1" s="30" t="s">
        <v>1</v>
      </c>
    </row>
    <row r="2" spans="1:3" x14ac:dyDescent="0.35">
      <c r="A2" s="4" t="s">
        <v>1020</v>
      </c>
      <c r="B2" s="1" t="s">
        <v>7</v>
      </c>
      <c r="C2" s="1" t="s">
        <v>6</v>
      </c>
    </row>
    <row r="3" spans="1:3" x14ac:dyDescent="0.35">
      <c r="A3" s="4" t="s">
        <v>1021</v>
      </c>
      <c r="B3" s="1" t="s">
        <v>2</v>
      </c>
      <c r="C3" s="2" t="s">
        <v>6</v>
      </c>
    </row>
    <row r="4" spans="1:3" x14ac:dyDescent="0.35">
      <c r="A4" s="3" t="s">
        <v>1022</v>
      </c>
      <c r="B4" s="2" t="s">
        <v>3</v>
      </c>
      <c r="C4" s="2" t="s">
        <v>6</v>
      </c>
    </row>
    <row r="5" spans="1:3" x14ac:dyDescent="0.35">
      <c r="A5" s="44" t="s">
        <v>1023</v>
      </c>
      <c r="B5" t="s">
        <v>4</v>
      </c>
      <c r="C5" s="45" t="s">
        <v>6</v>
      </c>
    </row>
    <row r="6" spans="1:3" x14ac:dyDescent="0.35">
      <c r="A6" s="3" t="s">
        <v>1093</v>
      </c>
      <c r="B6" s="2" t="s">
        <v>7</v>
      </c>
      <c r="C6" s="2" t="s">
        <v>6</v>
      </c>
    </row>
    <row r="7" spans="1:3" x14ac:dyDescent="0.35">
      <c r="A7" s="14" t="s">
        <v>1024</v>
      </c>
      <c r="B7" s="1" t="s">
        <v>7</v>
      </c>
      <c r="C7" s="1" t="s">
        <v>6</v>
      </c>
    </row>
    <row r="8" spans="1:3" x14ac:dyDescent="0.35">
      <c r="A8" s="14" t="s">
        <v>1025</v>
      </c>
      <c r="B8" s="1" t="s">
        <v>2</v>
      </c>
      <c r="C8" s="2" t="s">
        <v>6</v>
      </c>
    </row>
    <row r="9" spans="1:3" x14ac:dyDescent="0.35">
      <c r="A9" s="13" t="s">
        <v>1026</v>
      </c>
      <c r="B9" s="2" t="s">
        <v>3</v>
      </c>
      <c r="C9" s="2" t="s">
        <v>6</v>
      </c>
    </row>
    <row r="10" spans="1:3" x14ac:dyDescent="0.35">
      <c r="A10" s="13" t="s">
        <v>1027</v>
      </c>
      <c r="B10" s="2" t="s">
        <v>4</v>
      </c>
      <c r="C10" s="2" t="s">
        <v>6</v>
      </c>
    </row>
    <row r="11" spans="1:3" x14ac:dyDescent="0.35">
      <c r="A11" s="13" t="s">
        <v>1090</v>
      </c>
      <c r="B11" s="2" t="s">
        <v>7</v>
      </c>
      <c r="C11" s="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19"/>
  <sheetViews>
    <sheetView zoomScale="130" zoomScaleNormal="130" workbookViewId="0">
      <selection activeCell="C10" sqref="C10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4" max="4" width="17.36328125" bestFit="1" customWidth="1"/>
    <col min="5" max="5" width="11.26953125" bestFit="1" customWidth="1"/>
    <col min="7" max="7" width="12.6328125" bestFit="1" customWidth="1"/>
    <col min="8" max="8" width="13.36328125" bestFit="1" customWidth="1"/>
  </cols>
  <sheetData>
    <row r="1" spans="1:9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1087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9" x14ac:dyDescent="0.35">
      <c r="A2" s="4" t="s">
        <v>1036</v>
      </c>
      <c r="B2" s="1" t="s">
        <v>1020</v>
      </c>
      <c r="C2" s="1"/>
      <c r="D2" s="31" t="s">
        <v>6</v>
      </c>
      <c r="E2" s="31"/>
      <c r="F2" s="1">
        <v>38142.495237674055</v>
      </c>
      <c r="G2" s="1">
        <v>0</v>
      </c>
      <c r="H2" s="1" t="s">
        <v>10</v>
      </c>
      <c r="I2" s="1" t="s">
        <v>6</v>
      </c>
    </row>
    <row r="3" spans="1:9" x14ac:dyDescent="0.35">
      <c r="A3" s="4" t="s">
        <v>1037</v>
      </c>
      <c r="B3" s="2" t="s">
        <v>1020</v>
      </c>
      <c r="C3" s="1"/>
      <c r="D3" s="2" t="s">
        <v>6</v>
      </c>
      <c r="E3" s="2"/>
      <c r="F3" s="1">
        <v>97303.477798362073</v>
      </c>
      <c r="G3" s="1">
        <v>0</v>
      </c>
      <c r="H3" s="1" t="s">
        <v>9</v>
      </c>
      <c r="I3" s="2" t="s">
        <v>6</v>
      </c>
    </row>
    <row r="4" spans="1:9" x14ac:dyDescent="0.35">
      <c r="A4" s="3" t="s">
        <v>1038</v>
      </c>
      <c r="B4" s="2" t="s">
        <v>1020</v>
      </c>
      <c r="C4" s="2"/>
      <c r="D4" s="2" t="s">
        <v>6</v>
      </c>
      <c r="E4" s="2">
        <v>2462.66</v>
      </c>
      <c r="F4" s="2">
        <v>331576.62540923059</v>
      </c>
      <c r="G4" s="1">
        <v>14</v>
      </c>
      <c r="H4" s="2" t="s">
        <v>12</v>
      </c>
      <c r="I4" s="2" t="s">
        <v>6</v>
      </c>
    </row>
    <row r="5" spans="1:9" x14ac:dyDescent="0.35">
      <c r="A5" s="4" t="s">
        <v>1039</v>
      </c>
      <c r="B5" s="2" t="s">
        <v>1022</v>
      </c>
      <c r="C5" s="1"/>
      <c r="D5" s="1" t="s">
        <v>6</v>
      </c>
      <c r="E5" s="1"/>
      <c r="F5" s="1">
        <v>60676.57858518789</v>
      </c>
      <c r="G5" s="1">
        <v>0</v>
      </c>
      <c r="H5" s="1" t="s">
        <v>3</v>
      </c>
      <c r="I5" s="2" t="s">
        <v>6</v>
      </c>
    </row>
    <row r="6" spans="1:9" x14ac:dyDescent="0.35">
      <c r="A6" s="3" t="s">
        <v>1040</v>
      </c>
      <c r="B6" s="2" t="s">
        <v>1020</v>
      </c>
      <c r="C6">
        <v>3117.91912</v>
      </c>
      <c r="D6" s="2" t="s">
        <v>1086</v>
      </c>
      <c r="F6" s="2">
        <v>0</v>
      </c>
      <c r="G6" s="1">
        <v>4</v>
      </c>
      <c r="H6" t="s">
        <v>8</v>
      </c>
      <c r="I6" s="45" t="s">
        <v>6</v>
      </c>
    </row>
    <row r="7" spans="1:9" x14ac:dyDescent="0.35">
      <c r="A7" s="4" t="s">
        <v>1091</v>
      </c>
      <c r="B7" s="1" t="s">
        <v>1093</v>
      </c>
      <c r="C7" s="2"/>
      <c r="D7" s="1" t="s">
        <v>6</v>
      </c>
      <c r="E7" s="2"/>
      <c r="F7" s="2">
        <v>0</v>
      </c>
      <c r="G7" s="1">
        <v>0</v>
      </c>
      <c r="H7" s="2" t="s">
        <v>10</v>
      </c>
      <c r="I7" s="2" t="s">
        <v>6</v>
      </c>
    </row>
    <row r="8" spans="1:9" x14ac:dyDescent="0.35">
      <c r="A8" s="3" t="s">
        <v>1092</v>
      </c>
      <c r="B8" s="2" t="s">
        <v>1093</v>
      </c>
      <c r="C8" s="1"/>
      <c r="D8" s="2" t="s">
        <v>6</v>
      </c>
      <c r="E8" s="1"/>
      <c r="F8" s="2">
        <v>0</v>
      </c>
      <c r="G8" s="1">
        <v>0</v>
      </c>
      <c r="H8" s="1" t="s">
        <v>9</v>
      </c>
      <c r="I8" s="2" t="s">
        <v>6</v>
      </c>
    </row>
    <row r="9" spans="1:9" x14ac:dyDescent="0.35">
      <c r="A9" s="13" t="s">
        <v>1041</v>
      </c>
      <c r="B9" s="2" t="s">
        <v>1024</v>
      </c>
      <c r="C9" s="2"/>
      <c r="D9" s="2" t="s">
        <v>6</v>
      </c>
      <c r="E9" s="2"/>
      <c r="F9" s="2">
        <v>38142.495237674055</v>
      </c>
      <c r="G9" s="2">
        <v>0</v>
      </c>
      <c r="H9" s="2" t="s">
        <v>10</v>
      </c>
      <c r="I9" s="2" t="s">
        <v>6</v>
      </c>
    </row>
    <row r="10" spans="1:9" x14ac:dyDescent="0.35">
      <c r="A10" s="14" t="s">
        <v>1042</v>
      </c>
      <c r="B10" s="2" t="s">
        <v>1024</v>
      </c>
      <c r="C10" s="1"/>
      <c r="D10" s="1" t="s">
        <v>6</v>
      </c>
      <c r="E10" s="1"/>
      <c r="F10" s="2">
        <v>97303.477798362073</v>
      </c>
      <c r="G10" s="1">
        <v>0</v>
      </c>
      <c r="H10" s="1" t="s">
        <v>9</v>
      </c>
      <c r="I10" s="2" t="s">
        <v>6</v>
      </c>
    </row>
    <row r="11" spans="1:9" x14ac:dyDescent="0.35">
      <c r="A11" s="13" t="s">
        <v>1043</v>
      </c>
      <c r="B11" s="2" t="s">
        <v>1024</v>
      </c>
      <c r="C11" s="2"/>
      <c r="D11" s="2" t="s">
        <v>6</v>
      </c>
      <c r="E11" s="2">
        <v>1607</v>
      </c>
      <c r="F11" s="2">
        <v>331576.62540923059</v>
      </c>
      <c r="G11" s="1">
        <v>14</v>
      </c>
      <c r="H11" s="2" t="s">
        <v>12</v>
      </c>
      <c r="I11" s="2" t="s">
        <v>6</v>
      </c>
    </row>
    <row r="12" spans="1:9" x14ac:dyDescent="0.35">
      <c r="A12" s="14" t="s">
        <v>1044</v>
      </c>
      <c r="B12" s="2" t="s">
        <v>1026</v>
      </c>
      <c r="C12" s="1"/>
      <c r="D12" s="1" t="s">
        <v>6</v>
      </c>
      <c r="E12" s="1"/>
      <c r="F12" s="2">
        <v>60676.57858518789</v>
      </c>
      <c r="G12" s="1">
        <v>0</v>
      </c>
      <c r="H12" s="1" t="s">
        <v>3</v>
      </c>
      <c r="I12" s="2" t="s">
        <v>6</v>
      </c>
    </row>
    <row r="13" spans="1:9" x14ac:dyDescent="0.35">
      <c r="A13" s="13" t="s">
        <v>1045</v>
      </c>
      <c r="B13" s="2" t="s">
        <v>1024</v>
      </c>
      <c r="C13" s="2">
        <v>508.3</v>
      </c>
      <c r="D13" s="2" t="s">
        <v>1086</v>
      </c>
      <c r="E13" s="2"/>
      <c r="F13" s="2">
        <v>0</v>
      </c>
      <c r="G13" s="2">
        <v>4</v>
      </c>
      <c r="H13" s="2" t="s">
        <v>8</v>
      </c>
      <c r="I13" s="2" t="s">
        <v>6</v>
      </c>
    </row>
    <row r="14" spans="1:9" x14ac:dyDescent="0.35">
      <c r="A14" s="13" t="s">
        <v>1088</v>
      </c>
      <c r="B14" s="1" t="s">
        <v>1090</v>
      </c>
      <c r="C14" s="46"/>
      <c r="D14" s="49" t="s">
        <v>6</v>
      </c>
      <c r="E14" s="46"/>
      <c r="F14" s="2">
        <v>0</v>
      </c>
      <c r="G14" s="2">
        <v>0</v>
      </c>
      <c r="H14" s="2" t="s">
        <v>10</v>
      </c>
      <c r="I14" s="2" t="s">
        <v>6</v>
      </c>
    </row>
    <row r="15" spans="1:9" x14ac:dyDescent="0.35">
      <c r="A15" s="13" t="s">
        <v>1089</v>
      </c>
      <c r="B15" s="2" t="s">
        <v>1090</v>
      </c>
      <c r="C15" s="46"/>
      <c r="D15" s="50" t="s">
        <v>6</v>
      </c>
      <c r="E15" s="46"/>
      <c r="F15" s="2">
        <v>0</v>
      </c>
      <c r="G15" s="2">
        <v>0</v>
      </c>
      <c r="H15" s="2" t="s">
        <v>9</v>
      </c>
      <c r="I15" s="2" t="s">
        <v>6</v>
      </c>
    </row>
    <row r="18" spans="5:5" x14ac:dyDescent="0.35">
      <c r="E18" s="51"/>
    </row>
    <row r="19" spans="5:5" x14ac:dyDescent="0.35">
      <c r="E19" s="5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G25" sqref="G2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1051</v>
      </c>
      <c r="B2" s="31" t="s">
        <v>1020</v>
      </c>
      <c r="C2" s="31"/>
      <c r="D2" s="31" t="s">
        <v>7</v>
      </c>
      <c r="E2" s="31" t="s">
        <v>6</v>
      </c>
    </row>
    <row r="3" spans="1:5" x14ac:dyDescent="0.35">
      <c r="A3" s="3" t="s">
        <v>1052</v>
      </c>
      <c r="B3" s="2" t="s">
        <v>1023</v>
      </c>
      <c r="C3" s="2"/>
      <c r="D3" s="2" t="s">
        <v>4</v>
      </c>
      <c r="E3" s="2" t="s">
        <v>6</v>
      </c>
    </row>
    <row r="4" spans="1:5" x14ac:dyDescent="0.35">
      <c r="A4" s="14" t="s">
        <v>1053</v>
      </c>
      <c r="B4" s="1" t="s">
        <v>1024</v>
      </c>
      <c r="C4" s="1"/>
      <c r="D4" s="1" t="s">
        <v>7</v>
      </c>
      <c r="E4" s="1" t="s">
        <v>6</v>
      </c>
    </row>
    <row r="5" spans="1:5" x14ac:dyDescent="0.35">
      <c r="A5" s="13" t="s">
        <v>1054</v>
      </c>
      <c r="B5" s="2" t="s">
        <v>1027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L18"/>
  <sheetViews>
    <sheetView tabSelected="1" zoomScale="85" zoomScaleNormal="85" workbookViewId="0">
      <selection activeCell="C26" sqref="C26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5" width="17.1796875" bestFit="1" customWidth="1"/>
    <col min="6" max="6" width="14" bestFit="1" customWidth="1"/>
    <col min="7" max="7" width="9.26953125" bestFit="1" customWidth="1"/>
    <col min="8" max="8" width="12.6328125" customWidth="1"/>
    <col min="9" max="9" width="13.36328125" bestFit="1" customWidth="1"/>
    <col min="10" max="10" width="16.08984375" bestFit="1" customWidth="1"/>
    <col min="11" max="11" width="9.08984375" bestFit="1" customWidth="1"/>
    <col min="12" max="12" width="9.26953125" bestFit="1" customWidth="1"/>
  </cols>
  <sheetData>
    <row r="1" spans="1:12" ht="15" thickBot="1" x14ac:dyDescent="0.4">
      <c r="A1" s="29" t="s">
        <v>5</v>
      </c>
      <c r="B1" s="29" t="s">
        <v>1068</v>
      </c>
      <c r="C1" s="29" t="s">
        <v>1069</v>
      </c>
      <c r="D1" s="29" t="s">
        <v>13</v>
      </c>
      <c r="E1" s="29" t="s">
        <v>1085</v>
      </c>
      <c r="F1" s="29" t="s">
        <v>14</v>
      </c>
      <c r="G1" s="29" t="s">
        <v>17</v>
      </c>
      <c r="H1" s="29" t="s">
        <v>15</v>
      </c>
      <c r="I1" s="29" t="s">
        <v>19</v>
      </c>
      <c r="J1" s="29" t="s">
        <v>20</v>
      </c>
      <c r="K1" s="29" t="s">
        <v>0</v>
      </c>
      <c r="L1" s="29" t="s">
        <v>1</v>
      </c>
    </row>
    <row r="2" spans="1:12" x14ac:dyDescent="0.35">
      <c r="A2" s="4" t="s">
        <v>1028</v>
      </c>
      <c r="B2" s="1" t="s">
        <v>1022</v>
      </c>
      <c r="C2" s="1" t="s">
        <v>1020</v>
      </c>
      <c r="D2" s="1"/>
      <c r="E2" s="1" t="s">
        <v>6</v>
      </c>
      <c r="F2" s="53">
        <v>95777.366351370569</v>
      </c>
      <c r="G2" s="1">
        <v>0.57999999999999996</v>
      </c>
      <c r="H2" s="1">
        <v>96</v>
      </c>
      <c r="I2" s="1">
        <v>842.35602840000001</v>
      </c>
      <c r="J2" s="1">
        <v>1052.945035</v>
      </c>
      <c r="K2" s="1" t="s">
        <v>3</v>
      </c>
      <c r="L2" s="1" t="s">
        <v>6</v>
      </c>
    </row>
    <row r="3" spans="1:12" x14ac:dyDescent="0.35">
      <c r="A3" s="4" t="s">
        <v>1029</v>
      </c>
      <c r="B3" s="1" t="s">
        <v>1021</v>
      </c>
      <c r="C3" s="2" t="s">
        <v>1020</v>
      </c>
      <c r="D3" s="1">
        <f>25140.2664733333</f>
        <v>25140.2664733333</v>
      </c>
      <c r="E3" s="1" t="s">
        <v>1086</v>
      </c>
      <c r="F3" s="54"/>
      <c r="G3" s="1">
        <v>0.85</v>
      </c>
      <c r="H3" s="2">
        <v>4</v>
      </c>
      <c r="I3" s="1"/>
      <c r="J3" s="2"/>
      <c r="K3" s="1" t="s">
        <v>8</v>
      </c>
      <c r="L3" s="2" t="s">
        <v>6</v>
      </c>
    </row>
    <row r="4" spans="1:12" x14ac:dyDescent="0.35">
      <c r="A4" s="3" t="s">
        <v>1030</v>
      </c>
      <c r="B4" s="2" t="s">
        <v>1020</v>
      </c>
      <c r="C4" s="2" t="s">
        <v>1021</v>
      </c>
      <c r="D4" s="2">
        <f>13320.7506329652</f>
        <v>13320.750632965201</v>
      </c>
      <c r="E4" s="2" t="s">
        <v>1086</v>
      </c>
      <c r="F4" s="54"/>
      <c r="G4" s="2">
        <v>0.75</v>
      </c>
      <c r="H4" s="2">
        <v>40</v>
      </c>
      <c r="I4" s="2"/>
      <c r="J4" s="2"/>
      <c r="K4" s="2" t="s">
        <v>7</v>
      </c>
      <c r="L4" s="2" t="s">
        <v>6</v>
      </c>
    </row>
    <row r="5" spans="1:12" x14ac:dyDescent="0.35">
      <c r="A5" s="3" t="s">
        <v>1031</v>
      </c>
      <c r="B5" s="2" t="s">
        <v>1020</v>
      </c>
      <c r="C5" s="2" t="s">
        <v>1023</v>
      </c>
      <c r="D5" s="2"/>
      <c r="E5" s="2" t="s">
        <v>6</v>
      </c>
      <c r="F5" s="54">
        <v>111294.32455700618</v>
      </c>
      <c r="G5" s="2">
        <v>0.7</v>
      </c>
      <c r="H5" s="2"/>
      <c r="I5" s="2"/>
      <c r="J5" s="2"/>
      <c r="K5" s="2" t="s">
        <v>4</v>
      </c>
      <c r="L5" s="2" t="s">
        <v>6</v>
      </c>
    </row>
    <row r="6" spans="1:12" x14ac:dyDescent="0.35">
      <c r="A6" s="3" t="s">
        <v>1075</v>
      </c>
      <c r="B6" s="2" t="s">
        <v>1093</v>
      </c>
      <c r="C6" s="2" t="s">
        <v>1023</v>
      </c>
      <c r="D6" s="1"/>
      <c r="E6" s="1" t="s">
        <v>6</v>
      </c>
      <c r="F6" s="57">
        <v>111294.32455700618</v>
      </c>
      <c r="G6" s="1">
        <v>0.7</v>
      </c>
      <c r="H6" s="2">
        <v>0</v>
      </c>
      <c r="I6" s="2"/>
      <c r="J6" s="2"/>
      <c r="K6" s="2" t="s">
        <v>4</v>
      </c>
      <c r="L6" s="2" t="s">
        <v>6</v>
      </c>
    </row>
    <row r="7" spans="1:12" x14ac:dyDescent="0.35">
      <c r="A7" s="3" t="s">
        <v>1076</v>
      </c>
      <c r="B7" s="2" t="s">
        <v>1093</v>
      </c>
      <c r="C7" s="2" t="s">
        <v>1020</v>
      </c>
      <c r="D7" s="2"/>
      <c r="E7" s="2" t="s">
        <v>6</v>
      </c>
      <c r="F7" s="57">
        <v>0</v>
      </c>
      <c r="G7" s="2">
        <v>1</v>
      </c>
      <c r="H7" s="2">
        <v>0</v>
      </c>
      <c r="I7" s="2"/>
      <c r="J7" s="2"/>
      <c r="K7" s="2" t="s">
        <v>7</v>
      </c>
      <c r="L7" s="2" t="s">
        <v>6</v>
      </c>
    </row>
    <row r="8" spans="1:12" x14ac:dyDescent="0.35">
      <c r="A8" s="14" t="s">
        <v>1032</v>
      </c>
      <c r="B8" s="1" t="s">
        <v>1026</v>
      </c>
      <c r="C8" s="1" t="s">
        <v>1024</v>
      </c>
      <c r="D8" s="50"/>
      <c r="E8" s="50" t="s">
        <v>6</v>
      </c>
      <c r="F8" s="53">
        <v>95777.366351370569</v>
      </c>
      <c r="G8" s="1">
        <v>0.57999999999999996</v>
      </c>
      <c r="H8" s="1">
        <v>96</v>
      </c>
      <c r="I8" s="1">
        <v>2.4</v>
      </c>
      <c r="J8" s="1">
        <v>3</v>
      </c>
      <c r="K8" s="1" t="s">
        <v>3</v>
      </c>
      <c r="L8" s="1" t="s">
        <v>6</v>
      </c>
    </row>
    <row r="9" spans="1:12" x14ac:dyDescent="0.35">
      <c r="A9" s="14" t="s">
        <v>1033</v>
      </c>
      <c r="B9" s="1" t="s">
        <v>1025</v>
      </c>
      <c r="C9" s="2" t="s">
        <v>1024</v>
      </c>
      <c r="D9" s="1">
        <v>7604.9</v>
      </c>
      <c r="E9" s="1" t="s">
        <v>1086</v>
      </c>
      <c r="F9" s="54"/>
      <c r="G9" s="1">
        <v>0.85</v>
      </c>
      <c r="H9" s="2">
        <v>4</v>
      </c>
      <c r="I9" s="1"/>
      <c r="J9" s="2"/>
      <c r="K9" s="1" t="s">
        <v>8</v>
      </c>
      <c r="L9" s="2" t="s">
        <v>6</v>
      </c>
    </row>
    <row r="10" spans="1:12" x14ac:dyDescent="0.35">
      <c r="A10" s="13" t="s">
        <v>1034</v>
      </c>
      <c r="B10" s="2" t="s">
        <v>1024</v>
      </c>
      <c r="C10" s="2" t="s">
        <v>1025</v>
      </c>
      <c r="D10" s="2">
        <v>3837</v>
      </c>
      <c r="E10" s="2" t="s">
        <v>1086</v>
      </c>
      <c r="F10" s="54"/>
      <c r="G10" s="2">
        <v>0.75</v>
      </c>
      <c r="H10" s="2">
        <v>40</v>
      </c>
      <c r="I10" s="2"/>
      <c r="J10" s="2"/>
      <c r="K10" s="2" t="s">
        <v>7</v>
      </c>
      <c r="L10" s="2" t="s">
        <v>6</v>
      </c>
    </row>
    <row r="11" spans="1:12" x14ac:dyDescent="0.35">
      <c r="A11" s="14" t="s">
        <v>1035</v>
      </c>
      <c r="B11" s="1" t="s">
        <v>1024</v>
      </c>
      <c r="C11" s="2" t="s">
        <v>1027</v>
      </c>
      <c r="E11" t="s">
        <v>6</v>
      </c>
      <c r="F11" s="55">
        <v>111294.32455700618</v>
      </c>
      <c r="G11" s="2">
        <v>0.7</v>
      </c>
      <c r="H11" s="2"/>
      <c r="I11" s="1"/>
      <c r="J11" s="2"/>
      <c r="K11" s="1" t="s">
        <v>4</v>
      </c>
      <c r="L11" s="2" t="s">
        <v>6</v>
      </c>
    </row>
    <row r="12" spans="1:12" x14ac:dyDescent="0.35">
      <c r="A12" s="13" t="s">
        <v>1077</v>
      </c>
      <c r="B12" s="2" t="s">
        <v>1090</v>
      </c>
      <c r="C12" s="2" t="s">
        <v>1027</v>
      </c>
      <c r="D12" s="2"/>
      <c r="E12" s="2" t="s">
        <v>6</v>
      </c>
      <c r="F12" s="57">
        <v>111294.32455700618</v>
      </c>
      <c r="G12" s="2">
        <v>0.7</v>
      </c>
      <c r="H12" s="2">
        <v>0</v>
      </c>
      <c r="I12" s="2"/>
      <c r="J12" s="2"/>
      <c r="K12" s="2" t="s">
        <v>4</v>
      </c>
      <c r="L12" s="2" t="s">
        <v>6</v>
      </c>
    </row>
    <row r="13" spans="1:12" x14ac:dyDescent="0.35">
      <c r="A13" s="13" t="s">
        <v>1078</v>
      </c>
      <c r="B13" s="2" t="s">
        <v>1090</v>
      </c>
      <c r="C13" s="2" t="s">
        <v>1024</v>
      </c>
      <c r="D13" s="2"/>
      <c r="E13" s="2" t="s">
        <v>6</v>
      </c>
      <c r="F13" s="57">
        <v>0</v>
      </c>
      <c r="G13" s="2">
        <v>1</v>
      </c>
      <c r="H13" s="2">
        <v>0</v>
      </c>
      <c r="I13" s="2"/>
      <c r="J13" s="2"/>
      <c r="K13" s="2" t="s">
        <v>7</v>
      </c>
      <c r="L13" s="2" t="s">
        <v>6</v>
      </c>
    </row>
    <row r="14" spans="1:12" x14ac:dyDescent="0.35">
      <c r="A14" s="42" t="s">
        <v>1071</v>
      </c>
      <c r="B14" s="1" t="s">
        <v>1020</v>
      </c>
      <c r="C14" s="1" t="s">
        <v>1024</v>
      </c>
      <c r="E14" s="2" t="s">
        <v>6</v>
      </c>
      <c r="F14" s="56"/>
      <c r="G14">
        <v>0.97499999999999998</v>
      </c>
      <c r="H14" s="1">
        <v>3</v>
      </c>
      <c r="I14" s="1"/>
      <c r="J14" s="1"/>
      <c r="K14" s="1" t="s">
        <v>7</v>
      </c>
      <c r="L14" s="1" t="s">
        <v>6</v>
      </c>
    </row>
    <row r="15" spans="1:12" x14ac:dyDescent="0.35">
      <c r="A15" s="43" t="s">
        <v>1072</v>
      </c>
      <c r="B15" s="2" t="s">
        <v>1023</v>
      </c>
      <c r="C15" s="2" t="s">
        <v>1027</v>
      </c>
      <c r="D15" s="2"/>
      <c r="E15" s="2" t="s">
        <v>6</v>
      </c>
      <c r="F15" s="54"/>
      <c r="G15" s="2">
        <v>0.97499999999999998</v>
      </c>
      <c r="H15" s="1">
        <v>3</v>
      </c>
      <c r="I15" s="2"/>
      <c r="J15" s="2"/>
      <c r="K15" s="2" t="s">
        <v>4</v>
      </c>
      <c r="L15" s="2" t="s">
        <v>6</v>
      </c>
    </row>
    <row r="16" spans="1:12" x14ac:dyDescent="0.35">
      <c r="A16" s="42" t="s">
        <v>1073</v>
      </c>
      <c r="B16" s="1" t="s">
        <v>1024</v>
      </c>
      <c r="C16" s="1" t="s">
        <v>1020</v>
      </c>
      <c r="D16" s="1"/>
      <c r="E16" s="2" t="s">
        <v>6</v>
      </c>
      <c r="F16" s="54"/>
      <c r="G16" s="1">
        <v>0.97499999999999998</v>
      </c>
      <c r="H16" s="1">
        <v>3</v>
      </c>
      <c r="I16" s="1"/>
      <c r="J16" s="1"/>
      <c r="K16" s="1" t="s">
        <v>7</v>
      </c>
      <c r="L16" s="1" t="s">
        <v>6</v>
      </c>
    </row>
    <row r="17" spans="1:12" x14ac:dyDescent="0.35">
      <c r="A17" s="43" t="s">
        <v>1074</v>
      </c>
      <c r="B17" s="2" t="s">
        <v>1027</v>
      </c>
      <c r="C17" s="2" t="s">
        <v>1023</v>
      </c>
      <c r="D17" s="1"/>
      <c r="E17" s="2" t="s">
        <v>6</v>
      </c>
      <c r="F17" s="54"/>
      <c r="G17" s="1">
        <v>0.97499999999999998</v>
      </c>
      <c r="H17" s="1">
        <v>3</v>
      </c>
      <c r="I17" s="2"/>
      <c r="J17" s="2"/>
      <c r="K17" s="2" t="s">
        <v>4</v>
      </c>
      <c r="L17" s="2" t="s">
        <v>6</v>
      </c>
    </row>
    <row r="18" spans="1:12" x14ac:dyDescent="0.35">
      <c r="I18" s="45"/>
      <c r="J18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L4"/>
  <sheetViews>
    <sheetView workbookViewId="0">
      <selection activeCell="G19" sqref="G19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22</v>
      </c>
      <c r="F1" s="29" t="s">
        <v>23</v>
      </c>
      <c r="G1" s="29" t="s">
        <v>24</v>
      </c>
      <c r="H1" s="29" t="s">
        <v>14</v>
      </c>
      <c r="I1" s="29" t="s">
        <v>25</v>
      </c>
      <c r="J1" s="29" t="s">
        <v>15</v>
      </c>
      <c r="K1" s="29" t="s">
        <v>0</v>
      </c>
      <c r="L1" s="29" t="s">
        <v>1</v>
      </c>
    </row>
    <row r="2" spans="1:12" x14ac:dyDescent="0.35">
      <c r="A2" s="4" t="s">
        <v>1046</v>
      </c>
      <c r="B2" s="1" t="s">
        <v>1020</v>
      </c>
      <c r="C2" s="1">
        <f>26698.52</f>
        <v>26698.52</v>
      </c>
      <c r="D2" s="31" t="s">
        <v>6</v>
      </c>
      <c r="E2" s="1">
        <v>4</v>
      </c>
      <c r="F2" s="1">
        <v>0.89658206299999998</v>
      </c>
      <c r="G2" s="1">
        <v>0.89658206299999998</v>
      </c>
      <c r="H2" s="1"/>
      <c r="I2" s="1" t="s">
        <v>6</v>
      </c>
      <c r="J2" s="1">
        <v>0.1</v>
      </c>
      <c r="K2" s="1" t="s">
        <v>7</v>
      </c>
      <c r="L2" s="1" t="s">
        <v>6</v>
      </c>
    </row>
    <row r="3" spans="1:12" x14ac:dyDescent="0.35">
      <c r="A3" s="3" t="s">
        <v>1047</v>
      </c>
      <c r="B3" s="2" t="s">
        <v>1023</v>
      </c>
      <c r="C3" s="2">
        <v>10000</v>
      </c>
      <c r="D3" s="2" t="s">
        <v>6</v>
      </c>
      <c r="E3" s="2">
        <v>1000</v>
      </c>
      <c r="F3" s="2">
        <v>1</v>
      </c>
      <c r="G3" s="2">
        <v>1</v>
      </c>
      <c r="H3" s="2"/>
      <c r="I3" s="2" t="s">
        <v>6</v>
      </c>
      <c r="J3" s="2">
        <v>2</v>
      </c>
      <c r="K3" s="2" t="s">
        <v>4</v>
      </c>
      <c r="L3" s="2" t="s">
        <v>6</v>
      </c>
    </row>
    <row r="4" spans="1:12" x14ac:dyDescent="0.35">
      <c r="A4" s="13" t="s">
        <v>1048</v>
      </c>
      <c r="B4" s="2" t="s">
        <v>1024</v>
      </c>
      <c r="C4" s="2">
        <v>3000</v>
      </c>
      <c r="D4" s="1" t="s">
        <v>6</v>
      </c>
      <c r="E4" s="2">
        <v>4</v>
      </c>
      <c r="F4" s="2">
        <v>0.92</v>
      </c>
      <c r="G4" s="2">
        <v>0.92</v>
      </c>
      <c r="H4" s="2"/>
      <c r="I4" s="2" t="s">
        <v>6</v>
      </c>
      <c r="J4" s="2">
        <v>0.1</v>
      </c>
      <c r="K4" s="2" t="s">
        <v>7</v>
      </c>
      <c r="L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32" sqref="G32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7" t="s">
        <v>1049</v>
      </c>
      <c r="B2" s="48" t="s">
        <v>1021</v>
      </c>
      <c r="C2" s="48">
        <f>1387684*10^3</f>
        <v>1387684000</v>
      </c>
      <c r="D2" s="48">
        <f>C2*F2</f>
        <v>1248915600</v>
      </c>
      <c r="E2" s="48">
        <v>0.2</v>
      </c>
      <c r="F2" s="48">
        <v>0.9</v>
      </c>
      <c r="G2" s="48" t="s">
        <v>6</v>
      </c>
      <c r="H2" s="48"/>
      <c r="I2" s="48">
        <v>1</v>
      </c>
      <c r="J2" s="48" t="s">
        <v>8</v>
      </c>
      <c r="K2" s="48" t="s">
        <v>6</v>
      </c>
    </row>
    <row r="3" spans="1:11" x14ac:dyDescent="0.35">
      <c r="A3" s="13" t="s">
        <v>1050</v>
      </c>
      <c r="B3" s="2" t="s">
        <v>1025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K24" sqref="K24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1051</v>
      </c>
      <c r="C1" s="39" t="s">
        <v>1052</v>
      </c>
      <c r="D1" s="36" t="s">
        <v>1053</v>
      </c>
      <c r="E1" s="36" t="s">
        <v>1054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1062</v>
      </c>
      <c r="C1" s="34" t="s">
        <v>1063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F2" sqref="F2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1055</v>
      </c>
      <c r="C1" s="33" t="s">
        <v>1056</v>
      </c>
      <c r="D1" s="36" t="s">
        <v>1061</v>
      </c>
      <c r="E1" s="36" t="s">
        <v>1060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I8761"/>
  <sheetViews>
    <sheetView topLeftCell="C1" workbookViewId="0">
      <selection activeCell="H9" sqref="H9:I10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9" ht="15" thickBot="1" x14ac:dyDescent="0.4">
      <c r="A1" t="s">
        <v>1082</v>
      </c>
      <c r="B1" s="36" t="s">
        <v>1080</v>
      </c>
      <c r="C1" s="36" t="s">
        <v>1081</v>
      </c>
      <c r="D1" s="36" t="s">
        <v>1083</v>
      </c>
      <c r="E1" s="36" t="s">
        <v>1084</v>
      </c>
      <c r="F1" s="40" t="s">
        <v>1054</v>
      </c>
    </row>
    <row r="2" spans="1:9" x14ac:dyDescent="0.35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</row>
    <row r="3" spans="1:9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</row>
    <row r="4" spans="1:9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</row>
    <row r="5" spans="1:9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</row>
    <row r="6" spans="1:9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</row>
    <row r="7" spans="1:9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</row>
    <row r="8" spans="1:9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</row>
    <row r="9" spans="1:9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  <c r="I9" s="2">
        <v>38142.495237674055</v>
      </c>
    </row>
    <row r="10" spans="1:9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  <c r="I10" s="2">
        <v>97303.477798362073</v>
      </c>
    </row>
    <row r="11" spans="1:9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</row>
    <row r="12" spans="1:9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</row>
    <row r="13" spans="1:9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</row>
    <row r="14" spans="1:9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</row>
    <row r="15" spans="1:9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</row>
    <row r="16" spans="1:9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</row>
    <row r="17" spans="1:6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</row>
    <row r="18" spans="1:6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6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6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6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6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6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6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6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6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6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6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6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6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6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6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1057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1058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1057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1057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1059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1057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1057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1059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1059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2026-02-05T16:10:58Z</dcterms:modified>
</cp:coreProperties>
</file>