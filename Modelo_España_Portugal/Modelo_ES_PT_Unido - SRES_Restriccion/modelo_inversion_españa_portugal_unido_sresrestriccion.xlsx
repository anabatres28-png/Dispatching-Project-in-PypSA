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B48F978B-6EBE-4E14-88C4-90E8853C7C05}" xr6:coauthVersionLast="47" xr6:coauthVersionMax="47" xr10:uidLastSave="{00000000-0000-0000-0000-000000000000}"/>
  <bookViews>
    <workbookView xWindow="-110" yWindow="-110" windowWidth="19420" windowHeight="10300" tabRatio="752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K4" i="13"/>
  <c r="K3" i="13"/>
  <c r="D2" i="7" l="1"/>
  <c r="C2" i="7" l="1"/>
  <c r="C3" i="7"/>
  <c r="D3" i="7" s="1"/>
  <c r="C2" i="6" l="1"/>
</calcChain>
</file>

<file path=xl/sharedStrings.xml><?xml version="1.0" encoding="utf-8"?>
<sst xmlns="http://schemas.openxmlformats.org/spreadsheetml/2006/main" count="26654" uniqueCount="1094">
  <si>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</si>
  <si>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</si>
  <si>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</si>
  <si>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</si>
  <si>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</si>
  <si>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</si>
  <si>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</si>
  <si>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</si>
  <si>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</si>
  <si>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</si>
  <si>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</si>
  <si>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</si>
  <si>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</si>
  <si>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</si>
  <si>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</si>
  <si>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</si>
  <si>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</si>
  <si>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</si>
  <si>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</si>
  <si>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</si>
  <si>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</si>
  <si>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</si>
  <si>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</si>
  <si>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</si>
  <si>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</si>
  <si>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</si>
  <si>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</si>
  <si>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</si>
  <si>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</si>
  <si>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</si>
  <si>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</si>
  <si>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</si>
  <si>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</si>
  <si>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</si>
  <si>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</si>
  <si>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</si>
  <si>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</si>
  <si>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</si>
  <si>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</si>
  <si>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</si>
  <si>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</si>
  <si>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</si>
  <si>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</si>
  <si>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</si>
  <si>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</si>
  <si>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</si>
  <si>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</si>
  <si>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</si>
  <si>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</si>
  <si>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</si>
  <si>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</si>
  <si>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</si>
  <si>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</si>
  <si>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</si>
  <si>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</si>
  <si>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</si>
  <si>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</si>
  <si>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</si>
  <si>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</si>
  <si>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</si>
  <si>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</si>
  <si>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</si>
  <si>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</si>
  <si>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</si>
  <si>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</si>
  <si>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</si>
  <si>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</si>
  <si>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</si>
  <si>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</si>
  <si>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</si>
  <si>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</si>
  <si>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</si>
  <si>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</si>
  <si>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</si>
  <si>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</si>
  <si>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</si>
  <si>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</si>
  <si>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</si>
  <si>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</si>
  <si>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</si>
  <si>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</si>
  <si>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</si>
  <si>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</si>
  <si>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</si>
  <si>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</si>
  <si>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</si>
  <si>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</si>
  <si>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</si>
  <si>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</si>
  <si>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</si>
  <si>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</si>
  <si>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</si>
  <si>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</si>
  <si>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</si>
  <si>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</si>
  <si>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</si>
  <si>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</si>
  <si>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</si>
  <si>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</si>
  <si>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</si>
  <si>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</si>
  <si>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</si>
  <si>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</si>
  <si>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</si>
  <si>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</si>
  <si>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</si>
  <si>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</si>
  <si>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</si>
  <si>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</si>
  <si>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</si>
  <si>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</si>
  <si>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</si>
  <si>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</si>
  <si>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</si>
  <si>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</si>
  <si>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</si>
  <si>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</si>
  <si>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</si>
  <si>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</si>
  <si>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</si>
  <si>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</si>
  <si>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</si>
  <si>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</si>
  <si>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</si>
  <si>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</si>
  <si>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</si>
  <si>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</si>
  <si>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</si>
  <si>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</si>
  <si>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</si>
  <si>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</si>
  <si>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</si>
  <si>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</si>
  <si>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</si>
  <si>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</si>
  <si>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</si>
  <si>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</si>
  <si>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</si>
  <si>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</si>
  <si>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</si>
  <si>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</si>
  <si>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</si>
  <si>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</si>
  <si>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</si>
  <si>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</si>
  <si>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</si>
  <si>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</si>
  <si>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</si>
  <si>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</si>
  <si>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</si>
  <si>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</si>
  <si>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</si>
  <si>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</si>
  <si>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</si>
  <si>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</si>
  <si>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</si>
  <si>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</si>
  <si>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</si>
  <si>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</si>
  <si>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</si>
  <si>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</si>
  <si>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</si>
  <si>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</si>
  <si>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</si>
  <si>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</si>
  <si>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</si>
  <si>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</si>
  <si>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</si>
  <si>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</si>
  <si>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</si>
  <si>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</si>
  <si>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</si>
  <si>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</si>
  <si>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</si>
  <si>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</si>
  <si>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</si>
  <si>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</si>
  <si>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</si>
  <si>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</si>
  <si>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</si>
  <si>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</si>
  <si>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</si>
  <si>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</si>
  <si>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</si>
  <si>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</si>
  <si>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</si>
  <si>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</si>
  <si>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</si>
  <si>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</si>
  <si>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</si>
  <si>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</si>
  <si>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</si>
  <si>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</si>
  <si>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</si>
  <si>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</si>
  <si>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</si>
  <si>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</si>
  <si>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</si>
  <si>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</si>
  <si>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</si>
  <si>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</si>
  <si>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</si>
  <si>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</si>
  <si>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</si>
  <si>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</si>
  <si>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</si>
  <si>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</si>
  <si>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</si>
  <si>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</si>
  <si>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</si>
  <si>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</si>
  <si>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</si>
  <si>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</si>
  <si>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</si>
  <si>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</si>
  <si>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</si>
  <si>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</si>
  <si>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</si>
  <si>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</si>
  <si>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</si>
  <si>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</si>
  <si>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</si>
  <si>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</si>
  <si>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</si>
  <si>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</si>
  <si>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</si>
  <si>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</si>
  <si>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</si>
  <si>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</si>
  <si>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</si>
  <si>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</si>
  <si>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</si>
  <si>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</si>
  <si>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</si>
  <si>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</si>
  <si>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</si>
  <si>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</si>
  <si>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</si>
  <si>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</si>
  <si>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</si>
  <si>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</si>
  <si>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</si>
  <si>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</si>
  <si>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</si>
  <si>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</si>
  <si>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</si>
  <si>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</si>
  <si>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</si>
  <si>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</si>
  <si>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</si>
  <si>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</si>
  <si>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</si>
  <si>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</si>
  <si>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</si>
  <si>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</si>
  <si>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</si>
  <si>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</si>
  <si>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</si>
  <si>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</si>
  <si>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</si>
  <si>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</si>
  <si>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</si>
  <si>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</si>
  <si>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</si>
  <si>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</si>
  <si>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</si>
  <si>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</si>
  <si>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</si>
  <si>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</si>
  <si>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</si>
  <si>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</si>
  <si>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</si>
  <si>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</si>
  <si>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</si>
  <si>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</si>
  <si>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</si>
  <si>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</si>
  <si>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</si>
  <si>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</si>
  <si>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</si>
  <si>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</si>
  <si>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</si>
  <si>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</si>
  <si>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</si>
  <si>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</si>
  <si>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</si>
  <si>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</si>
  <si>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</si>
  <si>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</si>
  <si>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</si>
  <si>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</si>
  <si>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</si>
  <si>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</si>
  <si>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</si>
  <si>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</si>
  <si>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</si>
  <si>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</si>
  <si>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</si>
  <si>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</si>
  <si>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</si>
  <si>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</si>
  <si>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</si>
  <si>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</si>
  <si>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</si>
  <si>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</si>
  <si>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</si>
  <si>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</si>
  <si>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</si>
  <si>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</si>
  <si>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</si>
  <si>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</si>
  <si>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</si>
  <si>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</si>
  <si>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</si>
  <si>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</si>
  <si>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</si>
  <si>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</si>
  <si>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</si>
  <si>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</si>
  <si>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</si>
  <si>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</si>
  <si>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</si>
  <si>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</si>
  <si>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</si>
  <si>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</si>
  <si>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</si>
  <si>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</si>
  <si>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</si>
  <si>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</si>
  <si>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</si>
  <si>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</si>
  <si>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</si>
  <si>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</si>
  <si>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</si>
  <si>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</si>
  <si>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</si>
  <si>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</si>
  <si>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</si>
  <si>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</si>
  <si>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</si>
  <si>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</si>
  <si>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</si>
  <si>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</si>
  <si>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</si>
  <si>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</si>
  <si>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</si>
  <si>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</si>
  <si>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</si>
  <si>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</si>
  <si>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</si>
  <si>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</si>
  <si>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</si>
  <si>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</si>
  <si>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</si>
  <si>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</si>
  <si>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</si>
  <si>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</si>
  <si>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</si>
  <si>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</si>
  <si>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</si>
  <si>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</si>
  <si>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</si>
  <si>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</si>
  <si>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</si>
  <si>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</si>
  <si>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</si>
  <si>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</si>
  <si>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</si>
  <si>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</si>
  <si>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</si>
  <si>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</si>
  <si>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</si>
  <si>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</si>
  <si>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</si>
  <si>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</si>
  <si>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</si>
  <si>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</si>
  <si>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</si>
  <si>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</si>
  <si>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</si>
  <si>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</si>
  <si>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</si>
  <si>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</si>
  <si>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</si>
  <si>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</si>
  <si>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</si>
  <si>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</si>
  <si>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</si>
  <si>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</si>
  <si>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</si>
  <si>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</si>
  <si>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</si>
  <si>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</si>
  <si>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</si>
  <si>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</si>
  <si>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</si>
  <si>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</si>
  <si>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</si>
  <si>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</si>
  <si>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</si>
  <si>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</si>
  <si>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</si>
  <si>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</si>
  <si>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</si>
  <si>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</si>
  <si>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</si>
  <si>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</si>
  <si>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</si>
  <si>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</si>
  <si>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</si>
  <si>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</si>
  <si>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</si>
  <si>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</si>
  <si>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</si>
  <si>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</si>
  <si>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</si>
  <si>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</si>
  <si>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</si>
  <si>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</si>
  <si>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</si>
  <si>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</si>
  <si>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</si>
  <si>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</si>
  <si>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</si>
  <si>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</si>
  <si>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</si>
  <si>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</si>
  <si>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</si>
  <si>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</si>
  <si>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</si>
  <si>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</si>
  <si>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</si>
  <si>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</si>
  <si>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</si>
  <si>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</si>
  <si>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</si>
  <si>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</si>
  <si>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</si>
  <si>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</si>
  <si>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</si>
  <si>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</si>
  <si>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</si>
  <si>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</si>
  <si>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</si>
  <si>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</si>
  <si>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</si>
  <si>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</si>
  <si>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</si>
  <si>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</si>
  <si>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</si>
  <si>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</si>
  <si>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</si>
  <si>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</si>
  <si>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</si>
  <si>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</si>
  <si>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</si>
  <si>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</si>
  <si>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</si>
  <si>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</si>
  <si>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</si>
  <si>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</si>
  <si>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</si>
  <si>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</si>
  <si>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</si>
  <si>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</si>
  <si>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</si>
  <si>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</si>
  <si>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</si>
  <si>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</si>
  <si>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</si>
  <si>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</si>
  <si>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</si>
  <si>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</si>
  <si>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</si>
  <si>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</si>
  <si>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</si>
  <si>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</si>
  <si>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</si>
  <si>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</si>
  <si>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</si>
  <si>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</si>
  <si>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</si>
  <si>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</si>
  <si>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</si>
  <si>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</si>
  <si>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</si>
  <si>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</si>
  <si>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</si>
  <si>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</si>
  <si>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</si>
  <si>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</si>
  <si>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</si>
  <si>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</si>
  <si>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</si>
  <si>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</si>
  <si>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</si>
  <si>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</si>
  <si>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</si>
  <si>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</si>
  <si>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</si>
  <si>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</si>
  <si>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</si>
  <si>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</si>
  <si>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</si>
  <si>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</si>
  <si>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</si>
  <si>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</si>
  <si>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</si>
  <si>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</si>
  <si>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</si>
  <si>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</si>
  <si>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</si>
  <si>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</si>
  <si>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</si>
  <si>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</si>
  <si>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</si>
  <si>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</si>
  <si>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</si>
  <si>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</si>
  <si>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</si>
  <si>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</si>
  <si>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</si>
  <si>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</si>
  <si>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</si>
  <si>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</si>
  <si>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</si>
  <si>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</si>
  <si>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</si>
  <si>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</si>
  <si>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</si>
  <si>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</si>
  <si>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</si>
  <si>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</si>
  <si>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</si>
  <si>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</si>
  <si>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</si>
  <si>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</si>
  <si>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</si>
  <si>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</si>
  <si>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</si>
  <si>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</si>
  <si>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</si>
  <si>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</si>
  <si>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</si>
  <si>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</si>
  <si>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</si>
  <si>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</si>
  <si>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</si>
  <si>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</si>
  <si>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</si>
  <si>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</si>
  <si>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</si>
  <si>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</si>
  <si>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</si>
  <si>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</si>
  <si>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</si>
  <si>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</si>
  <si>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</si>
  <si>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</si>
  <si>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</si>
  <si>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</si>
  <si>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</si>
  <si>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</si>
  <si>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</si>
  <si>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</si>
  <si>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</si>
  <si>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</si>
  <si>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</si>
  <si>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</si>
  <si>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</si>
  <si>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</si>
  <si>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</si>
  <si>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</si>
  <si>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</si>
  <si>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</si>
  <si>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</si>
  <si>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</si>
  <si>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</si>
  <si>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</si>
  <si>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</si>
  <si>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</si>
  <si>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</si>
  <si>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</si>
  <si>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</si>
  <si>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</si>
  <si>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</si>
  <si>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</si>
  <si>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</si>
  <si>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</si>
  <si>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</si>
  <si>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</si>
  <si>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</si>
  <si>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</si>
  <si>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</si>
  <si>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</si>
  <si>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</si>
  <si>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</si>
  <si>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</si>
  <si>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</si>
  <si>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</si>
  <si>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</si>
  <si>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</si>
  <si>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</si>
  <si>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</si>
  <si>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</si>
  <si>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</si>
  <si>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</si>
  <si>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</si>
  <si>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</si>
  <si>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</si>
  <si>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</si>
  <si>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</si>
  <si>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</si>
  <si>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</si>
  <si>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</si>
  <si>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</si>
  <si>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</si>
  <si>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</si>
  <si>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</si>
  <si>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</si>
  <si>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</si>
  <si>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</si>
  <si>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</si>
  <si>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</si>
  <si>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</si>
  <si>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</si>
  <si>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</si>
  <si>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</si>
  <si>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</si>
  <si>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</si>
  <si>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</si>
  <si>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</si>
  <si>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</si>
  <si>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</si>
  <si>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</si>
  <si>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</si>
  <si>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</si>
  <si>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</si>
  <si>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</si>
  <si>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</si>
  <si>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</si>
  <si>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</si>
  <si>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</si>
  <si>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</si>
  <si>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</si>
  <si>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</si>
  <si>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</si>
  <si>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</si>
  <si>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</si>
  <si>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</si>
  <si>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</si>
  <si>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</si>
  <si>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</si>
  <si>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</si>
  <si>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</si>
  <si>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</si>
  <si>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</si>
  <si>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</si>
  <si>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</si>
  <si>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</si>
  <si>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</si>
  <si>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</si>
  <si>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</si>
  <si>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</si>
  <si>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</si>
  <si>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</si>
  <si>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</si>
  <si>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</si>
  <si>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</si>
  <si>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</si>
  <si>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</si>
  <si>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</si>
  <si>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</si>
  <si>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</si>
  <si>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</si>
  <si>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</si>
  <si>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</si>
  <si>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</si>
  <si>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</si>
  <si>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</si>
  <si>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</si>
  <si>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</si>
  <si>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</si>
  <si>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</si>
  <si>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</si>
  <si>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</si>
  <si>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</si>
  <si>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</si>
  <si>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</si>
  <si>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</si>
  <si>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</si>
  <si>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</si>
  <si>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</si>
  <si>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</si>
  <si>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</si>
  <si>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</si>
  <si>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</si>
  <si>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</si>
  <si>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</si>
  <si>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</si>
  <si>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</si>
  <si>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</si>
  <si>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</si>
  <si>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</si>
  <si>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</si>
  <si>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</si>
  <si>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</si>
  <si>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</si>
  <si>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</si>
  <si>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</si>
  <si>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</si>
  <si>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</si>
  <si>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</si>
  <si>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</si>
  <si>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</si>
  <si>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</si>
  <si>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</si>
  <si>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</si>
  <si>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</si>
  <si>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</si>
  <si>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</si>
  <si>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</si>
  <si>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</si>
  <si>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</si>
  <si>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</si>
  <si>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</si>
  <si>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</si>
  <si>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</si>
  <si>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</si>
  <si>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</si>
  <si>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</si>
  <si>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</si>
  <si>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</si>
  <si>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</si>
  <si>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</si>
  <si>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</si>
  <si>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</si>
  <si>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</si>
  <si>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</si>
  <si>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</si>
  <si>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</si>
  <si>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</si>
  <si>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</si>
  <si>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</si>
  <si>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</si>
  <si>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</si>
  <si>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</si>
  <si>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</si>
  <si>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</si>
  <si>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</si>
  <si>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</si>
  <si>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</si>
  <si>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</si>
  <si>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</si>
  <si>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</si>
  <si>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</si>
  <si>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</si>
  <si>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</si>
  <si>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</si>
  <si>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</si>
  <si>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</si>
  <si>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</si>
  <si>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</si>
  <si>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</si>
  <si>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</si>
  <si>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</si>
  <si>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</si>
  <si>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</si>
  <si>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</si>
  <si>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</si>
  <si>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</si>
  <si>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</si>
  <si>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</si>
  <si>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</si>
  <si>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</si>
  <si>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</si>
  <si>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</si>
  <si>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</si>
  <si>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</si>
  <si>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</si>
  <si>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</si>
  <si>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</si>
  <si>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</si>
  <si>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</si>
  <si>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</si>
  <si>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</si>
  <si>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</si>
  <si>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</si>
  <si>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</si>
  <si>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</si>
  <si>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</si>
  <si>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</si>
  <si>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</si>
  <si>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</si>
  <si>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</si>
  <si>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</si>
  <si>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</si>
  <si>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</si>
  <si>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</si>
  <si>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</si>
  <si>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</si>
  <si>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</si>
  <si>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</si>
  <si>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</si>
  <si>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</si>
  <si>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</si>
  <si>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</si>
  <si>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</si>
  <si>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</si>
  <si>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</si>
  <si>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</si>
  <si>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</si>
  <si>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</si>
  <si>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</si>
  <si>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</si>
  <si>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</si>
  <si>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</si>
  <si>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</si>
  <si>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</si>
  <si>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</si>
  <si>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</si>
  <si>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</si>
  <si>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</si>
  <si>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</si>
  <si>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</si>
  <si>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</si>
  <si>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</si>
  <si>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</si>
  <si>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</si>
  <si>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</si>
  <si>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</si>
  <si>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</si>
  <si>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</si>
  <si>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</si>
  <si>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</si>
  <si>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</si>
  <si>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</si>
  <si>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</si>
  <si>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</si>
  <si>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</si>
  <si>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</si>
  <si>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</si>
  <si>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</si>
  <si>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</si>
  <si>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</si>
  <si>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</si>
  <si>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</si>
  <si>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</si>
  <si>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</si>
  <si>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</si>
  <si>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</si>
  <si>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</si>
  <si>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</si>
  <si>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</si>
  <si>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</si>
  <si>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</si>
  <si>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</si>
  <si>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</si>
  <si>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</si>
  <si>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</si>
  <si>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</si>
  <si>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</si>
  <si>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</si>
  <si>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</si>
  <si>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</si>
  <si>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</si>
  <si>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</si>
  <si>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</si>
  <si>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</si>
  <si>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</si>
  <si>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</si>
  <si>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</si>
  <si>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</si>
  <si>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</si>
  <si>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</si>
  <si>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</si>
  <si>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</si>
  <si>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</si>
  <si>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</si>
  <si>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</si>
  <si>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</si>
  <si>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</si>
  <si>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</si>
  <si>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</si>
  <si>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</si>
  <si>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</si>
  <si>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</si>
  <si>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</si>
  <si>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</si>
  <si>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</si>
  <si>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</si>
  <si>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</si>
  <si>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</si>
  <si>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</si>
  <si>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</si>
  <si>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</si>
  <si>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</si>
  <si>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</si>
  <si>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</si>
  <si>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</si>
  <si>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</si>
  <si>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</si>
  <si>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</si>
  <si>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</si>
  <si>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</si>
  <si>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</si>
  <si>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</si>
  <si>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</si>
  <si>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</si>
  <si>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</si>
  <si>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</si>
  <si>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</si>
  <si>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</si>
  <si>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</si>
  <si>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</si>
  <si>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</si>
  <si>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</si>
  <si>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</si>
  <si>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</si>
  <si>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</si>
  <si>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</si>
  <si>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</si>
  <si>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</si>
  <si>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</si>
  <si>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</si>
  <si>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</si>
  <si>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</si>
  <si>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</si>
  <si>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</si>
  <si>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</si>
  <si>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</si>
  <si>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</si>
  <si>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</si>
  <si>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</si>
  <si>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</si>
  <si>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</si>
  <si>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</si>
  <si>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</si>
  <si>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</si>
  <si>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</si>
  <si>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</si>
  <si>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</si>
  <si>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</si>
  <si>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</si>
  <si>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</si>
  <si>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</si>
  <si>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</si>
  <si>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</si>
  <si>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</si>
  <si>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</si>
  <si>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</si>
  <si>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</si>
  <si>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</si>
  <si>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</si>
  <si>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</si>
  <si>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</si>
  <si>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</si>
  <si>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</si>
  <si>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</si>
  <si>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</si>
  <si>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</si>
  <si>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</si>
  <si>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</si>
  <si>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</si>
  <si>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</si>
  <si>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</si>
  <si>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</si>
  <si>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</si>
  <si>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</si>
  <si>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</si>
  <si>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</si>
  <si>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</si>
  <si>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</si>
  <si>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</si>
  <si>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</si>
  <si>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</si>
  <si>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</si>
  <si>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</si>
  <si>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</si>
  <si>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</si>
  <si>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</si>
  <si>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</si>
  <si>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</si>
  <si>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</si>
  <si>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</si>
  <si>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</si>
  <si>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</si>
  <si>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</si>
  <si>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</si>
  <si>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</si>
  <si>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</si>
  <si>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</si>
  <si>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</si>
  <si>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</si>
  <si>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</si>
  <si>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</si>
  <si>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</si>
  <si>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</si>
  <si>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</si>
  <si>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</si>
  <si>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</si>
  <si>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</si>
  <si>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</si>
  <si>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</si>
  <si>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</si>
  <si>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</si>
  <si>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</si>
  <si>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</si>
  <si>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</si>
  <si>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</si>
  <si>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</si>
  <si>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</si>
  <si>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</si>
  <si>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</si>
  <si>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</si>
  <si>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</si>
  <si>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</si>
  <si>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</si>
  <si>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</si>
  <si>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</si>
  <si>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</si>
  <si>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</si>
  <si>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</si>
  <si>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</si>
  <si>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</si>
  <si>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</si>
  <si>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</si>
  <si>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</si>
  <si>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</si>
  <si>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</si>
  <si>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</si>
  <si>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</si>
  <si>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</si>
  <si>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</si>
  <si>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</si>
  <si>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</si>
  <si>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</si>
  <si>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</si>
  <si>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</si>
  <si>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</si>
  <si>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</si>
  <si>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</si>
  <si>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</si>
  <si>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</si>
  <si>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</si>
  <si>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</si>
  <si>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</si>
  <si>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</si>
  <si>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</si>
  <si>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</si>
  <si>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</si>
  <si>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</si>
  <si>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</si>
  <si>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</si>
  <si>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</si>
  <si>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</si>
  <si>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</si>
  <si>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</si>
  <si>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</si>
  <si>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</si>
  <si>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</si>
  <si>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</si>
  <si>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</si>
  <si>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</si>
  <si>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</si>
  <si>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</si>
  <si>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</si>
  <si>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</si>
  <si>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</si>
  <si>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</si>
  <si>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</si>
  <si>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</si>
  <si>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</si>
  <si>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</si>
  <si>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</si>
  <si>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</si>
  <si>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</si>
  <si>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</si>
  <si>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</si>
  <si>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</si>
  <si>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</si>
  <si>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</si>
  <si>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</si>
  <si>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</si>
  <si>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</si>
  <si>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</si>
  <si>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</si>
  <si>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</si>
  <si>
    <t>PT_SRES_solar</t>
  </si>
  <si>
    <t>PT_SRES_wind</t>
  </si>
  <si>
    <t>PT_SRES_bus</t>
  </si>
  <si>
    <t>ES_SRES_solar</t>
  </si>
  <si>
    <t>ES_SRES_wind</t>
  </si>
  <si>
    <t>ES_SRES_bus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</si>
</sst>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/>
      <right/>
      <top style="double">
        <color theme="1"/>
      </top>
      <bottom style="thin">
        <color indexed="64"/>
      </bottom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72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44" fontId="0" fillId="0" borderId="1" xfId="16" applyFont="1" applyBorder="1"/>
    <xf numFmtId="44" fontId="5" fillId="0" borderId="1" xfId="16" applyFont="1" applyBorder="1"/>
    <xf numFmtId="44" fontId="5" fillId="0" borderId="6" xfId="16" applyFont="1" applyBorder="1"/>
    <xf numFmtId="44" fontId="5" fillId="0" borderId="0" xfId="16" applyFont="1"/>
    <xf numFmtId="44" fontId="5" fillId="0" borderId="0" xfId="16" applyFont="1" applyFill="1" applyBorder="1"/>
    <xf numFmtId="0" fontId="5" fillId="2" borderId="2" xfId="0" applyFont="1" applyFill="1" applyBorder="1"/>
    <xf numFmtId="0" fontId="5" fillId="0" borderId="5" xfId="0" applyFont="1" applyBorder="1"/>
    <xf numFmtId="0" fontId="5" fillId="2" borderId="5" xfId="0" applyFont="1" applyFill="1" applyBorder="1"/>
    <xf numFmtId="0" fontId="0" fillId="2" borderId="8" xfId="0" applyFill="1" applyBorder="1"/>
    <xf numFmtId="0" fontId="0" fillId="0" borderId="8" xfId="0" applyBorder="1"/>
    <xf numFmtId="0" fontId="0" fillId="0" borderId="9" xfId="0" applyBorder="1"/>
    <xf numFmtId="0" fontId="0" fillId="4" borderId="10" xfId="0" applyFill="1" applyBorder="1"/>
    <xf numFmtId="0" fontId="0" fillId="0" borderId="10" xfId="0" applyBorder="1"/>
    <xf numFmtId="0" fontId="0" fillId="4" borderId="8" xfId="0" applyFill="1" applyBorder="1"/>
    <xf numFmtId="2" fontId="0" fillId="0" borderId="10" xfId="0" applyNumberFormat="1" applyBorder="1"/>
    <xf numFmtId="0" fontId="5" fillId="0" borderId="10" xfId="0" applyFont="1" applyBorder="1"/>
    <xf numFmtId="2" fontId="0" fillId="0" borderId="8" xfId="0" applyNumberFormat="1" applyBorder="1"/>
    <xf numFmtId="0" fontId="5" fillId="0" borderId="9" xfId="0" applyFont="1" applyBorder="1"/>
    <xf numFmtId="0" fontId="14" fillId="0" borderId="1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FF"/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A39" sqref="A39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zoomScale="190" zoomScaleNormal="190" workbookViewId="0">
      <selection activeCell="C15" sqref="C15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1"/>
  <sheetViews>
    <sheetView zoomScale="160" zoomScaleNormal="160" workbookViewId="0">
      <selection activeCell="L11" sqref="L11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0" t="s">
        <v>5</v>
      </c>
      <c r="B1" s="30" t="s">
        <v>0</v>
      </c>
      <c r="C1" s="30" t="s">
        <v>1</v>
      </c>
    </row>
    <row r="2" spans="1:3" x14ac:dyDescent="0.35">
      <c r="A2" s="4" t="s">
        <v>1020</v>
      </c>
      <c r="B2" s="1" t="s">
        <v>7</v>
      </c>
      <c r="C2" s="1" t="s">
        <v>6</v>
      </c>
    </row>
    <row r="3" spans="1:3" x14ac:dyDescent="0.35">
      <c r="A3" s="4" t="s">
        <v>1021</v>
      </c>
      <c r="B3" s="1" t="s">
        <v>2</v>
      </c>
      <c r="C3" s="2" t="s">
        <v>6</v>
      </c>
    </row>
    <row r="4" spans="1:3" x14ac:dyDescent="0.35">
      <c r="A4" s="3" t="s">
        <v>1022</v>
      </c>
      <c r="B4" s="2" t="s">
        <v>3</v>
      </c>
      <c r="C4" s="2" t="s">
        <v>6</v>
      </c>
    </row>
    <row r="5" spans="1:3" x14ac:dyDescent="0.35">
      <c r="A5" s="44" t="s">
        <v>1023</v>
      </c>
      <c r="B5" t="s">
        <v>4</v>
      </c>
      <c r="C5" s="45" t="s">
        <v>6</v>
      </c>
    </row>
    <row r="6" spans="1:3" x14ac:dyDescent="0.35">
      <c r="A6" s="3" t="s">
        <v>1093</v>
      </c>
      <c r="B6" s="2" t="s">
        <v>7</v>
      </c>
      <c r="C6" s="2" t="s">
        <v>6</v>
      </c>
    </row>
    <row r="7" spans="1:3" x14ac:dyDescent="0.35">
      <c r="A7" s="14" t="s">
        <v>1024</v>
      </c>
      <c r="B7" s="1" t="s">
        <v>7</v>
      </c>
      <c r="C7" s="1" t="s">
        <v>6</v>
      </c>
    </row>
    <row r="8" spans="1:3" x14ac:dyDescent="0.35">
      <c r="A8" s="14" t="s">
        <v>1025</v>
      </c>
      <c r="B8" s="1" t="s">
        <v>2</v>
      </c>
      <c r="C8" s="2" t="s">
        <v>6</v>
      </c>
    </row>
    <row r="9" spans="1:3" x14ac:dyDescent="0.35">
      <c r="A9" s="13" t="s">
        <v>1026</v>
      </c>
      <c r="B9" s="2" t="s">
        <v>3</v>
      </c>
      <c r="C9" s="2" t="s">
        <v>6</v>
      </c>
    </row>
    <row r="10" spans="1:3" x14ac:dyDescent="0.35">
      <c r="A10" s="13" t="s">
        <v>1027</v>
      </c>
      <c r="B10" s="2" t="s">
        <v>4</v>
      </c>
      <c r="C10" s="2" t="s">
        <v>6</v>
      </c>
    </row>
    <row r="11" spans="1:3" x14ac:dyDescent="0.35">
      <c r="A11" s="13" t="s">
        <v>1090</v>
      </c>
      <c r="B11" s="2" t="s">
        <v>7</v>
      </c>
      <c r="C11" s="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19"/>
  <sheetViews>
    <sheetView zoomScale="120" zoomScaleNormal="120" workbookViewId="0">
      <selection activeCell="D14" sqref="D14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1087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60" t="s">
        <v>1036</v>
      </c>
      <c r="B2" s="59" t="s">
        <v>1020</v>
      </c>
      <c r="C2" s="59"/>
      <c r="D2" s="59" t="s">
        <v>6</v>
      </c>
      <c r="E2" s="59"/>
      <c r="F2" s="59">
        <v>38142.495237674055</v>
      </c>
      <c r="G2" s="59">
        <v>0</v>
      </c>
      <c r="H2" s="59" t="s">
        <v>10</v>
      </c>
      <c r="I2" s="59" t="s">
        <v>6</v>
      </c>
    </row>
    <row r="3" spans="1:9" x14ac:dyDescent="0.35">
      <c r="A3" s="58" t="s">
        <v>1037</v>
      </c>
      <c r="B3" s="48" t="s">
        <v>1020</v>
      </c>
      <c r="C3" s="49"/>
      <c r="D3" s="48" t="s">
        <v>6</v>
      </c>
      <c r="E3" s="48"/>
      <c r="F3" s="49">
        <v>97303.477798362073</v>
      </c>
      <c r="G3" s="49">
        <v>0</v>
      </c>
      <c r="H3" s="49" t="s">
        <v>9</v>
      </c>
      <c r="I3" s="48" t="s">
        <v>6</v>
      </c>
    </row>
    <row r="4" spans="1:9" x14ac:dyDescent="0.35">
      <c r="A4" s="3" t="s">
        <v>1038</v>
      </c>
      <c r="B4" s="2" t="s">
        <v>1020</v>
      </c>
      <c r="C4" s="2"/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/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ht="15" thickBot="1" x14ac:dyDescent="0.4">
      <c r="A6" s="61" t="s">
        <v>1040</v>
      </c>
      <c r="B6" s="62" t="s">
        <v>1020</v>
      </c>
      <c r="C6" s="62">
        <v>3117.91912</v>
      </c>
      <c r="D6" s="62" t="s">
        <v>1086</v>
      </c>
      <c r="E6" s="62"/>
      <c r="F6" s="62">
        <v>0</v>
      </c>
      <c r="G6" s="62">
        <v>4</v>
      </c>
      <c r="H6" s="62" t="s">
        <v>8</v>
      </c>
      <c r="I6" s="62" t="s">
        <v>6</v>
      </c>
    </row>
    <row r="7" spans="1:9" ht="15" thickTop="1" x14ac:dyDescent="0.35">
      <c r="A7" s="4" t="s">
        <v>1091</v>
      </c>
      <c r="B7" s="1" t="s">
        <v>1093</v>
      </c>
      <c r="C7" s="1"/>
      <c r="D7" s="1" t="s">
        <v>6</v>
      </c>
      <c r="E7" s="1"/>
      <c r="F7" s="1">
        <v>38142.495237674055</v>
      </c>
      <c r="G7" s="1">
        <v>0</v>
      </c>
      <c r="H7" s="1" t="s">
        <v>10</v>
      </c>
      <c r="I7" s="1" t="s">
        <v>6</v>
      </c>
    </row>
    <row r="8" spans="1:9" ht="15" thickBot="1" x14ac:dyDescent="0.4">
      <c r="A8" s="61" t="s">
        <v>1092</v>
      </c>
      <c r="B8" s="62" t="s">
        <v>1093</v>
      </c>
      <c r="C8" s="63"/>
      <c r="D8" s="62" t="s">
        <v>6</v>
      </c>
      <c r="E8" s="63"/>
      <c r="F8" s="63">
        <v>97303.477798362073</v>
      </c>
      <c r="G8" s="63">
        <v>0</v>
      </c>
      <c r="H8" s="63" t="s">
        <v>9</v>
      </c>
      <c r="I8" s="62" t="s">
        <v>6</v>
      </c>
    </row>
    <row r="9" spans="1:9" ht="15" thickTop="1" x14ac:dyDescent="0.35">
      <c r="A9" s="64" t="s">
        <v>1041</v>
      </c>
      <c r="B9" s="65" t="s">
        <v>1024</v>
      </c>
      <c r="C9" s="65"/>
      <c r="D9" s="65" t="s">
        <v>6</v>
      </c>
      <c r="E9" s="65"/>
      <c r="F9" s="65">
        <v>38142.495237674055</v>
      </c>
      <c r="G9" s="65">
        <v>0</v>
      </c>
      <c r="H9" s="65" t="s">
        <v>10</v>
      </c>
      <c r="I9" s="65" t="s">
        <v>6</v>
      </c>
    </row>
    <row r="10" spans="1:9" x14ac:dyDescent="0.35">
      <c r="A10" s="14" t="s">
        <v>1042</v>
      </c>
      <c r="B10" s="2" t="s">
        <v>1024</v>
      </c>
      <c r="C10" s="1"/>
      <c r="D10" s="1" t="s">
        <v>6</v>
      </c>
      <c r="E10" s="1"/>
      <c r="F10" s="2">
        <v>97303.477798362073</v>
      </c>
      <c r="G10" s="1">
        <v>0</v>
      </c>
      <c r="H10" s="1" t="s">
        <v>9</v>
      </c>
      <c r="I10" s="2" t="s">
        <v>6</v>
      </c>
    </row>
    <row r="11" spans="1:9" x14ac:dyDescent="0.35">
      <c r="A11" s="13" t="s">
        <v>1043</v>
      </c>
      <c r="B11" s="2" t="s">
        <v>1024</v>
      </c>
      <c r="C11" s="2"/>
      <c r="D11" s="2" t="s">
        <v>6</v>
      </c>
      <c r="E11" s="2">
        <v>1607</v>
      </c>
      <c r="F11" s="2">
        <v>331576.62540923059</v>
      </c>
      <c r="G11" s="1">
        <v>14</v>
      </c>
      <c r="H11" s="2" t="s">
        <v>12</v>
      </c>
      <c r="I11" s="2" t="s">
        <v>6</v>
      </c>
    </row>
    <row r="12" spans="1:9" x14ac:dyDescent="0.35">
      <c r="A12" s="14" t="s">
        <v>1044</v>
      </c>
      <c r="B12" s="2" t="s">
        <v>1026</v>
      </c>
      <c r="C12" s="1"/>
      <c r="D12" s="1" t="s">
        <v>6</v>
      </c>
      <c r="E12" s="1"/>
      <c r="F12" s="2">
        <v>60676.57858518789</v>
      </c>
      <c r="G12" s="1">
        <v>0</v>
      </c>
      <c r="H12" s="1" t="s">
        <v>3</v>
      </c>
      <c r="I12" s="2" t="s">
        <v>6</v>
      </c>
    </row>
    <row r="13" spans="1:9" ht="15" thickBot="1" x14ac:dyDescent="0.4">
      <c r="A13" s="66" t="s">
        <v>1045</v>
      </c>
      <c r="B13" s="62" t="s">
        <v>1024</v>
      </c>
      <c r="C13" s="62">
        <v>508.3</v>
      </c>
      <c r="D13" s="62" t="s">
        <v>1086</v>
      </c>
      <c r="E13" s="62"/>
      <c r="F13" s="62">
        <v>0</v>
      </c>
      <c r="G13" s="62">
        <v>4</v>
      </c>
      <c r="H13" s="62" t="s">
        <v>8</v>
      </c>
      <c r="I13" s="62" t="s">
        <v>6</v>
      </c>
    </row>
    <row r="14" spans="1:9" ht="15" thickTop="1" x14ac:dyDescent="0.35">
      <c r="A14" s="64" t="s">
        <v>1088</v>
      </c>
      <c r="B14" s="65" t="s">
        <v>1090</v>
      </c>
      <c r="C14" s="67"/>
      <c r="D14" s="68" t="s">
        <v>6</v>
      </c>
      <c r="E14" s="67"/>
      <c r="F14" s="65">
        <v>38142.495237674055</v>
      </c>
      <c r="G14" s="65">
        <v>0</v>
      </c>
      <c r="H14" s="65" t="s">
        <v>10</v>
      </c>
      <c r="I14" s="65" t="s">
        <v>6</v>
      </c>
    </row>
    <row r="15" spans="1:9" ht="15" thickBot="1" x14ac:dyDescent="0.4">
      <c r="A15" s="66" t="s">
        <v>1089</v>
      </c>
      <c r="B15" s="62" t="s">
        <v>1090</v>
      </c>
      <c r="C15" s="69"/>
      <c r="D15" s="70" t="s">
        <v>6</v>
      </c>
      <c r="E15" s="69"/>
      <c r="F15" s="62">
        <v>97303.477798362073</v>
      </c>
      <c r="G15" s="62">
        <v>0</v>
      </c>
      <c r="H15" s="62" t="s">
        <v>9</v>
      </c>
      <c r="I15" s="62" t="s">
        <v>6</v>
      </c>
    </row>
    <row r="16" spans="1:9" ht="15" thickTop="1" x14ac:dyDescent="0.35"/>
    <row r="18" spans="5:5" x14ac:dyDescent="0.35">
      <c r="E18" s="50"/>
    </row>
    <row r="19" spans="5:5" x14ac:dyDescent="0.35">
      <c r="E19" s="5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zoomScale="160" zoomScaleNormal="160" workbookViewId="0">
      <selection activeCell="G25" sqref="G2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7"/>
  <sheetViews>
    <sheetView tabSelected="1" zoomScale="115" zoomScaleNormal="115" workbookViewId="0">
      <selection activeCell="E13" sqref="E13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1085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2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1086</v>
      </c>
      <c r="F3" s="54">
        <v>0</v>
      </c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1086</v>
      </c>
      <c r="F4" s="54">
        <v>0</v>
      </c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4">
        <v>111294.32455700618</v>
      </c>
      <c r="G5" s="2">
        <v>0.7</v>
      </c>
      <c r="H5" s="2">
        <v>0</v>
      </c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1093</v>
      </c>
      <c r="C6" s="2" t="s">
        <v>1023</v>
      </c>
      <c r="D6" s="1"/>
      <c r="E6" s="1" t="s">
        <v>6</v>
      </c>
      <c r="F6" s="55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1093</v>
      </c>
      <c r="C7" s="2" t="s">
        <v>1020</v>
      </c>
      <c r="D7" s="71"/>
      <c r="E7" s="71" t="s">
        <v>6</v>
      </c>
      <c r="F7" s="54">
        <v>10000</v>
      </c>
      <c r="G7" s="2">
        <v>1</v>
      </c>
      <c r="H7" s="2">
        <v>0.1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49"/>
      <c r="E8" s="49" t="s">
        <v>6</v>
      </c>
      <c r="F8" s="56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1086</v>
      </c>
      <c r="F9" s="54">
        <v>0</v>
      </c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1086</v>
      </c>
      <c r="F10" s="54">
        <v>0</v>
      </c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s="2" t="s">
        <v>6</v>
      </c>
      <c r="F11" s="55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1090</v>
      </c>
      <c r="C12" s="2" t="s">
        <v>1027</v>
      </c>
      <c r="D12" s="2"/>
      <c r="E12" s="2" t="s">
        <v>6</v>
      </c>
      <c r="F12" s="55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1090</v>
      </c>
      <c r="C13" s="2" t="s">
        <v>1024</v>
      </c>
      <c r="D13" s="71"/>
      <c r="E13" s="71" t="s">
        <v>6</v>
      </c>
      <c r="F13" s="54">
        <v>10000</v>
      </c>
      <c r="G13" s="2">
        <v>1</v>
      </c>
      <c r="H13" s="2">
        <v>0.1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D14" s="1">
        <v>4500</v>
      </c>
      <c r="E14" s="2" t="s">
        <v>1086</v>
      </c>
      <c r="F14" s="57">
        <v>0</v>
      </c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>
        <v>2850</v>
      </c>
      <c r="E15" s="2" t="s">
        <v>1086</v>
      </c>
      <c r="F15" s="54">
        <v>0</v>
      </c>
      <c r="G15" s="2">
        <v>0.97499999999999998</v>
      </c>
      <c r="H15" s="1">
        <v>3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>
        <v>3500</v>
      </c>
      <c r="E16" s="2" t="s">
        <v>1086</v>
      </c>
      <c r="F16" s="53">
        <v>0</v>
      </c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2">
        <v>2850</v>
      </c>
      <c r="E17" s="2" t="s">
        <v>1086</v>
      </c>
      <c r="F17" s="53">
        <v>0</v>
      </c>
      <c r="G17" s="1">
        <v>0.97499999999999998</v>
      </c>
      <c r="H17" s="1">
        <v>3</v>
      </c>
      <c r="I17" s="2"/>
      <c r="J17" s="2"/>
      <c r="K17" s="2" t="s">
        <v>4</v>
      </c>
      <c r="L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zoomScale="115" zoomScaleNormal="115" workbookViewId="0">
      <selection activeCell="G19" sqref="G19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22</v>
      </c>
      <c r="F1" s="29" t="s">
        <v>23</v>
      </c>
      <c r="G1" s="29" t="s">
        <v>24</v>
      </c>
      <c r="H1" s="29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1"/>
      <c r="I2" s="1" t="s">
        <v>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2"/>
      <c r="I3" s="2" t="s">
        <v>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2"/>
      <c r="I4" s="2" t="s">
        <v>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zoomScale="115" zoomScaleNormal="115"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6" t="s">
        <v>1049</v>
      </c>
      <c r="B2" s="47" t="s">
        <v>1021</v>
      </c>
      <c r="C2" s="47">
        <f>1387684*10^3</f>
        <v>1387684000</v>
      </c>
      <c r="D2" s="47">
        <f>C2*F2</f>
        <v>1248915600</v>
      </c>
      <c r="E2" s="47">
        <v>0.2</v>
      </c>
      <c r="F2" s="47">
        <v>0.9</v>
      </c>
      <c r="G2" s="47" t="s">
        <v>6</v>
      </c>
      <c r="H2" s="47"/>
      <c r="I2" s="47">
        <v>1</v>
      </c>
      <c r="J2" s="47" t="s">
        <v>8</v>
      </c>
      <c r="K2" s="47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zoomScale="130" zoomScaleNormal="130" workbookViewId="0">
      <selection activeCell="C2" sqref="C2:C8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S8761"/>
  <sheetViews>
    <sheetView topLeftCell="C1" workbookViewId="0">
      <selection activeCell="H1" sqref="H1:S17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19" ht="15" thickBot="1" x14ac:dyDescent="0.4">
      <c r="A1" t="s">
        <v>1082</v>
      </c>
      <c r="B1" s="36" t="s">
        <v>1080</v>
      </c>
      <c r="C1" s="36" t="s">
        <v>1081</v>
      </c>
      <c r="D1" s="36" t="s">
        <v>1083</v>
      </c>
      <c r="E1" s="36" t="s">
        <v>1084</v>
      </c>
      <c r="F1" s="40" t="s">
        <v>1054</v>
      </c>
      <c r="H1" s="29" t="s">
        <v>5</v>
      </c>
      <c r="I1" s="29" t="s">
        <v>1068</v>
      </c>
      <c r="J1" s="29" t="s">
        <v>1069</v>
      </c>
      <c r="K1" s="29" t="s">
        <v>13</v>
      </c>
      <c r="L1" s="29" t="s">
        <v>1085</v>
      </c>
      <c r="M1" s="29" t="s">
        <v>14</v>
      </c>
      <c r="N1" s="29" t="s">
        <v>17</v>
      </c>
      <c r="O1" s="29" t="s">
        <v>15</v>
      </c>
      <c r="P1" s="29" t="s">
        <v>19</v>
      </c>
      <c r="Q1" s="29" t="s">
        <v>20</v>
      </c>
      <c r="R1" s="29" t="s">
        <v>0</v>
      </c>
      <c r="S1" s="29" t="s">
        <v>1</v>
      </c>
    </row>
    <row r="2" spans="1:1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  <c r="H2" s="4" t="s">
        <v>1028</v>
      </c>
      <c r="I2" s="1" t="s">
        <v>1022</v>
      </c>
      <c r="J2" s="1" t="s">
        <v>1020</v>
      </c>
      <c r="K2" s="1"/>
      <c r="L2" s="1" t="s">
        <v>6</v>
      </c>
      <c r="M2" s="52">
        <v>95777.366351370569</v>
      </c>
      <c r="N2" s="1">
        <v>0.57999999999999996</v>
      </c>
      <c r="O2" s="1">
        <v>96</v>
      </c>
      <c r="P2" s="1">
        <v>842.35602840000001</v>
      </c>
      <c r="Q2" s="1">
        <v>1052.945035</v>
      </c>
      <c r="R2" s="1" t="s">
        <v>3</v>
      </c>
      <c r="S2" s="1" t="s">
        <v>6</v>
      </c>
    </row>
    <row r="3" spans="1:1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4" t="s">
        <v>1029</v>
      </c>
      <c r="I3" s="1" t="s">
        <v>1021</v>
      </c>
      <c r="J3" s="2" t="s">
        <v>1020</v>
      </c>
      <c r="K3" s="1">
        <f>25140.2664733333</f>
        <v>25140.2664733333</v>
      </c>
      <c r="L3" s="1" t="s">
        <v>1086</v>
      </c>
      <c r="M3" s="54">
        <v>0</v>
      </c>
      <c r="N3" s="1">
        <v>0.85</v>
      </c>
      <c r="O3" s="2">
        <v>4</v>
      </c>
      <c r="P3" s="1"/>
      <c r="Q3" s="2"/>
      <c r="R3" s="1" t="s">
        <v>8</v>
      </c>
      <c r="S3" s="2" t="s">
        <v>6</v>
      </c>
    </row>
    <row r="4" spans="1:1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3" t="s">
        <v>1030</v>
      </c>
      <c r="I4" s="2" t="s">
        <v>1020</v>
      </c>
      <c r="J4" s="2" t="s">
        <v>1021</v>
      </c>
      <c r="K4" s="2">
        <f>13320.7506329652</f>
        <v>13320.750632965201</v>
      </c>
      <c r="L4" s="2" t="s">
        <v>1086</v>
      </c>
      <c r="M4" s="54">
        <v>0</v>
      </c>
      <c r="N4" s="2">
        <v>0.75</v>
      </c>
      <c r="O4" s="2">
        <v>40</v>
      </c>
      <c r="P4" s="2"/>
      <c r="Q4" s="2"/>
      <c r="R4" s="2" t="s">
        <v>7</v>
      </c>
      <c r="S4" s="2" t="s">
        <v>6</v>
      </c>
    </row>
    <row r="5" spans="1:1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  <c r="H5" s="3" t="s">
        <v>1031</v>
      </c>
      <c r="I5" s="2" t="s">
        <v>1020</v>
      </c>
      <c r="J5" s="2" t="s">
        <v>1023</v>
      </c>
      <c r="K5" s="2"/>
      <c r="L5" s="2" t="s">
        <v>6</v>
      </c>
      <c r="M5" s="54">
        <v>111294.32455700618</v>
      </c>
      <c r="N5" s="2">
        <v>0.7</v>
      </c>
      <c r="O5" s="2">
        <v>0</v>
      </c>
      <c r="P5" s="2"/>
      <c r="Q5" s="2"/>
      <c r="R5" s="2" t="s">
        <v>4</v>
      </c>
      <c r="S5" s="2" t="s">
        <v>6</v>
      </c>
    </row>
    <row r="6" spans="1:1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  <c r="H6" s="3" t="s">
        <v>1075</v>
      </c>
      <c r="I6" s="2" t="s">
        <v>1093</v>
      </c>
      <c r="J6" s="2" t="s">
        <v>1023</v>
      </c>
      <c r="K6" s="1"/>
      <c r="L6" s="1" t="s">
        <v>6</v>
      </c>
      <c r="M6" s="55">
        <v>111294.32455700618</v>
      </c>
      <c r="N6" s="1">
        <v>0.7</v>
      </c>
      <c r="O6" s="2">
        <v>0</v>
      </c>
      <c r="P6" s="2"/>
      <c r="Q6" s="2"/>
      <c r="R6" s="2" t="s">
        <v>4</v>
      </c>
      <c r="S6" s="2" t="s">
        <v>6</v>
      </c>
    </row>
    <row r="7" spans="1:1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  <c r="H7" s="3" t="s">
        <v>1076</v>
      </c>
      <c r="I7" s="2" t="s">
        <v>1093</v>
      </c>
      <c r="J7" s="2" t="s">
        <v>1020</v>
      </c>
      <c r="K7" s="2"/>
      <c r="L7" s="2" t="s">
        <v>6</v>
      </c>
      <c r="M7" s="54">
        <v>0</v>
      </c>
      <c r="N7" s="2">
        <v>1</v>
      </c>
      <c r="O7" s="2">
        <v>0.1</v>
      </c>
      <c r="P7" s="2"/>
      <c r="Q7" s="2"/>
      <c r="R7" s="2" t="s">
        <v>7</v>
      </c>
      <c r="S7" s="2" t="s">
        <v>6</v>
      </c>
    </row>
    <row r="8" spans="1:1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  <c r="H8" s="14" t="s">
        <v>1032</v>
      </c>
      <c r="I8" s="1" t="s">
        <v>1026</v>
      </c>
      <c r="J8" s="1" t="s">
        <v>1024</v>
      </c>
      <c r="K8" s="49"/>
      <c r="L8" s="49" t="s">
        <v>6</v>
      </c>
      <c r="M8" s="56">
        <v>95777.366351370569</v>
      </c>
      <c r="N8" s="1">
        <v>0.57999999999999996</v>
      </c>
      <c r="O8" s="1">
        <v>96</v>
      </c>
      <c r="P8" s="1">
        <v>2.4</v>
      </c>
      <c r="Q8" s="1">
        <v>3</v>
      </c>
      <c r="R8" s="1" t="s">
        <v>3</v>
      </c>
      <c r="S8" s="1" t="s">
        <v>6</v>
      </c>
    </row>
    <row r="9" spans="1:1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H9" s="14" t="s">
        <v>1033</v>
      </c>
      <c r="I9" s="1" t="s">
        <v>1025</v>
      </c>
      <c r="J9" s="2" t="s">
        <v>1024</v>
      </c>
      <c r="K9" s="1">
        <v>7604.9</v>
      </c>
      <c r="L9" s="1" t="s">
        <v>1086</v>
      </c>
      <c r="M9" s="54">
        <v>0</v>
      </c>
      <c r="N9" s="1">
        <v>0.85</v>
      </c>
      <c r="O9" s="2">
        <v>4</v>
      </c>
      <c r="P9" s="1"/>
      <c r="Q9" s="2"/>
      <c r="R9" s="1" t="s">
        <v>8</v>
      </c>
      <c r="S9" s="2" t="s">
        <v>6</v>
      </c>
    </row>
    <row r="10" spans="1:1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H10" s="13" t="s">
        <v>1034</v>
      </c>
      <c r="I10" s="2" t="s">
        <v>1024</v>
      </c>
      <c r="J10" s="2" t="s">
        <v>1025</v>
      </c>
      <c r="K10" s="2">
        <v>3837</v>
      </c>
      <c r="L10" s="2" t="s">
        <v>1086</v>
      </c>
      <c r="M10" s="54">
        <v>0</v>
      </c>
      <c r="N10" s="2">
        <v>0.75</v>
      </c>
      <c r="O10" s="2">
        <v>40</v>
      </c>
      <c r="P10" s="2"/>
      <c r="Q10" s="2"/>
      <c r="R10" s="2" t="s">
        <v>7</v>
      </c>
      <c r="S10" s="2" t="s">
        <v>6</v>
      </c>
    </row>
    <row r="11" spans="1:1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  <c r="H11" s="14" t="s">
        <v>1035</v>
      </c>
      <c r="I11" s="1" t="s">
        <v>1024</v>
      </c>
      <c r="J11" s="2" t="s">
        <v>1027</v>
      </c>
      <c r="L11" s="2" t="s">
        <v>6</v>
      </c>
      <c r="M11" s="55">
        <v>111294.32455700618</v>
      </c>
      <c r="N11" s="2">
        <v>0.7</v>
      </c>
      <c r="O11" s="2"/>
      <c r="P11" s="1"/>
      <c r="Q11" s="2"/>
      <c r="R11" s="1" t="s">
        <v>4</v>
      </c>
      <c r="S11" s="2" t="s">
        <v>6</v>
      </c>
    </row>
    <row r="12" spans="1:1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  <c r="H12" s="13" t="s">
        <v>1077</v>
      </c>
      <c r="I12" s="2" t="s">
        <v>1090</v>
      </c>
      <c r="J12" s="2" t="s">
        <v>1027</v>
      </c>
      <c r="K12" s="2"/>
      <c r="L12" s="2" t="s">
        <v>6</v>
      </c>
      <c r="M12" s="55">
        <v>111294.32455700618</v>
      </c>
      <c r="N12" s="2">
        <v>0.7</v>
      </c>
      <c r="O12" s="2">
        <v>0</v>
      </c>
      <c r="P12" s="2"/>
      <c r="Q12" s="2"/>
      <c r="R12" s="2" t="s">
        <v>4</v>
      </c>
      <c r="S12" s="2" t="s">
        <v>6</v>
      </c>
    </row>
    <row r="13" spans="1:1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  <c r="H13" s="13" t="s">
        <v>1078</v>
      </c>
      <c r="I13" s="2" t="s">
        <v>1090</v>
      </c>
      <c r="J13" s="2" t="s">
        <v>1024</v>
      </c>
      <c r="K13" s="2"/>
      <c r="L13" s="2" t="s">
        <v>6</v>
      </c>
      <c r="M13" s="54">
        <v>0</v>
      </c>
      <c r="N13" s="2">
        <v>1</v>
      </c>
      <c r="O13" s="2">
        <v>0.1</v>
      </c>
      <c r="P13" s="2"/>
      <c r="Q13" s="2"/>
      <c r="R13" s="2" t="s">
        <v>7</v>
      </c>
      <c r="S13" s="2" t="s">
        <v>6</v>
      </c>
    </row>
    <row r="14" spans="1:1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  <c r="H14" s="42" t="s">
        <v>1071</v>
      </c>
      <c r="I14" s="1" t="s">
        <v>1020</v>
      </c>
      <c r="J14" s="1" t="s">
        <v>1024</v>
      </c>
      <c r="L14" s="2" t="s">
        <v>1086</v>
      </c>
      <c r="M14" s="57">
        <v>0</v>
      </c>
      <c r="N14">
        <v>0.97499999999999998</v>
      </c>
      <c r="O14" s="1">
        <v>3</v>
      </c>
      <c r="P14" s="1"/>
      <c r="Q14" s="1"/>
      <c r="R14" s="1" t="s">
        <v>7</v>
      </c>
      <c r="S14" s="1" t="s">
        <v>6</v>
      </c>
    </row>
    <row r="15" spans="1:1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  <c r="H15" s="43" t="s">
        <v>1072</v>
      </c>
      <c r="I15" s="2" t="s">
        <v>1023</v>
      </c>
      <c r="J15" s="2" t="s">
        <v>1027</v>
      </c>
      <c r="K15" s="2"/>
      <c r="L15" s="2" t="s">
        <v>1086</v>
      </c>
      <c r="M15" s="54">
        <v>0</v>
      </c>
      <c r="N15" s="2">
        <v>0.97499999999999998</v>
      </c>
      <c r="O15" s="1">
        <v>3</v>
      </c>
      <c r="P15" s="2"/>
      <c r="Q15" s="2"/>
      <c r="R15" s="2" t="s">
        <v>4</v>
      </c>
      <c r="S15" s="2" t="s">
        <v>6</v>
      </c>
    </row>
    <row r="16" spans="1:1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  <c r="H16" s="42" t="s">
        <v>1073</v>
      </c>
      <c r="I16" s="1" t="s">
        <v>1024</v>
      </c>
      <c r="J16" s="1" t="s">
        <v>1020</v>
      </c>
      <c r="K16" s="1"/>
      <c r="L16" s="2" t="s">
        <v>1086</v>
      </c>
      <c r="M16" s="53">
        <v>0</v>
      </c>
      <c r="N16" s="1">
        <v>0.97499999999999998</v>
      </c>
      <c r="O16" s="1">
        <v>3</v>
      </c>
      <c r="P16" s="1"/>
      <c r="Q16" s="1"/>
      <c r="R16" s="1" t="s">
        <v>7</v>
      </c>
      <c r="S16" s="1" t="s">
        <v>6</v>
      </c>
    </row>
    <row r="17" spans="1:19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  <c r="H17" s="43" t="s">
        <v>1074</v>
      </c>
      <c r="I17" s="2" t="s">
        <v>1027</v>
      </c>
      <c r="J17" s="2" t="s">
        <v>1023</v>
      </c>
      <c r="K17" s="1"/>
      <c r="L17" s="2" t="s">
        <v>1086</v>
      </c>
      <c r="M17" s="53">
        <v>0</v>
      </c>
      <c r="N17" s="1">
        <v>0.97499999999999998</v>
      </c>
      <c r="O17" s="1">
        <v>3</v>
      </c>
      <c r="P17" s="2"/>
      <c r="Q17" s="2"/>
      <c r="R17" s="2" t="s">
        <v>4</v>
      </c>
      <c r="S17" s="2" t="s">
        <v>6</v>
      </c>
    </row>
    <row r="18" spans="1:19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19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19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19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19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19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19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19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19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19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19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19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19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19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19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2026-02-10T16:06:22Z</dcterms:modified>
</cp:coreProperties>
</file>