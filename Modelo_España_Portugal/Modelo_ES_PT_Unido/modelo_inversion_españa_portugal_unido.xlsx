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D98454D7-26F0-40B8-99A9-D7FC981155DA}" xr6:coauthVersionLast="47" xr6:coauthVersionMax="47" xr10:uidLastSave="{00000000-0000-0000-0000-000000000000}"/>
  <bookViews>
    <workbookView xWindow="28680" yWindow="-120" windowWidth="29040" windowHeight="15720" tabRatio="752" activeTab="4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run_of_river_inflow" sheetId="12" r:id="rId10"/>
    <sheet name="profiles" sheetId="10" r:id="rId11"/>
    <sheet name="demands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2" i="3"/>
  <c r="C2" i="7" l="1"/>
  <c r="C3" i="7"/>
  <c r="D3" i="7"/>
  <c r="C2" i="6" l="1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</calcChain>
</file>

<file path=xl/sharedStrings.xml><?xml version="1.0" encoding="utf-8"?>
<sst xmlns="http://schemas.openxmlformats.org/spreadsheetml/2006/main" count="26496" uniqueCount="1080">
  <si>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</si>
  <si>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</si>
  <si>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</si>
  <si>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</si>
  <si>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</si>
  <si>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</si>
  <si>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</si>
  <si>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</si>
  <si>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</si>
  <si>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</si>
  <si>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</si>
  <si>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</si>
  <si>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</si>
  <si>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</si>
  <si>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</si>
  <si>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</si>
  <si>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</si>
  <si>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</si>
  <si>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</si>
  <si>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</si>
  <si>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</si>
  <si>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</si>
  <si>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</si>
  <si>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</si>
  <si>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</si>
  <si>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</si>
  <si>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</si>
  <si>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</si>
  <si>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</si>
  <si>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</si>
  <si>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</si>
  <si>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</si>
  <si>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</si>
  <si>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</si>
  <si>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</si>
  <si>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</si>
  <si>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</si>
  <si>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</si>
  <si>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</si>
  <si>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</si>
  <si>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</si>
  <si>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</si>
  <si>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</si>
  <si>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</si>
  <si>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</si>
  <si>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</si>
  <si>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</si>
  <si>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</si>
  <si>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</si>
  <si>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</si>
  <si>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</si>
  <si>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</si>
  <si>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</si>
  <si>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</si>
  <si>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</si>
  <si>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</si>
  <si>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</si>
  <si>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</si>
  <si>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</si>
  <si>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</si>
  <si>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</si>
  <si>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</si>
  <si>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</si>
  <si>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</si>
  <si>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</si>
  <si>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</si>
  <si>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</si>
  <si>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</si>
  <si>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</si>
  <si>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</si>
  <si>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</si>
  <si>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</si>
  <si>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</si>
  <si>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</si>
  <si>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</si>
  <si>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</si>
  <si>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</si>
  <si>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</si>
  <si>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</si>
  <si>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</si>
  <si>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</si>
  <si>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</si>
  <si>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</si>
  <si>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</si>
  <si>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</si>
  <si>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</si>
  <si>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</si>
  <si>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</si>
  <si>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</si>
  <si>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</si>
  <si>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</si>
  <si>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</si>
  <si>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</si>
  <si>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</si>
  <si>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</si>
  <si>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</si>
  <si>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</si>
  <si>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</si>
  <si>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</si>
  <si>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</si>
  <si>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</si>
  <si>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</si>
  <si>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</si>
  <si>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</si>
  <si>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</si>
  <si>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</si>
  <si>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</si>
  <si>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</si>
  <si>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</si>
  <si>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</si>
  <si>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</si>
  <si>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</si>
  <si>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</si>
  <si>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</si>
  <si>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</si>
  <si>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</si>
  <si>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</si>
  <si>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</si>
  <si>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</si>
  <si>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</si>
  <si>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</si>
  <si>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</si>
  <si>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</si>
  <si>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</si>
  <si>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</si>
  <si>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</si>
  <si>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</si>
  <si>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</si>
  <si>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</si>
  <si>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</si>
  <si>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</si>
  <si>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</si>
  <si>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</si>
  <si>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</si>
  <si>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</si>
  <si>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</si>
  <si>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</si>
  <si>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</si>
  <si>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</si>
  <si>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</si>
  <si>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</si>
  <si>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</si>
  <si>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</si>
  <si>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</si>
  <si>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</si>
  <si>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</si>
  <si>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</si>
  <si>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</si>
  <si>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</si>
  <si>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</si>
  <si>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</si>
  <si>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</si>
  <si>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</si>
  <si>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</si>
  <si>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</si>
  <si>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</si>
  <si>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</si>
  <si>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</si>
  <si>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</si>
  <si>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</si>
  <si>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</si>
  <si>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</si>
  <si>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</si>
  <si>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</si>
  <si>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</si>
  <si>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</si>
  <si>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</si>
  <si>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</si>
  <si>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</si>
  <si>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</si>
  <si>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</si>
  <si>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</si>
  <si>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</si>
  <si>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</si>
  <si>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</si>
  <si>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</si>
  <si>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</si>
  <si>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</si>
  <si>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</si>
  <si>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</si>
  <si>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</si>
  <si>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</si>
  <si>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</si>
  <si>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</si>
  <si>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</si>
  <si>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</si>
  <si>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</si>
  <si>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</si>
  <si>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</si>
  <si>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</si>
  <si>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</si>
  <si>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</si>
  <si>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</si>
  <si>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</si>
  <si>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</si>
  <si>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</si>
  <si>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</si>
  <si>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</si>
  <si>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</si>
  <si>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</si>
  <si>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</si>
  <si>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</si>
  <si>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</si>
  <si>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</si>
  <si>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</si>
  <si>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</si>
  <si>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</si>
  <si>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</si>
  <si>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</si>
  <si>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</si>
  <si>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</si>
  <si>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</si>
  <si>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</si>
  <si>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</si>
  <si>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</si>
  <si>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</si>
  <si>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</si>
  <si>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</si>
  <si>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</si>
  <si>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</si>
  <si>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</si>
  <si>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</si>
  <si>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</si>
  <si>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</si>
  <si>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</si>
  <si>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</si>
  <si>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</si>
  <si>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</si>
  <si>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</si>
  <si>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</si>
  <si>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</si>
  <si>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</si>
  <si>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</si>
  <si>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</si>
  <si>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</si>
  <si>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</si>
  <si>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</si>
  <si>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</si>
  <si>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</si>
  <si>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</si>
  <si>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</si>
  <si>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</si>
  <si>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</si>
  <si>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</si>
  <si>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</si>
  <si>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</si>
  <si>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</si>
  <si>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</si>
  <si>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</si>
  <si>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</si>
  <si>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</si>
  <si>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</si>
  <si>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</si>
  <si>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</si>
  <si>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</si>
  <si>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</si>
  <si>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</si>
  <si>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</si>
  <si>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</si>
  <si>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</si>
  <si>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</si>
  <si>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</si>
  <si>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</si>
  <si>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</si>
  <si>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</si>
  <si>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</si>
  <si>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</si>
  <si>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</si>
  <si>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</si>
  <si>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</si>
  <si>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</si>
  <si>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</si>
  <si>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</si>
  <si>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</si>
  <si>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</si>
  <si>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</si>
  <si>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</si>
  <si>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</si>
  <si>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</si>
  <si>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</si>
  <si>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</si>
  <si>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</si>
  <si>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</si>
  <si>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</si>
  <si>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</si>
  <si>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</si>
  <si>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</si>
  <si>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</si>
  <si>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</si>
  <si>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</si>
  <si>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</si>
  <si>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</si>
  <si>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</si>
  <si>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</si>
  <si>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</si>
  <si>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</si>
  <si>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</si>
  <si>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</si>
  <si>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</si>
  <si>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</si>
  <si>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</si>
  <si>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</si>
  <si>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</si>
  <si>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</si>
  <si>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</si>
  <si>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</si>
  <si>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</si>
  <si>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</si>
  <si>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</si>
  <si>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</si>
  <si>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</si>
  <si>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</si>
  <si>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</si>
  <si>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</si>
  <si>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</si>
  <si>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</si>
  <si>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</si>
  <si>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</si>
  <si>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</si>
  <si>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</si>
  <si>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</si>
  <si>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</si>
  <si>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</si>
  <si>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</si>
  <si>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</si>
  <si>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</si>
  <si>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</si>
  <si>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</si>
  <si>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</si>
  <si>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</si>
  <si>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</si>
  <si>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</si>
  <si>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</si>
  <si>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</si>
  <si>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</si>
  <si>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</si>
  <si>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</si>
  <si>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</si>
  <si>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</si>
  <si>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</si>
  <si>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</si>
  <si>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</si>
  <si>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</si>
  <si>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</si>
  <si>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</si>
  <si>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</si>
  <si>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</si>
  <si>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</si>
  <si>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</si>
  <si>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</si>
  <si>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</si>
  <si>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</si>
  <si>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</si>
  <si>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</si>
  <si>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</si>
  <si>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</si>
  <si>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</si>
  <si>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</si>
  <si>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</si>
  <si>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</si>
  <si>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</si>
  <si>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</si>
  <si>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</si>
  <si>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</si>
  <si>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</si>
  <si>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</si>
  <si>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</si>
  <si>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</si>
  <si>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</si>
  <si>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</si>
  <si>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</si>
  <si>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</si>
  <si>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</si>
  <si>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</si>
  <si>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</si>
  <si>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</si>
  <si>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</si>
  <si>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</si>
  <si>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</si>
  <si>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</si>
  <si>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</si>
  <si>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</si>
  <si>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</si>
  <si>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</si>
  <si>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</si>
  <si>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</si>
  <si>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</si>
  <si>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</si>
  <si>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</si>
  <si>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</si>
  <si>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</si>
  <si>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</si>
  <si>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</si>
  <si>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</si>
  <si>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</si>
  <si>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</si>
  <si>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</si>
  <si>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</si>
  <si>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</si>
  <si>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</si>
  <si>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</si>
  <si>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</si>
  <si>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</si>
  <si>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</si>
  <si>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</si>
  <si>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</si>
  <si>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</si>
  <si>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</si>
  <si>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</si>
  <si>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</si>
  <si>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</si>
  <si>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</si>
  <si>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</si>
  <si>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</si>
  <si>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</si>
  <si>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</si>
  <si>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</si>
  <si>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</si>
  <si>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</si>
  <si>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</si>
  <si>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</si>
  <si>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</si>
  <si>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</si>
  <si>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</si>
  <si>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</si>
  <si>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</si>
  <si>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</si>
  <si>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</si>
  <si>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</si>
  <si>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</si>
  <si>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</si>
  <si>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</si>
  <si>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</si>
  <si>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</si>
  <si>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</si>
  <si>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</si>
  <si>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</si>
  <si>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</si>
  <si>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</si>
  <si>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</si>
  <si>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</si>
  <si>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</si>
  <si>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</si>
  <si>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</si>
  <si>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</si>
  <si>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</si>
  <si>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</si>
  <si>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</si>
  <si>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</si>
  <si>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</si>
  <si>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</si>
  <si>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</si>
  <si>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</si>
  <si>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</si>
  <si>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</si>
  <si>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</si>
  <si>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</si>
  <si>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</si>
  <si>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</si>
  <si>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</si>
  <si>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</si>
  <si>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</si>
  <si>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</si>
  <si>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</si>
  <si>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</si>
  <si>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</si>
  <si>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</si>
  <si>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</si>
  <si>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</si>
  <si>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</si>
  <si>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</si>
  <si>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</si>
  <si>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</si>
  <si>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</si>
  <si>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</si>
  <si>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</si>
  <si>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</si>
  <si>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</si>
  <si>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</si>
  <si>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</si>
  <si>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</si>
  <si>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</si>
  <si>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</si>
  <si>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</si>
  <si>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</si>
  <si>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</si>
  <si>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</si>
  <si>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</si>
  <si>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</si>
  <si>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</si>
  <si>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</si>
  <si>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</si>
  <si>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</si>
  <si>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</si>
  <si>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</si>
  <si>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</si>
  <si>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</si>
  <si>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</si>
  <si>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</si>
  <si>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</si>
  <si>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</si>
  <si>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</si>
  <si>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</si>
  <si>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</si>
  <si>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</si>
  <si>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</si>
  <si>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</si>
  <si>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</si>
  <si>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</si>
  <si>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</si>
  <si>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</si>
  <si>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</si>
  <si>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</si>
  <si>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</si>
  <si>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</si>
  <si>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</si>
  <si>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</si>
  <si>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</si>
  <si>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</si>
  <si>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</si>
  <si>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</si>
  <si>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</si>
  <si>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</si>
  <si>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</si>
  <si>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</si>
  <si>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</si>
  <si>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</si>
  <si>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</si>
  <si>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</si>
  <si>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</si>
  <si>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</si>
  <si>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</si>
  <si>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</si>
  <si>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</si>
  <si>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</si>
  <si>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</si>
  <si>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</si>
  <si>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</si>
  <si>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</si>
  <si>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</si>
  <si>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</si>
  <si>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</si>
  <si>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</si>
  <si>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</si>
  <si>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</si>
  <si>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</si>
  <si>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</si>
  <si>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</si>
  <si>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</si>
  <si>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</si>
  <si>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</si>
  <si>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</si>
  <si>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</si>
  <si>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</si>
  <si>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</si>
  <si>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</si>
  <si>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</si>
  <si>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</si>
  <si>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</si>
  <si>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</si>
  <si>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</si>
  <si>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</si>
  <si>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</si>
  <si>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</si>
  <si>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</si>
  <si>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</si>
  <si>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</si>
  <si>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</si>
  <si>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</si>
  <si>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</si>
  <si>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</si>
  <si>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</si>
  <si>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</si>
  <si>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</si>
  <si>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</si>
  <si>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</si>
  <si>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</si>
  <si>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</si>
  <si>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</si>
  <si>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</si>
  <si>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</si>
  <si>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</si>
  <si>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</si>
  <si>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</si>
  <si>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</si>
  <si>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</si>
  <si>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</si>
  <si>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</si>
  <si>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</si>
  <si>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</si>
  <si>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</si>
  <si>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</si>
  <si>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</si>
  <si>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</si>
  <si>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</si>
  <si>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</si>
  <si>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</si>
  <si>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</si>
  <si>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</si>
  <si>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</si>
  <si>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</si>
  <si>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</si>
  <si>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</si>
  <si>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</si>
  <si>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</si>
  <si>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</si>
  <si>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</si>
  <si>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</si>
  <si>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</si>
  <si>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</si>
  <si>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</si>
  <si>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</si>
  <si>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</si>
  <si>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</si>
  <si>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</si>
  <si>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</si>
  <si>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</si>
  <si>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</si>
  <si>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</si>
  <si>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</si>
  <si>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</si>
  <si>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</si>
  <si>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</si>
  <si>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</si>
  <si>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</si>
  <si>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</si>
  <si>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</si>
  <si>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</si>
  <si>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</si>
  <si>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</si>
  <si>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</si>
  <si>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</si>
  <si>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</si>
  <si>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</si>
  <si>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</si>
  <si>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</si>
  <si>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</si>
  <si>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</si>
  <si>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</si>
  <si>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</si>
  <si>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</si>
  <si>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</si>
  <si>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</si>
  <si>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</si>
  <si>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</si>
  <si>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</si>
  <si>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</si>
  <si>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</si>
  <si>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</si>
  <si>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</si>
  <si>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</si>
  <si>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</si>
  <si>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</si>
  <si>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</si>
  <si>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</si>
  <si>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</si>
  <si>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</si>
  <si>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</si>
  <si>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</si>
  <si>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</si>
  <si>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</si>
  <si>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</si>
  <si>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</si>
  <si>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</si>
  <si>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</si>
  <si>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</si>
  <si>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</si>
  <si>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</si>
  <si>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</si>
  <si>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</si>
  <si>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</si>
  <si>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</si>
  <si>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</si>
  <si>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</si>
  <si>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</si>
  <si>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</si>
  <si>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</si>
  <si>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</si>
  <si>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</si>
  <si>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</si>
  <si>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</si>
  <si>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</si>
  <si>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</si>
  <si>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</si>
  <si>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</si>
  <si>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</si>
  <si>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</si>
  <si>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</si>
  <si>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</si>
  <si>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</si>
  <si>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</si>
  <si>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</si>
  <si>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</si>
  <si>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</si>
  <si>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</si>
  <si>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</si>
  <si>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</si>
  <si>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</si>
  <si>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</si>
  <si>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</si>
  <si>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</si>
  <si>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</si>
  <si>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</si>
  <si>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</si>
  <si>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</si>
  <si>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</si>
  <si>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</si>
  <si>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</si>
  <si>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</si>
  <si>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</si>
  <si>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</si>
  <si>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</si>
  <si>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</si>
  <si>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</si>
  <si>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</si>
  <si>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</si>
  <si>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</si>
  <si>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</si>
  <si>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</si>
  <si>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</si>
  <si>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</si>
  <si>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</si>
  <si>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</si>
  <si>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</si>
  <si>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</si>
  <si>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</si>
  <si>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</si>
  <si>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</si>
  <si>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</si>
  <si>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</si>
  <si>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</si>
  <si>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</si>
  <si>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</si>
  <si>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</si>
  <si>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</si>
  <si>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</si>
  <si>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</si>
  <si>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</si>
  <si>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</si>
  <si>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</si>
  <si>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</si>
  <si>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</si>
  <si>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</si>
  <si>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</si>
  <si>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</si>
  <si>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</si>
  <si>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</si>
  <si>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</si>
  <si>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</si>
  <si>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</si>
  <si>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</si>
  <si>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</si>
  <si>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</si>
  <si>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</si>
  <si>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</si>
  <si>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</si>
  <si>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</si>
  <si>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</si>
  <si>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</si>
  <si>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</si>
  <si>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</si>
  <si>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</si>
  <si>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</si>
  <si>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</si>
  <si>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</si>
  <si>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</si>
  <si>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</si>
  <si>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</si>
  <si>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</si>
  <si>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</si>
  <si>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</si>
  <si>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</si>
  <si>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</si>
  <si>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</si>
  <si>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</si>
  <si>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</si>
  <si>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</si>
  <si>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</si>
  <si>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</si>
  <si>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</si>
  <si>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</si>
  <si>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</si>
  <si>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</si>
  <si>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</si>
  <si>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</si>
  <si>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</si>
  <si>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</si>
  <si>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</si>
  <si>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</si>
  <si>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</si>
  <si>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</si>
  <si>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</si>
  <si>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</si>
  <si>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</si>
  <si>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</si>
  <si>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</si>
  <si>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</si>
  <si>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</si>
  <si>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</si>
  <si>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</si>
  <si>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</si>
  <si>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</si>
  <si>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</si>
  <si>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</si>
  <si>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</si>
  <si>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</si>
  <si>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</si>
  <si>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</si>
  <si>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</si>
  <si>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</si>
  <si>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</si>
  <si>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</si>
  <si>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</si>
  <si>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</si>
  <si>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</si>
  <si>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</si>
  <si>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</si>
  <si>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</si>
  <si>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</si>
  <si>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</si>
  <si>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</si>
  <si>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</si>
  <si>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</si>
  <si>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</si>
  <si>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</si>
  <si>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</si>
  <si>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</si>
  <si>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</si>
  <si>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</si>
  <si>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</si>
  <si>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</si>
  <si>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</si>
  <si>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</si>
  <si>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</si>
  <si>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</si>
  <si>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</si>
  <si>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</si>
  <si>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</si>
  <si>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</si>
  <si>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</si>
  <si>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</si>
  <si>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</si>
  <si>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</si>
  <si>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</si>
  <si>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</si>
  <si>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</si>
  <si>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</si>
  <si>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</si>
  <si>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</si>
  <si>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</si>
  <si>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</si>
  <si>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</si>
  <si>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</si>
  <si>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</si>
  <si>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</si>
  <si>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</si>
  <si>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</si>
  <si>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</si>
  <si>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</si>
  <si>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</si>
  <si>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</si>
  <si>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</si>
  <si>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</si>
  <si>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</si>
  <si>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</si>
  <si>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</si>
  <si>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</si>
  <si>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</si>
  <si>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</si>
  <si>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</si>
  <si>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</si>
  <si>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</si>
  <si>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</si>
  <si>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</si>
  <si>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</si>
  <si>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</si>
  <si>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</si>
  <si>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</si>
  <si>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</si>
  <si>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</si>
  <si>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</si>
  <si>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</si>
  <si>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</si>
  <si>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</si>
  <si>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</si>
  <si>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</si>
  <si>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</si>
  <si>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</si>
  <si>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</si>
  <si>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</si>
  <si>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</si>
  <si>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</si>
  <si>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</si>
  <si>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</si>
  <si>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</si>
  <si>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</si>
  <si>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</si>
  <si>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</si>
  <si>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</si>
  <si>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</si>
  <si>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</si>
  <si>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</si>
  <si>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</si>
  <si>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</si>
  <si>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</si>
  <si>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</si>
  <si>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</si>
  <si>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</si>
  <si>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</si>
  <si>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</si>
  <si>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</si>
  <si>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</si>
  <si>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</si>
  <si>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</si>
  <si>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</si>
  <si>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</si>
  <si>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</si>
  <si>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</si>
  <si>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</si>
  <si>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</si>
  <si>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</si>
  <si>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</si>
  <si>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</si>
  <si>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</si>
  <si>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</si>
  <si>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</si>
  <si>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</si>
  <si>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</si>
  <si>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</si>
  <si>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</si>
  <si>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</si>
  <si>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</si>
  <si>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</si>
  <si>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</si>
  <si>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</si>
  <si>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</si>
  <si>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</si>
  <si>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</si>
  <si>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</si>
  <si>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</si>
  <si>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</si>
  <si>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</si>
  <si>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</si>
  <si>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</si>
  <si>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</si>
  <si>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</si>
  <si>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</si>
  <si>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</si>
  <si>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</si>
  <si>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</si>
  <si>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</si>
  <si>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</si>
  <si>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</si>
  <si>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</si>
  <si>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</si>
  <si>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</si>
  <si>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</si>
  <si>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</si>
  <si>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</si>
  <si>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</si>
  <si>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</si>
  <si>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</si>
  <si>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</si>
  <si>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</si>
  <si>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</si>
  <si>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</si>
  <si>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</si>
  <si>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</si>
  <si>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</si>
  <si>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</si>
  <si>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</si>
  <si>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</si>
  <si>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</si>
  <si>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</si>
  <si>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</si>
  <si>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</si>
  <si>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</si>
  <si>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</si>
  <si>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</si>
  <si>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</si>
  <si>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</si>
  <si>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</si>
  <si>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</si>
  <si>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</si>
  <si>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</si>
  <si>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</si>
  <si>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</si>
  <si>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</si>
  <si>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</si>
  <si>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</si>
  <si>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</si>
  <si>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</si>
  <si>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</si>
  <si>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</si>
  <si>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</si>
  <si>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</si>
  <si>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</si>
  <si>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</si>
  <si>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</si>
  <si>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</si>
  <si>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</si>
  <si>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</si>
  <si>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</si>
  <si>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</si>
  <si>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</si>
  <si>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</si>
  <si>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</si>
  <si>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</si>
  <si>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</si>
  <si>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</si>
  <si>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</si>
  <si>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</si>
  <si>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</si>
  <si>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</si>
  <si>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</si>
  <si>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</si>
  <si>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</si>
  <si>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</si>
  <si>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</si>
  <si>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</si>
  <si>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</si>
  <si>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</si>
  <si>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</si>
  <si>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</si>
  <si>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</si>
  <si>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</si>
  <si>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</si>
  <si>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</si>
  <si>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</si>
  <si>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</si>
  <si>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</si>
  <si>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</si>
  <si>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</si>
  <si>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</si>
  <si>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</si>
  <si>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</si>
  <si>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</si>
  <si>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</si>
  <si>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</si>
  <si>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</si>
  <si>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</si>
  <si>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</si>
  <si>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</si>
  <si>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</si>
  <si>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</si>
  <si>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</si>
  <si>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</si>
  <si>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</si>
  <si>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</si>
  <si>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</si>
  <si>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</si>
  <si>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</si>
  <si>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</si>
  <si>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</si>
  <si>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</si>
  <si>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</si>
  <si>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</si>
  <si>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</si>
  <si>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</si>
  <si>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</si>
  <si>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</si>
  <si>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</si>
  <si>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</si>
  <si>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</si>
  <si>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</si>
  <si>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</si>
  <si>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</si>
  <si>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</si>
  <si>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</si>
  <si>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</si>
  <si>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</si>
  <si>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</si>
  <si>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</si>
  <si>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</si>
  <si>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p_nom_extendable</t>
  </si>
  <si>
    <t>p_nom_max</t>
  </si>
  <si>
    <t>ES_PT_interconexion_electricidad</t>
  </si>
  <si>
    <t>ES_PT_interconexion_hidrogeno</t>
  </si>
  <si>
    <t>PT_ES_interconexion_electricidad</t>
  </si>
  <si>
    <t>PT_ES_interconexion_hidrogeno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</si>
</sst>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0.000"/>
    <numFmt numFmtId="165" formatCode="_-* #,##0.00\ [$€-C0A]_-;\-* #,##0.00\ [$€-C0A]_-;_-* &quot;-&quot;??\ [$€-C0A]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17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  <xf numFmtId="44" fontId="14" fillId="0" borderId="0" applyFont="0" applyFill="0" applyBorder="0" applyAlignment="0" applyProtection="0"/>
  </cellStyleXfs>
  <cellXfs count="73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5" fillId="0" borderId="2" xfId="0" applyFont="1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165" fontId="0" fillId="0" borderId="2" xfId="0" applyNumberFormat="1" applyBorder="1"/>
    <xf numFmtId="165" fontId="0" fillId="0" borderId="1" xfId="0" applyNumberFormat="1" applyBorder="1"/>
    <xf numFmtId="44" fontId="0" fillId="0" borderId="1" xfId="16" applyFont="1" applyBorder="1"/>
    <xf numFmtId="44" fontId="0" fillId="0" borderId="4" xfId="16" applyFont="1" applyBorder="1"/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0" fontId="0" fillId="3" borderId="8" xfId="0" applyFill="1" applyBorder="1"/>
    <xf numFmtId="0" fontId="0" fillId="0" borderId="8" xfId="0" applyBorder="1"/>
    <xf numFmtId="0" fontId="0" fillId="0" borderId="8" xfId="0" applyFill="1" applyBorder="1"/>
    <xf numFmtId="0" fontId="0" fillId="0" borderId="0" xfId="0" applyBorder="1"/>
    <xf numFmtId="0" fontId="0" fillId="3" borderId="2" xfId="0" applyFill="1" applyBorder="1"/>
    <xf numFmtId="0" fontId="0" fillId="0" borderId="2" xfId="0" applyFill="1" applyBorder="1"/>
    <xf numFmtId="0" fontId="0" fillId="3" borderId="1" xfId="0" applyFill="1" applyBorder="1"/>
    <xf numFmtId="0" fontId="0" fillId="0" borderId="1" xfId="0" applyFill="1" applyBorder="1"/>
    <xf numFmtId="0" fontId="5" fillId="0" borderId="0" xfId="0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D5F4FF"/>
      <color rgb="FFBDEEFF"/>
      <color rgb="FF93E3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B9"/>
  <sheetViews>
    <sheetView workbookViewId="0">
      <selection activeCell="D5" sqref="D5"/>
    </sheetView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9"/>
  <sheetViews>
    <sheetView workbookViewId="0">
      <selection activeCell="C3" sqref="C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6" t="s">
        <v>5</v>
      </c>
      <c r="B1" s="36" t="s">
        <v>0</v>
      </c>
      <c r="C1" s="36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4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N19"/>
  <sheetViews>
    <sheetView workbookViewId="0">
      <selection activeCell="F4" sqref="F4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4" max="4" width="17.54296875" customWidth="1"/>
    <col min="5" max="5" width="11.26953125" bestFit="1" customWidth="1"/>
    <col min="6" max="6" width="44.81640625" customWidth="1"/>
    <col min="7" max="7" width="12.6328125" bestFit="1" customWidth="1"/>
  </cols>
  <sheetData>
    <row r="1" spans="1:14" ht="15" thickBot="1" x14ac:dyDescent="0.4">
      <c r="A1" s="35" t="s">
        <v>5</v>
      </c>
      <c r="B1" s="35" t="s">
        <v>16</v>
      </c>
      <c r="C1" s="35" t="s">
        <v>13</v>
      </c>
      <c r="D1" s="35" t="s">
        <v>1074</v>
      </c>
      <c r="E1" s="35" t="s">
        <v>1075</v>
      </c>
      <c r="F1" s="35" t="s">
        <v>14</v>
      </c>
      <c r="G1" s="35" t="s">
        <v>15</v>
      </c>
      <c r="H1" s="35" t="s">
        <v>0</v>
      </c>
      <c r="I1" s="35" t="s">
        <v>1</v>
      </c>
      <c r="J1" s="23"/>
    </row>
    <row r="2" spans="1:14" x14ac:dyDescent="0.35">
      <c r="A2" s="4" t="s">
        <v>1038</v>
      </c>
      <c r="B2" s="1" t="s">
        <v>1022</v>
      </c>
      <c r="C2" s="1">
        <v>0</v>
      </c>
      <c r="D2" s="1" t="s">
        <v>6</v>
      </c>
      <c r="E2" s="1"/>
      <c r="F2" s="56">
        <f>N2</f>
        <v>38142.495237674055</v>
      </c>
      <c r="G2" s="1">
        <v>0</v>
      </c>
      <c r="H2" s="1" t="s">
        <v>10</v>
      </c>
      <c r="I2" s="1" t="s">
        <v>6</v>
      </c>
      <c r="N2" s="56">
        <v>38142.495237674055</v>
      </c>
    </row>
    <row r="3" spans="1:14" x14ac:dyDescent="0.35">
      <c r="A3" s="4" t="s">
        <v>1039</v>
      </c>
      <c r="B3" s="2" t="s">
        <v>1022</v>
      </c>
      <c r="C3" s="1">
        <v>0</v>
      </c>
      <c r="D3" s="2" t="s">
        <v>6</v>
      </c>
      <c r="E3" s="1"/>
      <c r="F3" s="56">
        <f>N3</f>
        <v>97303.477798362073</v>
      </c>
      <c r="G3" s="2">
        <v>0</v>
      </c>
      <c r="H3" s="1" t="s">
        <v>9</v>
      </c>
      <c r="I3" s="2" t="s">
        <v>6</v>
      </c>
      <c r="N3" s="56">
        <v>97303.477798362073</v>
      </c>
    </row>
    <row r="4" spans="1:14" x14ac:dyDescent="0.35">
      <c r="A4" s="3" t="s">
        <v>1040</v>
      </c>
      <c r="B4" s="2" t="s">
        <v>1022</v>
      </c>
      <c r="C4" s="2">
        <v>0</v>
      </c>
      <c r="D4" s="2" t="s">
        <v>6</v>
      </c>
      <c r="E4" s="2">
        <v>2462.66</v>
      </c>
      <c r="F4" s="57">
        <v>331576.62540923059</v>
      </c>
      <c r="G4" s="2">
        <v>14</v>
      </c>
      <c r="H4" s="2" t="s">
        <v>12</v>
      </c>
      <c r="I4" s="2" t="s">
        <v>6</v>
      </c>
    </row>
    <row r="5" spans="1:14" x14ac:dyDescent="0.35">
      <c r="A5" s="4" t="s">
        <v>1041</v>
      </c>
      <c r="B5" s="2" t="s">
        <v>1024</v>
      </c>
      <c r="C5" s="1">
        <v>0</v>
      </c>
      <c r="D5" s="2" t="s">
        <v>6</v>
      </c>
      <c r="E5" s="1"/>
      <c r="F5" s="56">
        <v>60676.57858518789</v>
      </c>
      <c r="G5" s="2">
        <v>0</v>
      </c>
      <c r="H5" s="1" t="s">
        <v>3</v>
      </c>
      <c r="I5" s="2" t="s">
        <v>6</v>
      </c>
    </row>
    <row r="6" spans="1:14" ht="15" thickBot="1" x14ac:dyDescent="0.4">
      <c r="A6" s="37" t="s">
        <v>1042</v>
      </c>
      <c r="B6" s="32" t="s">
        <v>1022</v>
      </c>
      <c r="C6" s="31">
        <v>3117.91912</v>
      </c>
      <c r="D6" s="31" t="s">
        <v>1021</v>
      </c>
      <c r="E6" s="31"/>
      <c r="F6" s="31">
        <v>0</v>
      </c>
      <c r="G6" s="32">
        <v>4</v>
      </c>
      <c r="H6" s="31" t="s">
        <v>8</v>
      </c>
      <c r="I6" s="32" t="s">
        <v>6</v>
      </c>
    </row>
    <row r="7" spans="1:14" x14ac:dyDescent="0.35">
      <c r="A7" s="38" t="s">
        <v>1043</v>
      </c>
      <c r="B7" s="39" t="s">
        <v>1026</v>
      </c>
      <c r="C7" s="39">
        <v>0</v>
      </c>
      <c r="D7" s="1" t="s">
        <v>6</v>
      </c>
      <c r="E7" s="1"/>
      <c r="F7" s="56">
        <v>38142.495237674055</v>
      </c>
      <c r="G7" s="39">
        <v>0</v>
      </c>
      <c r="H7" s="39" t="s">
        <v>10</v>
      </c>
      <c r="I7" s="39" t="s">
        <v>6</v>
      </c>
    </row>
    <row r="8" spans="1:14" x14ac:dyDescent="0.35">
      <c r="A8" s="15" t="s">
        <v>1044</v>
      </c>
      <c r="B8" s="2" t="s">
        <v>1026</v>
      </c>
      <c r="C8" s="1">
        <v>0</v>
      </c>
      <c r="D8" s="2" t="s">
        <v>6</v>
      </c>
      <c r="E8" s="1"/>
      <c r="F8" s="56">
        <v>97303.477798362073</v>
      </c>
      <c r="G8" s="2">
        <v>0</v>
      </c>
      <c r="H8" s="1" t="s">
        <v>9</v>
      </c>
      <c r="I8" s="2" t="s">
        <v>6</v>
      </c>
    </row>
    <row r="9" spans="1:14" x14ac:dyDescent="0.35">
      <c r="A9" s="14" t="s">
        <v>1045</v>
      </c>
      <c r="B9" s="2" t="s">
        <v>1026</v>
      </c>
      <c r="C9" s="2">
        <v>0</v>
      </c>
      <c r="D9" s="2" t="s">
        <v>6</v>
      </c>
      <c r="E9" s="2">
        <v>1607</v>
      </c>
      <c r="F9" s="57">
        <v>331576.62540923059</v>
      </c>
      <c r="G9" s="2">
        <v>14</v>
      </c>
      <c r="H9" s="2" t="s">
        <v>12</v>
      </c>
      <c r="I9" s="2" t="s">
        <v>6</v>
      </c>
    </row>
    <row r="10" spans="1:14" x14ac:dyDescent="0.35">
      <c r="A10" s="15" t="s">
        <v>1046</v>
      </c>
      <c r="B10" s="2" t="s">
        <v>1028</v>
      </c>
      <c r="C10" s="1">
        <v>0</v>
      </c>
      <c r="D10" s="2" t="s">
        <v>6</v>
      </c>
      <c r="E10" s="1"/>
      <c r="F10" s="56">
        <v>60676.57858518789</v>
      </c>
      <c r="G10" s="2">
        <v>0</v>
      </c>
      <c r="H10" s="1" t="s">
        <v>3</v>
      </c>
      <c r="I10" s="2" t="s">
        <v>6</v>
      </c>
    </row>
    <row r="11" spans="1:14" ht="15" thickBot="1" x14ac:dyDescent="0.4">
      <c r="A11" s="40" t="s">
        <v>1047</v>
      </c>
      <c r="B11" s="32" t="s">
        <v>1026</v>
      </c>
      <c r="C11" s="31">
        <v>508.3</v>
      </c>
      <c r="D11" s="31" t="s">
        <v>1021</v>
      </c>
      <c r="E11" s="31"/>
      <c r="F11" s="31">
        <v>0</v>
      </c>
      <c r="G11" s="32">
        <v>4</v>
      </c>
      <c r="H11" s="31" t="s">
        <v>8</v>
      </c>
      <c r="I11" s="32" t="s">
        <v>6</v>
      </c>
    </row>
    <row r="14" spans="1:14" x14ac:dyDescent="0.35">
      <c r="E14" s="61"/>
    </row>
    <row r="15" spans="1:14" x14ac:dyDescent="0.35">
      <c r="E15" s="62"/>
    </row>
    <row r="19" spans="5:5" x14ac:dyDescent="0.35">
      <c r="E19" s="6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P13"/>
  <sheetViews>
    <sheetView tabSelected="1" workbookViewId="0">
      <selection activeCell="H24" sqref="H24"/>
    </sheetView>
  </sheetViews>
  <sheetFormatPr baseColWidth="10" defaultRowHeight="14.5" x14ac:dyDescent="0.35"/>
  <cols>
    <col min="1" max="1" width="28.7265625" customWidth="1"/>
    <col min="2" max="2" width="23.453125" bestFit="1" customWidth="1"/>
    <col min="3" max="3" width="23.54296875" bestFit="1" customWidth="1"/>
    <col min="4" max="4" width="11.81640625" bestFit="1" customWidth="1"/>
    <col min="5" max="5" width="17.54296875" bestFit="1" customWidth="1"/>
    <col min="6" max="6" width="17.54296875" customWidth="1"/>
    <col min="7" max="7" width="12.54296875" bestFit="1" customWidth="1"/>
    <col min="8" max="8" width="9.26953125" bestFit="1" customWidth="1"/>
    <col min="9" max="9" width="12.6328125" customWidth="1"/>
    <col min="10" max="10" width="13.36328125" bestFit="1" customWidth="1"/>
    <col min="11" max="11" width="16.08984375" bestFit="1" customWidth="1"/>
    <col min="12" max="12" width="9.08984375" bestFit="1" customWidth="1"/>
    <col min="13" max="13" width="9.26953125" bestFit="1" customWidth="1"/>
  </cols>
  <sheetData>
    <row r="1" spans="1:16" ht="15" thickBot="1" x14ac:dyDescent="0.4">
      <c r="A1" s="35" t="s">
        <v>5</v>
      </c>
      <c r="B1" s="35" t="s">
        <v>1071</v>
      </c>
      <c r="C1" s="35" t="s">
        <v>1072</v>
      </c>
      <c r="D1" s="35" t="s">
        <v>13</v>
      </c>
      <c r="E1" s="35" t="s">
        <v>1074</v>
      </c>
      <c r="F1" s="35" t="s">
        <v>1075</v>
      </c>
      <c r="G1" s="35" t="s">
        <v>14</v>
      </c>
      <c r="H1" s="35" t="s">
        <v>17</v>
      </c>
      <c r="I1" s="35" t="s">
        <v>15</v>
      </c>
      <c r="J1" s="35" t="s">
        <v>19</v>
      </c>
      <c r="K1" s="35" t="s">
        <v>20</v>
      </c>
      <c r="L1" s="35" t="s">
        <v>0</v>
      </c>
      <c r="M1" s="35" t="s">
        <v>1</v>
      </c>
    </row>
    <row r="2" spans="1:16" x14ac:dyDescent="0.35">
      <c r="A2" s="4" t="s">
        <v>1030</v>
      </c>
      <c r="B2" s="1" t="s">
        <v>1024</v>
      </c>
      <c r="C2" s="1" t="s">
        <v>1022</v>
      </c>
      <c r="D2" s="1">
        <v>0</v>
      </c>
      <c r="E2" s="1" t="s">
        <v>6</v>
      </c>
      <c r="F2" s="67"/>
      <c r="G2" s="63">
        <v>95777.366351370569</v>
      </c>
      <c r="H2" s="1">
        <v>0.57999999999999996</v>
      </c>
      <c r="I2" s="1">
        <v>96</v>
      </c>
      <c r="J2" s="1">
        <v>842.35602840000001</v>
      </c>
      <c r="K2" s="1">
        <v>1052.945035</v>
      </c>
      <c r="L2" s="1" t="s">
        <v>3</v>
      </c>
      <c r="M2" s="1" t="s">
        <v>6</v>
      </c>
      <c r="P2" s="63"/>
    </row>
    <row r="3" spans="1:16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1" t="s">
        <v>1021</v>
      </c>
      <c r="F3" s="2"/>
      <c r="G3" s="58">
        <v>0</v>
      </c>
      <c r="H3" s="1">
        <v>0.85</v>
      </c>
      <c r="I3" s="2">
        <v>4</v>
      </c>
      <c r="J3" s="1"/>
      <c r="K3" s="2"/>
      <c r="L3" s="1" t="s">
        <v>8</v>
      </c>
      <c r="M3" s="2" t="s">
        <v>6</v>
      </c>
    </row>
    <row r="4" spans="1:16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 t="s">
        <v>1021</v>
      </c>
      <c r="F4" s="2"/>
      <c r="G4" s="58">
        <v>0</v>
      </c>
      <c r="H4" s="2">
        <v>0.75</v>
      </c>
      <c r="I4" s="2">
        <v>40</v>
      </c>
      <c r="J4" s="2"/>
      <c r="K4" s="2"/>
      <c r="L4" s="2" t="s">
        <v>7</v>
      </c>
      <c r="M4" s="2" t="s">
        <v>6</v>
      </c>
    </row>
    <row r="5" spans="1:16" ht="15" thickBot="1" x14ac:dyDescent="0.4">
      <c r="A5" s="34" t="s">
        <v>1033</v>
      </c>
      <c r="B5" s="31" t="s">
        <v>1022</v>
      </c>
      <c r="C5" s="32" t="s">
        <v>1025</v>
      </c>
      <c r="D5" s="31">
        <v>0</v>
      </c>
      <c r="E5" s="31" t="s">
        <v>6</v>
      </c>
      <c r="F5" s="31"/>
      <c r="G5" s="59">
        <v>111294.32455700618</v>
      </c>
      <c r="H5" s="31">
        <v>0.7</v>
      </c>
      <c r="I5" s="32"/>
      <c r="J5" s="31"/>
      <c r="K5" s="32"/>
      <c r="L5" s="31" t="s">
        <v>4</v>
      </c>
      <c r="M5" s="32" t="s">
        <v>6</v>
      </c>
    </row>
    <row r="6" spans="1:16" x14ac:dyDescent="0.35">
      <c r="A6" s="15" t="s">
        <v>1034</v>
      </c>
      <c r="B6" s="1" t="s">
        <v>1028</v>
      </c>
      <c r="C6" s="1" t="s">
        <v>1026</v>
      </c>
      <c r="D6" s="33">
        <v>0</v>
      </c>
      <c r="E6" s="33" t="s">
        <v>6</v>
      </c>
      <c r="F6" s="72"/>
      <c r="G6" s="63">
        <v>95777.366351370569</v>
      </c>
      <c r="H6" s="1"/>
      <c r="I6" s="1">
        <v>96</v>
      </c>
      <c r="J6" s="1">
        <v>2.4</v>
      </c>
      <c r="K6" s="1">
        <v>3</v>
      </c>
      <c r="L6" s="1" t="s">
        <v>3</v>
      </c>
      <c r="M6" s="1" t="s">
        <v>6</v>
      </c>
    </row>
    <row r="7" spans="1:16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1" t="s">
        <v>1021</v>
      </c>
      <c r="F7" s="2"/>
      <c r="G7" s="58">
        <v>0</v>
      </c>
      <c r="H7" s="1"/>
      <c r="I7" s="2">
        <v>4</v>
      </c>
      <c r="J7" s="1"/>
      <c r="K7" s="2"/>
      <c r="L7" s="1" t="s">
        <v>8</v>
      </c>
      <c r="M7" s="2" t="s">
        <v>6</v>
      </c>
    </row>
    <row r="8" spans="1:16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 t="s">
        <v>1021</v>
      </c>
      <c r="F8" s="2"/>
      <c r="G8" s="58">
        <v>0</v>
      </c>
      <c r="H8" s="2"/>
      <c r="I8" s="2">
        <v>40</v>
      </c>
      <c r="J8" s="2"/>
      <c r="K8" s="2"/>
      <c r="L8" s="2" t="s">
        <v>7</v>
      </c>
      <c r="M8" s="2" t="s">
        <v>6</v>
      </c>
    </row>
    <row r="9" spans="1:16" ht="15" thickBot="1" x14ac:dyDescent="0.4">
      <c r="A9" s="30" t="s">
        <v>1037</v>
      </c>
      <c r="B9" s="31" t="s">
        <v>1026</v>
      </c>
      <c r="C9" s="32" t="s">
        <v>1029</v>
      </c>
      <c r="D9" s="31">
        <v>0</v>
      </c>
      <c r="E9" s="31" t="s">
        <v>6</v>
      </c>
      <c r="F9" s="31"/>
      <c r="G9" s="59">
        <v>111294.32455700618</v>
      </c>
      <c r="H9" s="32">
        <v>0.68</v>
      </c>
      <c r="I9" s="32"/>
      <c r="J9" s="32"/>
      <c r="K9" s="32"/>
      <c r="L9" s="32" t="s">
        <v>4</v>
      </c>
      <c r="M9" s="32" t="s">
        <v>6</v>
      </c>
    </row>
    <row r="10" spans="1:16" x14ac:dyDescent="0.35">
      <c r="A10" s="64" t="s">
        <v>1076</v>
      </c>
      <c r="B10" s="65" t="s">
        <v>1022</v>
      </c>
      <c r="C10" s="65" t="s">
        <v>1026</v>
      </c>
      <c r="D10" s="65"/>
      <c r="E10" s="66" t="s">
        <v>6</v>
      </c>
      <c r="F10" s="66">
        <v>4200</v>
      </c>
      <c r="G10" s="65"/>
      <c r="H10" s="65">
        <v>0.97499999999999998</v>
      </c>
      <c r="I10" s="65">
        <v>5</v>
      </c>
      <c r="J10" s="65"/>
      <c r="K10" s="65"/>
      <c r="L10" s="65" t="s">
        <v>7</v>
      </c>
      <c r="M10" s="65" t="s">
        <v>6</v>
      </c>
    </row>
    <row r="11" spans="1:16" x14ac:dyDescent="0.35">
      <c r="A11" s="70" t="s">
        <v>1077</v>
      </c>
      <c r="B11" s="2" t="s">
        <v>1025</v>
      </c>
      <c r="C11" s="2" t="s">
        <v>1029</v>
      </c>
      <c r="D11" s="2"/>
      <c r="E11" s="71" t="s">
        <v>6</v>
      </c>
      <c r="F11" s="71"/>
      <c r="G11" s="2"/>
      <c r="H11" s="2">
        <v>0.97499999999999998</v>
      </c>
      <c r="I11" s="2">
        <v>5</v>
      </c>
      <c r="J11" s="2"/>
      <c r="K11" s="2"/>
      <c r="L11" s="2" t="s">
        <v>4</v>
      </c>
      <c r="M11" s="2" t="s">
        <v>6</v>
      </c>
    </row>
    <row r="12" spans="1:16" x14ac:dyDescent="0.35">
      <c r="A12" s="68" t="s">
        <v>1078</v>
      </c>
      <c r="B12" s="1" t="s">
        <v>1026</v>
      </c>
      <c r="C12" s="1" t="s">
        <v>1022</v>
      </c>
      <c r="D12" s="1"/>
      <c r="E12" s="69" t="s">
        <v>6</v>
      </c>
      <c r="F12" s="69">
        <v>3500</v>
      </c>
      <c r="G12" s="1"/>
      <c r="H12" s="1">
        <v>0.97499999999999998</v>
      </c>
      <c r="I12" s="1">
        <v>5</v>
      </c>
      <c r="J12" s="1"/>
      <c r="K12" s="1"/>
      <c r="L12" s="1" t="s">
        <v>7</v>
      </c>
      <c r="M12" s="1" t="s">
        <v>6</v>
      </c>
    </row>
    <row r="13" spans="1:16" x14ac:dyDescent="0.35">
      <c r="A13" s="68" t="s">
        <v>1079</v>
      </c>
      <c r="B13" s="1" t="s">
        <v>1029</v>
      </c>
      <c r="C13" s="1" t="s">
        <v>1025</v>
      </c>
      <c r="D13" s="1"/>
      <c r="E13" s="69" t="s">
        <v>6</v>
      </c>
      <c r="F13" s="69"/>
      <c r="G13" s="1"/>
      <c r="H13" s="1">
        <v>0.97499999999999998</v>
      </c>
      <c r="I13" s="1">
        <v>5</v>
      </c>
      <c r="J13" s="1"/>
      <c r="K13" s="1"/>
      <c r="L13" s="1" t="s">
        <v>4</v>
      </c>
      <c r="M13" s="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5"/>
  <sheetViews>
    <sheetView workbookViewId="0">
      <selection activeCell="F39" sqref="F39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5" t="s">
        <v>5</v>
      </c>
      <c r="B1" s="35" t="s">
        <v>16</v>
      </c>
      <c r="C1" s="35" t="s">
        <v>21</v>
      </c>
      <c r="D1" s="35" t="s">
        <v>0</v>
      </c>
      <c r="E1" s="35" t="s">
        <v>1</v>
      </c>
    </row>
    <row r="2" spans="1:5" x14ac:dyDescent="0.35">
      <c r="A2" s="55" t="s">
        <v>1054</v>
      </c>
      <c r="B2" s="39" t="s">
        <v>1022</v>
      </c>
      <c r="C2" s="39"/>
      <c r="D2" s="39" t="s">
        <v>7</v>
      </c>
      <c r="E2" s="39" t="s">
        <v>6</v>
      </c>
    </row>
    <row r="3" spans="1:5" ht="15" thickBot="1" x14ac:dyDescent="0.4">
      <c r="A3" s="34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L5"/>
  <sheetViews>
    <sheetView workbookViewId="0">
      <selection activeCell="I1" sqref="I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35" t="s">
        <v>5</v>
      </c>
      <c r="B1" s="35" t="s">
        <v>16</v>
      </c>
      <c r="C1" s="35" t="s">
        <v>13</v>
      </c>
      <c r="D1" s="35" t="s">
        <v>1074</v>
      </c>
      <c r="E1" s="35" t="s">
        <v>22</v>
      </c>
      <c r="F1" s="35" t="s">
        <v>23</v>
      </c>
      <c r="G1" s="35" t="s">
        <v>24</v>
      </c>
      <c r="H1" s="35" t="s">
        <v>14</v>
      </c>
      <c r="I1" s="35" t="s">
        <v>25</v>
      </c>
      <c r="J1" s="35" t="s">
        <v>15</v>
      </c>
      <c r="K1" s="35" t="s">
        <v>0</v>
      </c>
      <c r="L1" s="35" t="s">
        <v>1</v>
      </c>
    </row>
    <row r="2" spans="1:12" x14ac:dyDescent="0.35">
      <c r="A2" s="55" t="s">
        <v>1048</v>
      </c>
      <c r="B2" s="39" t="s">
        <v>1022</v>
      </c>
      <c r="C2" s="39">
        <f>26698.52</f>
        <v>26698.52</v>
      </c>
      <c r="D2" s="39" t="s">
        <v>6</v>
      </c>
      <c r="E2" s="39">
        <v>4</v>
      </c>
      <c r="F2" s="39">
        <v>0.89658206299999998</v>
      </c>
      <c r="G2" s="39">
        <v>0.89658206299999998</v>
      </c>
      <c r="H2" s="39">
        <v>102112.63064803628</v>
      </c>
      <c r="I2" s="39" t="s">
        <v>1021</v>
      </c>
      <c r="J2" s="39">
        <v>0.1</v>
      </c>
      <c r="K2" s="39" t="s">
        <v>7</v>
      </c>
      <c r="L2" s="39" t="s">
        <v>6</v>
      </c>
    </row>
    <row r="3" spans="1:12" ht="15" thickBot="1" x14ac:dyDescent="0.4">
      <c r="A3" s="34" t="s">
        <v>1049</v>
      </c>
      <c r="B3" s="31" t="s">
        <v>1025</v>
      </c>
      <c r="C3" s="32">
        <v>10000</v>
      </c>
      <c r="D3" s="31" t="s">
        <v>6</v>
      </c>
      <c r="E3" s="31">
        <v>1000</v>
      </c>
      <c r="F3" s="32">
        <v>1</v>
      </c>
      <c r="G3" s="32">
        <v>1</v>
      </c>
      <c r="H3" s="32">
        <v>154089.05919009531</v>
      </c>
      <c r="I3" s="32" t="s">
        <v>1021</v>
      </c>
      <c r="J3" s="32">
        <v>2</v>
      </c>
      <c r="K3" s="32" t="s">
        <v>4</v>
      </c>
      <c r="L3" s="32" t="s">
        <v>6</v>
      </c>
    </row>
    <row r="4" spans="1:12" x14ac:dyDescent="0.35">
      <c r="A4" s="15" t="s">
        <v>1050</v>
      </c>
      <c r="B4" s="1" t="s">
        <v>1026</v>
      </c>
      <c r="C4" s="1">
        <v>3000</v>
      </c>
      <c r="D4" s="1" t="s">
        <v>6</v>
      </c>
      <c r="E4" s="1">
        <v>4</v>
      </c>
      <c r="F4" s="1">
        <v>0.92</v>
      </c>
      <c r="G4" s="1">
        <v>0.92</v>
      </c>
      <c r="H4" s="1">
        <v>102112.63064803628</v>
      </c>
      <c r="I4" s="1" t="s">
        <v>1021</v>
      </c>
      <c r="J4" s="1">
        <v>0.1</v>
      </c>
      <c r="K4" s="1" t="s">
        <v>7</v>
      </c>
      <c r="L4" s="1" t="s">
        <v>6</v>
      </c>
    </row>
    <row r="5" spans="1:12" ht="15" thickBot="1" x14ac:dyDescent="0.4">
      <c r="A5" s="30" t="s">
        <v>1051</v>
      </c>
      <c r="B5" s="31" t="s">
        <v>1029</v>
      </c>
      <c r="C5" s="32">
        <v>10000</v>
      </c>
      <c r="D5" s="31" t="s">
        <v>6</v>
      </c>
      <c r="E5" s="31">
        <v>1000</v>
      </c>
      <c r="F5" s="32">
        <v>1</v>
      </c>
      <c r="G5" s="32">
        <v>1</v>
      </c>
      <c r="H5" s="32">
        <v>154089.05919009531</v>
      </c>
      <c r="I5" s="32" t="s">
        <v>1021</v>
      </c>
      <c r="J5" s="32">
        <v>2</v>
      </c>
      <c r="K5" s="32" t="s">
        <v>4</v>
      </c>
      <c r="L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3"/>
  <sheetViews>
    <sheetView workbookViewId="0">
      <selection activeCell="G9" sqref="G9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5" t="s">
        <v>5</v>
      </c>
      <c r="B1" s="35" t="s">
        <v>16</v>
      </c>
      <c r="C1" s="35" t="s">
        <v>26</v>
      </c>
      <c r="D1" s="35" t="s">
        <v>27</v>
      </c>
      <c r="E1" s="35" t="s">
        <v>28</v>
      </c>
      <c r="F1" s="35" t="s">
        <v>29</v>
      </c>
      <c r="G1" s="35" t="s">
        <v>25</v>
      </c>
      <c r="H1" s="35" t="s">
        <v>14</v>
      </c>
      <c r="I1" s="35" t="s">
        <v>15</v>
      </c>
      <c r="J1" s="35" t="s">
        <v>0</v>
      </c>
      <c r="K1" s="35" t="s">
        <v>1</v>
      </c>
    </row>
    <row r="2" spans="1:11" ht="15" thickBot="1" x14ac:dyDescent="0.4">
      <c r="A2" s="42" t="s">
        <v>1052</v>
      </c>
      <c r="B2" s="43" t="s">
        <v>1023</v>
      </c>
      <c r="C2" s="44">
        <f>1387684*10^3</f>
        <v>1387684000</v>
      </c>
      <c r="D2" s="44">
        <f>C2*F2</f>
        <v>1248915600</v>
      </c>
      <c r="E2" s="43">
        <v>0.2</v>
      </c>
      <c r="F2" s="43">
        <v>0.9</v>
      </c>
      <c r="G2" s="43" t="s">
        <v>6</v>
      </c>
      <c r="H2" s="43"/>
      <c r="I2" s="43">
        <v>1</v>
      </c>
      <c r="J2" s="43" t="s">
        <v>8</v>
      </c>
      <c r="K2" s="43" t="s">
        <v>6</v>
      </c>
    </row>
    <row r="3" spans="1:11" ht="15" thickBot="1" x14ac:dyDescent="0.4">
      <c r="A3" s="30" t="s">
        <v>1053</v>
      </c>
      <c r="B3" s="31" t="s">
        <v>1027</v>
      </c>
      <c r="C3" s="41">
        <f>(3307.6*10^3)</f>
        <v>3307600</v>
      </c>
      <c r="D3" s="41">
        <f>C3*0.9</f>
        <v>2976840</v>
      </c>
      <c r="E3" s="31">
        <v>0.2</v>
      </c>
      <c r="F3" s="31">
        <v>0.9</v>
      </c>
      <c r="G3" s="31" t="s">
        <v>6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5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6" t="s">
        <v>1019</v>
      </c>
      <c r="B1" s="47" t="s">
        <v>1065</v>
      </c>
      <c r="C1" s="48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6" t="s">
        <v>1019</v>
      </c>
      <c r="B1" s="49" t="s">
        <v>1058</v>
      </c>
      <c r="C1" s="47" t="s">
        <v>1059</v>
      </c>
      <c r="D1" s="50" t="s">
        <v>1064</v>
      </c>
      <c r="E1" s="50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E8761"/>
  <sheetViews>
    <sheetView workbookViewId="0">
      <selection activeCell="G5" sqref="G5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2" t="s">
        <v>1019</v>
      </c>
      <c r="B1" s="53" t="s">
        <v>1054</v>
      </c>
      <c r="C1" s="53" t="s">
        <v>1055</v>
      </c>
      <c r="D1" s="50" t="s">
        <v>1056</v>
      </c>
      <c r="E1" s="54" t="s">
        <v>1057</v>
      </c>
    </row>
    <row r="2" spans="1:5" x14ac:dyDescent="0.35">
      <c r="A2" s="22">
        <v>45658</v>
      </c>
      <c r="B2" s="51">
        <v>35845.954712564773</v>
      </c>
      <c r="C2" s="51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links</vt:lpstr>
      <vt:lpstr>loads</vt:lpstr>
      <vt:lpstr>storage_units</vt:lpstr>
      <vt:lpstr>store</vt:lpstr>
      <vt:lpstr>snaptshots</vt:lpstr>
      <vt:lpstr>run_of_river_inflow</vt:lpstr>
      <vt:lpstr>profiles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2026-01-16T13:18:27Z</dcterms:modified>
</cp:coreProperties>
</file>