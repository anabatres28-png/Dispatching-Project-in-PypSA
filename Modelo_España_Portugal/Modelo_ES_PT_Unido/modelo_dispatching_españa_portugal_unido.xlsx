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7A065394-C2F7-413A-A1D6-194F8454992A}" xr6:coauthVersionLast="47" xr6:coauthVersionMax="47" xr10:uidLastSave="{00000000-0000-0000-0000-000000000000}"/>
  <bookViews>
    <workbookView xWindow="-110" yWindow="-110" windowWidth="19420" windowHeight="10300" tabRatio="752" activeTab="4" xr2:uid="{00000000-000D-0000-FFFF-FFFF00000000}"/>
  </bookViews>
  <sheets>
    <sheet name="Guide Sheet" sheetId="8" r:id="rId1"/>
    <sheet name="carriers" sheetId="2" r:id="rId2"/>
    <sheet name="generators" sheetId="3" r:id="rId3"/>
    <sheet name="buses" sheetId="1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demands" sheetId="11" r:id="rId10"/>
    <sheet name="run_of_river_inflow" sheetId="12" r:id="rId11"/>
    <sheet name="profile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C2" i="7"/>
  <c r="C3" i="7"/>
  <c r="D3" i="7"/>
  <c r="C10" i="3" l="1"/>
  <c r="C2" i="6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  <c r="D2" i="4"/>
  <c r="C5" i="3"/>
  <c r="C3" i="3"/>
</calcChain>
</file>

<file path=xl/sharedStrings.xml><?xml version="1.0" encoding="utf-8"?>
<sst xmlns="http://schemas.openxmlformats.org/spreadsheetml/2006/main" count="26465" uniqueCount="1078">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</sst>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</cellStyleXfs>
  <cellXfs count="57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0" fillId="3" borderId="2" xfId="0" applyFill="1" applyBorder="1"/>
    <xf numFmtId="0" fontId="0" fillId="3" borderId="1" xfId="0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9"/>
  <sheetViews>
    <sheetView workbookViewId="0"/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G11"/>
  <sheetViews>
    <sheetView workbookViewId="0">
      <selection activeCell="A2" sqref="A2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4" t="s">
        <v>5</v>
      </c>
      <c r="B1" s="34" t="s">
        <v>16</v>
      </c>
      <c r="C1" s="34" t="s">
        <v>13</v>
      </c>
      <c r="D1" s="34" t="s">
        <v>14</v>
      </c>
      <c r="E1" s="34" t="s">
        <v>15</v>
      </c>
      <c r="F1" s="34" t="s">
        <v>0</v>
      </c>
      <c r="G1" s="34" t="s">
        <v>1</v>
      </c>
    </row>
    <row r="2" spans="1:7" x14ac:dyDescent="0.35">
      <c r="A2" s="4" t="s">
        <v>1038</v>
      </c>
      <c r="B2" s="1" t="s">
        <v>1022</v>
      </c>
      <c r="C2" s="1">
        <v>310338.36000020592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1039</v>
      </c>
      <c r="B3" s="2" t="s">
        <v>1022</v>
      </c>
      <c r="C3" s="1">
        <f>259598.94892</f>
        <v>259598.94892</v>
      </c>
      <c r="D3" s="1">
        <f>(C3*1000)/
(
1109690)</f>
        <v>233.93826106390071</v>
      </c>
      <c r="E3" s="2">
        <v>0</v>
      </c>
      <c r="F3" s="1" t="s">
        <v>9</v>
      </c>
      <c r="G3" s="2" t="s">
        <v>6</v>
      </c>
    </row>
    <row r="4" spans="1:7" x14ac:dyDescent="0.35">
      <c r="A4" s="3" t="s">
        <v>1040</v>
      </c>
      <c r="B4" s="2" t="s">
        <v>1022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1041</v>
      </c>
      <c r="B5" s="2" t="s">
        <v>1024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ht="15" thickBot="1" x14ac:dyDescent="0.4">
      <c r="A6" s="36" t="s">
        <v>1042</v>
      </c>
      <c r="B6" s="32" t="s">
        <v>1022</v>
      </c>
      <c r="C6" s="31">
        <v>3117.91912</v>
      </c>
      <c r="D6" s="31"/>
      <c r="E6" s="32">
        <v>4</v>
      </c>
      <c r="F6" s="31" t="s">
        <v>8</v>
      </c>
      <c r="G6" s="32" t="s">
        <v>6</v>
      </c>
    </row>
    <row r="7" spans="1:7" x14ac:dyDescent="0.35">
      <c r="A7" s="37" t="s">
        <v>1043</v>
      </c>
      <c r="B7" s="38" t="s">
        <v>1026</v>
      </c>
      <c r="C7" s="38">
        <v>74326.000000000015</v>
      </c>
      <c r="D7" s="38"/>
      <c r="E7" s="38">
        <v>0</v>
      </c>
      <c r="F7" s="38" t="s">
        <v>10</v>
      </c>
      <c r="G7" s="38" t="s">
        <v>6</v>
      </c>
    </row>
    <row r="8" spans="1:7" x14ac:dyDescent="0.35">
      <c r="A8" s="15" t="s">
        <v>1044</v>
      </c>
      <c r="B8" s="2" t="s">
        <v>1026</v>
      </c>
      <c r="C8" s="1">
        <v>44423.200000000004</v>
      </c>
      <c r="D8" s="1"/>
      <c r="E8" s="2">
        <v>0</v>
      </c>
      <c r="F8" s="1" t="s">
        <v>9</v>
      </c>
      <c r="G8" s="2" t="s">
        <v>6</v>
      </c>
    </row>
    <row r="9" spans="1:7" x14ac:dyDescent="0.35">
      <c r="A9" s="14" t="s">
        <v>1045</v>
      </c>
      <c r="B9" s="2" t="s">
        <v>1026</v>
      </c>
      <c r="C9" s="2">
        <v>1607</v>
      </c>
      <c r="D9" s="2"/>
      <c r="E9" s="2">
        <v>14</v>
      </c>
      <c r="F9" s="2" t="s">
        <v>12</v>
      </c>
      <c r="G9" s="2" t="s">
        <v>6</v>
      </c>
    </row>
    <row r="10" spans="1:7" x14ac:dyDescent="0.35">
      <c r="A10" s="15" t="s">
        <v>1046</v>
      </c>
      <c r="B10" s="2" t="s">
        <v>1028</v>
      </c>
      <c r="C10" s="1">
        <f>1*10^14</f>
        <v>100000000000000</v>
      </c>
      <c r="D10" s="1"/>
      <c r="E10" s="2">
        <v>0</v>
      </c>
      <c r="F10" s="1" t="s">
        <v>3</v>
      </c>
      <c r="G10" s="2" t="s">
        <v>6</v>
      </c>
    </row>
    <row r="11" spans="1:7" ht="15" thickBot="1" x14ac:dyDescent="0.4">
      <c r="A11" s="39" t="s">
        <v>1047</v>
      </c>
      <c r="B11" s="32" t="s">
        <v>1026</v>
      </c>
      <c r="C11" s="31">
        <v>508.3</v>
      </c>
      <c r="D11" s="31"/>
      <c r="E11" s="32">
        <v>4</v>
      </c>
      <c r="F11" s="31" t="s">
        <v>8</v>
      </c>
      <c r="G11" s="32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9"/>
  <sheetViews>
    <sheetView workbookViewId="0">
      <selection activeCell="B3" sqref="B3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6" customFormat="1" ht="15" thickBot="1" x14ac:dyDescent="0.4">
      <c r="A1" s="35" t="s">
        <v>5</v>
      </c>
      <c r="B1" s="35" t="s">
        <v>0</v>
      </c>
      <c r="C1" s="35" t="s">
        <v>1</v>
      </c>
    </row>
    <row r="2" spans="1:3" x14ac:dyDescent="0.35">
      <c r="A2" s="4" t="s">
        <v>1022</v>
      </c>
      <c r="B2" s="1" t="s">
        <v>7</v>
      </c>
      <c r="C2" s="1" t="s">
        <v>6</v>
      </c>
    </row>
    <row r="3" spans="1:3" x14ac:dyDescent="0.35">
      <c r="A3" s="4" t="s">
        <v>1023</v>
      </c>
      <c r="B3" s="1" t="s">
        <v>2</v>
      </c>
      <c r="C3" s="2" t="s">
        <v>6</v>
      </c>
    </row>
    <row r="4" spans="1:3" x14ac:dyDescent="0.35">
      <c r="A4" s="3" t="s">
        <v>1024</v>
      </c>
      <c r="B4" s="2" t="s">
        <v>3</v>
      </c>
      <c r="C4" s="2" t="s">
        <v>6</v>
      </c>
    </row>
    <row r="5" spans="1:3" ht="15" thickBot="1" x14ac:dyDescent="0.4">
      <c r="A5" s="33" t="s">
        <v>1025</v>
      </c>
      <c r="B5" s="31" t="s">
        <v>4</v>
      </c>
      <c r="C5" s="32" t="s">
        <v>6</v>
      </c>
    </row>
    <row r="6" spans="1:3" x14ac:dyDescent="0.35">
      <c r="A6" s="15" t="s">
        <v>1026</v>
      </c>
      <c r="B6" s="1" t="s">
        <v>7</v>
      </c>
      <c r="C6" s="1" t="s">
        <v>6</v>
      </c>
    </row>
    <row r="7" spans="1:3" x14ac:dyDescent="0.35">
      <c r="A7" s="15" t="s">
        <v>1027</v>
      </c>
      <c r="B7" s="1" t="s">
        <v>2</v>
      </c>
      <c r="C7" s="2" t="s">
        <v>6</v>
      </c>
    </row>
    <row r="8" spans="1:3" x14ac:dyDescent="0.35">
      <c r="A8" s="14" t="s">
        <v>1028</v>
      </c>
      <c r="B8" s="2" t="s">
        <v>3</v>
      </c>
      <c r="C8" s="2" t="s">
        <v>6</v>
      </c>
    </row>
    <row r="9" spans="1:3" ht="15" thickBot="1" x14ac:dyDescent="0.4">
      <c r="A9" s="30" t="s">
        <v>1029</v>
      </c>
      <c r="B9" s="31" t="s">
        <v>4</v>
      </c>
      <c r="C9" s="32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13"/>
  <sheetViews>
    <sheetView tabSelected="1" workbookViewId="0">
      <selection activeCell="E15" sqref="E15"/>
    </sheetView>
  </sheetViews>
  <sheetFormatPr baseColWidth="10" defaultRowHeight="14.5" x14ac:dyDescent="0.35"/>
  <cols>
    <col min="1" max="1" width="30" customWidth="1"/>
    <col min="2" max="2" width="23.453125" bestFit="1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4" t="s">
        <v>5</v>
      </c>
      <c r="B1" s="34" t="s">
        <v>1071</v>
      </c>
      <c r="C1" s="34" t="s">
        <v>1072</v>
      </c>
      <c r="D1" s="34" t="s">
        <v>13</v>
      </c>
      <c r="E1" s="34" t="s">
        <v>14</v>
      </c>
      <c r="F1" s="34" t="s">
        <v>17</v>
      </c>
      <c r="G1" s="34" t="s">
        <v>15</v>
      </c>
      <c r="H1" s="34" t="s">
        <v>19</v>
      </c>
      <c r="I1" s="34" t="s">
        <v>20</v>
      </c>
      <c r="J1" s="34" t="s">
        <v>0</v>
      </c>
      <c r="K1" s="34" t="s">
        <v>1</v>
      </c>
    </row>
    <row r="2" spans="1:11" x14ac:dyDescent="0.35">
      <c r="A2" s="4" t="s">
        <v>1030</v>
      </c>
      <c r="B2" s="1" t="s">
        <v>1024</v>
      </c>
      <c r="C2" s="1" t="s">
        <v>1022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33" t="s">
        <v>1033</v>
      </c>
      <c r="B5" s="31" t="s">
        <v>1022</v>
      </c>
      <c r="C5" s="32" t="s">
        <v>1025</v>
      </c>
      <c r="D5" s="32">
        <v>48100</v>
      </c>
      <c r="E5" s="32"/>
      <c r="F5" s="31">
        <v>0.7</v>
      </c>
      <c r="G5" s="32"/>
      <c r="H5" s="31"/>
      <c r="I5" s="32"/>
      <c r="J5" s="31" t="s">
        <v>4</v>
      </c>
      <c r="K5" s="32" t="s">
        <v>6</v>
      </c>
    </row>
    <row r="6" spans="1:11" x14ac:dyDescent="0.35">
      <c r="A6" s="15" t="s">
        <v>1034</v>
      </c>
      <c r="B6" s="1" t="s">
        <v>1028</v>
      </c>
      <c r="C6" s="1" t="s">
        <v>1026</v>
      </c>
      <c r="D6" s="1">
        <v>1357</v>
      </c>
      <c r="E6" s="1"/>
      <c r="F6" s="1">
        <v>0.57999999999999996</v>
      </c>
      <c r="G6" s="1">
        <v>96</v>
      </c>
      <c r="H6" s="1">
        <v>2.4</v>
      </c>
      <c r="I6" s="1">
        <v>3</v>
      </c>
      <c r="J6" s="1" t="s">
        <v>3</v>
      </c>
      <c r="K6" s="1" t="s">
        <v>6</v>
      </c>
    </row>
    <row r="7" spans="1:11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2"/>
      <c r="F7" s="1">
        <v>0.85</v>
      </c>
      <c r="G7" s="2">
        <v>4</v>
      </c>
      <c r="H7" s="1"/>
      <c r="I7" s="2"/>
      <c r="J7" s="1" t="s">
        <v>8</v>
      </c>
      <c r="K7" s="2" t="s">
        <v>6</v>
      </c>
    </row>
    <row r="8" spans="1:11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/>
      <c r="F8" s="2">
        <v>0.75</v>
      </c>
      <c r="G8" s="2">
        <v>40</v>
      </c>
      <c r="H8" s="2"/>
      <c r="I8" s="2"/>
      <c r="J8" s="2" t="s">
        <v>7</v>
      </c>
      <c r="K8" s="2" t="s">
        <v>6</v>
      </c>
    </row>
    <row r="9" spans="1:11" ht="15" thickBot="1" x14ac:dyDescent="0.4">
      <c r="A9" s="30" t="s">
        <v>1037</v>
      </c>
      <c r="B9" s="31" t="s">
        <v>1026</v>
      </c>
      <c r="C9" s="32" t="s">
        <v>1029</v>
      </c>
      <c r="D9" s="31">
        <v>13478</v>
      </c>
      <c r="E9" s="32"/>
      <c r="F9" s="32">
        <v>0.7</v>
      </c>
      <c r="G9" s="32"/>
      <c r="H9" s="32"/>
      <c r="I9" s="32"/>
      <c r="J9" s="32" t="s">
        <v>4</v>
      </c>
      <c r="K9" s="32" t="s">
        <v>6</v>
      </c>
    </row>
    <row r="10" spans="1:11" x14ac:dyDescent="0.35">
      <c r="A10" s="55" t="s">
        <v>1074</v>
      </c>
      <c r="B10" s="1" t="s">
        <v>1022</v>
      </c>
      <c r="C10" s="1" t="s">
        <v>1026</v>
      </c>
      <c r="D10" s="1">
        <v>100000</v>
      </c>
      <c r="E10" s="1"/>
      <c r="F10" s="1">
        <v>0.97499999999999998</v>
      </c>
      <c r="G10" s="1">
        <v>5</v>
      </c>
      <c r="H10" s="1"/>
      <c r="I10" s="1"/>
      <c r="J10" s="1" t="s">
        <v>7</v>
      </c>
      <c r="K10" s="1" t="s">
        <v>6</v>
      </c>
    </row>
    <row r="11" spans="1:11" x14ac:dyDescent="0.35">
      <c r="A11" s="56" t="s">
        <v>1075</v>
      </c>
      <c r="B11" s="2" t="s">
        <v>1025</v>
      </c>
      <c r="C11" s="2" t="s">
        <v>1029</v>
      </c>
      <c r="D11" s="1">
        <v>100000</v>
      </c>
      <c r="E11" s="1"/>
      <c r="F11" s="1">
        <v>0.97499999999999998</v>
      </c>
      <c r="G11" s="1">
        <v>5</v>
      </c>
      <c r="H11" s="2"/>
      <c r="I11" s="2"/>
      <c r="J11" s="2" t="s">
        <v>4</v>
      </c>
      <c r="K11" s="2" t="s">
        <v>6</v>
      </c>
    </row>
    <row r="12" spans="1:11" x14ac:dyDescent="0.35">
      <c r="A12" s="55" t="s">
        <v>1076</v>
      </c>
      <c r="B12" s="1" t="s">
        <v>1026</v>
      </c>
      <c r="C12" s="1" t="s">
        <v>1022</v>
      </c>
      <c r="D12" s="1">
        <v>100000</v>
      </c>
      <c r="E12" s="1"/>
      <c r="F12" s="1">
        <v>0.97499999999999998</v>
      </c>
      <c r="G12" s="1">
        <v>5</v>
      </c>
      <c r="H12" s="1"/>
      <c r="I12" s="1"/>
      <c r="J12" s="1" t="s">
        <v>7</v>
      </c>
      <c r="K12" s="1" t="s">
        <v>6</v>
      </c>
    </row>
    <row r="13" spans="1:11" x14ac:dyDescent="0.35">
      <c r="A13" s="56" t="s">
        <v>1077</v>
      </c>
      <c r="B13" s="2" t="s">
        <v>1029</v>
      </c>
      <c r="C13" s="2" t="s">
        <v>1025</v>
      </c>
      <c r="D13" s="1">
        <v>100000</v>
      </c>
      <c r="E13" s="1"/>
      <c r="F13" s="1">
        <v>0.97499999999999998</v>
      </c>
      <c r="G13" s="1">
        <v>5</v>
      </c>
      <c r="H13" s="2"/>
      <c r="I13" s="2"/>
      <c r="J13" s="2" t="s">
        <v>4</v>
      </c>
      <c r="K13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B7" sqref="B7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4" t="s">
        <v>5</v>
      </c>
      <c r="B1" s="34" t="s">
        <v>16</v>
      </c>
      <c r="C1" s="34" t="s">
        <v>21</v>
      </c>
      <c r="D1" s="34" t="s">
        <v>0</v>
      </c>
      <c r="E1" s="34" t="s">
        <v>1</v>
      </c>
    </row>
    <row r="2" spans="1:5" x14ac:dyDescent="0.35">
      <c r="A2" s="54" t="s">
        <v>1054</v>
      </c>
      <c r="B2" s="38" t="s">
        <v>1022</v>
      </c>
      <c r="C2" s="38"/>
      <c r="D2" s="38" t="s">
        <v>7</v>
      </c>
      <c r="E2" s="38" t="s">
        <v>6</v>
      </c>
    </row>
    <row r="3" spans="1:5" ht="15" thickBot="1" x14ac:dyDescent="0.4">
      <c r="A3" s="33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5"/>
  <sheetViews>
    <sheetView workbookViewId="0">
      <selection activeCell="A3" sqref="A3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4" t="s">
        <v>5</v>
      </c>
      <c r="B1" s="34" t="s">
        <v>16</v>
      </c>
      <c r="C1" s="34" t="s">
        <v>13</v>
      </c>
      <c r="D1" s="34" t="s">
        <v>22</v>
      </c>
      <c r="E1" s="34" t="s">
        <v>23</v>
      </c>
      <c r="F1" s="34" t="s">
        <v>24</v>
      </c>
      <c r="G1" s="34" t="s">
        <v>14</v>
      </c>
      <c r="H1" s="34" t="s">
        <v>25</v>
      </c>
      <c r="I1" s="34" t="s">
        <v>15</v>
      </c>
      <c r="J1" s="34" t="s">
        <v>0</v>
      </c>
      <c r="K1" s="34" t="s">
        <v>1</v>
      </c>
    </row>
    <row r="2" spans="1:11" x14ac:dyDescent="0.35">
      <c r="A2" s="4" t="s">
        <v>1048</v>
      </c>
      <c r="B2" s="1" t="s">
        <v>1022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1021</v>
      </c>
      <c r="I2" s="1">
        <v>0.1</v>
      </c>
      <c r="J2" s="1" t="s">
        <v>7</v>
      </c>
      <c r="K2" s="1" t="s">
        <v>6</v>
      </c>
    </row>
    <row r="3" spans="1:11" x14ac:dyDescent="0.35">
      <c r="A3" s="4" t="s">
        <v>1049</v>
      </c>
      <c r="B3" s="1" t="s">
        <v>1025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1021</v>
      </c>
      <c r="I3" s="2">
        <v>2</v>
      </c>
      <c r="J3" s="2" t="s">
        <v>4</v>
      </c>
      <c r="K3" s="2" t="s">
        <v>6</v>
      </c>
    </row>
    <row r="4" spans="1:11" x14ac:dyDescent="0.35">
      <c r="A4" s="14" t="s">
        <v>1050</v>
      </c>
      <c r="B4" s="2" t="s">
        <v>1026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1021</v>
      </c>
      <c r="I4" s="2">
        <v>0.1</v>
      </c>
      <c r="J4" s="2" t="s">
        <v>7</v>
      </c>
      <c r="K4" s="2" t="s">
        <v>6</v>
      </c>
    </row>
    <row r="5" spans="1:11" ht="15" thickBot="1" x14ac:dyDescent="0.4">
      <c r="A5" s="30" t="s">
        <v>1051</v>
      </c>
      <c r="B5" s="31" t="s">
        <v>1029</v>
      </c>
      <c r="C5" s="32">
        <v>10000</v>
      </c>
      <c r="D5" s="31">
        <v>1000</v>
      </c>
      <c r="E5" s="32">
        <v>1</v>
      </c>
      <c r="F5" s="32">
        <v>1</v>
      </c>
      <c r="G5" s="32"/>
      <c r="H5" s="32" t="s">
        <v>1021</v>
      </c>
      <c r="I5" s="32">
        <v>2</v>
      </c>
      <c r="J5" s="32" t="s">
        <v>4</v>
      </c>
      <c r="K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4" sqref="G4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4" t="s">
        <v>5</v>
      </c>
      <c r="B1" s="34" t="s">
        <v>16</v>
      </c>
      <c r="C1" s="34" t="s">
        <v>26</v>
      </c>
      <c r="D1" s="34" t="s">
        <v>27</v>
      </c>
      <c r="E1" s="34" t="s">
        <v>28</v>
      </c>
      <c r="F1" s="34" t="s">
        <v>29</v>
      </c>
      <c r="G1" s="34" t="s">
        <v>25</v>
      </c>
      <c r="H1" s="34" t="s">
        <v>14</v>
      </c>
      <c r="I1" s="34" t="s">
        <v>15</v>
      </c>
      <c r="J1" s="34" t="s">
        <v>0</v>
      </c>
      <c r="K1" s="34" t="s">
        <v>1</v>
      </c>
    </row>
    <row r="2" spans="1:11" ht="15" thickBot="1" x14ac:dyDescent="0.4">
      <c r="A2" s="41" t="s">
        <v>1052</v>
      </c>
      <c r="B2" s="42" t="s">
        <v>1023</v>
      </c>
      <c r="C2" s="43">
        <f>1387684*10^3</f>
        <v>1387684000</v>
      </c>
      <c r="D2" s="43">
        <f>C2*F2</f>
        <v>1248915600</v>
      </c>
      <c r="E2" s="42">
        <v>0.2</v>
      </c>
      <c r="F2" s="42">
        <v>0.9</v>
      </c>
      <c r="G2" s="42" t="s">
        <v>1021</v>
      </c>
      <c r="H2" s="42"/>
      <c r="I2" s="42">
        <v>1</v>
      </c>
      <c r="J2" s="42" t="s">
        <v>8</v>
      </c>
      <c r="K2" s="42" t="s">
        <v>6</v>
      </c>
    </row>
    <row r="3" spans="1:11" ht="15" thickBot="1" x14ac:dyDescent="0.4">
      <c r="A3" s="30" t="s">
        <v>1053</v>
      </c>
      <c r="B3" s="31" t="s">
        <v>1027</v>
      </c>
      <c r="C3" s="40">
        <f>(3307.6*10^3)</f>
        <v>3307600</v>
      </c>
      <c r="D3" s="40">
        <f>C3*0.9</f>
        <v>2976840</v>
      </c>
      <c r="E3" s="31">
        <v>0.2</v>
      </c>
      <c r="F3" s="31">
        <v>0.9</v>
      </c>
      <c r="G3" s="31" t="s">
        <v>1021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 codeName="Hoja9">
    <tabColor rgb="FF93E3FF"/>
  </sheetPr>
  <dimension ref="A1:A8761"/>
  <sheetViews>
    <sheetView topLeftCell="A69" workbookViewId="0">
      <selection activeCell="C7" sqref="C7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4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F6" sqref="F6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1" t="s">
        <v>1019</v>
      </c>
      <c r="B1" s="52" t="s">
        <v>1054</v>
      </c>
      <c r="C1" s="52" t="s">
        <v>1055</v>
      </c>
      <c r="D1" s="49" t="s">
        <v>1056</v>
      </c>
      <c r="E1" s="53" t="s">
        <v>1057</v>
      </c>
    </row>
    <row r="2" spans="1:5" x14ac:dyDescent="0.35">
      <c r="A2" s="22">
        <v>45658</v>
      </c>
      <c r="B2" s="50">
        <v>35845.954712564773</v>
      </c>
      <c r="C2" s="50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5" t="s">
        <v>1019</v>
      </c>
      <c r="B1" s="46" t="s">
        <v>1065</v>
      </c>
      <c r="C1" s="47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5" t="s">
        <v>1019</v>
      </c>
      <c r="B1" s="48" t="s">
        <v>1058</v>
      </c>
      <c r="C1" s="46" t="s">
        <v>1059</v>
      </c>
      <c r="D1" s="49" t="s">
        <v>1064</v>
      </c>
      <c r="E1" s="49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generators</vt:lpstr>
      <vt:lpstr>buses</vt:lpstr>
      <vt:lpstr>links</vt:lpstr>
      <vt:lpstr>loads</vt:lpstr>
      <vt:lpstr>storage_units</vt:lpstr>
      <vt:lpstr>store</vt:lpstr>
      <vt:lpstr>snaptshots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2026-01-16T11:41:27Z</dcterms:modified>
</cp:coreProperties>
</file>