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C5CEA76E-6424-444E-A3A1-A4B2A327071E}" xr6:coauthVersionLast="47" xr6:coauthVersionMax="47" xr10:uidLastSave="{00000000-0000-0000-0000-000000000000}"/>
  <bookViews>
    <workbookView xWindow="28635" yWindow="-165" windowWidth="29130" windowHeight="15810" tabRatio="752" activeTab="3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3" l="1"/>
  <c r="C18" i="3"/>
  <c r="C17" i="3"/>
  <c r="C16" i="3"/>
  <c r="C7" i="3"/>
  <c r="C8" i="3"/>
  <c r="C10" i="3"/>
  <c r="C9" i="3"/>
  <c r="D2" i="7"/>
  <c r="C3" i="3" l="1"/>
  <c r="C2" i="7" l="1"/>
  <c r="C3" i="7"/>
  <c r="D3" i="7" s="1"/>
  <c r="C14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<sst xmlns="http://schemas.openxmlformats.org/spreadsheetml/2006/main" count="26548" uniqueCount="1104">
  <si>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</si>
  <si>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</si>
  <si>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</si>
  <si>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</si>
  <si>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</si>
  <si>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</si>
  <si>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</si>
  <si>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</si>
  <si>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</si>
  <si>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</si>
  <si>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</si>
  <si>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</si>
  <si>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</si>
  <si>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</si>
  <si>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</si>
  <si>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</si>
  <si>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</si>
  <si>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</si>
  <si>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</si>
  <si>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</si>
  <si>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</si>
  <si>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</si>
  <si>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</si>
  <si>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</si>
  <si>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</si>
  <si>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</si>
  <si>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</si>
  <si>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</si>
  <si>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</si>
  <si>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</si>
  <si>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</si>
  <si>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</si>
  <si>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</si>
  <si>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</si>
  <si>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</si>
  <si>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</si>
  <si>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</si>
  <si>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</si>
  <si>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</si>
  <si>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</si>
  <si>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</si>
  <si>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</si>
  <si>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</si>
  <si>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</si>
  <si>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</si>
  <si>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</si>
  <si>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</si>
  <si>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</si>
  <si>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</si>
  <si>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</si>
  <si>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</si>
  <si>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</si>
  <si>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</si>
  <si>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</si>
  <si>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</si>
  <si>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</si>
  <si>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</si>
  <si>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</si>
  <si>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</si>
  <si>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</si>
  <si>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</si>
  <si>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</si>
  <si>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</si>
  <si>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</si>
  <si>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</si>
  <si>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</si>
  <si>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</si>
  <si>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</si>
  <si>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</si>
  <si>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</si>
  <si>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</si>
  <si>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</si>
  <si>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</si>
  <si>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</si>
  <si>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</si>
  <si>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</si>
  <si>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</si>
  <si>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</si>
  <si>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</si>
  <si>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</si>
  <si>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</si>
  <si>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</si>
  <si>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</si>
  <si>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</si>
  <si>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</si>
  <si>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</si>
  <si>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</si>
  <si>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</si>
  <si>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</si>
  <si>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</si>
  <si>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</si>
  <si>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</si>
  <si>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</si>
  <si>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</si>
  <si>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</si>
  <si>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</si>
  <si>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</si>
  <si>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</si>
  <si>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</si>
  <si>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</si>
  <si>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</si>
  <si>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</si>
  <si>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</si>
  <si>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</si>
  <si>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</si>
  <si>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</si>
  <si>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</si>
  <si>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</si>
  <si>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</si>
  <si>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</si>
  <si>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</si>
  <si>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</si>
  <si>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</si>
  <si>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</si>
  <si>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</si>
  <si>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</si>
  <si>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</si>
  <si>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</si>
  <si>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</si>
  <si>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</si>
  <si>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</si>
  <si>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</si>
  <si>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</si>
  <si>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</si>
  <si>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</si>
  <si>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</si>
  <si>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</si>
  <si>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</si>
  <si>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</si>
  <si>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</si>
  <si>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</si>
  <si>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</si>
  <si>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</si>
  <si>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</si>
  <si>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</si>
  <si>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</si>
  <si>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</si>
  <si>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</si>
  <si>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</si>
  <si>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</si>
  <si>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</si>
  <si>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</si>
  <si>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</si>
  <si>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</si>
  <si>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</si>
  <si>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</si>
  <si>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</si>
  <si>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</si>
  <si>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</si>
  <si>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</si>
  <si>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</si>
  <si>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</si>
  <si>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</si>
  <si>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</si>
  <si>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</si>
  <si>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</si>
  <si>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</si>
  <si>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</si>
  <si>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</si>
  <si>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</si>
  <si>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</si>
  <si>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</si>
  <si>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</si>
  <si>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</si>
  <si>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</si>
  <si>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</si>
  <si>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</si>
  <si>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</si>
  <si>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</si>
  <si>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</si>
  <si>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</si>
  <si>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</si>
  <si>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</si>
  <si>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</si>
  <si>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</si>
  <si>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</si>
  <si>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</si>
  <si>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</si>
  <si>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</si>
  <si>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</si>
  <si>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</si>
  <si>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</si>
  <si>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</si>
  <si>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</si>
  <si>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</si>
  <si>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</si>
  <si>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</si>
  <si>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</si>
  <si>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</si>
  <si>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</si>
  <si>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</si>
  <si>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</si>
  <si>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</si>
  <si>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</si>
  <si>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</si>
  <si>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</si>
  <si>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</si>
  <si>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</si>
  <si>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</si>
  <si>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</si>
  <si>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</si>
  <si>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</si>
  <si>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</si>
  <si>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</si>
  <si>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</si>
  <si>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</si>
  <si>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</si>
  <si>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</si>
  <si>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</si>
  <si>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</si>
  <si>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</si>
  <si>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</si>
  <si>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</si>
  <si>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</si>
  <si>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</si>
  <si>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</si>
  <si>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</si>
  <si>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</si>
  <si>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</si>
  <si>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</si>
  <si>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</si>
  <si>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</si>
  <si>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</si>
  <si>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</si>
  <si>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</si>
  <si>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</si>
  <si>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</si>
  <si>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</si>
  <si>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</si>
  <si>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</si>
  <si>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</si>
  <si>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</si>
  <si>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</si>
  <si>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</si>
  <si>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</si>
  <si>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</si>
  <si>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</si>
  <si>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</si>
  <si>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</si>
  <si>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</si>
  <si>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</si>
  <si>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</si>
  <si>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</si>
  <si>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</si>
  <si>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</si>
  <si>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</si>
  <si>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</si>
  <si>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</si>
  <si>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</si>
  <si>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</si>
  <si>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</si>
  <si>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</si>
  <si>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</si>
  <si>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</si>
  <si>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</si>
  <si>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</si>
  <si>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</si>
  <si>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</si>
  <si>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</si>
  <si>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</si>
  <si>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</si>
  <si>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</si>
  <si>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</si>
  <si>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</si>
  <si>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</si>
  <si>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</si>
  <si>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</si>
  <si>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</si>
  <si>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</si>
  <si>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</si>
  <si>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</si>
  <si>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</si>
  <si>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</si>
  <si>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</si>
  <si>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</si>
  <si>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</si>
  <si>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</si>
  <si>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</si>
  <si>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</si>
  <si>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</si>
  <si>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</si>
  <si>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</si>
  <si>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</si>
  <si>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</si>
  <si>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</si>
  <si>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</si>
  <si>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</si>
  <si>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</si>
  <si>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</si>
  <si>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</si>
  <si>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</si>
  <si>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</si>
  <si>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</si>
  <si>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</si>
  <si>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</si>
  <si>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</si>
  <si>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</si>
  <si>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</si>
  <si>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</si>
  <si>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</si>
  <si>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</si>
  <si>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</si>
  <si>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</si>
  <si>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</si>
  <si>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</si>
  <si>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</si>
  <si>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</si>
  <si>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</si>
  <si>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</si>
  <si>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</si>
  <si>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</si>
  <si>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</si>
  <si>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</si>
  <si>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</si>
  <si>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</si>
  <si>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</si>
  <si>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</si>
  <si>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</si>
  <si>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</si>
  <si>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</si>
  <si>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</si>
  <si>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</si>
  <si>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</si>
  <si>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</si>
  <si>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</si>
  <si>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</si>
  <si>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</si>
  <si>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</si>
  <si>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</si>
  <si>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</si>
  <si>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</si>
  <si>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</si>
  <si>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</si>
  <si>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</si>
  <si>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</si>
  <si>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</si>
  <si>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</si>
  <si>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</si>
  <si>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</si>
  <si>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</si>
  <si>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</si>
  <si>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</si>
  <si>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</si>
  <si>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</si>
  <si>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</si>
  <si>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</si>
  <si>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</si>
  <si>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</si>
  <si>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</si>
  <si>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</si>
  <si>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</si>
  <si>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</si>
  <si>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</si>
  <si>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</si>
  <si>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</si>
  <si>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</si>
  <si>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</si>
  <si>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</si>
  <si>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</si>
  <si>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</si>
  <si>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</si>
  <si>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</si>
  <si>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</si>
  <si>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</si>
  <si>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</si>
  <si>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</si>
  <si>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</si>
  <si>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</si>
  <si>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</si>
  <si>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</si>
  <si>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</si>
  <si>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</si>
  <si>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</si>
  <si>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</si>
  <si>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</si>
  <si>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</si>
  <si>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</si>
  <si>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</si>
  <si>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</si>
  <si>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</si>
  <si>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</si>
  <si>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</si>
  <si>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</si>
  <si>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</si>
  <si>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</si>
  <si>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</si>
  <si>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</si>
  <si>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</si>
  <si>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</si>
  <si>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</si>
  <si>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</si>
  <si>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</si>
  <si>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</si>
  <si>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</si>
  <si>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</si>
  <si>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</si>
  <si>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</si>
  <si>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</si>
  <si>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</si>
  <si>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</si>
  <si>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</si>
  <si>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</si>
  <si>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</si>
  <si>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</si>
  <si>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</si>
  <si>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</si>
  <si>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</si>
  <si>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</si>
  <si>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</si>
  <si>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</si>
  <si>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</si>
  <si>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</si>
  <si>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</si>
  <si>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</si>
  <si>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</si>
  <si>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</si>
  <si>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</si>
  <si>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</si>
  <si>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</si>
  <si>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</si>
  <si>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</si>
  <si>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</si>
  <si>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</si>
  <si>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</si>
  <si>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</si>
  <si>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</si>
  <si>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</si>
  <si>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</si>
  <si>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</si>
  <si>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</si>
  <si>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</si>
  <si>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</si>
  <si>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</si>
  <si>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</si>
  <si>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</si>
  <si>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</si>
  <si>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</si>
  <si>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</si>
  <si>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</si>
  <si>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</si>
  <si>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</si>
  <si>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</si>
  <si>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</si>
  <si>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</si>
  <si>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</si>
  <si>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</si>
  <si>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</si>
  <si>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</si>
  <si>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</si>
  <si>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</si>
  <si>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</si>
  <si>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</si>
  <si>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</si>
  <si>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</si>
  <si>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</si>
  <si>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</si>
  <si>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</si>
  <si>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</si>
  <si>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</si>
  <si>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</si>
  <si>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</si>
  <si>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</si>
  <si>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</si>
  <si>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</si>
  <si>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</si>
  <si>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</si>
  <si>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</si>
  <si>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</si>
  <si>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</si>
  <si>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</si>
  <si>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</si>
  <si>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</si>
  <si>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</si>
  <si>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</si>
  <si>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</si>
  <si>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</si>
  <si>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</si>
  <si>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</si>
  <si>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</si>
  <si>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</si>
  <si>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</si>
  <si>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</si>
  <si>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</si>
  <si>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</si>
  <si>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</si>
  <si>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</si>
  <si>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</si>
  <si>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</si>
  <si>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</si>
  <si>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</si>
  <si>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</si>
  <si>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</si>
  <si>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</si>
  <si>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</si>
  <si>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</si>
  <si>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</si>
  <si>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</si>
  <si>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</si>
  <si>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</si>
  <si>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</si>
  <si>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</si>
  <si>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</si>
  <si>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</si>
  <si>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</si>
  <si>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</si>
  <si>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</si>
  <si>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</si>
  <si>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</si>
  <si>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</si>
  <si>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</si>
  <si>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</si>
  <si>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</si>
  <si>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</si>
  <si>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</si>
  <si>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</si>
  <si>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</si>
  <si>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</si>
  <si>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</si>
  <si>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</si>
  <si>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</si>
  <si>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</si>
  <si>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</si>
  <si>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</si>
  <si>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</si>
  <si>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</si>
  <si>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</si>
  <si>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</si>
  <si>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</si>
  <si>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</si>
  <si>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</si>
  <si>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</si>
  <si>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</si>
  <si>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</si>
  <si>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</si>
  <si>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</si>
  <si>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</si>
  <si>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</si>
  <si>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</si>
  <si>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</si>
  <si>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</si>
  <si>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</si>
  <si>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</si>
  <si>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</si>
  <si>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</si>
  <si>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</si>
  <si>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</si>
  <si>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</si>
  <si>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</si>
  <si>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</si>
  <si>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</si>
  <si>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</si>
  <si>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</si>
  <si>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</si>
  <si>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</si>
  <si>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</si>
  <si>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</si>
  <si>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</si>
  <si>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</si>
  <si>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</si>
  <si>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</si>
  <si>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</si>
  <si>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</si>
  <si>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</si>
  <si>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</si>
  <si>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</si>
  <si>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</si>
  <si>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</si>
  <si>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</si>
  <si>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</si>
  <si>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</si>
  <si>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</si>
  <si>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</si>
  <si>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</si>
  <si>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</si>
  <si>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</si>
  <si>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</si>
  <si>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</si>
  <si>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</si>
  <si>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</si>
  <si>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</si>
  <si>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</si>
  <si>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</si>
  <si>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</si>
  <si>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</si>
  <si>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</si>
  <si>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</si>
  <si>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</si>
  <si>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</si>
  <si>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</si>
  <si>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</si>
  <si>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</si>
  <si>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</si>
  <si>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</si>
  <si>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</si>
  <si>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</si>
  <si>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</si>
  <si>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</si>
  <si>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</si>
  <si>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</si>
  <si>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</si>
  <si>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</si>
  <si>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</si>
  <si>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</si>
  <si>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</si>
  <si>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</si>
  <si>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</si>
  <si>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</si>
  <si>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</si>
  <si>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</si>
  <si>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</si>
  <si>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</si>
  <si>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</si>
  <si>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</si>
  <si>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</si>
  <si>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</si>
  <si>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</si>
  <si>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</si>
  <si>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</si>
  <si>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</si>
  <si>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</si>
  <si>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</si>
  <si>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</si>
  <si>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</si>
  <si>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</si>
  <si>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</si>
  <si>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</si>
  <si>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</si>
  <si>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</si>
  <si>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</si>
  <si>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</si>
  <si>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</si>
  <si>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</si>
  <si>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</si>
  <si>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</si>
  <si>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</si>
  <si>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</si>
  <si>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</si>
  <si>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</si>
  <si>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</si>
  <si>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</si>
  <si>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</si>
  <si>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</si>
  <si>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</si>
  <si>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</si>
  <si>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</si>
  <si>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</si>
  <si>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</si>
  <si>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</si>
  <si>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</si>
  <si>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</si>
  <si>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</si>
  <si>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</si>
  <si>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</si>
  <si>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</si>
  <si>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</si>
  <si>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</si>
  <si>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</si>
  <si>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</si>
  <si>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</si>
  <si>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</si>
  <si>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</si>
  <si>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</si>
  <si>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</si>
  <si>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</si>
  <si>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</si>
  <si>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</si>
  <si>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</si>
  <si>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</si>
  <si>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</si>
  <si>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</si>
  <si>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</si>
  <si>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</si>
  <si>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</si>
  <si>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</si>
  <si>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</si>
  <si>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</si>
  <si>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</si>
  <si>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</si>
  <si>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</si>
  <si>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</si>
  <si>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</si>
  <si>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</si>
  <si>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</si>
  <si>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</si>
  <si>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</si>
  <si>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</si>
  <si>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</si>
  <si>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</si>
  <si>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</si>
  <si>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</si>
  <si>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</si>
  <si>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</si>
  <si>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</si>
  <si>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</si>
  <si>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</si>
  <si>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</si>
  <si>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</si>
  <si>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</si>
  <si>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</si>
  <si>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</si>
  <si>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</si>
  <si>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</si>
  <si>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</si>
  <si>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</si>
  <si>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</si>
  <si>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</si>
  <si>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</si>
  <si>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</si>
  <si>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</si>
  <si>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</si>
  <si>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</si>
  <si>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</si>
  <si>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</si>
  <si>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</si>
  <si>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</si>
  <si>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</si>
  <si>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</si>
  <si>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</si>
  <si>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</si>
  <si>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</si>
  <si>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</si>
  <si>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</si>
  <si>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</si>
  <si>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</si>
  <si>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</si>
  <si>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</si>
  <si>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</si>
  <si>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</si>
  <si>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</si>
  <si>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</si>
  <si>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</si>
  <si>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</si>
  <si>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</si>
  <si>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</si>
  <si>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</si>
  <si>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</si>
  <si>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</si>
  <si>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</si>
  <si>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</si>
  <si>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</si>
  <si>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</si>
  <si>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</si>
  <si>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</si>
  <si>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</si>
  <si>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</si>
  <si>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</si>
  <si>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</si>
  <si>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</si>
  <si>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</si>
  <si>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</si>
  <si>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</si>
  <si>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</si>
  <si>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</si>
  <si>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</si>
  <si>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</si>
  <si>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</si>
  <si>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</si>
  <si>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</si>
  <si>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</si>
  <si>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</si>
  <si>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</si>
  <si>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</si>
  <si>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</si>
  <si>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</si>
  <si>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</si>
  <si>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</si>
  <si>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</si>
  <si>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</si>
  <si>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</si>
  <si>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</si>
  <si>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</si>
  <si>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</si>
  <si>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</si>
  <si>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</si>
  <si>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</si>
  <si>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</si>
  <si>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</si>
  <si>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</si>
  <si>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</si>
  <si>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</si>
  <si>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</si>
  <si>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</si>
  <si>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</si>
  <si>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</si>
  <si>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</si>
  <si>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</si>
  <si>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</si>
  <si>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</si>
  <si>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</si>
  <si>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</si>
  <si>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</si>
  <si>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</si>
  <si>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</si>
  <si>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</si>
  <si>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</si>
  <si>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</si>
  <si>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</si>
  <si>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</si>
  <si>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</si>
  <si>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</si>
  <si>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</si>
  <si>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</si>
  <si>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</si>
  <si>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</si>
  <si>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</si>
  <si>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</si>
  <si>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</si>
  <si>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</si>
  <si>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</si>
  <si>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</si>
  <si>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</si>
  <si>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</si>
  <si>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</si>
  <si>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</si>
  <si>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</si>
  <si>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</si>
  <si>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</si>
  <si>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</si>
  <si>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</si>
  <si>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</si>
  <si>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</si>
  <si>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</si>
  <si>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</si>
  <si>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</si>
  <si>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</si>
  <si>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</si>
  <si>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</si>
  <si>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</si>
  <si>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</si>
  <si>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</si>
  <si>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</si>
  <si>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</si>
  <si>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</si>
  <si>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</si>
  <si>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</si>
  <si>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</si>
  <si>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</si>
  <si>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</si>
  <si>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</si>
  <si>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</si>
  <si>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</si>
  <si>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</si>
  <si>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</si>
  <si>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</si>
  <si>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</si>
  <si>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</si>
  <si>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</si>
  <si>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</si>
  <si>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</si>
  <si>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</si>
  <si>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</si>
  <si>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</si>
  <si>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</si>
  <si>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</si>
  <si>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</si>
  <si>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</si>
  <si>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</si>
  <si>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</si>
  <si>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</si>
  <si>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</si>
  <si>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</si>
  <si>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</si>
  <si>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</si>
  <si>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</si>
  <si>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</si>
  <si>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</si>
  <si>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</si>
  <si>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</si>
  <si>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</si>
  <si>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</si>
  <si>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</si>
  <si>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</si>
  <si>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</si>
  <si>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</si>
  <si>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</si>
  <si>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</si>
  <si>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</si>
  <si>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</si>
  <si>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</si>
  <si>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</si>
  <si>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</si>
  <si>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</si>
  <si>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</si>
  <si>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</si>
  <si>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</si>
  <si>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</si>
  <si>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</si>
  <si>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</si>
  <si>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</si>
  <si>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</si>
  <si>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</si>
  <si>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</si>
  <si>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</si>
  <si>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</si>
  <si>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</si>
  <si>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</si>
  <si>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</si>
  <si>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</si>
  <si>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</si>
  <si>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</si>
  <si>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</si>
  <si>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</si>
  <si>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</si>
  <si>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</si>
  <si>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</si>
  <si>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</si>
  <si>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</si>
  <si>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</si>
  <si>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</si>
  <si>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</si>
  <si>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</si>
  <si>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</si>
  <si>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</si>
  <si>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</si>
  <si>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</si>
  <si>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</si>
  <si>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</si>
  <si>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</si>
  <si>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</si>
  <si>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</si>
  <si>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</si>
  <si>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</si>
  <si>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</si>
  <si>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</si>
  <si>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</si>
  <si>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</si>
  <si>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</si>
  <si>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</si>
  <si>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</si>
  <si>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</si>
  <si>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</si>
  <si>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</si>
  <si>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</si>
  <si>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</si>
  <si>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</si>
  <si>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</si>
  <si>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</si>
  <si>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</si>
  <si>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</si>
  <si>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</si>
  <si>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</si>
  <si>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</si>
  <si>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</si>
  <si>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</si>
  <si>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</si>
  <si>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</si>
  <si>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</si>
  <si>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</si>
  <si>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</si>
  <si>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</si>
  <si>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</si>
  <si>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</si>
  <si>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</si>
  <si>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</si>
  <si>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</si>
  <si>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</si>
  <si>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</si>
  <si>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</si>
  <si>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</si>
  <si>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</si>
  <si>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</si>
  <si>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</si>
  <si>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</si>
  <si>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</si>
  <si>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</si>
  <si>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</si>
  <si>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</si>
  <si>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</si>
  <si>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</si>
  <si>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</si>
  <si>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</si>
  <si>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</si>
  <si>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</si>
  <si>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</si>
  <si>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</si>
  <si>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</si>
  <si>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</si>
  <si>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</si>
  <si>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</si>
  <si>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</si>
  <si>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</si>
  <si>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</si>
  <si>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</si>
  <si>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</si>
  <si>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</si>
  <si>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</si>
  <si>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</si>
  <si>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</si>
  <si>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</si>
  <si>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</si>
  <si>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</si>
  <si>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</si>
  <si>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</si>
  <si>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</si>
  <si>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</si>
  <si>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</si>
  <si>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</si>
  <si>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</si>
  <si>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</si>
  <si>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</si>
  <si>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</si>
  <si>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</si>
  <si>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</si>
  <si>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</si>
  <si>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</si>
  <si>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</si>
  <si>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</si>
  <si>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</si>
  <si>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</si>
  <si>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</si>
  <si>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</si>
  <si>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</si>
  <si>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</si>
  <si>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</si>
  <si>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</si>
  <si>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</si>
  <si>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</si>
  <si>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</si>
  <si>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</si>
  <si>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</si>
  <si>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</si>
  <si>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</si>
  <si>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</si>
  <si>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</si>
  <si>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</si>
  <si>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</si>
  <si>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</si>
  <si>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</si>
  <si>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</si>
  <si>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</si>
  <si>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</si>
  <si>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</si>
  <si>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</si>
  <si>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</si>
  <si>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</si>
  <si>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</si>
  <si>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</si>
  <si>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</si>
  <si>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</si>
  <si>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</si>
  <si>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</si>
  <si>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</si>
  <si>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</si>
  <si>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</si>
  <si>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</si>
  <si>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</si>
  <si>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</si>
  <si>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</si>
  <si>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</si>
  <si>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</si>
  <si>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</si>
  <si>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</si>
  <si>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</si>
  <si>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</si>
  <si>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</si>
  <si>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</si>
  <si>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</si>
  <si>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</si>
  <si>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</si>
  <si>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</si>
  <si>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</si>
  <si>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</si>
  <si>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</si>
  <si>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</si>
  <si>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</si>
  <si>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</si>
  <si>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</si>
  <si>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</si>
  <si>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</si>
  <si>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</si>
  <si>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</si>
  <si>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</si>
  <si>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</si>
  <si>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</si>
  <si>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</si>
  <si>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</si>
  <si>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</si>
  <si>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</si>
  <si>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</si>
  <si>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</si>
  <si>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ES_SRES_excedentes_wind</t>
  </si>
  <si>
    <t>ES_SRES_excedentes_solar</t>
  </si>
  <si>
    <t>ES_SRES_electrolizador_wind</t>
  </si>
  <si>
    <t>ES_SRES_electrolizador_solar</t>
  </si>
  <si>
    <t>ES_SRES_excedentes_bus</t>
  </si>
  <si>
    <t>ES_SRES_electrolizador_bus</t>
  </si>
  <si>
    <t>PT_SRES_excedentes_bus</t>
  </si>
  <si>
    <t>PT_SRES_electrolizador_bus</t>
  </si>
  <si>
    <t>PT_SRES_excedentes_solar</t>
  </si>
  <si>
    <t>PT_SRES_excedentes_wind</t>
  </si>
  <si>
    <t>PT_SRES_electrolizador_solar</t>
  </si>
  <si>
    <t>PT_SRES_electrolizador_wind</t>
  </si>
  <si>
    <t>p_min_pu</t>
  </si>
  <si>
    <t>p_max_pu</t>
  </si>
  <si>
    <t>load_shedding</t>
  </si>
  <si>
    <t>ES_load_shedding</t>
  </si>
  <si>
    <t>PT_load_shedding</t>
  </si>
  <si>
    <t>ES_load_shedding_h2</t>
  </si>
  <si>
    <t>PT_load_shedding_h2</t>
  </si>
  <si>
    <t>PT_wind_profile_1</t>
  </si>
  <si>
    <t>PT_wind_profile_2</t>
  </si>
  <si>
    <t>Hora Semana</t>
  </si>
  <si>
    <t>PT_wind_profile_3</t>
  </si>
  <si>
    <t>PT_wind_profile_4:lat: 41,5288; long:  -6,3324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</si>
</sst>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6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</cellStyleXfs>
  <cellXfs count="58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2" borderId="6" xfId="0" applyFill="1" applyBorder="1"/>
    <xf numFmtId="0" fontId="0" fillId="0" borderId="6" xfId="0" applyBorder="1"/>
    <xf numFmtId="2" fontId="0" fillId="0" borderId="1" xfId="0" applyNumberFormat="1" applyBorder="1"/>
    <xf numFmtId="2" fontId="0" fillId="0" borderId="2" xfId="0" applyNumberFormat="1" applyBorder="1"/>
    <xf numFmtId="0" fontId="0" fillId="7" borderId="1" xfId="0" applyFill="1" applyBorder="1"/>
    <xf numFmtId="0" fontId="0" fillId="2" borderId="0" xfId="0" applyFill="1" applyBorder="1"/>
    <xf numFmtId="0" fontId="0" fillId="0" borderId="0" xfId="0" applyBorder="1"/>
    <xf numFmtId="0" fontId="0" fillId="2" borderId="7" xfId="0" applyFill="1" applyBorder="1"/>
    <xf numFmtId="0" fontId="0" fillId="0" borderId="7" xfId="0" applyBorder="1"/>
    <xf numFmtId="0" fontId="0" fillId="0" borderId="1" xfId="0" applyFill="1" applyBorder="1"/>
    <xf numFmtId="0" fontId="5" fillId="7" borderId="2" xfId="0" applyFont="1" applyFill="1" applyBorder="1"/>
    <xf numFmtId="0" fontId="4" fillId="7" borderId="4" xfId="0" applyFont="1" applyFill="1" applyBorder="1"/>
    <xf numFmtId="0" fontId="0" fillId="8" borderId="1" xfId="0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F10" sqref="F10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1065</v>
      </c>
    </row>
    <row r="5" spans="1:3" x14ac:dyDescent="0.35">
      <c r="B5" t="s">
        <v>1053</v>
      </c>
      <c r="C5" t="s">
        <v>1066</v>
      </c>
    </row>
    <row r="6" spans="1:3" x14ac:dyDescent="0.35">
      <c r="B6" t="s">
        <v>14</v>
      </c>
      <c r="C6" t="s">
        <v>1067</v>
      </c>
    </row>
    <row r="7" spans="1:3" x14ac:dyDescent="0.35">
      <c r="B7" t="s">
        <v>15</v>
      </c>
      <c r="C7" t="s">
        <v>1067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1071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topLeftCell="A3" workbookViewId="0">
      <selection activeCell="F28" sqref="F28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1094</v>
      </c>
      <c r="B10" s="54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C13"/>
  <sheetViews>
    <sheetView workbookViewId="0">
      <selection activeCell="A5" sqref="A5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3" s="15" customFormat="1" ht="15" thickBot="1" x14ac:dyDescent="0.4">
      <c r="A1" s="30" t="s">
        <v>5</v>
      </c>
      <c r="B1" s="30" t="s">
        <v>0</v>
      </c>
      <c r="C1" s="30" t="s">
        <v>1</v>
      </c>
    </row>
    <row r="2" spans="1:3" x14ac:dyDescent="0.35">
      <c r="A2" s="4" t="s">
        <v>1021</v>
      </c>
      <c r="B2" s="1" t="s">
        <v>7</v>
      </c>
      <c r="C2" s="1" t="s">
        <v>6</v>
      </c>
    </row>
    <row r="3" spans="1:3" x14ac:dyDescent="0.35">
      <c r="A3" s="4" t="s">
        <v>1022</v>
      </c>
      <c r="B3" s="1" t="s">
        <v>2</v>
      </c>
      <c r="C3" s="2" t="s">
        <v>6</v>
      </c>
    </row>
    <row r="4" spans="1:3" x14ac:dyDescent="0.35">
      <c r="A4" s="3" t="s">
        <v>1023</v>
      </c>
      <c r="B4" s="2" t="s">
        <v>3</v>
      </c>
      <c r="C4" s="2" t="s">
        <v>6</v>
      </c>
    </row>
    <row r="5" spans="1:3" x14ac:dyDescent="0.35">
      <c r="A5" s="44" t="s">
        <v>1024</v>
      </c>
      <c r="B5" t="s">
        <v>4</v>
      </c>
      <c r="C5" s="46" t="s">
        <v>6</v>
      </c>
    </row>
    <row r="6" spans="1:3" x14ac:dyDescent="0.35">
      <c r="A6" s="44" t="s">
        <v>1084</v>
      </c>
      <c r="B6" t="s">
        <v>7</v>
      </c>
      <c r="C6" s="46" t="s">
        <v>6</v>
      </c>
    </row>
    <row r="7" spans="1:3" x14ac:dyDescent="0.35">
      <c r="A7" s="3" t="s">
        <v>1085</v>
      </c>
      <c r="B7" s="2" t="s">
        <v>4</v>
      </c>
      <c r="C7" s="2" t="s">
        <v>6</v>
      </c>
    </row>
    <row r="8" spans="1:3" x14ac:dyDescent="0.35">
      <c r="A8" s="14" t="s">
        <v>1025</v>
      </c>
      <c r="B8" s="1" t="s">
        <v>7</v>
      </c>
      <c r="C8" s="1" t="s">
        <v>6</v>
      </c>
    </row>
    <row r="9" spans="1:3" x14ac:dyDescent="0.35">
      <c r="A9" s="14" t="s">
        <v>1026</v>
      </c>
      <c r="B9" s="1" t="s">
        <v>2</v>
      </c>
      <c r="C9" s="2" t="s">
        <v>6</v>
      </c>
    </row>
    <row r="10" spans="1:3" x14ac:dyDescent="0.35">
      <c r="A10" s="13" t="s">
        <v>1027</v>
      </c>
      <c r="B10" s="2" t="s">
        <v>3</v>
      </c>
      <c r="C10" s="2" t="s">
        <v>6</v>
      </c>
    </row>
    <row r="11" spans="1:3" x14ac:dyDescent="0.35">
      <c r="A11" s="13" t="s">
        <v>1028</v>
      </c>
      <c r="B11" s="2" t="s">
        <v>4</v>
      </c>
      <c r="C11" s="2" t="s">
        <v>6</v>
      </c>
    </row>
    <row r="12" spans="1:3" x14ac:dyDescent="0.35">
      <c r="A12" s="13" t="s">
        <v>1086</v>
      </c>
      <c r="B12" s="2" t="s">
        <v>7</v>
      </c>
      <c r="C12" s="2" t="s">
        <v>6</v>
      </c>
    </row>
    <row r="13" spans="1:3" x14ac:dyDescent="0.35">
      <c r="A13" s="13" t="s">
        <v>1087</v>
      </c>
      <c r="B13" s="2" t="s">
        <v>4</v>
      </c>
      <c r="C13" s="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G23"/>
  <sheetViews>
    <sheetView tabSelected="1" zoomScale="82" workbookViewId="0">
      <selection activeCell="C33" sqref="C33"/>
    </sheetView>
  </sheetViews>
  <sheetFormatPr baseColWidth="10" defaultRowHeight="14.5" x14ac:dyDescent="0.35"/>
  <cols>
    <col min="1" max="1" width="27.1796875" bestFit="1" customWidth="1"/>
    <col min="2" max="2" width="24.453125" customWidth="1"/>
    <col min="3" max="3" width="12.90625" customWidth="1"/>
    <col min="5" max="5" width="12.6328125" bestFit="1" customWidth="1"/>
    <col min="6" max="6" width="13.36328125" bestFit="1" customWidth="1"/>
  </cols>
  <sheetData>
    <row r="1" spans="1:7" ht="15" thickBot="1" x14ac:dyDescent="0.4">
      <c r="A1" s="29" t="s">
        <v>5</v>
      </c>
      <c r="B1" s="29" t="s">
        <v>16</v>
      </c>
      <c r="C1" s="29" t="s">
        <v>13</v>
      </c>
      <c r="D1" s="29" t="s">
        <v>14</v>
      </c>
      <c r="E1" s="29" t="s">
        <v>15</v>
      </c>
      <c r="F1" s="29" t="s">
        <v>0</v>
      </c>
      <c r="G1" s="29" t="s">
        <v>1</v>
      </c>
    </row>
    <row r="2" spans="1:7" x14ac:dyDescent="0.35">
      <c r="A2" s="4" t="s">
        <v>1037</v>
      </c>
      <c r="B2" s="1" t="s">
        <v>1021</v>
      </c>
      <c r="C2" s="1">
        <v>272338.68000020593</v>
      </c>
      <c r="D2" s="1"/>
      <c r="E2" s="1">
        <v>0</v>
      </c>
      <c r="F2" s="1" t="s">
        <v>10</v>
      </c>
      <c r="G2" s="1" t="s">
        <v>6</v>
      </c>
    </row>
    <row r="3" spans="1:7" x14ac:dyDescent="0.35">
      <c r="A3" s="4" t="s">
        <v>1038</v>
      </c>
      <c r="B3" s="2" t="s">
        <v>1021</v>
      </c>
      <c r="C3" s="1">
        <f>221599.2689</f>
        <v>221599.2689</v>
      </c>
      <c r="D3" s="1"/>
      <c r="E3" s="1">
        <v>0</v>
      </c>
      <c r="F3" s="1" t="s">
        <v>9</v>
      </c>
      <c r="G3" s="2" t="s">
        <v>6</v>
      </c>
    </row>
    <row r="4" spans="1:7" x14ac:dyDescent="0.35">
      <c r="A4" s="3" t="s">
        <v>1039</v>
      </c>
      <c r="B4" s="2" t="s">
        <v>1021</v>
      </c>
      <c r="C4" s="2">
        <v>2462.66</v>
      </c>
      <c r="D4" s="2"/>
      <c r="E4" s="1">
        <v>14</v>
      </c>
      <c r="F4" s="2" t="s">
        <v>12</v>
      </c>
      <c r="G4" s="2" t="s">
        <v>6</v>
      </c>
    </row>
    <row r="5" spans="1:7" x14ac:dyDescent="0.35">
      <c r="A5" s="4" t="s">
        <v>1040</v>
      </c>
      <c r="B5" s="2" t="s">
        <v>1023</v>
      </c>
      <c r="C5" s="1">
        <f>1*10^14</f>
        <v>100000000000000</v>
      </c>
      <c r="D5" s="1"/>
      <c r="E5" s="1">
        <v>0</v>
      </c>
      <c r="F5" s="1" t="s">
        <v>3</v>
      </c>
      <c r="G5" s="2" t="s">
        <v>6</v>
      </c>
    </row>
    <row r="6" spans="1:7" x14ac:dyDescent="0.35">
      <c r="A6" s="45" t="s">
        <v>1041</v>
      </c>
      <c r="B6" s="46" t="s">
        <v>1021</v>
      </c>
      <c r="C6">
        <v>3117.91912</v>
      </c>
      <c r="E6" s="1">
        <v>4</v>
      </c>
      <c r="F6" t="s">
        <v>8</v>
      </c>
      <c r="G6" s="46" t="s">
        <v>6</v>
      </c>
    </row>
    <row r="7" spans="1:7" x14ac:dyDescent="0.35">
      <c r="A7" s="3" t="s">
        <v>1081</v>
      </c>
      <c r="B7" s="2" t="s">
        <v>1084</v>
      </c>
      <c r="C7" s="2">
        <f>37999.68-16300</f>
        <v>21699.68</v>
      </c>
      <c r="D7" s="2"/>
      <c r="E7" s="1">
        <v>-0.1</v>
      </c>
      <c r="F7" s="2" t="s">
        <v>10</v>
      </c>
      <c r="G7" s="2" t="s">
        <v>6</v>
      </c>
    </row>
    <row r="8" spans="1:7" x14ac:dyDescent="0.35">
      <c r="A8" s="3" t="s">
        <v>1080</v>
      </c>
      <c r="B8" s="2" t="s">
        <v>1084</v>
      </c>
      <c r="C8" s="1">
        <f>37999.68-16300</f>
        <v>21699.68</v>
      </c>
      <c r="D8" s="1"/>
      <c r="E8" s="1">
        <v>-0.1</v>
      </c>
      <c r="F8" s="1" t="s">
        <v>9</v>
      </c>
      <c r="G8" s="2" t="s">
        <v>6</v>
      </c>
    </row>
    <row r="9" spans="1:7" x14ac:dyDescent="0.35">
      <c r="A9" s="4" t="s">
        <v>1083</v>
      </c>
      <c r="B9" s="1" t="s">
        <v>1085</v>
      </c>
      <c r="C9" s="1">
        <f>32600/2</f>
        <v>16300</v>
      </c>
      <c r="D9" s="1"/>
      <c r="E9" s="1">
        <v>0</v>
      </c>
      <c r="F9" s="1" t="s">
        <v>10</v>
      </c>
      <c r="G9" s="2" t="s">
        <v>6</v>
      </c>
    </row>
    <row r="10" spans="1:7" x14ac:dyDescent="0.35">
      <c r="A10" s="50" t="s">
        <v>1082</v>
      </c>
      <c r="B10" s="51" t="s">
        <v>1085</v>
      </c>
      <c r="C10" s="51">
        <f>32600/2</f>
        <v>16300</v>
      </c>
      <c r="D10" s="51"/>
      <c r="E10" s="46">
        <v>0</v>
      </c>
      <c r="F10" s="51" t="s">
        <v>9</v>
      </c>
      <c r="G10" s="46" t="s">
        <v>6</v>
      </c>
    </row>
    <row r="11" spans="1:7" x14ac:dyDescent="0.35">
      <c r="A11" s="13" t="s">
        <v>1042</v>
      </c>
      <c r="B11" s="2" t="s">
        <v>1025</v>
      </c>
      <c r="C11" s="2">
        <v>61741.1</v>
      </c>
      <c r="D11" s="2"/>
      <c r="E11" s="2">
        <v>0</v>
      </c>
      <c r="F11" s="2" t="s">
        <v>10</v>
      </c>
      <c r="G11" s="2" t="s">
        <v>6</v>
      </c>
    </row>
    <row r="12" spans="1:7" x14ac:dyDescent="0.35">
      <c r="A12" s="14" t="s">
        <v>1043</v>
      </c>
      <c r="B12" s="2" t="s">
        <v>1025</v>
      </c>
      <c r="C12" s="1">
        <v>34501.199999999997</v>
      </c>
      <c r="D12" s="1"/>
      <c r="E12" s="1">
        <v>0</v>
      </c>
      <c r="F12" s="1" t="s">
        <v>9</v>
      </c>
      <c r="G12" s="2" t="s">
        <v>6</v>
      </c>
    </row>
    <row r="13" spans="1:7" x14ac:dyDescent="0.35">
      <c r="A13" s="13" t="s">
        <v>1044</v>
      </c>
      <c r="B13" s="2" t="s">
        <v>1025</v>
      </c>
      <c r="C13" s="2">
        <v>1607</v>
      </c>
      <c r="D13" s="2"/>
      <c r="E13" s="1">
        <v>14</v>
      </c>
      <c r="F13" s="2" t="s">
        <v>12</v>
      </c>
      <c r="G13" s="2" t="s">
        <v>6</v>
      </c>
    </row>
    <row r="14" spans="1:7" x14ac:dyDescent="0.35">
      <c r="A14" s="14" t="s">
        <v>1045</v>
      </c>
      <c r="B14" s="2" t="s">
        <v>1027</v>
      </c>
      <c r="C14" s="1">
        <f>1*10^14</f>
        <v>100000000000000</v>
      </c>
      <c r="D14" s="1"/>
      <c r="E14" s="1">
        <v>0</v>
      </c>
      <c r="F14" s="1" t="s">
        <v>3</v>
      </c>
      <c r="G14" s="2" t="s">
        <v>6</v>
      </c>
    </row>
    <row r="15" spans="1:7" x14ac:dyDescent="0.35">
      <c r="A15" s="13" t="s">
        <v>1046</v>
      </c>
      <c r="B15" s="2" t="s">
        <v>1025</v>
      </c>
      <c r="C15" s="2">
        <v>508.3</v>
      </c>
      <c r="D15" s="2"/>
      <c r="E15" s="2">
        <v>4</v>
      </c>
      <c r="F15" s="2" t="s">
        <v>8</v>
      </c>
      <c r="G15" s="2" t="s">
        <v>6</v>
      </c>
    </row>
    <row r="16" spans="1:7" x14ac:dyDescent="0.35">
      <c r="A16" s="13" t="s">
        <v>1088</v>
      </c>
      <c r="B16" s="2" t="s">
        <v>1086</v>
      </c>
      <c r="C16" s="47">
        <f>12584.9-7536.3263</f>
        <v>5048.5736999999999</v>
      </c>
      <c r="D16" s="2"/>
      <c r="E16" s="2">
        <v>-0.1</v>
      </c>
      <c r="F16" s="2" t="s">
        <v>10</v>
      </c>
      <c r="G16" s="2" t="s">
        <v>6</v>
      </c>
    </row>
    <row r="17" spans="1:7" x14ac:dyDescent="0.35">
      <c r="A17" s="13" t="s">
        <v>1089</v>
      </c>
      <c r="B17" s="2" t="s">
        <v>1086</v>
      </c>
      <c r="C17" s="47">
        <f>9922-5941.67637</f>
        <v>3980.3236299999999</v>
      </c>
      <c r="D17" s="2"/>
      <c r="E17" s="2">
        <v>-0.1</v>
      </c>
      <c r="F17" s="2" t="s">
        <v>9</v>
      </c>
      <c r="G17" s="2" t="s">
        <v>6</v>
      </c>
    </row>
    <row r="18" spans="1:7" x14ac:dyDescent="0.35">
      <c r="A18" s="14" t="s">
        <v>1090</v>
      </c>
      <c r="B18" s="2" t="s">
        <v>1087</v>
      </c>
      <c r="C18" s="48">
        <f>7536.3263</f>
        <v>7536.3262999999997</v>
      </c>
      <c r="D18" s="1"/>
      <c r="E18" s="2">
        <v>0</v>
      </c>
      <c r="F18" s="1" t="s">
        <v>10</v>
      </c>
      <c r="G18" s="2" t="s">
        <v>6</v>
      </c>
    </row>
    <row r="19" spans="1:7" x14ac:dyDescent="0.35">
      <c r="A19" s="13" t="s">
        <v>1091</v>
      </c>
      <c r="B19" s="2" t="s">
        <v>1087</v>
      </c>
      <c r="C19" s="47">
        <f>5941.67637</f>
        <v>5941.6763700000001</v>
      </c>
      <c r="D19" s="2"/>
      <c r="E19" s="2">
        <v>0</v>
      </c>
      <c r="F19" s="2" t="s">
        <v>9</v>
      </c>
      <c r="G19" s="2" t="s">
        <v>6</v>
      </c>
    </row>
    <row r="20" spans="1:7" x14ac:dyDescent="0.35">
      <c r="A20" s="49" t="s">
        <v>1095</v>
      </c>
      <c r="B20" s="2" t="s">
        <v>1021</v>
      </c>
      <c r="C20" s="2">
        <v>10000000</v>
      </c>
      <c r="D20" s="2"/>
      <c r="E20" s="2">
        <v>10000</v>
      </c>
      <c r="F20" s="2" t="s">
        <v>1094</v>
      </c>
      <c r="G20" s="46" t="s">
        <v>6</v>
      </c>
    </row>
    <row r="21" spans="1:7" x14ac:dyDescent="0.35">
      <c r="A21" s="49" t="s">
        <v>1096</v>
      </c>
      <c r="B21" s="2" t="s">
        <v>1025</v>
      </c>
      <c r="C21" s="2">
        <v>10000000</v>
      </c>
      <c r="D21" s="2"/>
      <c r="E21" s="2">
        <v>10000</v>
      </c>
      <c r="F21" s="2" t="s">
        <v>1094</v>
      </c>
      <c r="G21" s="2" t="s">
        <v>6</v>
      </c>
    </row>
    <row r="22" spans="1:7" x14ac:dyDescent="0.35">
      <c r="A22" s="49" t="s">
        <v>1097</v>
      </c>
      <c r="B22" s="2" t="s">
        <v>1024</v>
      </c>
      <c r="C22" s="2">
        <v>10000000</v>
      </c>
      <c r="D22" s="2"/>
      <c r="E22" s="2">
        <v>3000</v>
      </c>
      <c r="F22" s="2" t="s">
        <v>1094</v>
      </c>
      <c r="G22" s="46" t="s">
        <v>6</v>
      </c>
    </row>
    <row r="23" spans="1:7" x14ac:dyDescent="0.35">
      <c r="A23" s="49" t="s">
        <v>1098</v>
      </c>
      <c r="B23" s="2" t="s">
        <v>1028</v>
      </c>
      <c r="C23" s="2">
        <v>10000000</v>
      </c>
      <c r="D23" s="2"/>
      <c r="E23" s="2">
        <v>3000</v>
      </c>
      <c r="F23" s="2" t="s">
        <v>1094</v>
      </c>
      <c r="G23" s="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E21" sqref="E21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1052</v>
      </c>
      <c r="B2" s="31" t="s">
        <v>1021</v>
      </c>
      <c r="C2" s="31"/>
      <c r="D2" s="31" t="s">
        <v>7</v>
      </c>
      <c r="E2" s="31" t="s">
        <v>6</v>
      </c>
    </row>
    <row r="3" spans="1:5" x14ac:dyDescent="0.35">
      <c r="A3" s="3" t="s">
        <v>1053</v>
      </c>
      <c r="B3" s="2" t="s">
        <v>1024</v>
      </c>
      <c r="C3" s="2"/>
      <c r="D3" s="2" t="s">
        <v>4</v>
      </c>
      <c r="E3" s="2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x14ac:dyDescent="0.35">
      <c r="A5" s="13" t="s">
        <v>1055</v>
      </c>
      <c r="B5" s="2" t="s">
        <v>1028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M17"/>
  <sheetViews>
    <sheetView workbookViewId="0">
      <selection activeCell="I5" sqref="I5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6" width="11.81640625" customWidth="1"/>
    <col min="8" max="8" width="9.26953125" bestFit="1" customWidth="1"/>
    <col min="9" max="9" width="12.6328125" customWidth="1"/>
    <col min="10" max="10" width="13.36328125" bestFit="1" customWidth="1"/>
    <col min="11" max="11" width="16.08984375" bestFit="1" customWidth="1"/>
    <col min="12" max="12" width="9.08984375" bestFit="1" customWidth="1"/>
    <col min="13" max="13" width="9.26953125" bestFit="1" customWidth="1"/>
  </cols>
  <sheetData>
    <row r="1" spans="1:13" ht="15" thickBot="1" x14ac:dyDescent="0.4">
      <c r="A1" s="29" t="s">
        <v>5</v>
      </c>
      <c r="B1" s="29" t="s">
        <v>1069</v>
      </c>
      <c r="C1" s="29" t="s">
        <v>1070</v>
      </c>
      <c r="D1" s="29" t="s">
        <v>13</v>
      </c>
      <c r="E1" s="56" t="s">
        <v>1093</v>
      </c>
      <c r="F1" s="56" t="s">
        <v>1092</v>
      </c>
      <c r="G1" s="29" t="s">
        <v>14</v>
      </c>
      <c r="H1" s="29" t="s">
        <v>17</v>
      </c>
      <c r="I1" s="29" t="s">
        <v>15</v>
      </c>
      <c r="J1" s="29" t="s">
        <v>19</v>
      </c>
      <c r="K1" s="29" t="s">
        <v>20</v>
      </c>
      <c r="L1" s="29" t="s">
        <v>0</v>
      </c>
      <c r="M1" s="29" t="s">
        <v>1</v>
      </c>
    </row>
    <row r="2" spans="1:13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>
        <v>1</v>
      </c>
      <c r="F2" s="1">
        <v>0</v>
      </c>
      <c r="G2" s="1"/>
      <c r="H2" s="1">
        <v>0.57999999999999996</v>
      </c>
      <c r="I2" s="1">
        <v>96</v>
      </c>
      <c r="J2" s="1">
        <v>842.35602840000001</v>
      </c>
      <c r="K2" s="1">
        <v>1052.945035</v>
      </c>
      <c r="L2" s="1" t="s">
        <v>3</v>
      </c>
      <c r="M2" s="1" t="s">
        <v>6</v>
      </c>
    </row>
    <row r="3" spans="1:13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1">
        <v>1</v>
      </c>
      <c r="F3" s="1">
        <v>0</v>
      </c>
      <c r="G3" s="2"/>
      <c r="H3" s="1">
        <v>0.85</v>
      </c>
      <c r="I3" s="2">
        <v>4</v>
      </c>
      <c r="J3" s="1"/>
      <c r="K3" s="2"/>
      <c r="L3" s="1" t="s">
        <v>8</v>
      </c>
      <c r="M3" s="2" t="s">
        <v>6</v>
      </c>
    </row>
    <row r="4" spans="1:13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>
        <v>1</v>
      </c>
      <c r="F4" s="2">
        <v>0</v>
      </c>
      <c r="G4" s="2"/>
      <c r="H4" s="2">
        <v>0.75</v>
      </c>
      <c r="I4" s="2">
        <v>40</v>
      </c>
      <c r="J4" s="2"/>
      <c r="K4" s="2"/>
      <c r="L4" s="2" t="s">
        <v>7</v>
      </c>
      <c r="M4" s="2" t="s">
        <v>6</v>
      </c>
    </row>
    <row r="5" spans="1:13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2">
        <v>1</v>
      </c>
      <c r="F5" s="2">
        <v>0</v>
      </c>
      <c r="G5" s="2"/>
      <c r="H5" s="2">
        <v>0.7</v>
      </c>
      <c r="I5" s="2"/>
      <c r="J5" s="2"/>
      <c r="K5" s="2"/>
      <c r="L5" s="2" t="s">
        <v>4</v>
      </c>
      <c r="M5" s="2" t="s">
        <v>6</v>
      </c>
    </row>
    <row r="6" spans="1:13" x14ac:dyDescent="0.35">
      <c r="A6" s="3" t="s">
        <v>1076</v>
      </c>
      <c r="B6" s="2" t="s">
        <v>1085</v>
      </c>
      <c r="C6" s="2" t="s">
        <v>1024</v>
      </c>
      <c r="D6" s="2">
        <v>32600</v>
      </c>
      <c r="E6" s="2">
        <v>1</v>
      </c>
      <c r="F6" s="2">
        <v>0</v>
      </c>
      <c r="G6" s="2"/>
      <c r="H6" s="2">
        <v>0.7</v>
      </c>
      <c r="I6" s="2">
        <v>0</v>
      </c>
      <c r="J6" s="2"/>
      <c r="K6" s="2"/>
      <c r="L6" s="2" t="s">
        <v>4</v>
      </c>
      <c r="M6" s="2" t="s">
        <v>6</v>
      </c>
    </row>
    <row r="7" spans="1:13" x14ac:dyDescent="0.35">
      <c r="A7" s="3" t="s">
        <v>1077</v>
      </c>
      <c r="B7" s="2" t="s">
        <v>1084</v>
      </c>
      <c r="C7" s="2" t="s">
        <v>1021</v>
      </c>
      <c r="D7" s="2">
        <v>100000</v>
      </c>
      <c r="E7" s="2">
        <v>1</v>
      </c>
      <c r="F7" s="2">
        <v>0</v>
      </c>
      <c r="G7" s="2"/>
      <c r="H7" s="2">
        <v>1</v>
      </c>
      <c r="I7" s="2">
        <v>0</v>
      </c>
      <c r="J7" s="2"/>
      <c r="K7" s="2"/>
      <c r="L7" s="2" t="s">
        <v>7</v>
      </c>
      <c r="M7" s="2" t="s">
        <v>6</v>
      </c>
    </row>
    <row r="8" spans="1:13" x14ac:dyDescent="0.35">
      <c r="A8" s="14" t="s">
        <v>1033</v>
      </c>
      <c r="B8" s="1" t="s">
        <v>1027</v>
      </c>
      <c r="C8" s="1" t="s">
        <v>1025</v>
      </c>
      <c r="D8" s="57">
        <v>1357</v>
      </c>
      <c r="E8" s="1">
        <v>1</v>
      </c>
      <c r="F8" s="1">
        <v>0</v>
      </c>
      <c r="G8" s="1"/>
      <c r="H8" s="1">
        <v>0.57999999999999996</v>
      </c>
      <c r="I8" s="1">
        <v>96</v>
      </c>
      <c r="J8" s="1">
        <v>2.4</v>
      </c>
      <c r="K8" s="1">
        <v>3</v>
      </c>
      <c r="L8" s="1" t="s">
        <v>3</v>
      </c>
      <c r="M8" s="1" t="s">
        <v>6</v>
      </c>
    </row>
    <row r="9" spans="1:13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1">
        <v>1</v>
      </c>
      <c r="F9" s="1">
        <v>0</v>
      </c>
      <c r="G9" s="2"/>
      <c r="H9" s="1">
        <v>0.85</v>
      </c>
      <c r="I9" s="2">
        <v>4</v>
      </c>
      <c r="J9" s="1"/>
      <c r="K9" s="2"/>
      <c r="L9" s="1" t="s">
        <v>8</v>
      </c>
      <c r="M9" s="2" t="s">
        <v>6</v>
      </c>
    </row>
    <row r="10" spans="1:13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>
        <v>1</v>
      </c>
      <c r="F10" s="2">
        <v>0</v>
      </c>
      <c r="G10" s="2"/>
      <c r="H10" s="2">
        <v>0.75</v>
      </c>
      <c r="I10" s="2">
        <v>40</v>
      </c>
      <c r="J10" s="2"/>
      <c r="K10" s="2"/>
      <c r="L10" s="2" t="s">
        <v>7</v>
      </c>
      <c r="M10" s="2" t="s">
        <v>6</v>
      </c>
    </row>
    <row r="11" spans="1:13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1">
        <v>1</v>
      </c>
      <c r="F11" s="1">
        <v>0</v>
      </c>
      <c r="G11" s="2"/>
      <c r="H11" s="1">
        <v>0.7</v>
      </c>
      <c r="I11" s="2"/>
      <c r="J11" s="1"/>
      <c r="K11" s="2"/>
      <c r="L11" s="1" t="s">
        <v>4</v>
      </c>
      <c r="M11" s="2" t="s">
        <v>6</v>
      </c>
    </row>
    <row r="12" spans="1:13" x14ac:dyDescent="0.35">
      <c r="A12" s="13" t="s">
        <v>1078</v>
      </c>
      <c r="B12" s="2" t="s">
        <v>1087</v>
      </c>
      <c r="C12" s="2" t="s">
        <v>1028</v>
      </c>
      <c r="D12" s="2">
        <v>13478</v>
      </c>
      <c r="E12" s="2">
        <v>1</v>
      </c>
      <c r="F12" s="2">
        <v>0</v>
      </c>
      <c r="G12" s="2"/>
      <c r="H12" s="2">
        <v>0.7</v>
      </c>
      <c r="I12" s="2">
        <v>0</v>
      </c>
      <c r="J12" s="2"/>
      <c r="K12" s="2"/>
      <c r="L12" s="2" t="s">
        <v>4</v>
      </c>
      <c r="M12" s="2" t="s">
        <v>6</v>
      </c>
    </row>
    <row r="13" spans="1:13" x14ac:dyDescent="0.35">
      <c r="A13" s="13" t="s">
        <v>1079</v>
      </c>
      <c r="B13" s="2" t="s">
        <v>1086</v>
      </c>
      <c r="C13" s="2" t="s">
        <v>1025</v>
      </c>
      <c r="D13" s="2">
        <v>1000000</v>
      </c>
      <c r="E13" s="2">
        <v>1</v>
      </c>
      <c r="F13" s="2">
        <v>0</v>
      </c>
      <c r="G13" s="2"/>
      <c r="H13" s="2">
        <v>1</v>
      </c>
      <c r="I13" s="2">
        <v>0</v>
      </c>
      <c r="J13" s="2"/>
      <c r="K13" s="2"/>
      <c r="L13" s="2" t="s">
        <v>7</v>
      </c>
      <c r="M13" s="2" t="s">
        <v>6</v>
      </c>
    </row>
    <row r="14" spans="1:13" x14ac:dyDescent="0.35">
      <c r="A14" s="42" t="s">
        <v>1072</v>
      </c>
      <c r="B14" s="1" t="s">
        <v>1021</v>
      </c>
      <c r="C14" s="1" t="s">
        <v>1025</v>
      </c>
      <c r="D14" s="55">
        <v>4500</v>
      </c>
      <c r="E14" s="55">
        <v>1</v>
      </c>
      <c r="F14" s="55">
        <v>0.78900000000000003</v>
      </c>
      <c r="G14" s="1"/>
      <c r="H14" s="1">
        <v>0.97499999999999998</v>
      </c>
      <c r="I14" s="1">
        <v>3</v>
      </c>
      <c r="J14" s="1"/>
      <c r="K14" s="1"/>
      <c r="L14" s="1" t="s">
        <v>7</v>
      </c>
      <c r="M14" s="1" t="s">
        <v>6</v>
      </c>
    </row>
    <row r="15" spans="1:13" x14ac:dyDescent="0.35">
      <c r="A15" s="43" t="s">
        <v>1073</v>
      </c>
      <c r="B15" s="2" t="s">
        <v>1024</v>
      </c>
      <c r="C15" s="2" t="s">
        <v>1028</v>
      </c>
      <c r="D15" s="55">
        <v>100000</v>
      </c>
      <c r="E15" s="55">
        <v>1</v>
      </c>
      <c r="F15" s="55">
        <v>0</v>
      </c>
      <c r="G15" s="1"/>
      <c r="H15" s="1">
        <v>0.97499999999999998</v>
      </c>
      <c r="I15" s="1">
        <v>3</v>
      </c>
      <c r="J15" s="2"/>
      <c r="K15" s="2"/>
      <c r="L15" s="2" t="s">
        <v>4</v>
      </c>
      <c r="M15" s="2" t="s">
        <v>6</v>
      </c>
    </row>
    <row r="16" spans="1:13" x14ac:dyDescent="0.35">
      <c r="A16" s="42" t="s">
        <v>1074</v>
      </c>
      <c r="B16" s="1" t="s">
        <v>1025</v>
      </c>
      <c r="C16" s="1" t="s">
        <v>1021</v>
      </c>
      <c r="D16" s="55">
        <v>100000</v>
      </c>
      <c r="E16" s="55">
        <v>1</v>
      </c>
      <c r="F16" s="55">
        <v>0</v>
      </c>
      <c r="G16" s="1"/>
      <c r="H16" s="1">
        <v>0.97499999999999998</v>
      </c>
      <c r="I16" s="1">
        <v>3</v>
      </c>
      <c r="J16" s="1"/>
      <c r="K16" s="1"/>
      <c r="L16" s="1" t="s">
        <v>7</v>
      </c>
      <c r="M16" s="1" t="s">
        <v>6</v>
      </c>
    </row>
    <row r="17" spans="1:13" x14ac:dyDescent="0.35">
      <c r="A17" s="43" t="s">
        <v>1075</v>
      </c>
      <c r="B17" s="2" t="s">
        <v>1028</v>
      </c>
      <c r="C17" s="2" t="s">
        <v>1024</v>
      </c>
      <c r="D17" s="55">
        <v>3500</v>
      </c>
      <c r="E17" s="55">
        <v>1</v>
      </c>
      <c r="F17" s="55">
        <v>0.53800000000000003</v>
      </c>
      <c r="G17" s="1"/>
      <c r="H17" s="1">
        <v>0.97499999999999998</v>
      </c>
      <c r="I17" s="1">
        <v>3</v>
      </c>
      <c r="J17" s="2"/>
      <c r="K17" s="2"/>
      <c r="L17" s="2" t="s">
        <v>4</v>
      </c>
      <c r="M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F26" sqref="F26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29" t="s">
        <v>5</v>
      </c>
      <c r="B1" s="29" t="s">
        <v>16</v>
      </c>
      <c r="C1" s="29" t="s">
        <v>13</v>
      </c>
      <c r="D1" s="29" t="s">
        <v>22</v>
      </c>
      <c r="E1" s="29" t="s">
        <v>23</v>
      </c>
      <c r="F1" s="29" t="s">
        <v>24</v>
      </c>
      <c r="G1" s="29" t="s">
        <v>14</v>
      </c>
      <c r="H1" s="29" t="s">
        <v>25</v>
      </c>
      <c r="I1" s="29" t="s">
        <v>15</v>
      </c>
      <c r="J1" s="29" t="s">
        <v>0</v>
      </c>
      <c r="K1" s="29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x14ac:dyDescent="0.35">
      <c r="A3" s="3" t="s">
        <v>1048</v>
      </c>
      <c r="B3" s="2" t="s">
        <v>1024</v>
      </c>
      <c r="C3" s="2">
        <v>10000</v>
      </c>
      <c r="D3" s="2">
        <v>1000</v>
      </c>
      <c r="E3" s="2">
        <v>1</v>
      </c>
      <c r="F3" s="2">
        <v>1</v>
      </c>
      <c r="G3" s="2"/>
      <c r="H3" s="2" t="s">
        <v>1020</v>
      </c>
      <c r="I3" s="2">
        <v>2</v>
      </c>
      <c r="J3" s="2" t="s">
        <v>4</v>
      </c>
      <c r="K3" s="2" t="s">
        <v>6</v>
      </c>
    </row>
    <row r="4" spans="1:11" x14ac:dyDescent="0.35">
      <c r="A4" s="13" t="s">
        <v>1049</v>
      </c>
      <c r="B4" s="2" t="s">
        <v>1025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A3" sqref="A3:K3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52" t="s">
        <v>1050</v>
      </c>
      <c r="B2" s="53" t="s">
        <v>1022</v>
      </c>
      <c r="C2" s="53">
        <f>1387684*10^3</f>
        <v>1387684000</v>
      </c>
      <c r="D2" s="53">
        <f>C2*F2</f>
        <v>1248915600</v>
      </c>
      <c r="E2" s="53">
        <v>0.2</v>
      </c>
      <c r="F2" s="53">
        <v>0.9</v>
      </c>
      <c r="G2" s="53" t="s">
        <v>6</v>
      </c>
      <c r="H2" s="53"/>
      <c r="I2" s="53">
        <v>1</v>
      </c>
      <c r="J2" s="53" t="s">
        <v>8</v>
      </c>
      <c r="K2" s="53" t="s">
        <v>6</v>
      </c>
    </row>
    <row r="3" spans="1:11" x14ac:dyDescent="0.35">
      <c r="A3" s="13" t="s">
        <v>1051</v>
      </c>
      <c r="B3" s="2" t="s">
        <v>1026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169"/>
  <sheetViews>
    <sheetView workbookViewId="0">
      <selection activeCell="D17" sqref="D17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1052</v>
      </c>
      <c r="C1" s="39" t="s">
        <v>1053</v>
      </c>
      <c r="D1" s="36" t="s">
        <v>1054</v>
      </c>
      <c r="E1" s="40" t="s">
        <v>1055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881.5450279645795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882.66181708949705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883.1693916990763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884.88543603280948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890.60517070564435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902.69487346286678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911.54207295275273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910.88756687028069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905.87186382319703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903.0907591022584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900.2245305632747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898.08547057054011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896.46869399942602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894.23997642603513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893.36737029285462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892.85598737774421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893.76401855726976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895.65548245421132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896.76084213774766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898.55438445177583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899.00481353372561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896.83789472107685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890.61356618289244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884.33353030575938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880.91093111187683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881.97685327519355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882.0909989621465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883.53033250210535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888.51370713542485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899.49565963368309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907.83804287385578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907.48561154790013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902.84720298669663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900.44834758508944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897.82532068063824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895.89601294787781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894.89614908245971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892.59933850824052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891.74429470845723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891.13035445477203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891.98906397809697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893.88949642002251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894.96624277810167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896.7101044691392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896.8960469072415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895.00279648597723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889.3295153897127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883.57192818252736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878.9720447474748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879.10542594324602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878.82098828694052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880.07473582465423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883.9815731346506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892.30632427281159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899.12268471287734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898.80521445639818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894.71476297133734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893.05896922994555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892.09333886668992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890.20843756815964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889.34926102450015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886.78805004875881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887.43983407465737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886.5606366214322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887.17771826910064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888.26269799307397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889.17420313712591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890.10882234369137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890.44931083120753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889.33752128129333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885.24125818565608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880.99140069553084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883.5216916685813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885.0496677040959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885.0074118223738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887.81604700061928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893.8402925242757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904.39421702044797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906.4418500168058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906.21035272842096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901.14822114580909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899.0339405390431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897.40033579662384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896.00827675061976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894.97216667413147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892.83297997140482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892.763395760761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892.14853526468937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893.43091858932519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895.24269854275735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896.37168973880114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897.89952555839341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898.59927616039977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896.86550213975124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891.77673545995015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886.51605423346859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884.81579810132871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886.01944946923902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886.28969897734294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887.8782202983474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892.83673198032102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903.85873538479029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911.10727552056994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910.28024711726118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905.67684131527585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903.54404572293413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901.26185177742946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899.10964733385117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897.72310898861633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895.24316975345062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894.75064102364308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894.15492466530588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895.08830764831066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896.97076628998752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898.29664168424836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899.88322993807867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900.62343172994838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898.31443334956271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893.09934088271166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887.85126533344021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887.92002383794943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889.11987263944593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889.54812537457883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891.13759807838778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896.4269192404131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907.96489385582481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916.17203610810657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915.288932129724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910.83484402534782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908.36078252597815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905.39948316276866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903.16045372218434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901.54946053226854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899.00961499196058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898.36242402296773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897.68696690626882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898.62847355918711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900.79052776907406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901.89947674625159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903.26326582751233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903.82570722150047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901.26638986342562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895.45338108237138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890.29909365283333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895.54171067656068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897.01068466350841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897.56099330943653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900.10934288374642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906.45439048095943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920.0333081618154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930.11879778317552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929.46615781349533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925.21044240658262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922.11552498053413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918.22010400411943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915.18911957386774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913.12278422415648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910.71278708730085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910.30085031465626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909.83866500703516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911.1404980942707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913.51737072764024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914.45499666716023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915.60090304003757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916.12089720584856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912.53655583848831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904.65503042794307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898.19160639359666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1063</v>
      </c>
      <c r="C1" s="34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E3" sqref="E3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1056</v>
      </c>
      <c r="C1" s="33" t="s">
        <v>1057</v>
      </c>
      <c r="D1" s="36" t="s">
        <v>1062</v>
      </c>
      <c r="E1" s="36" t="s">
        <v>1061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E8761"/>
  <sheetViews>
    <sheetView workbookViewId="0">
      <selection activeCell="E1" sqref="E1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</cols>
  <sheetData>
    <row r="1" spans="1:5" ht="15" thickBot="1" x14ac:dyDescent="0.4">
      <c r="A1" t="s">
        <v>1101</v>
      </c>
      <c r="B1" s="36" t="s">
        <v>1099</v>
      </c>
      <c r="C1" s="36" t="s">
        <v>1100</v>
      </c>
      <c r="D1" s="36" t="s">
        <v>1102</v>
      </c>
      <c r="E1" s="36" t="s">
        <v>1103</v>
      </c>
    </row>
    <row r="2" spans="1:5" x14ac:dyDescent="0.35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</row>
    <row r="3" spans="1:5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</row>
    <row r="4" spans="1:5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</row>
    <row r="5" spans="1:5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</row>
    <row r="6" spans="1:5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</row>
    <row r="7" spans="1:5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</row>
    <row r="8" spans="1:5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</row>
    <row r="9" spans="1:5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</row>
    <row r="10" spans="1:5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</row>
    <row r="11" spans="1:5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</row>
    <row r="12" spans="1:5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</row>
    <row r="13" spans="1:5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</row>
    <row r="14" spans="1:5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</row>
    <row r="15" spans="1:5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</row>
    <row r="16" spans="1:5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</row>
    <row r="17" spans="1:5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</row>
    <row r="18" spans="1:5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</row>
    <row r="19" spans="1:5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</row>
    <row r="20" spans="1:5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</row>
    <row r="21" spans="1:5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</row>
    <row r="22" spans="1:5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</row>
    <row r="23" spans="1:5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</row>
    <row r="24" spans="1:5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</row>
    <row r="25" spans="1:5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</row>
    <row r="26" spans="1:5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</row>
    <row r="27" spans="1:5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</row>
    <row r="28" spans="1:5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</row>
    <row r="29" spans="1:5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</row>
    <row r="30" spans="1:5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</row>
    <row r="31" spans="1:5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</row>
    <row r="32" spans="1:5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</row>
    <row r="33" spans="1:5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</row>
    <row r="34" spans="1:5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</row>
    <row r="35" spans="1:5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</row>
    <row r="36" spans="1:5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</row>
    <row r="37" spans="1:5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</row>
    <row r="38" spans="1:5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</row>
    <row r="39" spans="1:5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</row>
    <row r="40" spans="1:5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</row>
    <row r="41" spans="1:5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</row>
    <row r="42" spans="1:5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</row>
    <row r="43" spans="1:5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</row>
    <row r="44" spans="1:5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</row>
    <row r="45" spans="1:5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</row>
    <row r="46" spans="1:5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</row>
    <row r="47" spans="1:5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</row>
    <row r="48" spans="1:5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</row>
    <row r="49" spans="1:5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</row>
    <row r="50" spans="1:5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</row>
    <row r="51" spans="1:5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</row>
    <row r="52" spans="1:5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</row>
    <row r="53" spans="1:5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</row>
    <row r="54" spans="1:5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</row>
    <row r="55" spans="1:5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</row>
    <row r="56" spans="1:5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</row>
    <row r="57" spans="1:5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</row>
    <row r="58" spans="1:5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</row>
    <row r="59" spans="1:5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</row>
    <row r="60" spans="1:5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</row>
    <row r="61" spans="1:5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</row>
    <row r="62" spans="1:5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</row>
    <row r="63" spans="1:5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</row>
    <row r="64" spans="1:5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</row>
    <row r="65" spans="1:5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</row>
    <row r="66" spans="1:5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</row>
    <row r="67" spans="1:5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</row>
    <row r="68" spans="1:5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</row>
    <row r="69" spans="1:5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</row>
    <row r="70" spans="1:5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</row>
    <row r="71" spans="1:5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</row>
    <row r="72" spans="1:5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</row>
    <row r="73" spans="1:5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</row>
    <row r="74" spans="1:5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</row>
    <row r="75" spans="1:5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</row>
    <row r="76" spans="1:5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</row>
    <row r="77" spans="1:5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</row>
    <row r="78" spans="1:5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</row>
    <row r="79" spans="1:5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</row>
    <row r="80" spans="1:5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</row>
    <row r="81" spans="1:5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</row>
    <row r="82" spans="1:5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</row>
    <row r="83" spans="1:5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</row>
    <row r="84" spans="1:5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</row>
    <row r="85" spans="1:5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</row>
    <row r="86" spans="1:5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</row>
    <row r="87" spans="1:5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</row>
    <row r="88" spans="1:5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</row>
    <row r="89" spans="1:5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</row>
    <row r="90" spans="1:5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</row>
    <row r="91" spans="1:5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</row>
    <row r="92" spans="1:5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</row>
    <row r="93" spans="1:5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</row>
    <row r="94" spans="1:5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</row>
    <row r="95" spans="1:5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</row>
    <row r="96" spans="1:5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</row>
    <row r="97" spans="1:5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</row>
    <row r="98" spans="1:5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</row>
    <row r="99" spans="1:5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</row>
    <row r="100" spans="1:5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</row>
    <row r="101" spans="1:5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</row>
    <row r="102" spans="1:5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</row>
    <row r="103" spans="1:5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</row>
    <row r="104" spans="1:5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</row>
    <row r="105" spans="1:5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</row>
    <row r="106" spans="1:5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</row>
    <row r="107" spans="1:5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</row>
    <row r="108" spans="1:5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</row>
    <row r="109" spans="1:5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</row>
    <row r="110" spans="1:5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</row>
    <row r="111" spans="1:5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</row>
    <row r="112" spans="1:5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</row>
    <row r="113" spans="1:5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</row>
    <row r="114" spans="1:5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</row>
    <row r="115" spans="1:5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</row>
    <row r="116" spans="1:5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</row>
    <row r="117" spans="1:5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</row>
    <row r="118" spans="1:5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</row>
    <row r="119" spans="1:5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</row>
    <row r="120" spans="1:5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</row>
    <row r="121" spans="1:5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</row>
    <row r="122" spans="1:5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</row>
    <row r="123" spans="1:5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</row>
    <row r="124" spans="1:5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</row>
    <row r="125" spans="1:5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</row>
    <row r="126" spans="1:5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</row>
    <row r="127" spans="1:5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</row>
    <row r="128" spans="1:5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</row>
    <row r="129" spans="1:5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</row>
    <row r="130" spans="1:5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</row>
    <row r="131" spans="1:5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</row>
    <row r="132" spans="1:5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</row>
    <row r="133" spans="1:5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</row>
    <row r="134" spans="1:5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</row>
    <row r="135" spans="1:5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</row>
    <row r="136" spans="1:5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</row>
    <row r="137" spans="1:5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</row>
    <row r="138" spans="1:5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</row>
    <row r="139" spans="1:5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</row>
    <row r="140" spans="1:5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</row>
    <row r="141" spans="1:5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</row>
    <row r="142" spans="1:5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</row>
    <row r="143" spans="1:5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</row>
    <row r="144" spans="1:5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</row>
    <row r="145" spans="1:5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</row>
    <row r="146" spans="1:5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</row>
    <row r="147" spans="1:5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</row>
    <row r="148" spans="1:5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</row>
    <row r="149" spans="1:5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</row>
    <row r="150" spans="1:5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</row>
    <row r="151" spans="1:5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</row>
    <row r="152" spans="1:5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</row>
    <row r="153" spans="1:5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</row>
    <row r="154" spans="1:5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</row>
    <row r="155" spans="1:5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</row>
    <row r="156" spans="1:5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</row>
    <row r="157" spans="1:5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</row>
    <row r="158" spans="1:5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</row>
    <row r="159" spans="1:5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</row>
    <row r="160" spans="1:5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</row>
    <row r="161" spans="1:5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</row>
    <row r="162" spans="1:5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</row>
    <row r="163" spans="1:5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</row>
    <row r="164" spans="1:5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</row>
    <row r="165" spans="1:5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</row>
    <row r="166" spans="1:5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</row>
    <row r="167" spans="1:5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</row>
    <row r="168" spans="1:5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</row>
    <row r="169" spans="1:5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</row>
    <row r="170" spans="1:5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5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5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5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5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5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5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1058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1059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1058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1058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1060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1058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1058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1060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1060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2026-01-26T16:22:35Z</dcterms:modified>
</cp:coreProperties>
</file>