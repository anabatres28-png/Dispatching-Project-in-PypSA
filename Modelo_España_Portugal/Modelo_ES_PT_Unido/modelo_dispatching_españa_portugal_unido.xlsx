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\"/>
    </mc:Choice>
  </mc:AlternateContent>
  <xr:revisionPtr revIDLastSave="0" documentId="13_ncr:1_{FAD58EB7-8CFD-4BE4-8B83-39F03D5F5C41}" xr6:coauthVersionLast="47" xr6:coauthVersionMax="47" xr10:uidLastSave="{00000000-0000-0000-0000-000000000000}"/>
  <bookViews>
    <workbookView xWindow="-110" yWindow="-110" windowWidth="19420" windowHeight="10300" tabRatio="752" activeTab="2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8" i="3"/>
  <c r="C17" i="3"/>
  <c r="C16" i="3"/>
  <c r="C7" i="3"/>
  <c r="C8" i="3"/>
  <c r="C10" i="3"/>
  <c r="C9" i="3"/>
  <c r="D2" i="7"/>
  <c r="C3" i="3" l="1"/>
  <c r="C2" i="7" l="1"/>
  <c r="C3" i="7"/>
  <c r="D3" i="7" s="1"/>
  <c r="C14" i="3" l="1"/>
  <c r="C2" i="6"/>
  <c r="D4" i="4" l="1"/>
  <c r="D3" i="4"/>
  <c r="D2" i="4"/>
  <c r="C5" i="3"/>
</calcChain>
</file>

<file path=xl/sharedStrings.xml><?xml version="1.0" encoding="utf-8"?>
<sst xmlns="http://schemas.openxmlformats.org/spreadsheetml/2006/main" count="26549" uniqueCount="1104">
  <si>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</si>
  <si>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</si>
  <si>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</si>
  <si>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</si>
  <si>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</si>
  <si>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</si>
  <si>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</si>
  <si>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</si>
  <si>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</si>
  <si>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</si>
  <si>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</si>
  <si>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</si>
  <si>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</si>
  <si>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</si>
  <si>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</si>
  <si>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</si>
  <si>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</si>
  <si>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</si>
  <si>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</si>
  <si>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</si>
  <si>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</si>
  <si>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</si>
  <si>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</si>
  <si>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</si>
  <si>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</si>
  <si>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</si>
  <si>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</si>
  <si>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</si>
  <si>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</si>
  <si>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</si>
  <si>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</si>
  <si>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</si>
  <si>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</si>
  <si>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</si>
  <si>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</si>
  <si>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</si>
  <si>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</si>
  <si>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</si>
  <si>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</si>
  <si>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</si>
  <si>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</si>
  <si>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</si>
  <si>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</si>
  <si>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</si>
  <si>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</si>
  <si>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</si>
  <si>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</si>
  <si>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</si>
  <si>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</si>
  <si>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</si>
  <si>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</si>
  <si>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</si>
  <si>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</si>
  <si>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</si>
  <si>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</si>
  <si>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</si>
  <si>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</si>
  <si>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</si>
  <si>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</si>
  <si>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</si>
  <si>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</si>
  <si>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</si>
  <si>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</si>
  <si>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</si>
  <si>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</si>
  <si>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</si>
  <si>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</si>
  <si>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</si>
  <si>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</si>
  <si>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</si>
  <si>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</si>
  <si>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</si>
  <si>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</si>
  <si>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</si>
  <si>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</si>
  <si>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</si>
  <si>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</si>
  <si>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</si>
  <si>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</si>
  <si>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</si>
  <si>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</si>
  <si>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</si>
  <si>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</si>
  <si>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</si>
  <si>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</si>
  <si>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</si>
  <si>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</si>
  <si>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</si>
  <si>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</si>
  <si>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</si>
  <si>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</si>
  <si>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</si>
  <si>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</si>
  <si>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</si>
  <si>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</si>
  <si>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</si>
  <si>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</si>
  <si>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</si>
  <si>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</si>
  <si>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</si>
  <si>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</si>
  <si>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</si>
  <si>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</si>
  <si>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</si>
  <si>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</si>
  <si>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</si>
  <si>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</si>
  <si>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</si>
  <si>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</si>
  <si>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</si>
  <si>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</si>
  <si>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</si>
  <si>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</si>
  <si>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</si>
  <si>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</si>
  <si>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</si>
  <si>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</si>
  <si>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</si>
  <si>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</si>
  <si>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</si>
  <si>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</si>
  <si>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</si>
  <si>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</si>
  <si>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</si>
  <si>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</si>
  <si>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</si>
  <si>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</si>
  <si>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</si>
  <si>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</si>
  <si>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</si>
  <si>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</si>
  <si>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</si>
  <si>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</si>
  <si>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</si>
  <si>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</si>
  <si>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</si>
  <si>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</si>
  <si>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</si>
  <si>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</si>
  <si>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</si>
  <si>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</si>
  <si>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</si>
  <si>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</si>
  <si>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</si>
  <si>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</si>
  <si>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</si>
  <si>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</si>
  <si>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</si>
  <si>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</si>
  <si>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</si>
  <si>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</si>
  <si>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</si>
  <si>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</si>
  <si>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</si>
  <si>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</si>
  <si>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</si>
  <si>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</si>
  <si>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</si>
  <si>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</si>
  <si>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</si>
  <si>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</si>
  <si>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</si>
  <si>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</si>
  <si>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</si>
  <si>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</si>
  <si>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</si>
  <si>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</si>
  <si>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</si>
  <si>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</si>
  <si>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</si>
  <si>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</si>
  <si>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</si>
  <si>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</si>
  <si>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</si>
  <si>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</si>
  <si>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</si>
  <si>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</si>
  <si>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</si>
  <si>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</si>
  <si>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</si>
  <si>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</si>
  <si>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</si>
  <si>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</si>
  <si>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</si>
  <si>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</si>
  <si>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</si>
  <si>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</si>
  <si>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</si>
  <si>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</si>
  <si>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</si>
  <si>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</si>
  <si>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</si>
  <si>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</si>
  <si>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</si>
  <si>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</si>
  <si>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</si>
  <si>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</si>
  <si>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</si>
  <si>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</si>
  <si>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</si>
  <si>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</si>
  <si>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</si>
  <si>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</si>
  <si>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</si>
  <si>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</si>
  <si>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</si>
  <si>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</si>
  <si>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</si>
  <si>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</si>
  <si>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</si>
  <si>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</si>
  <si>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</si>
  <si>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</si>
  <si>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</si>
  <si>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</si>
  <si>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</si>
  <si>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</si>
  <si>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</si>
  <si>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</si>
  <si>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</si>
  <si>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</si>
  <si>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</si>
  <si>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</si>
  <si>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</si>
  <si>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</si>
  <si>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</si>
  <si>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</si>
  <si>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</si>
  <si>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</si>
  <si>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</si>
  <si>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</si>
  <si>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</si>
  <si>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</si>
  <si>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</si>
  <si>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</si>
  <si>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</si>
  <si>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</si>
  <si>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</si>
  <si>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</si>
  <si>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</si>
  <si>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</si>
  <si>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</si>
  <si>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</si>
  <si>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</si>
  <si>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</si>
  <si>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</si>
  <si>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</si>
  <si>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</si>
  <si>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</si>
  <si>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</si>
  <si>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</si>
  <si>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</si>
  <si>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</si>
  <si>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</si>
  <si>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</si>
  <si>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</si>
  <si>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</si>
  <si>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</si>
  <si>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</si>
  <si>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</si>
  <si>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</si>
  <si>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</si>
  <si>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</si>
  <si>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</si>
  <si>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</si>
  <si>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</si>
  <si>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</si>
  <si>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</si>
  <si>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</si>
  <si>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</si>
  <si>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</si>
  <si>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</si>
  <si>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</si>
  <si>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</si>
  <si>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</si>
  <si>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</si>
  <si>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</si>
  <si>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</si>
  <si>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</si>
  <si>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</si>
  <si>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</si>
  <si>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</si>
  <si>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</si>
  <si>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</si>
  <si>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</si>
  <si>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</si>
  <si>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</si>
  <si>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</si>
  <si>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</si>
  <si>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</si>
  <si>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</si>
  <si>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</si>
  <si>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</si>
  <si>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</si>
  <si>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</si>
  <si>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</si>
  <si>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</si>
  <si>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</si>
  <si>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</si>
  <si>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</si>
  <si>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</si>
  <si>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</si>
  <si>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</si>
  <si>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</si>
  <si>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</si>
  <si>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</si>
  <si>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</si>
  <si>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</si>
  <si>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</si>
  <si>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</si>
  <si>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</si>
  <si>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</si>
  <si>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</si>
  <si>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</si>
  <si>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</si>
  <si>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</si>
  <si>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</si>
  <si>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</si>
  <si>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</si>
  <si>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</si>
  <si>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</si>
  <si>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</si>
  <si>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</si>
  <si>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</si>
  <si>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</si>
  <si>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</si>
  <si>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</si>
  <si>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</si>
  <si>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</si>
  <si>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</si>
  <si>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</si>
  <si>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</si>
  <si>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</si>
  <si>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</si>
  <si>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</si>
  <si>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</si>
  <si>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</si>
  <si>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</si>
  <si>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</si>
  <si>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</si>
  <si>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</si>
  <si>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</si>
  <si>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</si>
  <si>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</si>
  <si>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</si>
  <si>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</si>
  <si>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</si>
  <si>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</si>
  <si>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</si>
  <si>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</si>
  <si>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</si>
  <si>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</si>
  <si>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</si>
  <si>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</si>
  <si>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</si>
  <si>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</si>
  <si>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</si>
  <si>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</si>
  <si>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</si>
  <si>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</si>
  <si>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</si>
  <si>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</si>
  <si>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</si>
  <si>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</si>
  <si>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</si>
  <si>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</si>
  <si>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</si>
  <si>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</si>
  <si>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</si>
  <si>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</si>
  <si>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</si>
  <si>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</si>
  <si>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</si>
  <si>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</si>
  <si>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</si>
  <si>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</si>
  <si>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</si>
  <si>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</si>
  <si>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</si>
  <si>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</si>
  <si>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</si>
  <si>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</si>
  <si>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</si>
  <si>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</si>
  <si>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</si>
  <si>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</si>
  <si>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</si>
  <si>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</si>
  <si>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</si>
  <si>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</si>
  <si>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</si>
  <si>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</si>
  <si>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</si>
  <si>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</si>
  <si>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</si>
  <si>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</si>
  <si>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</si>
  <si>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</si>
  <si>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</si>
  <si>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</si>
  <si>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</si>
  <si>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</si>
  <si>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</si>
  <si>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</si>
  <si>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</si>
  <si>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</si>
  <si>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</si>
  <si>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</si>
  <si>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</si>
  <si>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</si>
  <si>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</si>
  <si>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</si>
  <si>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</si>
  <si>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</si>
  <si>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</si>
  <si>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</si>
  <si>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</si>
  <si>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</si>
  <si>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</si>
  <si>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</si>
  <si>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</si>
  <si>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</si>
  <si>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</si>
  <si>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</si>
  <si>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</si>
  <si>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</si>
  <si>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</si>
  <si>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</si>
  <si>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</si>
  <si>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</si>
  <si>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</si>
  <si>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</si>
  <si>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</si>
  <si>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</si>
  <si>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</si>
  <si>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</si>
  <si>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</si>
  <si>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</si>
  <si>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</si>
  <si>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</si>
  <si>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</si>
  <si>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</si>
  <si>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</si>
  <si>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</si>
  <si>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</si>
  <si>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</si>
  <si>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</si>
  <si>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</si>
  <si>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</si>
  <si>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</si>
  <si>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</si>
  <si>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</si>
  <si>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</si>
  <si>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</si>
  <si>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</si>
  <si>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</si>
  <si>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</si>
  <si>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</si>
  <si>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</si>
  <si>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</si>
  <si>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</si>
  <si>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</si>
  <si>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</si>
  <si>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</si>
  <si>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</si>
  <si>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</si>
  <si>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</si>
  <si>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</si>
  <si>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</si>
  <si>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</si>
  <si>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</si>
  <si>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</si>
  <si>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</si>
  <si>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</si>
  <si>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</si>
  <si>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</si>
  <si>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</si>
  <si>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</si>
  <si>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</si>
  <si>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</si>
  <si>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</si>
  <si>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</si>
  <si>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</si>
  <si>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</si>
  <si>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</si>
  <si>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</si>
  <si>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</si>
  <si>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</si>
  <si>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</si>
  <si>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</si>
  <si>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</si>
  <si>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</si>
  <si>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</si>
  <si>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</si>
  <si>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</si>
  <si>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</si>
  <si>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</si>
  <si>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</si>
  <si>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</si>
  <si>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</si>
  <si>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</si>
  <si>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</si>
  <si>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</si>
  <si>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</si>
  <si>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</si>
  <si>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</si>
  <si>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</si>
  <si>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</si>
  <si>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</si>
  <si>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</si>
  <si>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</si>
  <si>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</si>
  <si>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</si>
  <si>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</si>
  <si>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</si>
  <si>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</si>
  <si>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</si>
  <si>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</si>
  <si>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</si>
  <si>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</si>
  <si>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</si>
  <si>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</si>
  <si>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</si>
  <si>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</si>
  <si>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</si>
  <si>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</si>
  <si>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</si>
  <si>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</si>
  <si>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</si>
  <si>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</si>
  <si>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</si>
  <si>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</si>
  <si>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</si>
  <si>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</si>
  <si>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</si>
  <si>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</si>
  <si>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</si>
  <si>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</si>
  <si>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</si>
  <si>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</si>
  <si>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</si>
  <si>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</si>
  <si>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</si>
  <si>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</si>
  <si>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</si>
  <si>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</si>
  <si>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</si>
  <si>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</si>
  <si>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</si>
  <si>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</si>
  <si>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</si>
  <si>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</si>
  <si>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</si>
  <si>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</si>
  <si>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</si>
  <si>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</si>
  <si>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</si>
  <si>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</si>
  <si>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</si>
  <si>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</si>
  <si>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</si>
  <si>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</si>
  <si>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</si>
  <si>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</si>
  <si>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</si>
  <si>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</si>
  <si>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</si>
  <si>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</si>
  <si>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</si>
  <si>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</si>
  <si>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</si>
  <si>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</si>
  <si>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</si>
  <si>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</si>
  <si>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</si>
  <si>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</si>
  <si>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</si>
  <si>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</si>
  <si>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</si>
  <si>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</si>
  <si>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</si>
  <si>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</si>
  <si>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</si>
  <si>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</si>
  <si>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</si>
  <si>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</si>
  <si>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</si>
  <si>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</si>
  <si>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</si>
  <si>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</si>
  <si>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</si>
  <si>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</si>
  <si>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</si>
  <si>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</si>
  <si>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</si>
  <si>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</si>
  <si>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</si>
  <si>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</si>
  <si>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</si>
  <si>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</si>
  <si>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</si>
  <si>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</si>
  <si>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</si>
  <si>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</si>
  <si>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</si>
  <si>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</si>
  <si>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</si>
  <si>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</si>
  <si>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</si>
  <si>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</si>
  <si>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</si>
  <si>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</si>
  <si>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</si>
  <si>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</si>
  <si>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</si>
  <si>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</si>
  <si>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</si>
  <si>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</si>
  <si>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</si>
  <si>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</si>
  <si>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</si>
  <si>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</si>
  <si>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</si>
  <si>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</si>
  <si>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</si>
  <si>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</si>
  <si>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</si>
  <si>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</si>
  <si>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</si>
  <si>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</si>
  <si>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</si>
  <si>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</si>
  <si>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</si>
  <si>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</si>
  <si>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</si>
  <si>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</si>
  <si>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</si>
  <si>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</si>
  <si>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</si>
  <si>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</si>
  <si>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</si>
  <si>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</si>
  <si>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</si>
  <si>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</si>
  <si>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</si>
  <si>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</si>
  <si>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</si>
  <si>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</si>
  <si>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</si>
  <si>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</si>
  <si>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</si>
  <si>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</si>
  <si>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</si>
  <si>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</si>
  <si>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</si>
  <si>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</si>
  <si>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</si>
  <si>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</si>
  <si>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</si>
  <si>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</si>
  <si>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</si>
  <si>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</si>
  <si>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</si>
  <si>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</si>
  <si>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</si>
  <si>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</si>
  <si>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</si>
  <si>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</si>
  <si>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</si>
  <si>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</si>
  <si>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</si>
  <si>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</si>
  <si>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</si>
  <si>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</si>
  <si>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</si>
  <si>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</si>
  <si>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</si>
  <si>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</si>
  <si>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</si>
  <si>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</si>
  <si>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</si>
  <si>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</si>
  <si>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</si>
  <si>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</si>
  <si>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</si>
  <si>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</si>
  <si>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</si>
  <si>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</si>
  <si>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</si>
  <si>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</si>
  <si>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</si>
  <si>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</si>
  <si>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</si>
  <si>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</si>
  <si>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</si>
  <si>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</si>
  <si>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</si>
  <si>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</si>
  <si>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</si>
  <si>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</si>
  <si>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</si>
  <si>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</si>
  <si>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</si>
  <si>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</si>
  <si>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</si>
  <si>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</si>
  <si>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</si>
  <si>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</si>
  <si>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</si>
  <si>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</si>
  <si>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</si>
  <si>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</si>
  <si>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</si>
  <si>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</si>
  <si>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</si>
  <si>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</si>
  <si>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</si>
  <si>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</si>
  <si>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</si>
  <si>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</si>
  <si>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</si>
  <si>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</si>
  <si>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</si>
  <si>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</si>
  <si>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</si>
  <si>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</si>
  <si>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</si>
  <si>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</si>
  <si>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</si>
  <si>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</si>
  <si>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</si>
  <si>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</si>
  <si>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</si>
  <si>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</si>
  <si>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</si>
  <si>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</si>
  <si>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</si>
  <si>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</si>
  <si>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</si>
  <si>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</si>
  <si>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</si>
  <si>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</si>
  <si>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</si>
  <si>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</si>
  <si>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</si>
  <si>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</si>
  <si>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</si>
  <si>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</si>
  <si>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</si>
  <si>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</si>
  <si>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</si>
  <si>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</si>
  <si>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</si>
  <si>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</si>
  <si>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</si>
  <si>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</si>
  <si>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</si>
  <si>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</si>
  <si>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</si>
  <si>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</si>
  <si>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</si>
  <si>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</si>
  <si>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</si>
  <si>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</si>
  <si>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</si>
  <si>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</si>
  <si>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</si>
  <si>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</si>
  <si>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</si>
  <si>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</si>
  <si>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</si>
  <si>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</si>
  <si>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</si>
  <si>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</si>
  <si>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</si>
  <si>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</si>
  <si>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</si>
  <si>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</si>
  <si>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</si>
  <si>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</si>
  <si>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</si>
  <si>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</si>
  <si>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</si>
  <si>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</si>
  <si>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</si>
  <si>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</si>
  <si>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</si>
  <si>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</si>
  <si>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</si>
  <si>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</si>
  <si>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</si>
  <si>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</si>
  <si>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</si>
  <si>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</si>
  <si>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</si>
  <si>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</si>
  <si>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</si>
  <si>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</si>
  <si>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</si>
  <si>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</si>
  <si>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</si>
  <si>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</si>
  <si>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</si>
  <si>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</si>
  <si>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</si>
  <si>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</si>
  <si>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</si>
  <si>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</si>
  <si>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</si>
  <si>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</si>
  <si>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</si>
  <si>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</si>
  <si>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</si>
  <si>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</si>
  <si>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</si>
  <si>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</si>
  <si>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</si>
  <si>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</si>
  <si>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</si>
  <si>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</si>
  <si>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</si>
  <si>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</si>
  <si>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</si>
  <si>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</si>
  <si>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</si>
  <si>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</si>
  <si>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</si>
  <si>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</si>
  <si>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</si>
  <si>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</si>
  <si>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</si>
  <si>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</si>
  <si>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</si>
  <si>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</si>
  <si>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</si>
  <si>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</si>
  <si>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</si>
  <si>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</si>
  <si>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</si>
  <si>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</si>
  <si>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</si>
  <si>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</si>
  <si>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</si>
  <si>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</si>
  <si>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</si>
  <si>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</si>
  <si>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</si>
  <si>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</si>
  <si>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</si>
  <si>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</si>
  <si>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</si>
  <si>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</si>
  <si>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</si>
  <si>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</si>
  <si>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</si>
  <si>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</si>
  <si>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</si>
  <si>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</si>
  <si>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</si>
  <si>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</si>
  <si>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</si>
  <si>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</si>
  <si>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</si>
  <si>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</si>
  <si>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</si>
  <si>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</si>
  <si>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</si>
  <si>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</si>
  <si>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</si>
  <si>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</si>
  <si>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</si>
  <si>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</si>
  <si>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</si>
  <si>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</si>
  <si>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</si>
  <si>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</si>
  <si>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</si>
  <si>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</si>
  <si>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</si>
  <si>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</si>
  <si>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</si>
  <si>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</si>
  <si>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</si>
  <si>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</si>
  <si>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</si>
  <si>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</si>
  <si>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</si>
  <si>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</si>
  <si>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</si>
  <si>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</si>
  <si>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</si>
  <si>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</si>
  <si>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</si>
  <si>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</si>
  <si>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</si>
  <si>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</si>
  <si>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</si>
  <si>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</si>
  <si>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</si>
  <si>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</si>
  <si>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</si>
  <si>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</si>
  <si>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</si>
  <si>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</si>
  <si>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</si>
  <si>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</si>
  <si>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</si>
  <si>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</si>
  <si>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</si>
  <si>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</si>
  <si>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</si>
  <si>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</si>
  <si>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</si>
  <si>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</si>
  <si>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</si>
  <si>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</si>
  <si>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</si>
  <si>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</si>
  <si>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</si>
  <si>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</si>
  <si>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</si>
  <si>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</si>
  <si>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</si>
  <si>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</si>
  <si>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</si>
  <si>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</si>
  <si>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</si>
  <si>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</si>
  <si>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</si>
  <si>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</si>
  <si>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</si>
  <si>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</si>
  <si>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</si>
  <si>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</si>
  <si>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</si>
  <si>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</si>
  <si>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</si>
  <si>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</si>
  <si>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</si>
  <si>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</si>
  <si>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</si>
  <si>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</si>
  <si>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</si>
  <si>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</si>
  <si>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</si>
  <si>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</si>
  <si>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</si>
  <si>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</si>
  <si>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</si>
  <si>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</si>
  <si>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</si>
  <si>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</si>
  <si>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</si>
  <si>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</si>
  <si>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</si>
  <si>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</si>
  <si>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</si>
  <si>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</si>
  <si>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</si>
  <si>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</si>
  <si>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</si>
  <si>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</si>
  <si>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</si>
  <si>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</si>
  <si>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</si>
  <si>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</si>
  <si>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</si>
  <si>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</si>
  <si>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</si>
  <si>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</si>
  <si>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</si>
  <si>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</si>
  <si>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</si>
  <si>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</si>
  <si>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</si>
  <si>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</si>
  <si>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</si>
  <si>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</si>
  <si>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</si>
  <si>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</si>
  <si>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</si>
  <si>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</si>
  <si>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</si>
  <si>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</si>
  <si>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</si>
  <si>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</si>
  <si>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</si>
  <si>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</si>
  <si>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</si>
  <si>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</si>
  <si>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</si>
  <si>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</si>
  <si>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</si>
  <si>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</si>
  <si>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</si>
  <si>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</si>
  <si>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</si>
  <si>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</si>
  <si>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</si>
  <si>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</si>
  <si>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</si>
  <si>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</si>
  <si>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</si>
  <si>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</si>
  <si>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</si>
  <si>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</si>
  <si>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</si>
  <si>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</si>
  <si>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</si>
  <si>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</si>
  <si>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</si>
  <si>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</si>
  <si>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</si>
  <si>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</si>
  <si>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</si>
  <si>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</si>
  <si>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</si>
  <si>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</si>
  <si>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</si>
  <si>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</si>
  <si>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</si>
  <si>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</si>
  <si>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</si>
  <si>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</si>
  <si>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</si>
  <si>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</si>
  <si>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</si>
  <si>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</si>
  <si>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</si>
  <si>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</si>
  <si>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</si>
  <si>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</si>
  <si>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</si>
  <si>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</si>
  <si>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</si>
  <si>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</si>
  <si>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</si>
  <si>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</si>
  <si>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</si>
  <si>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</si>
  <si>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</si>
  <si>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</si>
  <si>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</si>
  <si>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</si>
  <si>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</si>
  <si>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</si>
  <si>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</si>
  <si>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</si>
  <si>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</si>
  <si>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</si>
  <si>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</si>
  <si>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</si>
  <si>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</si>
  <si>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</si>
  <si>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</si>
  <si>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</si>
  <si>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</si>
  <si>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</si>
  <si>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</si>
  <si>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</si>
  <si>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</si>
  <si>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</si>
  <si>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</si>
  <si>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</si>
  <si>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</si>
  <si>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</si>
  <si>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</si>
  <si>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</si>
  <si>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</si>
  <si>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</si>
  <si>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</si>
  <si>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</si>
  <si>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</si>
  <si>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</si>
  <si>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</si>
  <si>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</si>
  <si>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</si>
  <si>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</si>
  <si>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</si>
  <si>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</si>
  <si>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ES_SRES_excedentes_wind</t>
  </si>
  <si>
    <t>ES_SRES_excedentes_solar</t>
  </si>
  <si>
    <t>ES_SRES_electrolizador_wind</t>
  </si>
  <si>
    <t>ES_SRES_electrolizador_solar</t>
  </si>
  <si>
    <t>ES_SRES_excedentes_bus</t>
  </si>
  <si>
    <t>ES_SRES_electrolizador_bus</t>
  </si>
  <si>
    <t>PT_SRES_excedentes_bus</t>
  </si>
  <si>
    <t>PT_SRES_electrolizador_bus</t>
  </si>
  <si>
    <t>PT_SRES_excedentes_solar</t>
  </si>
  <si>
    <t>PT_SRES_excedentes_wind</t>
  </si>
  <si>
    <t>PT_SRES_electrolizador_solar</t>
  </si>
  <si>
    <t>PT_SRES_electrolizador_wind</t>
  </si>
  <si>
    <t>p_min_pu</t>
  </si>
  <si>
    <t>p_max_pu</t>
  </si>
  <si>
    <t>load_shedding</t>
  </si>
  <si>
    <t>ES_load_shedding</t>
  </si>
  <si>
    <t>PT_load_shedding</t>
  </si>
  <si>
    <t>ES_load_shedding_h2</t>
  </si>
  <si>
    <t>PT_load_shedding_h2</t>
  </si>
  <si>
    <t>PT_wind_profile_1</t>
  </si>
  <si>
    <t>PT_wind_profile_2</t>
  </si>
  <si>
    <t>Hora Semana</t>
  </si>
  <si>
    <t>PT_wind_profile_3</t>
  </si>
  <si>
    <t>PT_wind_profile_4:lat: 41,5288; long:  -6,3324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</si>
</sst>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6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</cellStyleXfs>
  <cellXfs count="55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2" borderId="6" xfId="0" applyFill="1" applyBorder="1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1" xfId="0" applyFill="1" applyBorder="1"/>
    <xf numFmtId="0" fontId="0" fillId="2" borderId="7" xfId="0" applyFill="1" applyBorder="1"/>
    <xf numFmtId="0" fontId="0" fillId="0" borderId="7" xfId="0" applyBorder="1"/>
    <xf numFmtId="0" fontId="5" fillId="7" borderId="2" xfId="0" applyFont="1" applyFill="1" applyBorder="1"/>
    <xf numFmtId="0" fontId="4" fillId="7" borderId="4" xfId="0" applyFont="1" applyFill="1" applyBorder="1"/>
    <xf numFmtId="0" fontId="0" fillId="8" borderId="1" xfId="0" applyFill="1" applyBorder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F10" sqref="F1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1065</v>
      </c>
    </row>
    <row r="5" spans="1:3" x14ac:dyDescent="0.35">
      <c r="B5" t="s">
        <v>1053</v>
      </c>
      <c r="C5" t="s">
        <v>1066</v>
      </c>
    </row>
    <row r="6" spans="1:3" x14ac:dyDescent="0.35">
      <c r="B6" t="s">
        <v>14</v>
      </c>
      <c r="C6" t="s">
        <v>1067</v>
      </c>
    </row>
    <row r="7" spans="1:3" x14ac:dyDescent="0.35">
      <c r="B7" t="s">
        <v>15</v>
      </c>
      <c r="C7" t="s">
        <v>1067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1071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workbookViewId="0">
      <selection sqref="A1:B10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1094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C13"/>
  <sheetViews>
    <sheetView tabSelected="1" workbookViewId="0">
      <selection activeCell="B9" sqref="B9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3" s="15" customFormat="1" ht="15" thickBot="1" x14ac:dyDescent="0.4">
      <c r="A1" s="30" t="s">
        <v>5</v>
      </c>
      <c r="B1" s="30" t="s">
        <v>0</v>
      </c>
      <c r="C1" s="30" t="s">
        <v>1</v>
      </c>
    </row>
    <row r="2" spans="1:3" x14ac:dyDescent="0.35">
      <c r="A2" s="4" t="s">
        <v>1021</v>
      </c>
      <c r="B2" s="1" t="s">
        <v>7</v>
      </c>
      <c r="C2" s="1" t="s">
        <v>6</v>
      </c>
    </row>
    <row r="3" spans="1:3" x14ac:dyDescent="0.35">
      <c r="A3" s="4" t="s">
        <v>1022</v>
      </c>
      <c r="B3" s="1" t="s">
        <v>2</v>
      </c>
      <c r="C3" s="2" t="s">
        <v>6</v>
      </c>
    </row>
    <row r="4" spans="1:3" x14ac:dyDescent="0.35">
      <c r="A4" s="3" t="s">
        <v>1023</v>
      </c>
      <c r="B4" s="2" t="s">
        <v>3</v>
      </c>
      <c r="C4" s="2" t="s">
        <v>6</v>
      </c>
    </row>
    <row r="5" spans="1:3" x14ac:dyDescent="0.35">
      <c r="A5" s="44" t="s">
        <v>1024</v>
      </c>
      <c r="B5" t="s">
        <v>4</v>
      </c>
      <c r="C5" s="46" t="s">
        <v>6</v>
      </c>
    </row>
    <row r="6" spans="1:3" x14ac:dyDescent="0.35">
      <c r="A6" s="44" t="s">
        <v>1084</v>
      </c>
      <c r="B6" t="s">
        <v>7</v>
      </c>
      <c r="C6" s="46" t="s">
        <v>6</v>
      </c>
    </row>
    <row r="7" spans="1:3" x14ac:dyDescent="0.35">
      <c r="A7" s="3" t="s">
        <v>1085</v>
      </c>
      <c r="B7" s="2" t="s">
        <v>4</v>
      </c>
      <c r="C7" s="2" t="s">
        <v>6</v>
      </c>
    </row>
    <row r="8" spans="1:3" x14ac:dyDescent="0.35">
      <c r="A8" s="14" t="s">
        <v>1025</v>
      </c>
      <c r="B8" s="1" t="s">
        <v>7</v>
      </c>
      <c r="C8" s="1" t="s">
        <v>6</v>
      </c>
    </row>
    <row r="9" spans="1:3" x14ac:dyDescent="0.35">
      <c r="A9" s="14" t="s">
        <v>1026</v>
      </c>
      <c r="B9" s="1" t="s">
        <v>2</v>
      </c>
      <c r="C9" s="2" t="s">
        <v>6</v>
      </c>
    </row>
    <row r="10" spans="1:3" x14ac:dyDescent="0.35">
      <c r="A10" s="13" t="s">
        <v>1027</v>
      </c>
      <c r="B10" s="2" t="s">
        <v>3</v>
      </c>
      <c r="C10" s="2" t="s">
        <v>6</v>
      </c>
    </row>
    <row r="11" spans="1:3" x14ac:dyDescent="0.35">
      <c r="A11" s="13" t="s">
        <v>1028</v>
      </c>
      <c r="B11" s="2" t="s">
        <v>4</v>
      </c>
      <c r="C11" s="2" t="s">
        <v>6</v>
      </c>
    </row>
    <row r="12" spans="1:3" x14ac:dyDescent="0.35">
      <c r="A12" s="13" t="s">
        <v>1086</v>
      </c>
      <c r="B12" s="2" t="s">
        <v>7</v>
      </c>
      <c r="C12" s="2" t="s">
        <v>6</v>
      </c>
    </row>
    <row r="13" spans="1:3" x14ac:dyDescent="0.35">
      <c r="A13" s="13" t="s">
        <v>1087</v>
      </c>
      <c r="B13" s="2" t="s">
        <v>4</v>
      </c>
      <c r="C13" s="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G23"/>
  <sheetViews>
    <sheetView zoomScale="115" zoomScaleNormal="115" workbookViewId="0">
      <selection activeCell="C33" sqref="C33"/>
    </sheetView>
  </sheetViews>
  <sheetFormatPr baseColWidth="10" defaultRowHeight="14.5" x14ac:dyDescent="0.35"/>
  <cols>
    <col min="1" max="1" width="25.36328125" bestFit="1" customWidth="1"/>
    <col min="2" max="2" width="24.453125" customWidth="1"/>
    <col min="3" max="3" width="12.6328125" customWidth="1"/>
    <col min="4" max="4" width="10.90625" bestFit="1" customWidth="1"/>
    <col min="5" max="5" width="12.6328125" bestFit="1" customWidth="1"/>
    <col min="6" max="6" width="13.36328125" bestFit="1" customWidth="1"/>
  </cols>
  <sheetData>
    <row r="1" spans="1:7" ht="15" thickBot="1" x14ac:dyDescent="0.4">
      <c r="A1" s="29" t="s">
        <v>5</v>
      </c>
      <c r="B1" s="29" t="s">
        <v>16</v>
      </c>
      <c r="C1" s="29" t="s">
        <v>13</v>
      </c>
      <c r="D1" s="29" t="s">
        <v>14</v>
      </c>
      <c r="E1" s="29" t="s">
        <v>15</v>
      </c>
      <c r="F1" s="29" t="s">
        <v>0</v>
      </c>
      <c r="G1" s="29" t="s">
        <v>1</v>
      </c>
    </row>
    <row r="2" spans="1:7" x14ac:dyDescent="0.35">
      <c r="A2" s="41" t="s">
        <v>1037</v>
      </c>
      <c r="B2" s="31" t="s">
        <v>1021</v>
      </c>
      <c r="C2" s="31">
        <v>272338.68000020593</v>
      </c>
      <c r="D2" s="31"/>
      <c r="E2" s="31">
        <v>0</v>
      </c>
      <c r="F2" s="31" t="s">
        <v>10</v>
      </c>
      <c r="G2" s="31" t="s">
        <v>6</v>
      </c>
    </row>
    <row r="3" spans="1:7" x14ac:dyDescent="0.35">
      <c r="A3" s="3" t="s">
        <v>1038</v>
      </c>
      <c r="B3" s="2" t="s">
        <v>1021</v>
      </c>
      <c r="C3" s="2">
        <f>221599.2689</f>
        <v>221599.2689</v>
      </c>
      <c r="D3" s="2"/>
      <c r="E3" s="2">
        <v>0</v>
      </c>
      <c r="F3" s="2" t="s">
        <v>9</v>
      </c>
      <c r="G3" s="2" t="s">
        <v>6</v>
      </c>
    </row>
    <row r="4" spans="1:7" x14ac:dyDescent="0.35">
      <c r="A4" s="3" t="s">
        <v>1039</v>
      </c>
      <c r="B4" s="2" t="s">
        <v>1021</v>
      </c>
      <c r="C4" s="2">
        <v>2462.66</v>
      </c>
      <c r="D4" s="2"/>
      <c r="E4" s="1">
        <v>14</v>
      </c>
      <c r="F4" s="2" t="s">
        <v>12</v>
      </c>
      <c r="G4" s="2" t="s">
        <v>6</v>
      </c>
    </row>
    <row r="5" spans="1:7" x14ac:dyDescent="0.35">
      <c r="A5" s="4" t="s">
        <v>1040</v>
      </c>
      <c r="B5" s="2" t="s">
        <v>1023</v>
      </c>
      <c r="C5" s="1">
        <f>1*10^14</f>
        <v>100000000000000</v>
      </c>
      <c r="D5" s="1"/>
      <c r="E5" s="1">
        <v>0</v>
      </c>
      <c r="F5" s="1" t="s">
        <v>3</v>
      </c>
      <c r="G5" s="2" t="s">
        <v>6</v>
      </c>
    </row>
    <row r="6" spans="1:7" x14ac:dyDescent="0.35">
      <c r="A6" s="45" t="s">
        <v>1041</v>
      </c>
      <c r="B6" s="46" t="s">
        <v>1021</v>
      </c>
      <c r="C6">
        <v>3117.91912</v>
      </c>
      <c r="E6" s="1">
        <v>4</v>
      </c>
      <c r="F6" t="s">
        <v>8</v>
      </c>
      <c r="G6" s="46" t="s">
        <v>6</v>
      </c>
    </row>
    <row r="7" spans="1:7" x14ac:dyDescent="0.35">
      <c r="A7" s="3" t="s">
        <v>1081</v>
      </c>
      <c r="B7" s="2" t="s">
        <v>1084</v>
      </c>
      <c r="C7" s="2">
        <f>37999.68-16300</f>
        <v>21699.68</v>
      </c>
      <c r="D7" s="2"/>
      <c r="E7" s="1">
        <v>-0.1</v>
      </c>
      <c r="F7" s="2" t="s">
        <v>10</v>
      </c>
      <c r="G7" s="2" t="s">
        <v>6</v>
      </c>
    </row>
    <row r="8" spans="1:7" x14ac:dyDescent="0.35">
      <c r="A8" s="3" t="s">
        <v>1080</v>
      </c>
      <c r="B8" s="2" t="s">
        <v>1084</v>
      </c>
      <c r="C8" s="1">
        <f>37999.68-16300</f>
        <v>21699.68</v>
      </c>
      <c r="D8" s="1"/>
      <c r="E8" s="1">
        <v>-0.1</v>
      </c>
      <c r="F8" s="1" t="s">
        <v>9</v>
      </c>
      <c r="G8" s="2" t="s">
        <v>6</v>
      </c>
    </row>
    <row r="9" spans="1:7" x14ac:dyDescent="0.35">
      <c r="A9" s="4" t="s">
        <v>1083</v>
      </c>
      <c r="B9" s="1" t="s">
        <v>1085</v>
      </c>
      <c r="C9" s="1">
        <f>32600/2</f>
        <v>16300</v>
      </c>
      <c r="D9" s="1"/>
      <c r="E9" s="1">
        <v>0</v>
      </c>
      <c r="F9" s="1" t="s">
        <v>10</v>
      </c>
      <c r="G9" s="2" t="s">
        <v>6</v>
      </c>
    </row>
    <row r="10" spans="1:7" x14ac:dyDescent="0.35">
      <c r="A10" s="44" t="s">
        <v>1082</v>
      </c>
      <c r="B10" t="s">
        <v>1085</v>
      </c>
      <c r="C10">
        <f>32600/2</f>
        <v>16300</v>
      </c>
      <c r="E10" s="46">
        <v>0</v>
      </c>
      <c r="F10" t="s">
        <v>9</v>
      </c>
      <c r="G10" s="46" t="s">
        <v>6</v>
      </c>
    </row>
    <row r="11" spans="1:7" x14ac:dyDescent="0.35">
      <c r="A11" s="13" t="s">
        <v>1042</v>
      </c>
      <c r="B11" s="2" t="s">
        <v>1025</v>
      </c>
      <c r="C11" s="2">
        <v>61741.1</v>
      </c>
      <c r="D11" s="2"/>
      <c r="E11" s="2">
        <v>0</v>
      </c>
      <c r="F11" s="2" t="s">
        <v>10</v>
      </c>
      <c r="G11" s="2" t="s">
        <v>6</v>
      </c>
    </row>
    <row r="12" spans="1:7" x14ac:dyDescent="0.35">
      <c r="A12" s="14" t="s">
        <v>1043</v>
      </c>
      <c r="B12" s="2" t="s">
        <v>1025</v>
      </c>
      <c r="C12" s="1">
        <v>34501.199999999997</v>
      </c>
      <c r="D12" s="1"/>
      <c r="E12" s="1">
        <v>0</v>
      </c>
      <c r="F12" s="1" t="s">
        <v>9</v>
      </c>
      <c r="G12" s="2" t="s">
        <v>6</v>
      </c>
    </row>
    <row r="13" spans="1:7" x14ac:dyDescent="0.35">
      <c r="A13" s="13" t="s">
        <v>1044</v>
      </c>
      <c r="B13" s="2" t="s">
        <v>1025</v>
      </c>
      <c r="C13" s="2">
        <v>1607</v>
      </c>
      <c r="D13" s="2"/>
      <c r="E13" s="1">
        <v>14</v>
      </c>
      <c r="F13" s="2" t="s">
        <v>12</v>
      </c>
      <c r="G13" s="2" t="s">
        <v>6</v>
      </c>
    </row>
    <row r="14" spans="1:7" x14ac:dyDescent="0.35">
      <c r="A14" s="14" t="s">
        <v>1045</v>
      </c>
      <c r="B14" s="2" t="s">
        <v>1027</v>
      </c>
      <c r="C14" s="1">
        <f>1*10^14</f>
        <v>100000000000000</v>
      </c>
      <c r="D14" s="1"/>
      <c r="E14" s="1">
        <v>0</v>
      </c>
      <c r="F14" s="1" t="s">
        <v>3</v>
      </c>
      <c r="G14" s="2" t="s">
        <v>6</v>
      </c>
    </row>
    <row r="15" spans="1:7" x14ac:dyDescent="0.35">
      <c r="A15" s="13" t="s">
        <v>1046</v>
      </c>
      <c r="B15" s="2" t="s">
        <v>1025</v>
      </c>
      <c r="C15" s="2">
        <v>508.3</v>
      </c>
      <c r="D15" s="2"/>
      <c r="E15" s="2">
        <v>4</v>
      </c>
      <c r="F15" s="2" t="s">
        <v>8</v>
      </c>
      <c r="G15" s="2" t="s">
        <v>6</v>
      </c>
    </row>
    <row r="16" spans="1:7" x14ac:dyDescent="0.35">
      <c r="A16" s="13" t="s">
        <v>1088</v>
      </c>
      <c r="B16" s="2" t="s">
        <v>1086</v>
      </c>
      <c r="C16" s="47">
        <f>12584.9-7536.3263</f>
        <v>5048.5736999999999</v>
      </c>
      <c r="D16" s="2"/>
      <c r="E16" s="2">
        <v>-0.1</v>
      </c>
      <c r="F16" s="2" t="s">
        <v>10</v>
      </c>
      <c r="G16" s="2" t="s">
        <v>6</v>
      </c>
    </row>
    <row r="17" spans="1:7" x14ac:dyDescent="0.35">
      <c r="A17" s="13" t="s">
        <v>1089</v>
      </c>
      <c r="B17" s="2" t="s">
        <v>1086</v>
      </c>
      <c r="C17" s="47">
        <f>9922-5941.67637</f>
        <v>3980.3236299999999</v>
      </c>
      <c r="D17" s="2"/>
      <c r="E17" s="2">
        <v>-0.1</v>
      </c>
      <c r="F17" s="2" t="s">
        <v>9</v>
      </c>
      <c r="G17" s="2" t="s">
        <v>6</v>
      </c>
    </row>
    <row r="18" spans="1:7" x14ac:dyDescent="0.35">
      <c r="A18" s="14" t="s">
        <v>1090</v>
      </c>
      <c r="B18" s="2" t="s">
        <v>1087</v>
      </c>
      <c r="C18" s="48">
        <f>7536.3263</f>
        <v>7536.3262999999997</v>
      </c>
      <c r="D18" s="1"/>
      <c r="E18" s="2">
        <v>0</v>
      </c>
      <c r="F18" s="1" t="s">
        <v>10</v>
      </c>
      <c r="G18" s="2" t="s">
        <v>6</v>
      </c>
    </row>
    <row r="19" spans="1:7" x14ac:dyDescent="0.35">
      <c r="A19" s="13" t="s">
        <v>1091</v>
      </c>
      <c r="B19" s="2" t="s">
        <v>1087</v>
      </c>
      <c r="C19" s="47">
        <f>5941.67637</f>
        <v>5941.6763700000001</v>
      </c>
      <c r="D19" s="2"/>
      <c r="E19" s="2">
        <v>0</v>
      </c>
      <c r="F19" s="2" t="s">
        <v>9</v>
      </c>
      <c r="G19" s="2" t="s">
        <v>6</v>
      </c>
    </row>
    <row r="20" spans="1:7" x14ac:dyDescent="0.35">
      <c r="A20" s="49" t="s">
        <v>1095</v>
      </c>
      <c r="B20" s="2" t="s">
        <v>1021</v>
      </c>
      <c r="C20" s="2">
        <v>10000000</v>
      </c>
      <c r="D20" s="2"/>
      <c r="E20" s="2">
        <v>10000</v>
      </c>
      <c r="F20" s="2" t="s">
        <v>1094</v>
      </c>
      <c r="G20" s="46" t="s">
        <v>6</v>
      </c>
    </row>
    <row r="21" spans="1:7" x14ac:dyDescent="0.35">
      <c r="A21" s="49" t="s">
        <v>1096</v>
      </c>
      <c r="B21" s="2" t="s">
        <v>1025</v>
      </c>
      <c r="C21" s="2">
        <v>10000000</v>
      </c>
      <c r="D21" s="2"/>
      <c r="E21" s="2">
        <v>10000</v>
      </c>
      <c r="F21" s="2" t="s">
        <v>1094</v>
      </c>
      <c r="G21" s="2" t="s">
        <v>6</v>
      </c>
    </row>
    <row r="22" spans="1:7" x14ac:dyDescent="0.35">
      <c r="A22" s="49" t="s">
        <v>1097</v>
      </c>
      <c r="B22" s="2" t="s">
        <v>1024</v>
      </c>
      <c r="C22" s="2">
        <v>10000000</v>
      </c>
      <c r="D22" s="2"/>
      <c r="E22" s="2">
        <v>3000</v>
      </c>
      <c r="F22" s="2" t="s">
        <v>1094</v>
      </c>
      <c r="G22" s="46" t="s">
        <v>6</v>
      </c>
    </row>
    <row r="23" spans="1:7" x14ac:dyDescent="0.35">
      <c r="A23" s="49" t="s">
        <v>1098</v>
      </c>
      <c r="B23" s="2" t="s">
        <v>1028</v>
      </c>
      <c r="C23" s="2">
        <v>10000000</v>
      </c>
      <c r="D23" s="2"/>
      <c r="E23" s="2">
        <v>3000</v>
      </c>
      <c r="F23" s="2" t="s">
        <v>1094</v>
      </c>
      <c r="G23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workbookViewId="0">
      <selection activeCell="E21" sqref="E21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1052</v>
      </c>
      <c r="B2" s="31" t="s">
        <v>1021</v>
      </c>
      <c r="C2" s="31"/>
      <c r="D2" s="31" t="s">
        <v>7</v>
      </c>
      <c r="E2" s="31" t="s">
        <v>6</v>
      </c>
    </row>
    <row r="3" spans="1:5" x14ac:dyDescent="0.35">
      <c r="A3" s="3" t="s">
        <v>1053</v>
      </c>
      <c r="B3" s="2" t="s">
        <v>1024</v>
      </c>
      <c r="C3" s="2"/>
      <c r="D3" s="2" t="s">
        <v>4</v>
      </c>
      <c r="E3" s="2" t="s">
        <v>6</v>
      </c>
    </row>
    <row r="4" spans="1:5" x14ac:dyDescent="0.35">
      <c r="A4" s="14" t="s">
        <v>1054</v>
      </c>
      <c r="B4" s="1" t="s">
        <v>1025</v>
      </c>
      <c r="C4" s="1"/>
      <c r="D4" s="1" t="s">
        <v>7</v>
      </c>
      <c r="E4" s="1" t="s">
        <v>6</v>
      </c>
    </row>
    <row r="5" spans="1:5" x14ac:dyDescent="0.35">
      <c r="A5" s="13" t="s">
        <v>1055</v>
      </c>
      <c r="B5" s="2" t="s">
        <v>1028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M17"/>
  <sheetViews>
    <sheetView topLeftCell="C1" workbookViewId="0">
      <selection activeCell="A6" sqref="A6:XFD7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6" width="11.81640625" customWidth="1"/>
    <col min="8" max="8" width="9.26953125" bestFit="1" customWidth="1"/>
    <col min="9" max="9" width="12.6328125" customWidth="1"/>
    <col min="10" max="10" width="13.36328125" bestFit="1" customWidth="1"/>
    <col min="11" max="11" width="16.08984375" bestFit="1" customWidth="1"/>
    <col min="12" max="12" width="9.08984375" bestFit="1" customWidth="1"/>
    <col min="13" max="13" width="9.26953125" bestFit="1" customWidth="1"/>
  </cols>
  <sheetData>
    <row r="1" spans="1:13" ht="15" thickBot="1" x14ac:dyDescent="0.4">
      <c r="A1" s="29" t="s">
        <v>5</v>
      </c>
      <c r="B1" s="29" t="s">
        <v>1069</v>
      </c>
      <c r="C1" s="29" t="s">
        <v>1070</v>
      </c>
      <c r="D1" s="29" t="s">
        <v>13</v>
      </c>
      <c r="E1" s="53" t="s">
        <v>1093</v>
      </c>
      <c r="F1" s="53" t="s">
        <v>1092</v>
      </c>
      <c r="G1" s="29" t="s">
        <v>14</v>
      </c>
      <c r="H1" s="29" t="s">
        <v>17</v>
      </c>
      <c r="I1" s="29" t="s">
        <v>15</v>
      </c>
      <c r="J1" s="29" t="s">
        <v>19</v>
      </c>
      <c r="K1" s="29" t="s">
        <v>20</v>
      </c>
      <c r="L1" s="29" t="s">
        <v>0</v>
      </c>
      <c r="M1" s="29" t="s">
        <v>1</v>
      </c>
    </row>
    <row r="2" spans="1:13" x14ac:dyDescent="0.35">
      <c r="A2" s="4" t="s">
        <v>1029</v>
      </c>
      <c r="B2" s="1" t="s">
        <v>1023</v>
      </c>
      <c r="C2" s="1" t="s">
        <v>1021</v>
      </c>
      <c r="D2" s="1">
        <f>24559.64</f>
        <v>24559.64</v>
      </c>
      <c r="E2" s="1">
        <v>1</v>
      </c>
      <c r="F2" s="1">
        <v>0</v>
      </c>
      <c r="G2" s="1"/>
      <c r="H2" s="1">
        <v>0.57999999999999996</v>
      </c>
      <c r="I2" s="1">
        <v>96</v>
      </c>
      <c r="J2" s="1">
        <v>842.35602840000001</v>
      </c>
      <c r="K2" s="1">
        <v>1052.945035</v>
      </c>
      <c r="L2" s="1" t="s">
        <v>3</v>
      </c>
      <c r="M2" s="1" t="s">
        <v>6</v>
      </c>
    </row>
    <row r="3" spans="1:13" x14ac:dyDescent="0.35">
      <c r="A3" s="4" t="s">
        <v>1030</v>
      </c>
      <c r="B3" s="1" t="s">
        <v>1022</v>
      </c>
      <c r="C3" s="2" t="s">
        <v>1021</v>
      </c>
      <c r="D3" s="1">
        <f>25140.2664733333</f>
        <v>25140.2664733333</v>
      </c>
      <c r="E3" s="1">
        <v>1</v>
      </c>
      <c r="F3" s="1">
        <v>0</v>
      </c>
      <c r="G3" s="2"/>
      <c r="H3" s="1">
        <v>0.85</v>
      </c>
      <c r="I3" s="2">
        <v>4</v>
      </c>
      <c r="J3" s="1"/>
      <c r="K3" s="2"/>
      <c r="L3" s="1" t="s">
        <v>8</v>
      </c>
      <c r="M3" s="2" t="s">
        <v>6</v>
      </c>
    </row>
    <row r="4" spans="1:13" x14ac:dyDescent="0.35">
      <c r="A4" s="3" t="s">
        <v>1031</v>
      </c>
      <c r="B4" s="2" t="s">
        <v>1021</v>
      </c>
      <c r="C4" s="2" t="s">
        <v>1022</v>
      </c>
      <c r="D4" s="2">
        <f>13320.7506329652</f>
        <v>13320.750632965201</v>
      </c>
      <c r="E4" s="2">
        <v>1</v>
      </c>
      <c r="F4" s="2">
        <v>0</v>
      </c>
      <c r="G4" s="2"/>
      <c r="H4" s="2">
        <v>0.75</v>
      </c>
      <c r="I4" s="2">
        <v>40</v>
      </c>
      <c r="J4" s="2"/>
      <c r="K4" s="2"/>
      <c r="L4" s="2" t="s">
        <v>7</v>
      </c>
      <c r="M4" s="2" t="s">
        <v>6</v>
      </c>
    </row>
    <row r="5" spans="1:13" x14ac:dyDescent="0.35">
      <c r="A5" s="3" t="s">
        <v>1032</v>
      </c>
      <c r="B5" s="2" t="s">
        <v>1021</v>
      </c>
      <c r="C5" s="2" t="s">
        <v>1024</v>
      </c>
      <c r="D5" s="2">
        <v>15500</v>
      </c>
      <c r="E5" s="2">
        <v>1</v>
      </c>
      <c r="F5" s="2">
        <v>0</v>
      </c>
      <c r="G5" s="2"/>
      <c r="H5" s="2">
        <v>0.7</v>
      </c>
      <c r="I5" s="2"/>
      <c r="J5" s="2"/>
      <c r="K5" s="2"/>
      <c r="L5" s="2" t="s">
        <v>4</v>
      </c>
      <c r="M5" s="2" t="s">
        <v>6</v>
      </c>
    </row>
    <row r="6" spans="1:13" x14ac:dyDescent="0.35">
      <c r="A6" s="3" t="s">
        <v>1076</v>
      </c>
      <c r="B6" s="2" t="s">
        <v>1085</v>
      </c>
      <c r="C6" s="2" t="s">
        <v>1024</v>
      </c>
      <c r="D6" s="2">
        <v>32600</v>
      </c>
      <c r="E6" s="2">
        <v>1</v>
      </c>
      <c r="F6" s="2">
        <v>0</v>
      </c>
      <c r="G6" s="2"/>
      <c r="H6" s="2">
        <v>0.7</v>
      </c>
      <c r="I6" s="2">
        <v>0</v>
      </c>
      <c r="J6" s="2"/>
      <c r="K6" s="2"/>
      <c r="L6" s="2" t="s">
        <v>4</v>
      </c>
      <c r="M6" s="2" t="s">
        <v>6</v>
      </c>
    </row>
    <row r="7" spans="1:13" x14ac:dyDescent="0.35">
      <c r="A7" s="3" t="s">
        <v>1077</v>
      </c>
      <c r="B7" s="2" t="s">
        <v>1084</v>
      </c>
      <c r="C7" s="2" t="s">
        <v>1021</v>
      </c>
      <c r="D7" s="2">
        <v>100000</v>
      </c>
      <c r="E7" s="2">
        <v>1</v>
      </c>
      <c r="F7" s="2">
        <v>0</v>
      </c>
      <c r="G7" s="2"/>
      <c r="H7" s="2">
        <v>1</v>
      </c>
      <c r="I7" s="2">
        <v>0</v>
      </c>
      <c r="J7" s="2"/>
      <c r="K7" s="2"/>
      <c r="L7" s="2" t="s">
        <v>7</v>
      </c>
      <c r="M7" s="2" t="s">
        <v>6</v>
      </c>
    </row>
    <row r="8" spans="1:13" x14ac:dyDescent="0.35">
      <c r="A8" s="14" t="s">
        <v>1033</v>
      </c>
      <c r="B8" s="1" t="s">
        <v>1027</v>
      </c>
      <c r="C8" s="1" t="s">
        <v>1025</v>
      </c>
      <c r="D8" s="54">
        <v>1357</v>
      </c>
      <c r="E8" s="1">
        <v>1</v>
      </c>
      <c r="F8" s="1">
        <v>0</v>
      </c>
      <c r="G8" s="1"/>
      <c r="H8" s="1">
        <v>0.57999999999999996</v>
      </c>
      <c r="I8" s="1">
        <v>96</v>
      </c>
      <c r="J8" s="1">
        <v>2.4</v>
      </c>
      <c r="K8" s="1">
        <v>3</v>
      </c>
      <c r="L8" s="1" t="s">
        <v>3</v>
      </c>
      <c r="M8" s="1" t="s">
        <v>6</v>
      </c>
    </row>
    <row r="9" spans="1:13" x14ac:dyDescent="0.35">
      <c r="A9" s="14" t="s">
        <v>1034</v>
      </c>
      <c r="B9" s="1" t="s">
        <v>1026</v>
      </c>
      <c r="C9" s="2" t="s">
        <v>1025</v>
      </c>
      <c r="D9" s="1">
        <v>7604.9</v>
      </c>
      <c r="E9" s="1">
        <v>1</v>
      </c>
      <c r="F9" s="1">
        <v>0</v>
      </c>
      <c r="G9" s="2"/>
      <c r="H9" s="1">
        <v>0.85</v>
      </c>
      <c r="I9" s="2">
        <v>4</v>
      </c>
      <c r="J9" s="1"/>
      <c r="K9" s="2"/>
      <c r="L9" s="1" t="s">
        <v>8</v>
      </c>
      <c r="M9" s="2" t="s">
        <v>6</v>
      </c>
    </row>
    <row r="10" spans="1:13" x14ac:dyDescent="0.35">
      <c r="A10" s="13" t="s">
        <v>1035</v>
      </c>
      <c r="B10" s="2" t="s">
        <v>1025</v>
      </c>
      <c r="C10" s="2" t="s">
        <v>1026</v>
      </c>
      <c r="D10" s="2">
        <v>3837</v>
      </c>
      <c r="E10" s="2">
        <v>1</v>
      </c>
      <c r="F10" s="2">
        <v>0</v>
      </c>
      <c r="G10" s="2"/>
      <c r="H10" s="2">
        <v>0.75</v>
      </c>
      <c r="I10" s="2">
        <v>40</v>
      </c>
      <c r="J10" s="2"/>
      <c r="K10" s="2"/>
      <c r="L10" s="2" t="s">
        <v>7</v>
      </c>
      <c r="M10" s="2" t="s">
        <v>6</v>
      </c>
    </row>
    <row r="11" spans="1:13" x14ac:dyDescent="0.35">
      <c r="A11" s="14" t="s">
        <v>1036</v>
      </c>
      <c r="B11" s="1" t="s">
        <v>1025</v>
      </c>
      <c r="C11" s="2" t="s">
        <v>1028</v>
      </c>
      <c r="D11" s="1">
        <v>0</v>
      </c>
      <c r="E11" s="1">
        <v>1</v>
      </c>
      <c r="F11" s="1">
        <v>0</v>
      </c>
      <c r="G11" s="2"/>
      <c r="H11" s="1">
        <v>0.7</v>
      </c>
      <c r="I11" s="2"/>
      <c r="J11" s="1"/>
      <c r="K11" s="2"/>
      <c r="L11" s="1" t="s">
        <v>4</v>
      </c>
      <c r="M11" s="2" t="s">
        <v>6</v>
      </c>
    </row>
    <row r="12" spans="1:13" x14ac:dyDescent="0.35">
      <c r="A12" s="13" t="s">
        <v>1078</v>
      </c>
      <c r="B12" s="2" t="s">
        <v>1087</v>
      </c>
      <c r="C12" s="2" t="s">
        <v>1028</v>
      </c>
      <c r="D12" s="2">
        <v>13478</v>
      </c>
      <c r="E12" s="2">
        <v>1</v>
      </c>
      <c r="F12" s="2">
        <v>0</v>
      </c>
      <c r="G12" s="2"/>
      <c r="H12" s="2">
        <v>0.7</v>
      </c>
      <c r="I12" s="2">
        <v>0</v>
      </c>
      <c r="J12" s="2"/>
      <c r="K12" s="2"/>
      <c r="L12" s="2" t="s">
        <v>4</v>
      </c>
      <c r="M12" s="2" t="s">
        <v>6</v>
      </c>
    </row>
    <row r="13" spans="1:13" x14ac:dyDescent="0.35">
      <c r="A13" s="13" t="s">
        <v>1079</v>
      </c>
      <c r="B13" s="2" t="s">
        <v>1086</v>
      </c>
      <c r="C13" s="2" t="s">
        <v>1025</v>
      </c>
      <c r="D13" s="2">
        <v>1000000</v>
      </c>
      <c r="E13" s="2">
        <v>1</v>
      </c>
      <c r="F13" s="2">
        <v>0</v>
      </c>
      <c r="G13" s="2"/>
      <c r="H13" s="2">
        <v>1</v>
      </c>
      <c r="I13" s="2">
        <v>0</v>
      </c>
      <c r="J13" s="2"/>
      <c r="K13" s="2"/>
      <c r="L13" s="2" t="s">
        <v>7</v>
      </c>
      <c r="M13" s="2" t="s">
        <v>6</v>
      </c>
    </row>
    <row r="14" spans="1:13" x14ac:dyDescent="0.35">
      <c r="A14" s="42" t="s">
        <v>1072</v>
      </c>
      <c r="B14" s="1" t="s">
        <v>1021</v>
      </c>
      <c r="C14" s="1" t="s">
        <v>1025</v>
      </c>
      <c r="D14" s="52">
        <v>4500</v>
      </c>
      <c r="E14" s="52">
        <v>1</v>
      </c>
      <c r="F14" s="52">
        <v>0.78900000000000003</v>
      </c>
      <c r="G14" s="1"/>
      <c r="H14" s="1">
        <v>0.97499999999999998</v>
      </c>
      <c r="I14" s="1">
        <v>3</v>
      </c>
      <c r="J14" s="1"/>
      <c r="K14" s="1"/>
      <c r="L14" s="1" t="s">
        <v>7</v>
      </c>
      <c r="M14" s="1" t="s">
        <v>6</v>
      </c>
    </row>
    <row r="15" spans="1:13" x14ac:dyDescent="0.35">
      <c r="A15" s="43" t="s">
        <v>1073</v>
      </c>
      <c r="B15" s="2" t="s">
        <v>1024</v>
      </c>
      <c r="C15" s="2" t="s">
        <v>1028</v>
      </c>
      <c r="D15" s="52">
        <v>100000</v>
      </c>
      <c r="E15" s="52">
        <v>1</v>
      </c>
      <c r="F15" s="52">
        <v>0</v>
      </c>
      <c r="G15" s="1"/>
      <c r="H15" s="1">
        <v>0.97499999999999998</v>
      </c>
      <c r="I15" s="1">
        <v>3</v>
      </c>
      <c r="J15" s="2"/>
      <c r="K15" s="2"/>
      <c r="L15" s="2" t="s">
        <v>4</v>
      </c>
      <c r="M15" s="2" t="s">
        <v>6</v>
      </c>
    </row>
    <row r="16" spans="1:13" x14ac:dyDescent="0.35">
      <c r="A16" s="42" t="s">
        <v>1074</v>
      </c>
      <c r="B16" s="1" t="s">
        <v>1025</v>
      </c>
      <c r="C16" s="1" t="s">
        <v>1021</v>
      </c>
      <c r="D16" s="52">
        <v>100000</v>
      </c>
      <c r="E16" s="52">
        <v>1</v>
      </c>
      <c r="F16" s="52">
        <v>0</v>
      </c>
      <c r="G16" s="1"/>
      <c r="H16" s="1">
        <v>0.97499999999999998</v>
      </c>
      <c r="I16" s="1">
        <v>3</v>
      </c>
      <c r="J16" s="1"/>
      <c r="K16" s="1"/>
      <c r="L16" s="1" t="s">
        <v>7</v>
      </c>
      <c r="M16" s="1" t="s">
        <v>6</v>
      </c>
    </row>
    <row r="17" spans="1:13" x14ac:dyDescent="0.35">
      <c r="A17" s="43" t="s">
        <v>1075</v>
      </c>
      <c r="B17" s="2" t="s">
        <v>1028</v>
      </c>
      <c r="C17" s="2" t="s">
        <v>1024</v>
      </c>
      <c r="D17" s="52">
        <v>3500</v>
      </c>
      <c r="E17" s="52">
        <v>1</v>
      </c>
      <c r="F17" s="52">
        <v>0.53800000000000003</v>
      </c>
      <c r="G17" s="1"/>
      <c r="H17" s="1">
        <v>0.97499999999999998</v>
      </c>
      <c r="I17" s="1">
        <v>3</v>
      </c>
      <c r="J17" s="2"/>
      <c r="K17" s="2"/>
      <c r="L17" s="2" t="s">
        <v>4</v>
      </c>
      <c r="M17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K4"/>
  <sheetViews>
    <sheetView workbookViewId="0">
      <selection activeCell="H5" sqref="H5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ht="15" thickBot="1" x14ac:dyDescent="0.4">
      <c r="A1" s="29" t="s">
        <v>5</v>
      </c>
      <c r="B1" s="29" t="s">
        <v>16</v>
      </c>
      <c r="C1" s="29" t="s">
        <v>13</v>
      </c>
      <c r="D1" s="29" t="s">
        <v>22</v>
      </c>
      <c r="E1" s="29" t="s">
        <v>23</v>
      </c>
      <c r="F1" s="29" t="s">
        <v>24</v>
      </c>
      <c r="G1" s="29" t="s">
        <v>14</v>
      </c>
      <c r="H1" s="29" t="s">
        <v>25</v>
      </c>
      <c r="I1" s="29" t="s">
        <v>15</v>
      </c>
      <c r="J1" s="29" t="s">
        <v>0</v>
      </c>
      <c r="K1" s="29" t="s">
        <v>1</v>
      </c>
    </row>
    <row r="2" spans="1:11" x14ac:dyDescent="0.35">
      <c r="A2" s="4" t="s">
        <v>1047</v>
      </c>
      <c r="B2" s="1" t="s">
        <v>1021</v>
      </c>
      <c r="C2" s="1">
        <f>26698.52</f>
        <v>26698.52</v>
      </c>
      <c r="D2" s="1">
        <v>4</v>
      </c>
      <c r="E2" s="1">
        <v>0.89658206299999998</v>
      </c>
      <c r="F2" s="1">
        <v>0.89658206299999998</v>
      </c>
      <c r="G2" s="1"/>
      <c r="H2" s="1" t="s">
        <v>1020</v>
      </c>
      <c r="I2" s="1">
        <v>0.1</v>
      </c>
      <c r="J2" s="1" t="s">
        <v>7</v>
      </c>
      <c r="K2" s="1" t="s">
        <v>6</v>
      </c>
    </row>
    <row r="3" spans="1:11" x14ac:dyDescent="0.35">
      <c r="A3" s="3" t="s">
        <v>1048</v>
      </c>
      <c r="B3" s="2" t="s">
        <v>1024</v>
      </c>
      <c r="C3" s="2">
        <v>10000</v>
      </c>
      <c r="D3" s="2">
        <v>1000</v>
      </c>
      <c r="E3" s="2">
        <v>1</v>
      </c>
      <c r="F3" s="2">
        <v>1</v>
      </c>
      <c r="G3" s="2"/>
      <c r="H3" s="2" t="s">
        <v>1020</v>
      </c>
      <c r="I3" s="2">
        <v>2</v>
      </c>
      <c r="J3" s="2" t="s">
        <v>4</v>
      </c>
      <c r="K3" s="2" t="s">
        <v>6</v>
      </c>
    </row>
    <row r="4" spans="1:11" x14ac:dyDescent="0.35">
      <c r="A4" s="13" t="s">
        <v>1049</v>
      </c>
      <c r="B4" s="2" t="s">
        <v>1025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1020</v>
      </c>
      <c r="I4" s="2">
        <v>0.1</v>
      </c>
      <c r="J4" s="2" t="s">
        <v>7</v>
      </c>
      <c r="K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27" sqref="G27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50" t="s">
        <v>1050</v>
      </c>
      <c r="B2" s="51" t="s">
        <v>1022</v>
      </c>
      <c r="C2" s="51">
        <f>1387684*10^3</f>
        <v>1387684000</v>
      </c>
      <c r="D2" s="51">
        <f>C2*F2</f>
        <v>1248915600</v>
      </c>
      <c r="E2" s="51">
        <v>0.2</v>
      </c>
      <c r="F2" s="51">
        <v>0.9</v>
      </c>
      <c r="G2" s="51" t="s">
        <v>6</v>
      </c>
      <c r="H2" s="51"/>
      <c r="I2" s="51">
        <v>1</v>
      </c>
      <c r="J2" s="51" t="s">
        <v>8</v>
      </c>
      <c r="K2" s="51" t="s">
        <v>6</v>
      </c>
    </row>
    <row r="3" spans="1:11" x14ac:dyDescent="0.35">
      <c r="A3" s="13" t="s">
        <v>1051</v>
      </c>
      <c r="B3" s="2" t="s">
        <v>1026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workbookViewId="0">
      <selection activeCell="B2" sqref="B2:E169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1052</v>
      </c>
      <c r="C1" s="39" t="s">
        <v>1053</v>
      </c>
      <c r="D1" s="36" t="s">
        <v>1054</v>
      </c>
      <c r="E1" s="36" t="s">
        <v>1055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1063</v>
      </c>
      <c r="C1" s="34" t="s">
        <v>1064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D5" sqref="D5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1056</v>
      </c>
      <c r="C1" s="33" t="s">
        <v>1057</v>
      </c>
      <c r="D1" s="36" t="s">
        <v>1062</v>
      </c>
      <c r="E1" s="36" t="s">
        <v>1061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F8761"/>
  <sheetViews>
    <sheetView workbookViewId="0">
      <selection activeCell="I9" sqref="I9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6" ht="15" thickBot="1" x14ac:dyDescent="0.4">
      <c r="A1" t="s">
        <v>1101</v>
      </c>
      <c r="B1" s="36" t="s">
        <v>1099</v>
      </c>
      <c r="C1" s="36" t="s">
        <v>1100</v>
      </c>
      <c r="D1" s="36" t="s">
        <v>1102</v>
      </c>
      <c r="E1" s="36" t="s">
        <v>1103</v>
      </c>
      <c r="F1" s="40" t="s">
        <v>1055</v>
      </c>
    </row>
    <row r="2" spans="1:6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</row>
    <row r="3" spans="1:6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</row>
    <row r="4" spans="1:6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</row>
    <row r="5" spans="1:6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</row>
    <row r="6" spans="1:6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</row>
    <row r="7" spans="1:6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</row>
    <row r="8" spans="1:6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</row>
    <row r="9" spans="1:6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</row>
    <row r="10" spans="1:6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</row>
    <row r="11" spans="1:6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</row>
    <row r="12" spans="1:6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</row>
    <row r="13" spans="1:6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</row>
    <row r="14" spans="1:6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</row>
    <row r="15" spans="1:6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</row>
    <row r="16" spans="1:6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</row>
    <row r="17" spans="1:6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</row>
    <row r="18" spans="1:6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6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6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6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6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6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6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6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6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6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6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6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6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6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6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1058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1059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1058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1058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1060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1058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1058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1060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1060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2026-01-27T16:07:34Z</dcterms:modified>
</cp:coreProperties>
</file>