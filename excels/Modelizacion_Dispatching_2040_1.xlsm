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/>
  <workbookPr/>
  <mc:AlternateContent xmlns:mc="http://schemas.openxmlformats.org/markup-compatibility/2006">
    <mc:Choice Requires="x15">
      <x15ac:absPath xmlns:x15ac="http://schemas.microsoft.com/office/spreadsheetml/2010/11/ac" url="C:\Users\EXT10348\Downloads\WinPython 3.12.10\WPy64-31241\PROYECTOS PYPSA\excels\"/>
    </mc:Choice>
  </mc:AlternateContent>
  <xr:revisionPtr revIDLastSave="0" documentId="13_ncr:1_{5402B074-D060-4E23-9A2D-0C8AD4761DE3}" xr6:coauthVersionLast="47" xr6:coauthVersionMax="47" xr10:uidLastSave="{00000000-0000-0000-0000-000000000000}"/>
  <bookViews>
    <workbookView xWindow="43095" yWindow="0" windowWidth="14610" windowHeight="15585" activeTab="3" xr2:uid="{00000000-000D-0000-FFFF-FFFF00000000}"/>
  </bookViews>
  <sheets>
    <sheet name="Generators" sheetId="1" r:id="rId1"/>
    <sheet name="Carriers" sheetId="5" r:id="rId2"/>
    <sheet name="Buses" sheetId="2" r:id="rId3"/>
    <sheet name="Links" sheetId="3" r:id="rId4"/>
    <sheet name="Loads" sheetId="4" r:id="rId5"/>
    <sheet name="StorageUnit" sheetId="6" r:id="rId6"/>
    <sheet name="Store" sheetId="7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" l="1"/>
  <c r="E3" i="3"/>
  <c r="E2" i="3"/>
  <c r="D3" i="4"/>
  <c r="C2" i="7"/>
  <c r="D3" i="1"/>
  <c r="D5" i="1"/>
  <c r="D2" i="7"/>
  <c r="D2" i="4" l="1"/>
  <c r="J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Batres Fernandez, Ana</author>
  </authors>
  <commentList>
    <comment ref="D1" authorId="0" shapeId="0" xr:uid="{0F8BA38F-AB24-4AA0-9543-F14768BE426D}">
      <text>
        <r>
          <rPr>
            <sz val="9"/>
            <color indexed="81"/>
            <rFont val="Tahoma"/>
            <charset val="1"/>
          </rPr>
          <t>Datos de p_nom procedentes de hoja EXCEL: PEMMDB_ES00_NationalTrends_2040</t>
        </r>
      </text>
    </comment>
    <comment ref="D5" authorId="0" shapeId="0" xr:uid="{7E624F2A-EAB9-4836-A27F-F1C99BCE7AB2}">
      <text>
        <r>
          <rPr>
            <sz val="9"/>
            <color indexed="81"/>
            <rFont val="Tahoma"/>
            <charset val="1"/>
          </rPr>
          <t>Este dato es referente a las importaciones de gas que irán al gas_bus. Como no tenemos un valor específico ponemos este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Batres Fernandez, Ana</author>
  </authors>
  <commentList>
    <comment ref="A1" authorId="0" shapeId="0" xr:uid="{D9DC5917-28BF-4BF9-B64C-EAB6FB130E53}">
      <text>
        <r>
          <rPr>
            <sz val="9"/>
            <color indexed="81"/>
            <rFont val="Tahoma"/>
            <charset val="1"/>
          </rPr>
          <t>El carrier define el tipo de energía que transporta o usa un componente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Batres Fernandez, Ana</author>
  </authors>
  <commentList>
    <comment ref="I1" authorId="0" shapeId="0" xr:uid="{D554C929-B490-4E51-812C-9F9D21017C5E}">
      <text>
        <r>
          <rPr>
            <sz val="9"/>
            <color indexed="81"/>
            <rFont val="Tahoma"/>
            <family val="2"/>
          </rPr>
          <t>Hoja thermal, datos abajo a la derecha.</t>
        </r>
      </text>
    </comment>
    <comment ref="E3" authorId="0" shapeId="0" xr:uid="{F97FD3AC-D8BF-4D41-A38E-2B52A609407E}">
      <text>
        <r>
          <rPr>
            <sz val="9"/>
            <color indexed="81"/>
            <rFont val="Tahoma"/>
            <charset val="1"/>
          </rPr>
          <t>Reservoir - Total turbining/pumping capacity (MW)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Batres Fernandez, Ana</author>
  </authors>
  <commentList>
    <comment ref="D2" authorId="0" shapeId="0" xr:uid="{898174C6-F949-49C7-B467-D3A8AD85E03E}">
      <text>
        <r>
          <rPr>
            <sz val="9"/>
            <color indexed="81"/>
            <rFont val="Tahoma"/>
            <family val="2"/>
          </rPr>
          <t>En la hoja Battery (PEMMDB_ES00 documento), el valor de Battery Total capacity - generation perspective</t>
        </r>
      </text>
    </comment>
    <comment ref="D3" authorId="0" shapeId="0" xr:uid="{365E1841-2E7B-487F-9560-3C70B677490C}">
      <text>
        <r>
          <rPr>
            <sz val="9"/>
            <color indexed="81"/>
            <rFont val="Tahoma"/>
            <family val="2"/>
          </rPr>
          <t xml:space="preserve">Valor aleatorio </t>
        </r>
      </text>
    </comment>
  </commentList>
</comments>
</file>

<file path=xl/sharedStrings.xml><?xml version="1.0" encoding="utf-8"?>
<sst xmlns="http://schemas.openxmlformats.org/spreadsheetml/2006/main" count="164" uniqueCount="55">
  <si>
    <t>Type</t>
  </si>
  <si>
    <t>Name</t>
  </si>
  <si>
    <t>Bus</t>
  </si>
  <si>
    <t>p_nom</t>
  </si>
  <si>
    <t>capital_cost</t>
  </si>
  <si>
    <t>marginal_cost</t>
  </si>
  <si>
    <t>carrier</t>
  </si>
  <si>
    <t>overwrite</t>
  </si>
  <si>
    <t>Generator</t>
  </si>
  <si>
    <t>Solar</t>
  </si>
  <si>
    <t>electricity_Market</t>
  </si>
  <si>
    <t>True</t>
  </si>
  <si>
    <t>Wind</t>
  </si>
  <si>
    <t>Biomass</t>
  </si>
  <si>
    <t>Gas</t>
  </si>
  <si>
    <t>gas_bus</t>
  </si>
  <si>
    <t xml:space="preserve">Generator </t>
  </si>
  <si>
    <t xml:space="preserve">Water </t>
  </si>
  <si>
    <t>Commodity_Cost</t>
  </si>
  <si>
    <t>Overwrite</t>
  </si>
  <si>
    <t>AC</t>
  </si>
  <si>
    <t>Water</t>
  </si>
  <si>
    <t>Grid_Import</t>
  </si>
  <si>
    <t>Hydrogen</t>
  </si>
  <si>
    <t>Electricity</t>
  </si>
  <si>
    <t>water_bus</t>
  </si>
  <si>
    <t xml:space="preserve">True </t>
  </si>
  <si>
    <t>hydrogen_bus</t>
  </si>
  <si>
    <t>Bus 1</t>
  </si>
  <si>
    <t>Bus 2</t>
  </si>
  <si>
    <t>efficiency</t>
  </si>
  <si>
    <t>Ramp limit up</t>
  </si>
  <si>
    <t>Ramp limit down</t>
  </si>
  <si>
    <t>Link</t>
  </si>
  <si>
    <t>CCGT</t>
  </si>
  <si>
    <t xml:space="preserve">Turbina </t>
  </si>
  <si>
    <t>Pump</t>
  </si>
  <si>
    <t>Electrolyzer</t>
  </si>
  <si>
    <t>p_set</t>
  </si>
  <si>
    <t>Load</t>
  </si>
  <si>
    <t>Demand</t>
  </si>
  <si>
    <t>hydrogen</t>
  </si>
  <si>
    <t>max_hours</t>
  </si>
  <si>
    <t>efficiency_store</t>
  </si>
  <si>
    <t>efficiency_dispatch</t>
  </si>
  <si>
    <t>Capital_cost</t>
  </si>
  <si>
    <t>cyclic_state_of_charge</t>
  </si>
  <si>
    <t>StorageUnit</t>
  </si>
  <si>
    <t>Battery</t>
  </si>
  <si>
    <t>e_nom</t>
  </si>
  <si>
    <t>e_initial</t>
  </si>
  <si>
    <t>e_min_pu</t>
  </si>
  <si>
    <t>e_max_pu</t>
  </si>
  <si>
    <t>Embalse</t>
  </si>
  <si>
    <t>Hstorage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</si>
</sst>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Verdana"/>
      <family val="2"/>
      <scheme val="minor"/>
    </font>
    <font>
      <sz val="11"/>
      <color rgb="FF242424"/>
      <name val="Aptos Narrow"/>
      <family val="2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11" fontId="0" fillId="0" borderId="1" xfId="0" applyNumberFormat="1" applyBorder="1"/>
    <xf numFmtId="0" fontId="0" fillId="0" borderId="1" xfId="0" applyBorder="1" applyAlignment="1">
      <alignment vertical="center" wrapText="1"/>
    </xf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Enagás">
  <a:themeElements>
    <a:clrScheme name="Enagá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AAE"/>
      </a:accent1>
      <a:accent2>
        <a:srgbClr val="9CB700"/>
      </a:accent2>
      <a:accent3>
        <a:srgbClr val="63666A"/>
      </a:accent3>
      <a:accent4>
        <a:srgbClr val="00B5E2"/>
      </a:accent4>
      <a:accent5>
        <a:srgbClr val="FFB81C"/>
      </a:accent5>
      <a:accent6>
        <a:srgbClr val="FFFFFF"/>
      </a:accent6>
      <a:hlink>
        <a:srgbClr val="0563C1"/>
      </a:hlink>
      <a:folHlink>
        <a:srgbClr val="954F72"/>
      </a:folHlink>
    </a:clrScheme>
    <a:fontScheme name="Consolas Verdana">
      <a:majorFont>
        <a:latin typeface="Consolas" panose="020B0609020204030204"/>
        <a:ea typeface=""/>
        <a:cs typeface=""/>
        <a:font script="Jpan" typeface="HG丸ｺﾞｼｯｸM-PRO"/>
        <a:font script="Hang" typeface="HY중고딕"/>
        <a:font script="Hans" typeface="华文楷体"/>
        <a:font script="Hant" typeface="新細明體"/>
        <a:font script="Arab" typeface="Tahoma"/>
        <a:font script="Hebr" typeface="Levenim MT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Verdana" panose="020B0604030504040204"/>
        <a:ea typeface=""/>
        <a:cs typeface=""/>
        <a:font script="Jpan" typeface="ＭＳ ゴシック"/>
        <a:font script="Hang" typeface="굴림"/>
        <a:font script="Hans" typeface="微软雅黑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solidFill>
            <a:schemeClr val="accent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6"/>
  <sheetViews>
    <sheetView workbookViewId="0">
      <selection activeCell="F4" sqref="F4"/>
    </sheetView>
  </sheetViews>
  <sheetFormatPr baseColWidth="10" defaultColWidth="11.2109375" defaultRowHeight="13.5" x14ac:dyDescent="0.25"/>
  <cols>
    <col min="3" max="3" width="17.7109375" customWidth="1"/>
    <col min="4" max="4" width="12" bestFit="1" customWidth="1"/>
    <col min="6" max="7" width="15.28515625" customWidth="1"/>
  </cols>
  <sheetData>
    <row r="1" spans="1:8" ht="13.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8" x14ac:dyDescent="0.25">
      <c r="A2" s="2" t="s">
        <v>8</v>
      </c>
      <c r="B2" s="2" t="s">
        <v>9</v>
      </c>
      <c r="C2" s="2" t="s">
        <v>10</v>
      </c>
      <c r="D2" s="2">
        <v>310338.36000020592</v>
      </c>
      <c r="E2" s="5"/>
      <c r="F2" s="2">
        <v>0</v>
      </c>
      <c r="G2" s="2" t="s">
        <v>9</v>
      </c>
      <c r="H2" s="2" t="s">
        <v>11</v>
      </c>
    </row>
    <row r="3" spans="1:8" x14ac:dyDescent="0.25">
      <c r="A3" s="2" t="s">
        <v>8</v>
      </c>
      <c r="B3" s="2" t="s">
        <v>12</v>
      </c>
      <c r="C3" s="2" t="s">
        <v>10</v>
      </c>
      <c r="D3" s="2">
        <f>259598.94892</f>
        <v>259598.94892</v>
      </c>
      <c r="E3" s="5"/>
      <c r="F3" s="2">
        <v>0</v>
      </c>
      <c r="G3" s="2" t="s">
        <v>12</v>
      </c>
      <c r="H3" s="2" t="s">
        <v>11</v>
      </c>
    </row>
    <row r="4" spans="1:8" x14ac:dyDescent="0.25">
      <c r="A4" s="2" t="s">
        <v>8</v>
      </c>
      <c r="B4" s="2" t="s">
        <v>13</v>
      </c>
      <c r="C4" s="2" t="s">
        <v>10</v>
      </c>
      <c r="D4" s="2">
        <v>2462.66</v>
      </c>
      <c r="E4" s="5"/>
      <c r="F4" s="2">
        <v>14</v>
      </c>
      <c r="G4" s="2" t="s">
        <v>13</v>
      </c>
      <c r="H4" s="2" t="s">
        <v>11</v>
      </c>
    </row>
    <row r="5" spans="1:8" x14ac:dyDescent="0.25">
      <c r="A5" s="2" t="s">
        <v>8</v>
      </c>
      <c r="B5" s="2" t="s">
        <v>14</v>
      </c>
      <c r="C5" s="2" t="s">
        <v>15</v>
      </c>
      <c r="D5" s="7">
        <f>1*10^14</f>
        <v>100000000000000</v>
      </c>
      <c r="E5" s="2"/>
      <c r="F5" s="2">
        <v>0</v>
      </c>
      <c r="G5" s="2" t="s">
        <v>14</v>
      </c>
      <c r="H5" s="2" t="s">
        <v>11</v>
      </c>
    </row>
    <row r="6" spans="1:8" x14ac:dyDescent="0.25">
      <c r="A6" s="2" t="s">
        <v>16</v>
      </c>
      <c r="B6" s="2" t="s">
        <v>17</v>
      </c>
      <c r="C6" s="2" t="s">
        <v>10</v>
      </c>
      <c r="D6" s="2">
        <v>3117.91912</v>
      </c>
      <c r="E6" s="2"/>
      <c r="F6" s="2">
        <v>4</v>
      </c>
      <c r="G6" s="2" t="s">
        <v>17</v>
      </c>
      <c r="H6" s="2" t="s">
        <v>11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9FE0-54BA-40C2-A084-196B38F25559}">
  <dimension ref="A1:C9"/>
  <sheetViews>
    <sheetView workbookViewId="0">
      <selection activeCell="D15" sqref="D15"/>
    </sheetView>
  </sheetViews>
  <sheetFormatPr baseColWidth="10" defaultColWidth="11.2109375" defaultRowHeight="13.5" x14ac:dyDescent="0.25"/>
  <cols>
    <col min="1" max="1" width="11" customWidth="1"/>
    <col min="2" max="2" width="16.78515625" customWidth="1"/>
  </cols>
  <sheetData>
    <row r="1" spans="1:3" x14ac:dyDescent="0.25">
      <c r="A1" s="4" t="s">
        <v>1</v>
      </c>
      <c r="B1" s="4" t="s">
        <v>18</v>
      </c>
      <c r="C1" s="4" t="s">
        <v>19</v>
      </c>
    </row>
    <row r="2" spans="1:3" x14ac:dyDescent="0.25">
      <c r="A2" s="2" t="s">
        <v>20</v>
      </c>
      <c r="B2" s="2"/>
      <c r="C2" s="2" t="s">
        <v>11</v>
      </c>
    </row>
    <row r="3" spans="1:3" x14ac:dyDescent="0.25">
      <c r="A3" s="2" t="s">
        <v>21</v>
      </c>
      <c r="B3" s="2"/>
      <c r="C3" s="2" t="s">
        <v>11</v>
      </c>
    </row>
    <row r="4" spans="1:3" x14ac:dyDescent="0.25">
      <c r="A4" s="2" t="s">
        <v>12</v>
      </c>
      <c r="B4" s="2"/>
      <c r="C4" s="2" t="s">
        <v>11</v>
      </c>
    </row>
    <row r="5" spans="1:3" x14ac:dyDescent="0.25">
      <c r="A5" s="2" t="s">
        <v>14</v>
      </c>
      <c r="B5" s="2"/>
      <c r="C5" s="2" t="s">
        <v>11</v>
      </c>
    </row>
    <row r="6" spans="1:3" x14ac:dyDescent="0.25">
      <c r="A6" s="2" t="s">
        <v>9</v>
      </c>
      <c r="B6" s="2"/>
      <c r="C6" s="2" t="s">
        <v>11</v>
      </c>
    </row>
    <row r="7" spans="1:3" x14ac:dyDescent="0.25">
      <c r="A7" s="2" t="s">
        <v>22</v>
      </c>
      <c r="B7" s="2"/>
      <c r="C7" s="2" t="s">
        <v>11</v>
      </c>
    </row>
    <row r="8" spans="1:3" x14ac:dyDescent="0.25">
      <c r="A8" s="2" t="s">
        <v>13</v>
      </c>
      <c r="B8" s="2"/>
      <c r="C8" s="2" t="s">
        <v>11</v>
      </c>
    </row>
    <row r="9" spans="1:3" x14ac:dyDescent="0.25">
      <c r="A9" s="2" t="s">
        <v>23</v>
      </c>
      <c r="B9" s="2"/>
      <c r="C9" s="2" t="s">
        <v>11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D0FC-2AB4-43F9-87E5-C17EC5AACE65}">
  <dimension ref="A1:D5"/>
  <sheetViews>
    <sheetView workbookViewId="0">
      <selection activeCell="D9" sqref="D9"/>
    </sheetView>
  </sheetViews>
  <sheetFormatPr baseColWidth="10" defaultColWidth="11.2109375" defaultRowHeight="13.5" x14ac:dyDescent="0.25"/>
  <cols>
    <col min="2" max="2" width="15.5" customWidth="1"/>
    <col min="3" max="3" width="12.7109375" customWidth="1"/>
  </cols>
  <sheetData>
    <row r="1" spans="1:4" x14ac:dyDescent="0.25">
      <c r="A1" s="4" t="s">
        <v>0</v>
      </c>
      <c r="B1" s="4" t="s">
        <v>1</v>
      </c>
      <c r="C1" s="4" t="s">
        <v>6</v>
      </c>
      <c r="D1" s="4" t="s">
        <v>7</v>
      </c>
    </row>
    <row r="2" spans="1:4" x14ac:dyDescent="0.25">
      <c r="A2" s="2" t="s">
        <v>2</v>
      </c>
      <c r="B2" s="2" t="s">
        <v>10</v>
      </c>
      <c r="C2" s="2" t="s">
        <v>24</v>
      </c>
      <c r="D2" s="2" t="s">
        <v>11</v>
      </c>
    </row>
    <row r="3" spans="1:4" x14ac:dyDescent="0.25">
      <c r="A3" s="2" t="s">
        <v>2</v>
      </c>
      <c r="B3" s="2" t="s">
        <v>25</v>
      </c>
      <c r="C3" s="2" t="s">
        <v>17</v>
      </c>
      <c r="D3" s="2" t="s">
        <v>26</v>
      </c>
    </row>
    <row r="4" spans="1:4" x14ac:dyDescent="0.25">
      <c r="A4" s="2" t="s">
        <v>2</v>
      </c>
      <c r="B4" s="2" t="s">
        <v>15</v>
      </c>
      <c r="C4" s="2" t="s">
        <v>14</v>
      </c>
      <c r="D4" s="2" t="s">
        <v>26</v>
      </c>
    </row>
    <row r="5" spans="1:4" x14ac:dyDescent="0.25">
      <c r="A5" s="2" t="s">
        <v>2</v>
      </c>
      <c r="B5" s="2" t="s">
        <v>27</v>
      </c>
      <c r="C5" s="2" t="s">
        <v>23</v>
      </c>
      <c r="D5" s="2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9666D-252D-4BF5-A5AF-3CE0E9787FCA}">
  <dimension ref="A1:L5"/>
  <sheetViews>
    <sheetView tabSelected="1" topLeftCell="B1" workbookViewId="0">
      <selection activeCell="D26" sqref="D26"/>
    </sheetView>
  </sheetViews>
  <sheetFormatPr baseColWidth="10" defaultColWidth="11.2109375" defaultRowHeight="14.25" customHeight="1" x14ac:dyDescent="0.25"/>
  <cols>
    <col min="3" max="3" width="16" customWidth="1"/>
    <col min="4" max="4" width="15.5" customWidth="1"/>
    <col min="5" max="5" width="11.78515625" bestFit="1" customWidth="1"/>
  </cols>
  <sheetData>
    <row r="1" spans="1:12" ht="13.5" x14ac:dyDescent="0.25">
      <c r="A1" s="4" t="s">
        <v>0</v>
      </c>
      <c r="B1" s="4" t="s">
        <v>1</v>
      </c>
      <c r="C1" s="4" t="s">
        <v>28</v>
      </c>
      <c r="D1" s="4" t="s">
        <v>29</v>
      </c>
      <c r="E1" s="4" t="s">
        <v>3</v>
      </c>
      <c r="F1" s="4" t="s">
        <v>4</v>
      </c>
      <c r="G1" s="4" t="s">
        <v>30</v>
      </c>
      <c r="H1" s="4" t="s">
        <v>5</v>
      </c>
      <c r="I1" s="4" t="s">
        <v>31</v>
      </c>
      <c r="J1" s="4" t="s">
        <v>32</v>
      </c>
      <c r="K1" s="4" t="s">
        <v>6</v>
      </c>
      <c r="L1" s="4" t="s">
        <v>7</v>
      </c>
    </row>
    <row r="2" spans="1:12" ht="13.5" x14ac:dyDescent="0.25">
      <c r="A2" s="2" t="s">
        <v>33</v>
      </c>
      <c r="B2" s="2" t="s">
        <v>34</v>
      </c>
      <c r="C2" s="2" t="s">
        <v>15</v>
      </c>
      <c r="D2" s="2" t="s">
        <v>10</v>
      </c>
      <c r="E2" s="2">
        <f>24559.64</f>
        <v>24559.64</v>
      </c>
      <c r="F2" s="2"/>
      <c r="G2" s="2">
        <v>0.57999999999999996</v>
      </c>
      <c r="H2" s="2">
        <v>96</v>
      </c>
      <c r="I2" s="2">
        <v>842.35602840000001</v>
      </c>
      <c r="J2" s="2">
        <v>1052.945035</v>
      </c>
      <c r="K2" s="2" t="s">
        <v>14</v>
      </c>
      <c r="L2" s="2" t="s">
        <v>11</v>
      </c>
    </row>
    <row r="3" spans="1:12" ht="14.25" customHeight="1" x14ac:dyDescent="0.25">
      <c r="A3" s="2" t="s">
        <v>33</v>
      </c>
      <c r="B3" s="2" t="s">
        <v>35</v>
      </c>
      <c r="C3" s="2" t="s">
        <v>25</v>
      </c>
      <c r="D3" s="2" t="s">
        <v>10</v>
      </c>
      <c r="E3" s="6">
        <f>25140.2664733333</f>
        <v>25140.2664733333</v>
      </c>
      <c r="F3" s="2"/>
      <c r="G3" s="2">
        <v>0.85</v>
      </c>
      <c r="H3" s="2">
        <v>4</v>
      </c>
      <c r="I3" s="2"/>
      <c r="J3" s="2"/>
      <c r="K3" s="2" t="s">
        <v>21</v>
      </c>
      <c r="L3" s="2" t="s">
        <v>11</v>
      </c>
    </row>
    <row r="4" spans="1:12" ht="14.25" customHeight="1" x14ac:dyDescent="0.25">
      <c r="A4" s="2" t="s">
        <v>33</v>
      </c>
      <c r="B4" s="2" t="s">
        <v>36</v>
      </c>
      <c r="C4" s="2" t="s">
        <v>10</v>
      </c>
      <c r="D4" s="2" t="s">
        <v>25</v>
      </c>
      <c r="E4" s="6">
        <f>13320.7506329652</f>
        <v>13320.750632965201</v>
      </c>
      <c r="F4" s="2"/>
      <c r="G4" s="2">
        <v>0.75</v>
      </c>
      <c r="H4" s="2">
        <v>40</v>
      </c>
      <c r="I4" s="2"/>
      <c r="J4" s="2"/>
      <c r="K4" s="2" t="s">
        <v>20</v>
      </c>
      <c r="L4" s="2" t="s">
        <v>11</v>
      </c>
    </row>
    <row r="5" spans="1:12" ht="14.25" customHeight="1" x14ac:dyDescent="0.25">
      <c r="A5" s="2" t="s">
        <v>33</v>
      </c>
      <c r="B5" s="2" t="s">
        <v>37</v>
      </c>
      <c r="C5" s="2" t="s">
        <v>10</v>
      </c>
      <c r="D5" s="2" t="s">
        <v>27</v>
      </c>
      <c r="E5" s="2">
        <v>48100</v>
      </c>
      <c r="F5" s="2"/>
      <c r="G5" s="2">
        <v>0.7</v>
      </c>
      <c r="H5" s="2"/>
      <c r="I5" s="2"/>
      <c r="J5" s="2"/>
      <c r="K5" s="2" t="s">
        <v>23</v>
      </c>
      <c r="L5" s="2" t="s">
        <v>11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2777C-9588-438B-9F46-B38F22F23598}">
  <dimension ref="A1:J3"/>
  <sheetViews>
    <sheetView workbookViewId="0">
      <selection activeCell="C42" sqref="C42"/>
    </sheetView>
  </sheetViews>
  <sheetFormatPr baseColWidth="10" defaultColWidth="11.2109375" defaultRowHeight="13.5" x14ac:dyDescent="0.25"/>
  <cols>
    <col min="3" max="3" width="15.0703125" customWidth="1"/>
  </cols>
  <sheetData>
    <row r="1" spans="1:10" x14ac:dyDescent="0.25">
      <c r="A1" s="4" t="s">
        <v>0</v>
      </c>
      <c r="B1" s="4" t="s">
        <v>1</v>
      </c>
      <c r="C1" s="4" t="s">
        <v>2</v>
      </c>
      <c r="D1" s="4" t="s">
        <v>38</v>
      </c>
      <c r="E1" s="4" t="s">
        <v>6</v>
      </c>
      <c r="F1" s="4" t="s">
        <v>7</v>
      </c>
    </row>
    <row r="2" spans="1:10" x14ac:dyDescent="0.25">
      <c r="A2" s="2" t="s">
        <v>39</v>
      </c>
      <c r="B2" s="2" t="s">
        <v>40</v>
      </c>
      <c r="C2" s="2" t="s">
        <v>10</v>
      </c>
      <c r="D2" s="2">
        <f>100</f>
        <v>100</v>
      </c>
      <c r="E2" s="2" t="s">
        <v>20</v>
      </c>
      <c r="F2" s="2" t="s">
        <v>11</v>
      </c>
      <c r="J2">
        <f>(543.09/(365*24))*10^6</f>
        <v>61996.575342465752</v>
      </c>
    </row>
    <row r="3" spans="1:10" x14ac:dyDescent="0.25">
      <c r="A3" s="2" t="s">
        <v>39</v>
      </c>
      <c r="B3" s="2" t="s">
        <v>40</v>
      </c>
      <c r="C3" s="2" t="s">
        <v>27</v>
      </c>
      <c r="D3" s="2">
        <f>75.8*10^6/8760</f>
        <v>8652.9680365296808</v>
      </c>
      <c r="E3" s="2" t="s">
        <v>41</v>
      </c>
      <c r="F3" s="2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78BF3-3D10-43F3-93DC-FAC6067A6600}">
  <dimension ref="A1:M3"/>
  <sheetViews>
    <sheetView topLeftCell="E1" zoomScale="99" workbookViewId="0">
      <selection activeCell="J2" sqref="J2"/>
    </sheetView>
  </sheetViews>
  <sheetFormatPr baseColWidth="10" defaultColWidth="9.0703125" defaultRowHeight="13.5" x14ac:dyDescent="0.25"/>
  <cols>
    <col min="1" max="1" width="12.42578125" customWidth="1"/>
    <col min="2" max="2" width="11.5" customWidth="1"/>
    <col min="3" max="3" width="17.2109375" customWidth="1"/>
    <col min="5" max="5" width="8.5" customWidth="1"/>
    <col min="6" max="6" width="15" customWidth="1"/>
    <col min="7" max="7" width="17.2109375" customWidth="1"/>
    <col min="8" max="8" width="11.42578125" customWidth="1"/>
    <col min="9" max="9" width="20.35546875" customWidth="1"/>
    <col min="10" max="10" width="10.92578125" customWidth="1"/>
  </cols>
  <sheetData>
    <row r="1" spans="1:13" ht="14.5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42</v>
      </c>
      <c r="F1" s="4" t="s">
        <v>43</v>
      </c>
      <c r="G1" s="4" t="s">
        <v>44</v>
      </c>
      <c r="H1" s="4" t="s">
        <v>45</v>
      </c>
      <c r="I1" s="4" t="s">
        <v>46</v>
      </c>
      <c r="J1" s="4" t="s">
        <v>5</v>
      </c>
      <c r="K1" s="4" t="s">
        <v>6</v>
      </c>
      <c r="L1" s="4" t="s">
        <v>7</v>
      </c>
      <c r="M1" s="1"/>
    </row>
    <row r="2" spans="1:13" ht="14.5" x14ac:dyDescent="0.35">
      <c r="A2" s="2" t="s">
        <v>47</v>
      </c>
      <c r="B2" s="2" t="s">
        <v>48</v>
      </c>
      <c r="C2" s="2" t="s">
        <v>10</v>
      </c>
      <c r="D2" s="3">
        <v>26698.52</v>
      </c>
      <c r="E2" s="2">
        <v>4</v>
      </c>
      <c r="F2" s="3">
        <v>0.89658206308387101</v>
      </c>
      <c r="G2" s="3">
        <v>0.89658206308387101</v>
      </c>
      <c r="H2" s="2"/>
      <c r="I2" s="2" t="s">
        <v>11</v>
      </c>
      <c r="J2" s="2">
        <v>5</v>
      </c>
      <c r="K2" s="2" t="s">
        <v>20</v>
      </c>
      <c r="L2" s="2" t="s">
        <v>11</v>
      </c>
    </row>
    <row r="3" spans="1:13" x14ac:dyDescent="0.25">
      <c r="A3" s="2" t="s">
        <v>47</v>
      </c>
      <c r="B3" s="2" t="s">
        <v>54</v>
      </c>
      <c r="C3" s="2" t="s">
        <v>27</v>
      </c>
      <c r="D3" s="7">
        <v>10000</v>
      </c>
      <c r="E3" s="2">
        <v>1000</v>
      </c>
      <c r="F3" s="2">
        <v>1</v>
      </c>
      <c r="G3" s="2">
        <v>1</v>
      </c>
      <c r="H3" s="2"/>
      <c r="I3" s="2" t="s">
        <v>11</v>
      </c>
      <c r="J3" s="2">
        <v>0</v>
      </c>
      <c r="K3" s="2" t="s">
        <v>23</v>
      </c>
      <c r="L3" s="2" t="s">
        <v>11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CFDCC-20F9-4048-9100-AB6E3F80BA1C}">
  <dimension ref="A1:K2"/>
  <sheetViews>
    <sheetView workbookViewId="0">
      <selection activeCell="F12" sqref="F12"/>
    </sheetView>
  </sheetViews>
  <sheetFormatPr baseColWidth="10" defaultColWidth="11.2109375" defaultRowHeight="13.5" x14ac:dyDescent="0.25"/>
  <cols>
    <col min="4" max="4" width="12.0703125" bestFit="1" customWidth="1"/>
  </cols>
  <sheetData>
    <row r="1" spans="1:11" x14ac:dyDescent="0.25">
      <c r="A1" s="4" t="s">
        <v>1</v>
      </c>
      <c r="B1" s="4" t="s">
        <v>2</v>
      </c>
      <c r="C1" s="4" t="s">
        <v>49</v>
      </c>
      <c r="D1" s="4" t="s">
        <v>50</v>
      </c>
      <c r="E1" s="4" t="s">
        <v>51</v>
      </c>
      <c r="F1" s="4" t="s">
        <v>52</v>
      </c>
      <c r="G1" s="4" t="s">
        <v>46</v>
      </c>
      <c r="H1" s="4" t="s">
        <v>4</v>
      </c>
      <c r="I1" s="4" t="s">
        <v>5</v>
      </c>
      <c r="J1" s="4" t="s">
        <v>6</v>
      </c>
      <c r="K1" s="4" t="s">
        <v>7</v>
      </c>
    </row>
    <row r="2" spans="1:11" x14ac:dyDescent="0.25">
      <c r="A2" s="2" t="s">
        <v>53</v>
      </c>
      <c r="B2" s="2" t="s">
        <v>25</v>
      </c>
      <c r="C2" s="2">
        <f>1387684*10^3</f>
        <v>1387684000</v>
      </c>
      <c r="D2" s="2">
        <f>C2*F2</f>
        <v>1248915600</v>
      </c>
      <c r="E2" s="2">
        <v>0.2</v>
      </c>
      <c r="F2" s="2">
        <v>0.9</v>
      </c>
      <c r="G2" s="2" t="s">
        <v>11</v>
      </c>
      <c r="H2" s="2"/>
      <c r="I2" s="2">
        <v>1</v>
      </c>
      <c r="J2" s="2" t="s">
        <v>21</v>
      </c>
      <c r="K2" s="2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791353C0E1AC4B8ED0956F06AC0F5E" ma:contentTypeVersion="12" ma:contentTypeDescription="Crear nuevo documento." ma:contentTypeScope="" ma:versionID="3be925052d52cc0dbc6d6798ecb81513">
  <xsd:schema xmlns:xsd="http://www.w3.org/2001/XMLSchema" xmlns:xs="http://www.w3.org/2001/XMLSchema" xmlns:p="http://schemas.microsoft.com/office/2006/metadata/properties" xmlns:ns2="ac6c52fe-02c3-487d-b00f-09a9a6fd05ff" xmlns:ns3="1d5b5c73-de20-4e04-9cd3-394e24e35ef5" targetNamespace="http://schemas.microsoft.com/office/2006/metadata/properties" ma:root="true" ma:fieldsID="a9cfdd03cd6c980b5a18c65061f766d2" ns2:_="" ns3:_="">
    <xsd:import namespace="ac6c52fe-02c3-487d-b00f-09a9a6fd05ff"/>
    <xsd:import namespace="1d5b5c73-de20-4e04-9cd3-394e24e35e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6c52fe-02c3-487d-b00f-09a9a6fd05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5b5c73-de20-4e04-9cd3-394e24e35ef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FAEDF64-9338-4BBE-8332-C18CC4D6046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E1F670-340F-4041-9188-84639721F92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83F0A35-4AF2-4DC7-B33F-90A51077E6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6c52fe-02c3-487d-b00f-09a9a6fd05ff"/>
    <ds:schemaRef ds:uri="1d5b5c73-de20-4e04-9cd3-394e24e35e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Generators</vt:lpstr>
      <vt:lpstr>Carriers</vt:lpstr>
      <vt:lpstr>Buses</vt:lpstr>
      <vt:lpstr>Links</vt:lpstr>
      <vt:lpstr>Loads</vt:lpstr>
      <vt:lpstr>StorageUnit</vt:lpstr>
      <vt:lpstr>Store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Herranz Zuñiga, Borja</dc:creator>
  <cp:keywords/>
  <dc:description/>
  <cp:lastModifiedBy>Batres Fernandez, Ana</cp:lastModifiedBy>
  <cp:revision/>
  <dcterms:created xsi:type="dcterms:W3CDTF">2017-06-02T10:56:43Z</dcterms:created>
  <dcterms:modified xsi:type="dcterms:W3CDTF">2025-11-18T15:45:29Z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0x010100B6791353C0E1AC4B8ED0956F06AC0F5E</vt:lpwstr>
  </property>
</Properties>
</file>